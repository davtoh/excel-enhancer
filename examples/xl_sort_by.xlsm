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examples\"/>
    </mc:Choice>
  </mc:AlternateContent>
  <bookViews>
    <workbookView xWindow="-105" yWindow="-105" windowWidth="23235" windowHeight="13995" tabRatio="500" activeTab="1"/>
  </bookViews>
  <sheets>
    <sheet name="data" sheetId="1" r:id="rId1"/>
    <sheet name="Sort all" sheetId="3" r:id="rId2"/>
    <sheet name="Invert sorting" sheetId="4" r:id="rId3"/>
    <sheet name="Null values" sheetId="5" r:id="rId4"/>
    <sheet name="_xlwings.conf" sheetId="2" r:id="rId5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>validation function to determine overall rates and if test matching is successful. use: mean, rmse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do. E.g. mean, sum, size, count, std, var, sem, describe, first, last, nth, min, max. Additional custom operations are: resume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apply_expr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str">
          <x14:argumentDescriptions count="4">
            <x14:argumentDescription index="0">selected table or cell to expand</x14:argumentDescription>
            <x14:argumentDescription index="1">string operation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concat_h">
          <x14:argumentDescriptions count="1">
            <x14:argumentDescription index="0">Positional argument 1Positional argument 1</x14:argumentDescription>
          </x14:argumentDescriptions>
        </x14:definedName>
        <x14:definedName name="xv_concat_v">
          <x14:argumentDescriptions count="1">
            <x14:argumentDescription index="0">Positional argument 1Positional argument 1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  <x14:definedName name="xv_normalize_to_string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5" i="3" l="1"/>
  <c r="J1" i="5" a="1"/>
  <c r="G1" i="5" a="1"/>
  <c r="D1" i="5" a="1"/>
  <c r="A1" i="4" a="1"/>
  <c r="F14" i="3"/>
  <c r="A1" i="3" a="1"/>
  <c r="J1" i="5" l="1"/>
  <c r="J2" i="5"/>
  <c r="K2" i="5"/>
  <c r="J3" i="5"/>
  <c r="K3" i="5"/>
  <c r="J4" i="5"/>
  <c r="J5" i="5"/>
  <c r="K1" i="5"/>
  <c r="K4" i="5"/>
  <c r="K5" i="5"/>
  <c r="G1" i="5"/>
  <c r="G3" i="5"/>
  <c r="G4" i="5"/>
  <c r="H1" i="5"/>
  <c r="H2" i="5"/>
  <c r="H3" i="5"/>
  <c r="H4" i="5"/>
  <c r="H5" i="5"/>
  <c r="G2" i="5"/>
  <c r="G5" i="5"/>
  <c r="E1" i="5"/>
  <c r="D2" i="5"/>
  <c r="E2" i="5"/>
  <c r="D3" i="5"/>
  <c r="E3" i="5"/>
  <c r="D4" i="5"/>
  <c r="E4" i="5"/>
  <c r="D5" i="5"/>
  <c r="E5" i="5"/>
  <c r="D1" i="5"/>
  <c r="L1" i="4"/>
  <c r="K2" i="4"/>
  <c r="J3" i="4"/>
  <c r="I4" i="4"/>
  <c r="H5" i="4"/>
  <c r="I2" i="4"/>
  <c r="F5" i="4"/>
  <c r="A1" i="4"/>
  <c r="M1" i="4"/>
  <c r="L2" i="4"/>
  <c r="K3" i="4"/>
  <c r="J4" i="4"/>
  <c r="I5" i="4"/>
  <c r="L3" i="4"/>
  <c r="J5" i="4"/>
  <c r="C1" i="4"/>
  <c r="A3" i="4"/>
  <c r="K5" i="4"/>
  <c r="D1" i="4"/>
  <c r="B3" i="4"/>
  <c r="M4" i="4"/>
  <c r="E1" i="4"/>
  <c r="C3" i="4"/>
  <c r="B4" i="4"/>
  <c r="M5" i="4"/>
  <c r="F1" i="4"/>
  <c r="E2" i="4"/>
  <c r="D3" i="4"/>
  <c r="C4" i="4"/>
  <c r="B5" i="4"/>
  <c r="G1" i="4"/>
  <c r="E3" i="4"/>
  <c r="C5" i="4"/>
  <c r="F3" i="4"/>
  <c r="D5" i="4"/>
  <c r="H4" i="4"/>
  <c r="B1" i="4"/>
  <c r="A2" i="4"/>
  <c r="M2" i="4"/>
  <c r="K4" i="4"/>
  <c r="B2" i="4"/>
  <c r="M3" i="4"/>
  <c r="C2" i="4"/>
  <c r="A4" i="4"/>
  <c r="L5" i="4"/>
  <c r="D2" i="4"/>
  <c r="A5" i="4"/>
  <c r="F2" i="4"/>
  <c r="D4" i="4"/>
  <c r="H1" i="4"/>
  <c r="E4" i="4"/>
  <c r="H2" i="4"/>
  <c r="F4" i="4"/>
  <c r="E5" i="4"/>
  <c r="K1" i="4"/>
  <c r="I3" i="4"/>
  <c r="L4" i="4"/>
  <c r="G2" i="4"/>
  <c r="G3" i="4"/>
  <c r="H3" i="4"/>
  <c r="G4" i="4"/>
  <c r="I1" i="4"/>
  <c r="J2" i="4"/>
  <c r="G5" i="4"/>
  <c r="J1" i="4"/>
  <c r="A1" i="3"/>
  <c r="M1" i="3"/>
  <c r="L2" i="3"/>
  <c r="K3" i="3"/>
  <c r="J4" i="3"/>
  <c r="I5" i="3"/>
  <c r="A2" i="3"/>
  <c r="M2" i="3"/>
  <c r="L3" i="3"/>
  <c r="K4" i="3"/>
  <c r="J5" i="3"/>
  <c r="C1" i="3"/>
  <c r="B2" i="3"/>
  <c r="A3" i="3"/>
  <c r="M3" i="3"/>
  <c r="L4" i="3"/>
  <c r="K5" i="3"/>
  <c r="D1" i="3"/>
  <c r="C2" i="3"/>
  <c r="B3" i="3"/>
  <c r="M4" i="3"/>
  <c r="L5" i="3"/>
  <c r="E1" i="3"/>
  <c r="D2" i="3"/>
  <c r="C3" i="3"/>
  <c r="B4" i="3"/>
  <c r="A5" i="3"/>
  <c r="M5" i="3"/>
  <c r="E2" i="3"/>
  <c r="D3" i="3"/>
  <c r="C4" i="3"/>
  <c r="G1" i="3"/>
  <c r="E3" i="3"/>
  <c r="D5" i="3"/>
  <c r="F4" i="3"/>
  <c r="H3" i="3"/>
  <c r="I3" i="3"/>
  <c r="K2" i="3"/>
  <c r="H5" i="3"/>
  <c r="B1" i="3"/>
  <c r="F1" i="3"/>
  <c r="B5" i="3"/>
  <c r="C5" i="3"/>
  <c r="G2" i="3"/>
  <c r="E5" i="3"/>
  <c r="K1" i="3"/>
  <c r="J2" i="3"/>
  <c r="A4" i="3"/>
  <c r="F2" i="3"/>
  <c r="H1" i="3"/>
  <c r="F3" i="3"/>
  <c r="I1" i="3"/>
  <c r="H2" i="3"/>
  <c r="G3" i="3"/>
  <c r="J1" i="3"/>
  <c r="G4" i="3"/>
  <c r="G5" i="3"/>
  <c r="I4" i="3"/>
  <c r="D4" i="3"/>
  <c r="E4" i="3"/>
  <c r="I2" i="3"/>
  <c r="F5" i="3"/>
  <c r="H4" i="3"/>
  <c r="J3" i="3"/>
  <c r="L1" i="3"/>
</calcChain>
</file>

<file path=xl/sharedStrings.xml><?xml version="1.0" encoding="utf-8"?>
<sst xmlns="http://schemas.openxmlformats.org/spreadsheetml/2006/main" count="83" uniqueCount="78">
  <si>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</si>
  <si>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</si>
  <si>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</si>
  <si>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</si>
  <si>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</si>
  <si>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</si>
  <si>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</si>
  <si>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</si>
  <si>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</si>
  <si>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</si>
  <si>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</si>
  <si>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</si>
  <si>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job</t>
  </si>
  <si>
    <t>company</t>
  </si>
  <si>
    <t>ssn</t>
  </si>
  <si>
    <t>residence</t>
  </si>
  <si>
    <t>current_location</t>
  </si>
  <si>
    <t>blood_group</t>
  </si>
  <si>
    <t>website</t>
  </si>
  <si>
    <t>username</t>
  </si>
  <si>
    <t>name</t>
  </si>
  <si>
    <t>sex</t>
  </si>
  <si>
    <t>address</t>
  </si>
  <si>
    <t>mail</t>
  </si>
  <si>
    <t>birthdate</t>
  </si>
  <si>
    <t>Patent attorney</t>
  </si>
  <si>
    <t>Anderson, Rivera and Shaffer</t>
  </si>
  <si>
    <t>521-15-1313</t>
  </si>
  <si>
    <t>921 Francis Estate Apt. 373
Lake Jessicaville, TX 80346</t>
  </si>
  <si>
    <t>('82.603046', '-87.345006')</t>
  </si>
  <si>
    <t>O-</t>
  </si>
  <si>
    <t>['https://www.campbell.org/', 'https://stewart.com/', 'https://www.oliver-mccullough.com/']</t>
  </si>
  <si>
    <t>anthony37</t>
  </si>
  <si>
    <t>Richard Brown</t>
  </si>
  <si>
    <t>M</t>
  </si>
  <si>
    <t>06914 Shannon Ramp
Lake Adrian, NJ 74012</t>
  </si>
  <si>
    <t>steelelisa@yahoo.com</t>
  </si>
  <si>
    <t>Engineer, automotive</t>
  </si>
  <si>
    <t>Font Inc</t>
  </si>
  <si>
    <t>558-10-8908</t>
  </si>
  <si>
    <t>Calle de Aitana Hoz 74
Toledo, 28554</t>
  </si>
  <si>
    <t>('-6.020216', '-130.454104')</t>
  </si>
  <si>
    <t>AB+</t>
  </si>
  <si>
    <t>['https://www.valentin-hidalgo.org/']</t>
  </si>
  <si>
    <t>peralesconsuela</t>
  </si>
  <si>
    <t>Godofredo Casas Camacho</t>
  </si>
  <si>
    <t>Paseo Salomé Vergara 51 Apt. 20 
Guadalajara, 51555</t>
  </si>
  <si>
    <t>petrona33@hotmail.com</t>
  </si>
  <si>
    <t>Domoticien</t>
  </si>
  <si>
    <t>Charles S.A.R.L.</t>
  </si>
  <si>
    <t>601-32-6521</t>
  </si>
  <si>
    <t>66, rue de Masse
97936 Delaunay</t>
  </si>
  <si>
    <t>('-2.832681', '-99.509790')</t>
  </si>
  <si>
    <t>A-</t>
  </si>
  <si>
    <t>['https://chauvin.com/', 'https://www.toussaint.fr/']</t>
  </si>
  <si>
    <t>ahoareau</t>
  </si>
  <si>
    <t>Émilie de Faure</t>
  </si>
  <si>
    <t>F</t>
  </si>
  <si>
    <t>302, boulevard de Laurent
03117 Bruneldan</t>
  </si>
  <si>
    <t>margauxpetit@live.com</t>
  </si>
  <si>
    <t>Technicien des industries du verre</t>
  </si>
  <si>
    <t>Petitjean</t>
  </si>
  <si>
    <t>601-97-4157</t>
  </si>
  <si>
    <t>76, boulevard Alice Millet
01441 Bigot</t>
  </si>
  <si>
    <t>('0.6079185', '-2.943182')</t>
  </si>
  <si>
    <t>B+</t>
  </si>
  <si>
    <t>['https://www.duval.com/']</t>
  </si>
  <si>
    <t>nicolasda-costa</t>
  </si>
  <si>
    <t>Auguste Potier</t>
  </si>
  <si>
    <t>avenue de Guillot
27068 Sainte Carolineboeuf</t>
  </si>
  <si>
    <t>vboulanger@free.fr</t>
  </si>
  <si>
    <t>Column 1</t>
  </si>
  <si>
    <t>Column 2</t>
  </si>
  <si>
    <t>data 1</t>
  </si>
  <si>
    <t>data 2</t>
  </si>
  <si>
    <t>data 3</t>
  </si>
  <si>
    <t>data col 2</t>
  </si>
  <si>
    <t xml:space="preserve">
import unittest
from core import UnitTestCreator
from core import TestSerializer
from core import debug
from excel_enhancer import xl_sort_by
debug.testing = True
class MyTestForXlSortBy(unittest.TestCase):
    def test_xl_sort_by0(self):
        # get arguments
        arg0 = TestSerializer.deserialize((['job'], [['Patent attorney'], ['Engineer, automotive'], ['Domoticien'], ['Technicien des industries du verre']]), 'DataFrame')
        arg1 = 'job'
        arg2 = True
        arg3 = 'first'
        # get expected result
        ret_cmp = (TestSerializer.deserialize((['job'], [['Domoticien'], ['Engineer, automotive'], ['Patent attorney'], ['Technicien des industries du verre']]), 'DataFrame'), [TestSerializer.deserialize((['job'], [['Patent attorney'], ['Engineer, automotive'], ['Domoticien'], ['Technicien des industries du verre']]), 'DataFrame')])
        # evaluate function
        ret = xl_sort_by(arg0, arg1, arg2, arg3)
        # compare expected an result
        self.assertEqual(TestSerializer.serialize(ret_cmp), TestSerializer.serialize(ret))
    def test_xl_sort_by1(self):
        # get arguments
        arg0 = TestSerializer.deserialize((['job', 'company'], [['Patent attorney', 'Anderson, Rivera and Shaffer'], ['Engineer, automotive', 'Font Inc'], ['Domoticien', 'Charles S.A.R.L.'], ['Technicien des industries du verre', 'Petitjean']]), 'DataFrame')
        arg1 = 'job'
        arg2 = True
        arg3 = 'first'
        # get expected result
        ret_cmp = (TestSerializer.deserialize((['job', 'company'], [['Domoticien', 'Charles S.A.R.L.'], ['Engineer, automotive', 'Font Inc'], ['Patent attorney', 'Anderson, Rivera and Shaffer'], ['Technicien des industries du verre', 'Petitjean']]), 'DataFrame'), [TestSerializer.deserialize((['job', 'company'], [['Patent attorney', 'Anderson, Rivera and Shaffer'], ['Engineer, automotive', 'Font Inc'], ['Domoticien', 'Charles S.A.R.L.'], ['Technicien des industries du verre', 'Petitjean']]), 'DataFrame')])
        # evaluate function
        ret = xl_sort_by(arg0, arg1, arg2, arg3)
        # compare expected an result
        self.assertEqual(TestSerializer.serialize(ret_cmp), TestSerializer.serialize(ret))
    def test_xl_sort_by2(self):
        # get arguments
        arg0 = TestSerializer.deserialize((['job', 'company'], [['Patent attorney', 'Anderson, Rivera and Shaffer'], ['Engineer, automotive', 'Font Inc'], ['Domoticien', 'Charles S.A.R.L.'], ['Technicien des industries du verre', 'Petitjean']]), 'DataFrame')
        arg1 = None
        arg2 = True
        arg3 = 'first'
        # get expected result
        ret_cmp = (TestSerializer.deserialize((['job', 'company'], [['Domoticien', 'Charles S.A.R.L.'], ['Engineer, automotive', 'Font Inc'], ['Patent attorney', 'Anderson, Rivera and Shaffer'], ['Technicien des industries du verre', 'Petitjean']]), 'DataFrame'), [TestSerializer.deserialize((['job', 'company'], [['Patent attorney', 'Anderson, Rivera and Shaffer'], ['Engineer, automotive', 'Font Inc'], ['Domoticien', 'Charles S.A.R.L.'], ['Technicien des industries du verre', 'Petitjean']]), 'DataFrame')])
        # evaluate function
        ret = xl_sort_by(arg0, arg1, arg2, arg3)
        # compare expected an result
        self.assertEqual(TestSerializer.serialize(ret_cmp), TestSerializer.serialize(ret))
    def test_xl_sort_by3(self):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True
        arg3 = 'first'
        # get expected result
        ret_cmp = (TestSerializer.deserialize((['job', 'company', 'ssn', 'residence', 'current_location', 'blood_group', 'website', 'username', 'name', 'sex', 'address', 'mail', 'birthdate'], [['Domoticien',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test_xl_sort_by4(self):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False
        arg3 = 'first'
        # get expected result
        ret_cmp = (TestSerializer.deserialize((['job', 'company', 'ssn', 'residence', 'current_location', 'blood_group', 'website', 'username', 'name', 'sex', 'address', 'mail', 'birthdate'], [['Technicien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test_xl_sort_by5(self):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True
        arg3 = 'last'
        # get expected result
        ret_cmp = (TestSerializer.deserialize((['job', 'company', 'ssn', 'residence', 'current_location', 'blood_group', 'website', 'username', 'name', 'sex', 'address', 'mail', 'birthdate'], [['Domoticien',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test_xl_sort_by6(self):
        # get arguments
        arg0 = TestSerializer.deserialize((['Column 1', 'Column 2'], []), 'DataFrame')
        arg1 = None
        arg2 = True
        arg3 = 'last'
        # get expected result
        ret_cmp = (TestSerializer.deserialize((['Column 1', 'Column 2'], []), 'DataFrame'), [TestSerializer.deserialize((['Column 1', 'Column 2'], []), 'DataFrame')])
        # evaluate function
        ret = xl_sort_by(arg0, arg1, arg2, arg3)
        # compare expected an result
        self.assertEqual(TestSerializer.serialize(ret_cmp), TestSerializer.serialize(ret))
    def test_xl_sort_by7(self):
        # get arguments
        arg0 = TestSerializer.deserialize((['Column 1', 'Column 2'], [['data 1', None]]), 'DataFrame')
        arg1 = None
        arg2 = True
        arg3 = 'last'
        # get expected result
        ret_cmp = (TestSerializer.deserialize((['Column 1', 'Column 2'], [['data 1', None]]), 'DataFrame'), [TestSerializer.deserialize((['Column 1', 'Column 2'], [['data 1', None]]), 'DataFrame')])
        # evaluate function
        ret = xl_sort_by(arg0, arg1, arg2, arg3)
        # compare expected an result
        self.assertEqual(TestSerializer.serialize(ret_cmp), TestSerializer.serialize(ret))
    def test_xl_sort_by8(self):
        # get arguments
        arg0 = TestSerializer.deserialize((['Column 1', 'Column 2'], [['data 1', None], [None, None], ['data 2', None]]), 'DataFrame')
        arg1 = None
        arg2 = True
        arg3 = 'last'
        # get expected result
        ret_cmp = (TestSerializer.deserialize((['Column 1', 'Column 2'], [['data 1', None], ['data 2', None], [None, None]]), 'DataFrame'), [TestSerializer.deserialize((['Column 1', 'Column 2'], [['data 1', None], [None, None], ['data 2', None]]), 'DataFrame')])
        # evaluate function
        ret = xl_sort_by(arg0, arg1, arg2, arg3)
        # compare expected an result
        self.assertEqual(TestSerializer.serialize(ret_cmp), TestSerializer.serialize(ret))
    def test_xl_sort_by9(self):
        # get arguments
        arg0 = TestSerializer.deserialize((['Column 1', 'Column 2'], [['data 1', None], [None, None], ['data 2', None], ['data 3', None]]), 'DataFrame')
        arg1 = None
        arg2 = True
        arg3 = 'last'
        # get expected result
        ret_cmp = (TestSerializer.deserialize((['Column 1', 'Column 2'], [['data 1', None], ['data 2', None], ['data 3', None], [None, None]]), 'DataFrame'), [TestSerializer.deserialize((['Column 1', 'Column 2'], [['data 1', None], [None, None],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test_xl_sort_by10(self):
        # get arguments
        arg0 = TestSerializer.deserialize((['Column 1', 'Column 2'], [['data 1', 'data col 2'], [None, None], ['data 2', None], ['data 3', None]]), 'DataFrame')
        arg1 = None
        arg2 = True
        arg3 = 'last'
        # get expected result
        ret_cmp = (TestSerializer.deserialize((['Column 1', 'Column 2'], [['data 1', 'data col 2'], ['data 2', None], ['data 3', None], [None, None]]), 'DataFrame'), [TestSerializer.deserialize((['Column 1', 'Column 2'], [['data 1', 'data col 2'], [None, None],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test_xl_sort_by11(self):
        # get arguments
        arg0 = TestSerializer.deserialize((['Column 1', 'Column 2'], [['data 1', 'data col 2'], [None, 'data col 2'], ['data 2', None], ['data 3', None]]), 'DataFrame')
        arg1 = None
        arg2 = True
        arg3 = 'last'
        # get expected result
        ret_cmp = (TestSerializer.deserialize((['Column 1', 'Column 2'], [['data 1', 'data col 2'], ['data 2', None], ['data 3', None], [None, 'data col 2']]), 'DataFrame'), [TestSerializer.deserialize((['Column 1', 'Column 2'], [['data 1', 'data col 2'], [None, 'data col 2'],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test_xl_sort_by12(self):
        # get arguments
        arg0 = TestSerializer.deserialize((['Column 1', 'Column 2'], [['data 1', 'data col 2'], [None, 'data col 2'], ['data 2', 'data col 2'], ['data 3', 'data col 2']]), 'DataFrame')
        arg1 = None
        arg2 = True
        arg3 = 'last'
        # get expected result
        ret_cmp = (TestSerializer.deserialize((['Column 1', 'Column 2'], [['data 1', 'data col 2'], ['data 2', 'data col 2'], ['data 3', 'data col 2'], [None, 'data col 2']]), 'DataFrame'), [TestSerializer.deserialize((['Column 1', 'Column 2'], [['data 1', 'data col 2'], [None, 'data col 2'], ['data 2', 'data col 2'], ['data 3', 'data col 2']]), 'DataFrame')])
        # evaluate function
        ret = xl_sort_by(arg0, arg1, arg2, arg3)
        # compare expected an result
        self.assertEqual(TestSerializer.serialize(ret_cmp), TestSerializer.serialize(ret))
    def test_xl_sort_by13(self):
        # get arguments
        arg0 = TestSerializer.deserialize((['Column 1', 'Column 2'], [['data 1', 'data col 2'], [None, 'data col 2'], ['data 2', 'data col 2'], ['data 3', 'data col 2']]), 'DataFrame')
        arg1 = None
        arg2 = True
        arg3 = 'first'
        # get expected result
        ret_cmp = (TestSerializer.deserialize((['Column 1', 'Column 2'], [[None, 'data col 2'], ['data 1', 'data col 2'], ['data 2', 'data col 2'], ['data 3', 'data col 2']]), 'DataFrame'), [TestSerializer.deserialize((['Column 1', 'Column 2'], [['data 1', 'data col 2'], [None, 'data col 2'], ['data 2', 'data col 2'], ['data 3', 'data col 2']]), 'DataFrame')])
        # evaluate function
        ret = xl_sort_by(arg0, arg1, arg2, arg3)
        # compare expected an result
        self.assertEqual(TestSerializer.serialize(ret_cmp), TestSerializer.serialize(ret))
if __name__ == '__main__':
    unittest.main()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</si>
</sst>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workbookViewId="0">
      <selection activeCell="A2" sqref="A2"/>
    </sheetView>
  </sheetViews>
  <sheetFormatPr baseColWidth="10" defaultColWidth="11" defaultRowHeight="15.75" x14ac:dyDescent="0.25"/>
  <cols>
    <col min="1" max="1" width="29" bestFit="1" customWidth="1"/>
    <col min="2" max="2" width="24.625" bestFit="1" customWidth="1"/>
    <col min="3" max="3" width="11.125" bestFit="1" customWidth="1"/>
    <col min="4" max="4" width="46.75" bestFit="1" customWidth="1"/>
    <col min="5" max="5" width="23.625" bestFit="1" customWidth="1"/>
    <col min="7" max="7" width="77.25" bestFit="1" customWidth="1"/>
    <col min="8" max="8" width="14.125" bestFit="1" customWidth="1"/>
    <col min="9" max="9" width="23" bestFit="1" customWidth="1"/>
    <col min="10" max="10" width="3.625" bestFit="1" customWidth="1"/>
    <col min="11" max="11" width="44.75" bestFit="1" customWidth="1"/>
    <col min="12" max="12" width="21.125" bestFit="1" customWidth="1"/>
    <col min="13" max="13" width="8.25" bestFit="1" customWidth="1"/>
  </cols>
  <sheetData>
    <row r="1" spans="1:13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</row>
    <row r="2" spans="1:13" x14ac:dyDescent="0.25">
      <c r="A2" s="4" t="s">
        <v>25</v>
      </c>
      <c r="B2" s="4" t="s">
        <v>26</v>
      </c>
      <c r="C2" s="4" t="s">
        <v>27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32</v>
      </c>
      <c r="I2" s="4" t="s">
        <v>33</v>
      </c>
      <c r="J2" s="4" t="s">
        <v>34</v>
      </c>
      <c r="K2" s="4" t="s">
        <v>35</v>
      </c>
      <c r="L2" s="4" t="s">
        <v>36</v>
      </c>
      <c r="M2" s="4">
        <v>18910</v>
      </c>
    </row>
    <row r="3" spans="1:13" x14ac:dyDescent="0.25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4" t="s">
        <v>43</v>
      </c>
      <c r="H3" s="4" t="s">
        <v>44</v>
      </c>
      <c r="I3" s="4" t="s">
        <v>45</v>
      </c>
      <c r="J3" s="4" t="s">
        <v>34</v>
      </c>
      <c r="K3" s="4" t="s">
        <v>46</v>
      </c>
      <c r="L3" s="4" t="s">
        <v>47</v>
      </c>
      <c r="M3" s="4">
        <v>40859</v>
      </c>
    </row>
    <row r="4" spans="1:13" x14ac:dyDescent="0.25">
      <c r="A4" s="4" t="s">
        <v>48</v>
      </c>
      <c r="B4" s="4" t="s">
        <v>49</v>
      </c>
      <c r="C4" s="4" t="s">
        <v>50</v>
      </c>
      <c r="D4" s="4" t="s">
        <v>51</v>
      </c>
      <c r="E4" s="4" t="s">
        <v>52</v>
      </c>
      <c r="F4" s="4" t="s">
        <v>53</v>
      </c>
      <c r="G4" s="4" t="s">
        <v>54</v>
      </c>
      <c r="H4" s="4" t="s">
        <v>55</v>
      </c>
      <c r="I4" s="4" t="s">
        <v>56</v>
      </c>
      <c r="J4" s="4" t="s">
        <v>57</v>
      </c>
      <c r="K4" s="4" t="s">
        <v>58</v>
      </c>
      <c r="L4" s="4" t="s">
        <v>59</v>
      </c>
      <c r="M4" s="4">
        <v>24169</v>
      </c>
    </row>
    <row r="5" spans="1:13" x14ac:dyDescent="0.25">
      <c r="A5" s="4" t="s">
        <v>60</v>
      </c>
      <c r="B5" s="4" t="s">
        <v>61</v>
      </c>
      <c r="C5" s="4" t="s">
        <v>62</v>
      </c>
      <c r="D5" s="4" t="s">
        <v>63</v>
      </c>
      <c r="E5" s="4" t="s">
        <v>64</v>
      </c>
      <c r="F5" s="4" t="s">
        <v>65</v>
      </c>
      <c r="G5" s="4" t="s">
        <v>66</v>
      </c>
      <c r="H5" s="4" t="s">
        <v>67</v>
      </c>
      <c r="I5" s="4" t="s">
        <v>68</v>
      </c>
      <c r="J5" s="4" t="s">
        <v>34</v>
      </c>
      <c r="K5" s="4" t="s">
        <v>69</v>
      </c>
      <c r="L5" s="4" t="s">
        <v>70</v>
      </c>
      <c r="M5" s="4">
        <v>40954</v>
      </c>
    </row>
  </sheetData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6"/>
  <sheetViews>
    <sheetView tabSelected="1" topLeftCell="A10" workbookViewId="0">
      <selection activeCell="F16" sqref="F16"/>
    </sheetView>
  </sheetViews>
  <sheetFormatPr baseColWidth="10" defaultRowHeight="15.75" x14ac:dyDescent="0.25"/>
  <sheetData>
    <row r="1" spans="1:13" x14ac:dyDescent="0.25">
      <c r="A1" t="str">
        <f t="array" ref="A1:M5">xl_sort_by(data!A:M)</f>
        <v>job</v>
      </c>
      <c r="B1" t="str">
        <v>company</v>
      </c>
      <c r="C1" t="str">
        <v>ssn</v>
      </c>
      <c r="D1" t="str">
        <v>residence</v>
      </c>
      <c r="E1" t="str">
        <v>current_location</v>
      </c>
      <c r="F1" t="str">
        <v>blood_group</v>
      </c>
      <c r="G1" t="str">
        <v>website</v>
      </c>
      <c r="H1" t="str">
        <v>username</v>
      </c>
      <c r="I1" t="str">
        <v>name</v>
      </c>
      <c r="J1" t="str">
        <v>sex</v>
      </c>
      <c r="K1" t="str">
        <v>address</v>
      </c>
      <c r="L1" t="str">
        <v>mail</v>
      </c>
      <c r="M1" t="str">
        <v>birthdate</v>
      </c>
    </row>
    <row r="2" spans="1:13" x14ac:dyDescent="0.25">
      <c r="A2" t="str">
        <v>Domoticien</v>
      </c>
      <c r="B2" t="str">
        <v>Charles S.A.R.L.</v>
      </c>
      <c r="C2" t="str">
        <v>601-32-6521</v>
      </c>
      <c r="D2" t="str">
        <v>66, rue de Masse
97936 Delaunay</v>
      </c>
      <c r="E2" t="str">
        <v>('-2.832681', '-99.509790')</v>
      </c>
      <c r="F2" t="str">
        <v>A-</v>
      </c>
      <c r="G2" t="str">
        <v>['https://chauvin.com/', 'https://www.toussaint.fr/']</v>
      </c>
      <c r="H2" t="str">
        <v>ahoareau</v>
      </c>
      <c r="I2" t="str">
        <v>Émilie de Faure</v>
      </c>
      <c r="J2" t="str">
        <v>F</v>
      </c>
      <c r="K2" t="str">
        <v>302, boulevard de Laurent
03117 Bruneldan</v>
      </c>
      <c r="L2" t="str">
        <v>margauxpetit@live.com</v>
      </c>
      <c r="M2">
        <v>24169</v>
      </c>
    </row>
    <row r="3" spans="1:13" x14ac:dyDescent="0.25">
      <c r="A3" t="str">
        <v>Engineer, automotive</v>
      </c>
      <c r="B3" t="str">
        <v>Font Inc</v>
      </c>
      <c r="C3" t="str">
        <v>558-10-8908</v>
      </c>
      <c r="D3" t="str">
        <v>Calle de Aitana Hoz 74
Toledo, 28554</v>
      </c>
      <c r="E3" t="str">
        <v>('-6.020216', '-130.454104')</v>
      </c>
      <c r="F3" t="str">
        <v>AB+</v>
      </c>
      <c r="G3" t="str">
        <v>['https://www.valentin-hidalgo.org/']</v>
      </c>
      <c r="H3" t="str">
        <v>peralesconsuela</v>
      </c>
      <c r="I3" t="str">
        <v>Godofredo Casas Camacho</v>
      </c>
      <c r="J3" t="str">
        <v>M</v>
      </c>
      <c r="K3" t="str">
        <v>Paseo Salomé Vergara 51 Apt. 20 
Guadalajara, 51555</v>
      </c>
      <c r="L3" t="str">
        <v>petrona33@hotmail.com</v>
      </c>
      <c r="M3">
        <v>40859</v>
      </c>
    </row>
    <row r="4" spans="1:13" x14ac:dyDescent="0.25">
      <c r="A4" t="str">
        <v>Patent attorney</v>
      </c>
      <c r="B4" t="str">
        <v>Anderson, Rivera and Shaffer</v>
      </c>
      <c r="C4" t="str">
        <v>521-15-1313</v>
      </c>
      <c r="D4" t="str">
        <v>921 Francis Estate Apt. 373
Lake Jessicaville, TX 80346</v>
      </c>
      <c r="E4" t="str">
        <v>('82.603046', '-87.345006')</v>
      </c>
      <c r="F4" t="str">
        <v>O-</v>
      </c>
      <c r="G4" t="str">
        <v>['https://www.campbell.org/', 'https://stewart.com/', 'https://www.oliver-mccullough.com/']</v>
      </c>
      <c r="H4" t="str">
        <v>anthony37</v>
      </c>
      <c r="I4" t="str">
        <v>Richard Brown</v>
      </c>
      <c r="J4" t="str">
        <v>M</v>
      </c>
      <c r="K4" t="str">
        <v>06914 Shannon Ramp
Lake Adrian, NJ 74012</v>
      </c>
      <c r="L4" t="str">
        <v>steelelisa@yahoo.com</v>
      </c>
      <c r="M4">
        <v>18910</v>
      </c>
    </row>
    <row r="5" spans="1:13" x14ac:dyDescent="0.25">
      <c r="A5" t="str">
        <v>Technicien des industries du verre</v>
      </c>
      <c r="B5" t="str">
        <v>Petitjean</v>
      </c>
      <c r="C5" t="str">
        <v>601-97-4157</v>
      </c>
      <c r="D5" t="str">
        <v>76, boulevard Alice Millet
01441 Bigot</v>
      </c>
      <c r="E5" t="str">
        <v>('0.6079185', '-2.943182')</v>
      </c>
      <c r="F5" t="str">
        <v>B+</v>
      </c>
      <c r="G5" t="str">
        <v>['https://www.duval.com/']</v>
      </c>
      <c r="H5" t="str">
        <v>nicolasda-costa</v>
      </c>
      <c r="I5" t="str">
        <v>Auguste Potier</v>
      </c>
      <c r="J5" t="str">
        <v>M</v>
      </c>
      <c r="K5" t="str">
        <v>avenue de Guillot
27068 Sainte Carolineboeuf</v>
      </c>
      <c r="L5" t="str">
        <v>vboulanger@free.fr</v>
      </c>
      <c r="M5">
        <v>40954</v>
      </c>
    </row>
    <row r="14" spans="1:13" x14ac:dyDescent="0.25">
      <c r="F14" t="str">
        <f>xf_print_unittest()</f>
        <v>tests available to print: xl_sort_by, xl_expand_table</v>
      </c>
    </row>
    <row r="15" spans="1:13" x14ac:dyDescent="0.25">
      <c r="F15" t="str">
        <f>xf_print_unittest("xl_sort_by")</f>
        <v xml:space="preserve">
import unittest
from core import UnitTestCreator
from core import TestSerializer
from core import debug
from excel_enhancer import xl_sort_by
debug.testing = True
class MyTestForXlSortBy(unittest.TestCase):
    def test_xl_sort_by0(self):
        # get arguments
        arg0 = TestSerializer.deserialize((['job'], [['Patent attorney'], ['Engineer, automotive'], ['Domoticien'], ['Technicien des industries du verre']]), 'DataFrame')
        arg1 = 'job'
        arg2 = True
        arg3 = 'first'
        # get expected result
        ret_cmp = (TestSerializer.deserialize((['job'], [['Domoticien'], ['Engineer, automotive'], ['Patent attorney'], ['Technicien des industries du verre']]), 'DataFrame'), [TestSerializer.deserialize((['job'], [['Patent attorney'], ['Engineer, automotive'], ['Domoticien'], ['Technicien des industries du verre']]), 'DataFrame')])
        # evaluate function
        ret = xl_sort_by(arg0, arg1, arg2, arg3)
        # compare expected an result
        self.assertEqual(TestSerializer.serialize(ret_cmp), TestSerializer.serialize(ret))
    def test_xl_sort_by1(self):
        # get arguments
        arg0 = TestSerializer.deserialize((['job', 'company'], [['Patent attorney', 'Anderson, Rivera and Shaffer'], ['Engineer, automotive', 'Font Inc'], ['Domoticien', 'Charles S.A.R.L.'], ['Technicien des industries du verre', 'Petitjean']]), 'DataFrame')
        arg1 = 'job'
        arg2 = True
        arg3 = 'first'
        # get expected result
        ret_cmp = (TestSerializer.deserialize((['job', 'company'], [['Domoticien', 'Charles S.A.R.L.'], ['Engineer, automotive', 'Font Inc'], ['Patent attorney', 'Anderson, Rivera and Shaffer'], ['Technicien des industries du verre', 'Petitjean']]), 'DataFrame'), [TestSerializer.deserialize((['job', 'company'], [['Patent attorney', 'Anderson, Rivera and Shaffer'], ['Engineer, automotive', 'Font Inc'], ['Domoticien', 'Charles S.A.R.L.'], ['Technicien des industries du verre', 'Petitjean']]), 'DataFrame')])
        # evaluate function
        ret = xl_sort_by(arg0, arg1, arg2, arg3)
        # compare expected an result
        self.assertEqual(TestSerializer.serialize(ret_cmp), TestSerializer.serialize(ret))
    def test_xl_sort_by2(self):
        # get arguments
        arg0 = TestSerializer.deserialize((['job', 'company'], [['Patent attorney', 'Anderson, Rivera and Shaffer'], ['Engineer, automotive', 'Font Inc'], ['Domoticien', 'Charles S.A.R.L.'], ['Technicien des industries du verre', 'Petitjean']]), 'DataFrame')
        arg1 = None
        arg2 = True
        arg3 = 'first'
        # get expected result
        ret_cmp = (TestSerializer.deserialize((['job', 'company'], [['Domoticien', 'Charles S.A.R.L.'], ['Engineer, automotive', 'Font Inc'], ['Patent attorney', 'Anderson, Rivera and Shaffer'], ['Technicien des industries du verre', 'Petitjean']]), 'DataFrame'), [TestSerializer.deserialize((['job', 'company'], [['Patent attorney', 'Anderson, Rivera and Shaffer'], ['Engineer, automotive', 'Font Inc'], ['Domoticien', 'Charles S.A.R.L.'], ['Technicien des industries du verre', 'Petitjean']]), 'DataFrame')])
        # evaluate function
        ret = xl_sort_by(arg0, arg1, arg2, arg3)
        # compare expected an result
        self.assertEqual(TestSerializer.serialize(ret_cmp), TestSerializer.serialize(ret))
    def test_xl_sort_by3(self):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True
        arg3 = 'first'
        # get expected result
        ret_cmp = (TestSerializer.deserialize((['job', 'company', 'ssn', 'residence', 'current_location', 'blood_group', 'website', 'username', 'name', 'sex', 'address', 'mail', 'birthdate'], [['Domoticien',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test_xl_sort_by4(self):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False
        arg3 = 'first'
        # get expected result
        ret_cmp = (TestSerializer.deserialize((['job', 'company', 'ssn', 'residence', 'current_location', 'blood_group', 'website', 'username', 'name', 'sex', 'address', 'mail', 'birthdate'], [['Technicien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test_xl_sort_by5(self):
        # get arguments
        arg0 = 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
        arg1 = None
        arg2 = True
        arg3 = 'last'
        # get expected result
        ret_cmp = (TestSerializer.deserialize((['job', 'company', 'ssn', 'residence', 'current_location', 'blood_group', 'website', 'username', 'name', 'sex', 'address', 'mail', 'birthdate'], [['Domoticien',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'DataFrame'), [TestSerializer.deserialize((['job', 'company', 'ssn', 'residence', 'current_location', 'blood_group', 'website', 'username', 'name', 'sex', 'address', 'mail', 'birthdate'], [['Patent attorney', 'Anderson, Rivera and Shaffer', '521-15-1313', '921 Francis Estate Apt. 373\nLake Jessicaville, TX 80346', "('82.603046', '-87.345006')", 'O-', "['https://www.campbell.org/', 'https://stewart.com/', 'https://www.oliver-mccullough.com/']", 'anthony37', 'Richard Brown', 'M', '06914 Shannon Ramp\nLake Adrian, NJ 74012', 'steelelisa@yahoo.com', 18910.0], ['Engineer, automotive', 'Font Inc', '558-10-8908', 'Calle de Aitana Hoz 74\nToledo, 28554', "('-6.020216', '-130.454104')", 'AB+', "['https://www.valentin-hidalgo.org/']", 'peralesconsuela', 'Godofredo Casas Camacho', 'M', 'Paseo Salomé Vergara 51 Apt. 20 \nGuadalajara, 51555', 'petrona33@hotmail.com', 40859.0], ['Domoticien', 'Charles S.A.R.L.', '601-32-6521', '66, rue de Masse\n97936 Delaunay', "('-2.832681', '-99.509790')", 'A-', "['https://chauvin.com/', 'https://www.toussaint.fr/']", 'ahoareau', 'Émilie de Faure', 'F', '302, boulevard de Laurent\n03117 Bruneldan', 'margauxpetit@live.com', 24169.0], ['Technicien des industries du verre', 'Petitjean', '601-97-4157', '76, boulevard Alice Millet\n01441 Bigot', "('0.6079185', '-2.943182')", 'B+', "['https://www.duval.com/']", 'nicolasda-costa', 'Auguste Potier', 'M', 'avenue de Guillot\n27068 Sainte Carolineboeuf', 'vboulanger@free.fr', 40954.0]]), 'DataFrame')])
        # evaluate function
        ret = xl_sort_by(arg0, arg1, arg2, arg3)
        # compare expected an result
        self.assertEqual(TestSerializer.serialize(ret_cmp), TestSerializer.serialize(ret))
    def test_xl_sort_by6(self):
        # get arguments
        arg0 = TestSerializer.deserialize((['Column 1', 'Column 2'], []), 'DataFrame')
        arg1 = None
        arg2 = True
        arg3 = 'last'
        # get expected result
        ret_cmp = (TestSerializer.deserialize((['Column 1', 'Column 2'], []), 'DataFrame'), [TestSerializer.deserialize((['Column 1', 'Column 2'], []), 'DataFrame')])
        # evaluate function
        ret = xl_sort_by(arg0, arg1, arg2, arg3)
        # compare expected an result
        self.assertEqual(TestSerializer.serialize(ret_cmp), TestSerializer.serialize(ret))
    def test_xl_sort_by7(self):
        # get arguments
        arg0 = TestSerializer.deserialize((['Column 1', 'Column 2'], [['data 1', None]]), 'DataFrame')
        arg1 = None
        arg2 = True
        arg3 = 'last'
        # get expected result
        ret_cmp = (TestSerializer.deserialize((['Column 1', 'Column 2'], [['data 1', None]]), 'DataFrame'), [TestSerializer.deserialize((['Column 1', 'Column 2'], [['data 1', None]]), 'DataFrame')])
        # evaluate function
        ret = xl_sort_by(arg0, arg1, arg2, arg3)
        # compare expected an result
        self.assertEqual(TestSerializer.serialize(ret_cmp), TestSerializer.serialize(ret))
    def test_xl_sort_by8(self):
        # get arguments
        arg0 = TestSerializer.deserialize((['Column 1', 'Column 2'], [['data 1', None], [None, None], ['data 2', None]]), 'DataFrame')
        arg1 = None
        arg2 = True
        arg3 = 'last'
        # get expected result
        ret_cmp = (TestSerializer.deserialize((['Column 1', 'Column 2'], [['data 1', None], ['data 2', None], [None, None]]), 'DataFrame'), [TestSerializer.deserialize((['Column 1', 'Column 2'], [['data 1', None], [None, None], ['data 2', None]]), 'DataFrame')])
        # evaluate function
        ret = xl_sort_by(arg0, arg1, arg2, arg3)
        # compare expected an result
        self.assertEqual(TestSerializer.serialize(ret_cmp), TestSerializer.serialize(ret))
    def test_xl_sort_by9(self):
        # get arguments
        arg0 = TestSerializer.deserialize((['Column 1', 'Column 2'], [['data 1', None], [None, None], ['data 2', None], ['data 3', None]]), 'DataFrame')
        arg1 = None
        arg2 = True
        arg3 = 'last'
        # get expected result
        ret_cmp = (TestSerializer.deserialize((['Column 1', 'Column 2'], [['data 1', None], ['data 2', None], ['data 3', None], [None, None]]), 'DataFrame'), [TestSerializer.deserialize((['Column 1', 'Column 2'], [['data 1', None], [None, None],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test_xl_sort_by10(self):
        # get arguments
        arg0 = TestSerializer.deserialize((['Column 1', 'Column 2'], [['data 1', 'data col 2'], [None, None], ['data 2', None], ['data 3', None]]), 'DataFrame')
        arg1 = None
        arg2 = True
        arg3 = 'last'
        # get expected result
        ret_cmp = (TestSerializer.deserialize((['Column 1', 'Column 2'], [['data 1', 'data col 2'], ['data 2', None], ['data 3', None], [None, None]]), 'DataFrame'), [TestSerializer.deserialize((['Column 1', 'Column 2'], [['data 1', 'data col 2'], [None, None],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test_xl_sort_by11(self):
        # get arguments
        arg0 = TestSerializer.deserialize((['Column 1', 'Column 2'], [['data 1', 'data col 2'], [None, 'data col 2'], ['data 2', None], ['data 3', None]]), 'DataFrame')
        arg1 = None
        arg2 = True
        arg3 = 'last'
        # get expected result
        ret_cmp = (TestSerializer.deserialize((['Column 1', 'Column 2'], [['data 1', 'data col 2'], ['data 2', None], ['data 3', None], [None, 'data col 2']]), 'DataFrame'), [TestSerializer.deserialize((['Column 1', 'Column 2'], [['data 1', 'data col 2'], [None, 'data col 2'], ['data 2', None], ['data 3', None]]), 'DataFrame')])
        # evaluate function
        ret = xl_sort_by(arg0, arg1, arg2, arg3)
        # compare expected an result
        self.assertEqual(TestSerializer.serialize(ret_cmp), TestSerializer.serialize(ret))
    def test_xl_sort_by12(self):
        # get arguments
        arg0 = TestSerializer.deserialize((['Column 1', 'Column 2'], [['data 1', 'data col 2'], [None, 'data col 2'], ['data 2', 'data col 2'], ['data 3', 'data col 2']]), 'DataFrame')
        arg1 = None
        arg2 = True
        arg3 = 'last'
        # get expected result
        ret_cmp = (TestSerializer.deserialize((['Column 1', 'Column 2'], [['data 1', 'data col 2'], ['data 2', 'data col 2'], ['data 3', 'data col 2'], [None, 'data col 2']]), 'DataFrame'), [TestSerializer.deserialize((['Column 1', 'Column 2'], [['data 1', 'data col 2'], [None, 'data col 2'], ['data 2', 'data col 2'], ['data 3', 'data col 2']]), 'DataFrame')])
        # evaluate function
        ret = xl_sort_by(arg0, arg1, arg2, arg3)
        # compare expected an result
        self.assertEqual(TestSerializer.serialize(ret_cmp), TestSerializer.serialize(ret))
    def test_xl_sort_by13(self):
        # get arguments
        arg0 = TestSerializer.deserialize((['Column 1', 'Column 2'], [['data 1', 'data col 2'], [None, 'data col 2'], ['data 2', 'data col 2'], ['data 3', 'data col 2']]), 'DataFrame')
        arg1 = None
        arg2 = True
        arg3 = 'first'
        # get expected result
        ret_cmp = (TestSerializer.deserialize((['Column 1', 'Column 2'], [[None, 'data col 2'], ['data 1', 'data col 2'], ['data 2', 'data col 2'], ['data 3', 'data col 2']]), 'DataFrame'), [TestSerializer.deserialize((['Column 1', 'Column 2'], [['data 1', 'data col 2'], [None, 'data col 2'], ['data 2', 'data col 2'], ['data 3', 'data col 2']]), 'DataFrame')])
        # evaluate function
        ret = xl_sort_by(arg0, arg1, arg2, arg3)
        # compare expected an result
        self.assertEqual(TestSerializer.serialize(ret_cmp), TestSerializer.serialize(ret))
if __name__ == '__main__':
    unittest.main()
</v>
      </c>
    </row>
    <row r="16" spans="1:13" x14ac:dyDescent="0.25">
      <c r="F16" s="5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"/>
  <sheetViews>
    <sheetView workbookViewId="0">
      <selection activeCell="A2" sqref="A2"/>
    </sheetView>
  </sheetViews>
  <sheetFormatPr baseColWidth="10" defaultRowHeight="15.75" x14ac:dyDescent="0.25"/>
  <sheetData>
    <row r="1" spans="1:13" x14ac:dyDescent="0.25">
      <c r="A1" t="str">
        <f t="array" ref="A1:M5">xl_sort_by(data!A:M,,FALSE)</f>
        <v>job</v>
      </c>
      <c r="B1" t="str">
        <v>company</v>
      </c>
      <c r="C1" t="str">
        <v>ssn</v>
      </c>
      <c r="D1" t="str">
        <v>residence</v>
      </c>
      <c r="E1" t="str">
        <v>current_location</v>
      </c>
      <c r="F1" t="str">
        <v>blood_group</v>
      </c>
      <c r="G1" t="str">
        <v>website</v>
      </c>
      <c r="H1" t="str">
        <v>username</v>
      </c>
      <c r="I1" t="str">
        <v>name</v>
      </c>
      <c r="J1" t="str">
        <v>sex</v>
      </c>
      <c r="K1" t="str">
        <v>address</v>
      </c>
      <c r="L1" t="str">
        <v>mail</v>
      </c>
      <c r="M1" t="str">
        <v>birthdate</v>
      </c>
    </row>
    <row r="2" spans="1:13" x14ac:dyDescent="0.25">
      <c r="A2" t="str">
        <v>Technicien des industries du verre</v>
      </c>
      <c r="B2" t="str">
        <v>Petitjean</v>
      </c>
      <c r="C2" t="str">
        <v>601-97-4157</v>
      </c>
      <c r="D2" t="str">
        <v>76, boulevard Alice Millet
01441 Bigot</v>
      </c>
      <c r="E2" t="str">
        <v>('0.6079185', '-2.943182')</v>
      </c>
      <c r="F2" t="str">
        <v>B+</v>
      </c>
      <c r="G2" t="str">
        <v>['https://www.duval.com/']</v>
      </c>
      <c r="H2" t="str">
        <v>nicolasda-costa</v>
      </c>
      <c r="I2" t="str">
        <v>Auguste Potier</v>
      </c>
      <c r="J2" t="str">
        <v>M</v>
      </c>
      <c r="K2" t="str">
        <v>avenue de Guillot
27068 Sainte Carolineboeuf</v>
      </c>
      <c r="L2" t="str">
        <v>vboulanger@free.fr</v>
      </c>
      <c r="M2">
        <v>40954</v>
      </c>
    </row>
    <row r="3" spans="1:13" x14ac:dyDescent="0.25">
      <c r="A3" t="str">
        <v>Patent attorney</v>
      </c>
      <c r="B3" t="str">
        <v>Anderson, Rivera and Shaffer</v>
      </c>
      <c r="C3" t="str">
        <v>521-15-1313</v>
      </c>
      <c r="D3" t="str">
        <v>921 Francis Estate Apt. 373
Lake Jessicaville, TX 80346</v>
      </c>
      <c r="E3" t="str">
        <v>('82.603046', '-87.345006')</v>
      </c>
      <c r="F3" t="str">
        <v>O-</v>
      </c>
      <c r="G3" t="str">
        <v>['https://www.campbell.org/', 'https://stewart.com/', 'https://www.oliver-mccullough.com/']</v>
      </c>
      <c r="H3" t="str">
        <v>anthony37</v>
      </c>
      <c r="I3" t="str">
        <v>Richard Brown</v>
      </c>
      <c r="J3" t="str">
        <v>M</v>
      </c>
      <c r="K3" t="str">
        <v>06914 Shannon Ramp
Lake Adrian, NJ 74012</v>
      </c>
      <c r="L3" t="str">
        <v>steelelisa@yahoo.com</v>
      </c>
      <c r="M3">
        <v>18910</v>
      </c>
    </row>
    <row r="4" spans="1:13" x14ac:dyDescent="0.25">
      <c r="A4" t="str">
        <v>Engineer, automotive</v>
      </c>
      <c r="B4" t="str">
        <v>Font Inc</v>
      </c>
      <c r="C4" t="str">
        <v>558-10-8908</v>
      </c>
      <c r="D4" t="str">
        <v>Calle de Aitana Hoz 74
Toledo, 28554</v>
      </c>
      <c r="E4" t="str">
        <v>('-6.020216', '-130.454104')</v>
      </c>
      <c r="F4" t="str">
        <v>AB+</v>
      </c>
      <c r="G4" t="str">
        <v>['https://www.valentin-hidalgo.org/']</v>
      </c>
      <c r="H4" t="str">
        <v>peralesconsuela</v>
      </c>
      <c r="I4" t="str">
        <v>Godofredo Casas Camacho</v>
      </c>
      <c r="J4" t="str">
        <v>M</v>
      </c>
      <c r="K4" t="str">
        <v>Paseo Salomé Vergara 51 Apt. 20 
Guadalajara, 51555</v>
      </c>
      <c r="L4" t="str">
        <v>petrona33@hotmail.com</v>
      </c>
      <c r="M4">
        <v>40859</v>
      </c>
    </row>
    <row r="5" spans="1:13" x14ac:dyDescent="0.25">
      <c r="A5" t="str">
        <v>Domoticien</v>
      </c>
      <c r="B5" t="str">
        <v>Charles S.A.R.L.</v>
      </c>
      <c r="C5" t="str">
        <v>601-32-6521</v>
      </c>
      <c r="D5" t="str">
        <v>66, rue de Masse
97936 Delaunay</v>
      </c>
      <c r="E5" t="str">
        <v>('-2.832681', '-99.509790')</v>
      </c>
      <c r="F5" t="str">
        <v>A-</v>
      </c>
      <c r="G5" t="str">
        <v>['https://chauvin.com/', 'https://www.toussaint.fr/']</v>
      </c>
      <c r="H5" t="str">
        <v>ahoareau</v>
      </c>
      <c r="I5" t="str">
        <v>Émilie de Faure</v>
      </c>
      <c r="J5" t="str">
        <v>F</v>
      </c>
      <c r="K5" t="str">
        <v>302, boulevard de Laurent
03117 Bruneldan</v>
      </c>
      <c r="L5" t="str">
        <v>margauxpetit@live.com</v>
      </c>
      <c r="M5">
        <v>24169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selection activeCell="J8" sqref="J8"/>
    </sheetView>
  </sheetViews>
  <sheetFormatPr baseColWidth="10" defaultRowHeight="15.75" x14ac:dyDescent="0.25"/>
  <sheetData>
    <row r="1" spans="1:11" x14ac:dyDescent="0.25">
      <c r="A1" t="s">
        <v>71</v>
      </c>
      <c r="B1" t="s">
        <v>72</v>
      </c>
      <c r="D1" t="str">
        <f t="array" ref="D1:E5">xl_sort_by(A:B,,,"last")</f>
        <v>Column 1</v>
      </c>
      <c r="E1" t="str">
        <v>Column 2</v>
      </c>
      <c r="G1" t="str">
        <f t="array" ref="G1:H5">xl_sort_by(A:B,,,"first")</f>
        <v>Column 1</v>
      </c>
      <c r="H1" t="str">
        <v>Column 2</v>
      </c>
      <c r="J1" t="str">
        <f t="array" ref="J1:K5">xl_sort_by(A:B)</f>
        <v>Column 1</v>
      </c>
      <c r="K1" t="str">
        <v>Column 2</v>
      </c>
    </row>
    <row r="2" spans="1:11" x14ac:dyDescent="0.25">
      <c r="A2" t="s">
        <v>73</v>
      </c>
      <c r="B2" t="s">
        <v>76</v>
      </c>
      <c r="D2" t="str">
        <v>data 1</v>
      </c>
      <c r="E2" t="str">
        <v>data col 2</v>
      </c>
      <c r="G2" t="str">
        <v/>
      </c>
      <c r="H2" t="str">
        <v>data col 2</v>
      </c>
      <c r="J2" t="str">
        <v/>
      </c>
      <c r="K2" t="str">
        <v>data col 2</v>
      </c>
    </row>
    <row r="3" spans="1:11" x14ac:dyDescent="0.25">
      <c r="B3" t="s">
        <v>76</v>
      </c>
      <c r="D3" t="str">
        <v>data 2</v>
      </c>
      <c r="E3" t="str">
        <v>data col 2</v>
      </c>
      <c r="G3" t="str">
        <v>data 1</v>
      </c>
      <c r="H3" t="str">
        <v>data col 2</v>
      </c>
      <c r="J3" t="str">
        <v>data 1</v>
      </c>
      <c r="K3" t="str">
        <v>data col 2</v>
      </c>
    </row>
    <row r="4" spans="1:11" x14ac:dyDescent="0.25">
      <c r="A4" t="s">
        <v>74</v>
      </c>
      <c r="B4" t="s">
        <v>76</v>
      </c>
      <c r="D4" t="str">
        <v>data 3</v>
      </c>
      <c r="E4" t="str">
        <v>data col 2</v>
      </c>
      <c r="G4" t="str">
        <v>data 2</v>
      </c>
      <c r="H4" t="str">
        <v>data col 2</v>
      </c>
      <c r="J4" t="str">
        <v>data 2</v>
      </c>
      <c r="K4" t="str">
        <v>data col 2</v>
      </c>
    </row>
    <row r="5" spans="1:11" x14ac:dyDescent="0.25">
      <c r="A5" t="s">
        <v>75</v>
      </c>
      <c r="B5" t="s">
        <v>76</v>
      </c>
      <c r="D5" t="str">
        <v/>
      </c>
      <c r="E5" t="str">
        <v>data col 2</v>
      </c>
      <c r="G5" t="str">
        <v>data 3</v>
      </c>
      <c r="H5" t="str">
        <v>data col 2</v>
      </c>
      <c r="J5" t="str">
        <v>data 3</v>
      </c>
      <c r="K5" t="str">
        <v>data col 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C5" sqref="C5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</vt:lpstr>
      <vt:lpstr>Sort all</vt:lpstr>
      <vt:lpstr>Invert sorting</vt:lpstr>
      <vt:lpstr>Null values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2020-10-17T09:38:50Z</dcterms:modified>
</cp:coreProperties>
</file>
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ocuments\MEGAsync\python_projects\PRODUCTS\excel_enhancer\"/>
    </mc:Choice>
  </mc:AlternateContent>
  <bookViews>
    <workbookView xWindow="-5355" yWindow="-21135" windowWidth="38400" windowHeight="21135" tabRatio="736"/>
  </bookViews>
  <sheets>
    <sheet name="Sheet1" sheetId="1" r:id="rId1"/>
    <sheet name="Hoja1" sheetId="7" r:id="rId2"/>
    <sheet name="map_by" sheetId="5" r:id="rId3"/>
    <sheet name="group_by" sheetId="8" r:id="rId4"/>
    <sheet name="select_by" sheetId="3" r:id="rId5"/>
    <sheet name="fit_table" sheetId="9" r:id="rId6"/>
    <sheet name="filter_by" sheetId="6" r:id="rId7"/>
    <sheet name="combinations and permutations" sheetId="10" r:id="rId8"/>
    <sheet name="debug" sheetId="4" r:id="rId9"/>
    <sheet name="xlwings.conf" sheetId="2" r:id="rId10"/>
  </sheets>
  <functionGroups builtInGroupCount="18">
    <functionGroup name="xlwings"/>
  </functionGroups>
  <definedNames>
    <definedName name="_xlnm._FilterDatabase" localSheetId="3" hidden="1">group_by!$A$2:$I$345</definedName>
    <definedName name="_xlnm._FilterDatabase" localSheetId="4" hidden="1">select_by!$A$1:$H$344</definedName>
    <definedName name="_xlnm._FilterDatabase" localSheetId="0" hidden="1">Sheet1!$A$1:$S$5088</definedName>
  </definedNames>
  <calcPr calcId="162913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apply_b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rrel2">
          <x14:argumentDescriptions count="1">
            <x14:argumentDescription index="0">Positional argument 1</x14:argumentDescription>
          </x14:argumentDescriptions>
        </x14:definedName>
        <x14:definedName name="del_watcher_address">
          <x14:argumentDescriptions count="1">
            <x14:argumentDescription index="0">Positional argument 1</x14:argumentDescription>
          </x14:argumentDescriptions>
        </x14:definedName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pander">
          <x14:argumentDescriptions count="1">
            <x14:argumentDescription index="0">Positional argument 1</x14:argumentDescription>
          </x14:argumentDescriptions>
        </x14:definedName>
        <x14:definedName name="filter_by">
          <x14:argumentDescriptions count="1">
            <x14:argumentDescription index="0">Positional argument 1</x14:argumentDescription>
          </x14:argumentDescriptions>
        </x14:definedName>
        <x14:definedName name="get_caller_address">
          <x14:argumentDescriptions count="1">
            <x14:argumentDescription index="0">Application</x14:argumentDescription>
          </x14:argumentDescriptions>
        </x14:definedName>
        <x14:definedName name="group_by">
          <x14:argumentDescriptions count="5">
            <x14:argumentDescription index="0">table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group_by2">
          <x14:argumentDescriptions count="5">
            <x14:argumentDescription index="0">table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ap_b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rix_mul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lect_b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et_watcher_address">
          <x14:argumentDescriptions count="1">
            <x14:argumentDescription index="0">Watcher name</x14:argumentDescription>
          </x14:argumentDescriptions>
        </x14:definedName>
        <x14:definedName name="sort_b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test_data">
          <x14:argumentDescriptions count="1">
            <x14:argumentDescription index="0">Positional argument 1</x14:argumentDescription>
          </x14:argumentDescriptions>
        </x14:definedName>
        <x14:definedName name="xf_collect_unittest">
          <x14:argumentDescriptions count="1">
            <x14:argumentDescription index="0">True to start collection. False to stop collection</x14:argumentDescription>
          </x14:argumentDescriptions>
        </x14:definedName>
        <x14:definedName name="xf_delete_library">
          <x14:argumentDescriptions count="1">
            <x14:argumentDescription index="0">path or name of library to load</x14:argumentDescription>
          </x14:argumentDescriptions>
        </x14:definedName>
        <x14:definedName name="xf_delete_unittest">
          <x14:argumentDescriptions count="1">
            <x14:argumentDescription index="0">unittest name to delete. '*' to delete all</x14:argumentDescription>
          </x14:argumentDescriptions>
        </x14:definedName>
        <x14:definedName name="xf_evaluate">
          <x14:argumentDescriptions count="1">
            <x14:argumentDescription index="0">excel array to be interpreted</x14:argumentDescription>
          </x14:argumentDescriptions>
        </x14:definedName>
        <x14:definedName name="xf_fit_table">
          <x14:argumentDescriptions count="1">
            <x14:argumentDescription index="0">Positional argument 1</x14:argumentDescription>
          </x14:argumentDescriptions>
        </x14:definedName>
        <x14:definedName name="xf_load_library">
          <x14:argumentDescriptions count="1">
            <x14:argumentDescription index="0">path or name of library to load</x14:argumentDescription>
          </x14:argumentDescriptions>
        </x14:definedName>
        <x14:definedName name="xf_make_array">
          <x14:argumentDescriptions count="1">
            <x14:argumentDescription index="0">cells to be converted to array</x14:argumentDescription>
          </x14:argumentDescriptions>
        </x14:definedName>
        <x14:definedName name="xf_permutations">
          <x14:argumentDescriptions count="3">
            <x14:argumentDescription index="0">columns of data to permute (orderly)</x14:argumentDescription>
            <x14:argumentDescription index="1">True to treat first row as headers else as data</x14:argumentDescription>
            <x14:argumentDescription index="2">True to treat empty data has a permutation candidate</x14:argumentDescription>
          </x14:argumentDescriptions>
        </x14:definedName>
        <x14:definedName name="xf_print_unittest">
          <x14:argumentDescriptions count="1">
            <x14:argumentDescription index="0">unittest to get and print. '*' to print all</x14:argumentDescription>
          </x14:argumentDescriptions>
        </x14:definedName>
        <x14:definedName name="xf_search_web_nit">
          <x14:argumentDescriptions count="3">
            <x14:argumentDescription index="0">value to find similar in vector</x14:argumentDescription>
            <x14:argumentDescription index="1">value to find similar in vector</x14:argumentDescription>
            <x14:argumentDescription index="2">value to find similar in vector</x14:argumentDescription>
          </x14:argumentDescriptions>
        </x14:definedName>
        <x14:definedName name="xf_set_watcher">
          <x14:argumentDescriptions count="2">
            <x14:argumentDescription index="0">Watcher name</x14:argumentDescription>
            <x14:argumentDescription index="1">options to pass to the specific watcher</x14:argumentDescription>
          </x14:argumentDescriptions>
        </x14:definedName>
        <x14:definedName name="xf_show_formula">
          <x14:argumentDescriptions count="1">
            <x14:argumentDescription index="0">formula to show</x14:argumentDescription>
          </x14:argumentDescriptions>
        </x14:definedName>
        <x14:definedName name="xf_test_data">
          <x14:argumentDescriptions count="1">
            <x14:argumentDescription index="0">Positional argument 1</x14:argumentDescription>
          </x14:argumentDescriptions>
        </x14:definedName>
        <x14:definedName name="xl_apply_by">
          <x14:argumentDescriptions count="3">
            <x14:argumentDescription index="0">selected table or cell to expand</x14:argumentDescription>
            <x14:argumentDescription index="1">column name to apply expresion to</x14:argumentDescription>
            <x14:argumentDescription index="2">expression to evaluate</x14:argumentDescription>
          </x14:argumentDescriptions>
        </x14:definedName>
        <x14:definedName name="xl_combinations">
          <x14:argumentDescriptions count="3">
            <x14:argumentDescription index="0">table to apply combinations (randomly) in rows</x14:argumentDescription>
            <x14:argumentDescription index="1">specific columns to only apply combinations. Use "*" for all.</x14:argumentDescription>
            <x14:argumentDescription index="2">True to treat first row as headers else use in combinations</x14:argumentDescription>
          </x14:argumentDescriptions>
        </x14:definedName>
        <x14:definedName name="xl_concat">
          <x14:argumentDescriptions count="3">
            <x14:argumentDescription index="0">selected table 1</x14:argumentDescription>
            <x14:argumentDescription index="1">selected table 2</x14:argumentDescription>
            <x14:argumentDescription index="2">axis to apply concatenation</x14:argumentDescription>
          </x14:argumentDescriptions>
        </x14:definedName>
        <x14:definedName name="xl_expand_down">
          <x14:argumentDescriptions count="1">
            <x14:argumentDescription index="0">selected table or cell to expand</x14:argumentDescription>
          </x14:argumentDescriptions>
        </x14:definedName>
        <x14:definedName name="xl_expand_right">
          <x14:argumentDescriptions count="1">
            <x14:argumentDescription index="0">selected table or cell to expand</x14:argumentDescription>
          </x14:argumentDescriptions>
        </x14:definedName>
        <x14:definedName name="xl_expand_table">
          <x14:argumentDescriptions count="1">
            <x14:argumentDescription index="0">selected table or cell to expand</x14:argumentDescription>
          </x14:argumentDescriptions>
        </x14:definedName>
        <x14:definedName name="xl_filter_by">
          <x14:argumentDescriptions count="9">
            <x14:argumentDescription index="0">selected table or cell to expand</x14:argumentDescription>
            <x14:argumentDescription index="1">columns to find values to filter containing rows</x14:argumentDescription>
            <x14:argumentDescription index="2">values that has to be found</x14:argumentDescription>
            <x14:argumentDescription index="3">values that must be ignored</x14:argumentDescription>
            <x14:argumentDescription index="4" xml:space="preserve">filter mode for include and exclude. Both can be specified as {'mode for include';'mode for exclude'}:
0 - "exact" to match exact values
1 - "startswith" to match cells starting with value
2 - "endswith" to match cells ending with value
3 - "contains" to </x14:argumentDescription>
            <x14:argumentDescription index="5">True to ignore Case</x14:argumentDescription>
            <x14:argumentDescription index="6">True to ignore accents in words</x14:argumentDescription>
            <x14:argumentDescription index="7">replacement for Nan values e.g. #N/A</x14:argumentDescription>
            <x14:argumentDescription index="8">True to assume values as regular expression else literal string</x14:argumentDescription>
          </x14:argumentDescriptions>
        </x14:definedName>
        <x14:definedName name="xl_find_similar">
          <x14:argumentDescriptions count="7">
            <x14:argumentDescription index="0">selected values to find similar in matrix</x14:argumentDescription>
            <x14:argumentDescription index="1">value or index in columns of the table to change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1. Use TRUE to fit to data, #N/A or FALSE to print all</x14:argumentDescription>
            <x14:argumentDescription index="4">mode to return values. 0-"value" to return value of found address
1-"address" for found address
2-"row" for the row number
2-"row"
3-"rate" for matching rates
4-"test"
5-"cell-rate"
6-"all" to return all values</x14:argumentDescription>
            <x14:argumentDescription index="5">allow printing headers</x14:argumentDescription>
            <x14:argumentDescription index="6">validation function to determine overall rates and if test matching is successful. use: mean, rmse</x14:argumentDescription>
          </x14:argumentDescriptions>
        </x14:definedName>
        <x14:definedName name="xl_fit_table">
          <x14:argumentDescriptions count="1">
            <x14:argumentDescription index="0">Positional argument 1</x14:argumentDescription>
          </x14:argumentDescriptions>
        </x14:definedName>
        <x14:definedName name="xl_format_by">
          <x14:argumentDescriptions count="4">
            <x14:argumentDescription index="0">selected table or cell to expand</x14:argumentDescription>
            <x14:argumentDescription index="1">template to format values in df</x14:argumentDescription>
            <x14:argumentDescription index="2">True to treat first row as headers else as data</x14:argumentDescription>
            <x14:argumentDescription index="3">action to do with Nan values. #N/A or "ignore"</x14:argumentDescription>
          </x14:argumentDescriptions>
        </x14:definedName>
        <x14:definedName name="xl_group_by">
          <x14:argumentDescriptions count="6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do. E.g. mean, sum, size, count, std, var, sem, describe, first, last, nth, min, max. Additional custom operations are: resume</x14:argumentDescription>
            <x14:argumentDescription index="4">1 - to return normal; 2 - to return only result</x14:argumentDescription>
            <x14:argumentDescription index="5">custom parameters to pass to operation function</x14:argumentDescription>
          </x14:argumentDescriptions>
        </x14:definedName>
        <x14:definedName name="xl_group_by_old">
          <x14:argumentDescriptions count="5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xl_group_by2">
          <x14:argumentDescriptions count="5">
            <x14:argumentDescription index="0">table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xl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l_rename">
          <x14:argumentDescriptions count="4">
            <x14:argumentDescription index="0">selected table or cell to expand</x14:argumentDescription>
            <x14:argumentDescription index="1">value or index in columns of the table to change</x14:argumentDescription>
            <x14:argumentDescription index="2">value to rename to corresponding to in_map</x14:argumentDescription>
            <x14:argumentDescription index="3">"ignore" or "raise" in case where names cannot be renamed. Default "raise"</x14:argumentDescription>
          </x14:argumentDescriptions>
        </x14:definedName>
        <x14:definedName name="xl_select_by">
          <x14:argumentDescriptions count="3">
            <x14:argumentDescription index="0">selected table or cell to expand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l_set_watcher">
          <x14:argumentDescriptions count="2">
            <x14:argumentDescription index="0">Watcher name</x14:argumentDescription>
            <x14:argumentDescription index="1">options to pass to the specific watcher</x14:argumentDescription>
          </x14:argumentDescriptions>
        </x14:definedName>
        <x14:definedName name="xl_sort_by">
          <x14:argumentDescriptions count="4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column name to apply operation</x14:argumentDescription>
          </x14:argumentDescriptions>
        </x14:definedName>
        <x14:definedName name="xlv_apply_expr">
          <x14:argumentDescriptions count="4">
            <x14:argumentDescription index="0">selected table or cell to expand</x14:argumentDescription>
            <x14:argumentDescription index="1">expresion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apply_str">
          <x14:argumentDescriptions count="4">
            <x14:argumentDescription index="0">selected table or cell to expand</x14:argumentDescription>
            <x14:argumentDescription index="1">string operation to evaluate</x14:argumentDescription>
            <x14:argumentDescription index="2">additional arguments</x14:argumentDescription>
            <x14:argumentDescription index="3">True to treat first row as headers else as data</x14:argumentDescription>
          </x14:argumentDescriptions>
        </x14:definedName>
        <x14:definedName name="xlv_map_by">
          <x14:argumentDescriptions count="6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True to treat first row as headers else as data</x14:argumentDescription>
            <x14:argumentDescription index="4">True to keep original data if not in mapping else #N/A</x14:argumentDescription>
            <x14:argumentDescription index="5">action to do with Nan values. #N/A or "ignore"</x14:argumentDescription>
          </x14:argumentDescriptions>
        </x14:definedName>
        <x14:definedName name="xv_concat_h">
          <x14:argumentDescriptions count="1">
            <x14:argumentDescription index="0">Positional argument 1Positional argument 1</x14:argumentDescription>
          </x14:argumentDescriptions>
        </x14:definedName>
        <x14:definedName name="xv_concat_v">
          <x14:argumentDescriptions count="1">
            <x14:argumentDescription index="0">Positional argument 1Positional argument 1</x14:argumentDescription>
          </x14:argumentDescriptions>
        </x14:definedName>
        <x14:definedName name="xv_find_similar">
          <x14:argumentDescriptions count="5">
            <x14:argumentDescription index="0">value to find similar in vector</x14:argumentDescription>
            <x14:argumentDescription index="1">vector to find value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</x14:argumentDescription>
            <x14:argumentDescription index="4">mode to return values. 0-"value" to return value of found address
1-"address" for found address
2-"row" for the row number
3-"rate" for matching rates
4-"test"
5-"all" to return all values</x14:argumentDescription>
          </x14:argumentDescriptions>
        </x14:definedName>
        <x14:definedName name="xv_index">
          <x14:argumentDescriptions count="3">
            <x14:argumentDescription index="0">selected range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v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v_normalize_accents">
          <x14:argumentDescriptions count="1">
            <x14:argumentDescription index="0">selected data to normalize</x14:argumentDescription>
          </x14:argumentDescriptions>
        </x14:definedName>
        <x14:definedName name="xv_normalize_to_string">
          <x14:argumentDescriptions count="1">
            <x14:argumentDescription index="0">selected data to normalize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V3" i="1" l="1"/>
  <c r="U2" i="1"/>
  <c r="U4" i="1" a="1"/>
  <c r="U4" i="1" l="1"/>
  <c r="U3" i="1" l="1"/>
  <c r="D3" i="7" l="1"/>
  <c r="D4" i="7"/>
  <c r="D5" i="7"/>
  <c r="D6" i="7"/>
  <c r="D2" i="7"/>
  <c r="T1" i="1" a="1"/>
  <c r="S1" i="1" a="1"/>
  <c r="I2" i="8" a="1"/>
  <c r="A2" i="8" a="1"/>
  <c r="G18" i="6" a="1"/>
  <c r="G1" i="6" a="1"/>
  <c r="D18" i="6" a="1"/>
  <c r="J2" i="10" a="1"/>
  <c r="P2" i="10" a="1"/>
  <c r="L2" i="8" a="1"/>
  <c r="G2" i="10" a="1"/>
  <c r="R8" i="10" a="1"/>
  <c r="P8" i="10" a="1"/>
  <c r="D2" i="10" a="1"/>
  <c r="M2" i="10" a="1"/>
  <c r="J2" i="9"/>
  <c r="J3" i="9"/>
  <c r="J7" i="9"/>
  <c r="D2" i="9" a="1"/>
  <c r="D1" i="6" a="1"/>
  <c r="G2" i="9" a="1"/>
  <c r="T1" i="1" l="1"/>
  <c r="T13" i="1"/>
  <c r="T25" i="1"/>
  <c r="T37" i="1"/>
  <c r="T49" i="1"/>
  <c r="T61" i="1"/>
  <c r="T73" i="1"/>
  <c r="T85" i="1"/>
  <c r="T97" i="1"/>
  <c r="T109" i="1"/>
  <c r="T121" i="1"/>
  <c r="T133" i="1"/>
  <c r="T145" i="1"/>
  <c r="T157" i="1"/>
  <c r="T169" i="1"/>
  <c r="T181" i="1"/>
  <c r="T193" i="1"/>
  <c r="T205" i="1"/>
  <c r="T217" i="1"/>
  <c r="T229" i="1"/>
  <c r="T241" i="1"/>
  <c r="T253" i="1"/>
  <c r="T265" i="1"/>
  <c r="T277" i="1"/>
  <c r="T289" i="1"/>
  <c r="T301" i="1"/>
  <c r="T313" i="1"/>
  <c r="T2" i="1"/>
  <c r="T14" i="1"/>
  <c r="T26" i="1"/>
  <c r="T38" i="1"/>
  <c r="T50" i="1"/>
  <c r="T62" i="1"/>
  <c r="T74" i="1"/>
  <c r="T86" i="1"/>
  <c r="T98" i="1"/>
  <c r="T110" i="1"/>
  <c r="T122" i="1"/>
  <c r="T134" i="1"/>
  <c r="T146" i="1"/>
  <c r="T158" i="1"/>
  <c r="T170" i="1"/>
  <c r="T182" i="1"/>
  <c r="T194" i="1"/>
  <c r="T206" i="1"/>
  <c r="T218" i="1"/>
  <c r="T230" i="1"/>
  <c r="T242" i="1"/>
  <c r="T254" i="1"/>
  <c r="T266" i="1"/>
  <c r="T278" i="1"/>
  <c r="T290" i="1"/>
  <c r="T302" i="1"/>
  <c r="T314" i="1"/>
  <c r="T326" i="1"/>
  <c r="T338" i="1"/>
  <c r="T350" i="1"/>
  <c r="T362" i="1"/>
  <c r="T374" i="1"/>
  <c r="T386" i="1"/>
  <c r="T398" i="1"/>
  <c r="T410" i="1"/>
  <c r="T422" i="1"/>
  <c r="T434" i="1"/>
  <c r="T446" i="1"/>
  <c r="T458" i="1"/>
  <c r="T470" i="1"/>
  <c r="T482" i="1"/>
  <c r="T494" i="1"/>
  <c r="T506" i="1"/>
  <c r="T518" i="1"/>
  <c r="T530" i="1"/>
  <c r="T542" i="1"/>
  <c r="T554" i="1"/>
  <c r="T566" i="1"/>
  <c r="T578" i="1"/>
  <c r="T590" i="1"/>
  <c r="T602" i="1"/>
  <c r="T614" i="1"/>
  <c r="T626" i="1"/>
  <c r="T638" i="1"/>
  <c r="T650" i="1"/>
  <c r="T662" i="1"/>
  <c r="T674" i="1"/>
  <c r="T686" i="1"/>
  <c r="T698" i="1"/>
  <c r="T710" i="1"/>
  <c r="T722" i="1"/>
  <c r="T734" i="1"/>
  <c r="T746" i="1"/>
  <c r="T758" i="1"/>
  <c r="T770" i="1"/>
  <c r="T782" i="1"/>
  <c r="T794" i="1"/>
  <c r="T806" i="1"/>
  <c r="T818" i="1"/>
  <c r="T830" i="1"/>
  <c r="T842" i="1"/>
  <c r="T854" i="1"/>
  <c r="T866" i="1"/>
  <c r="T878" i="1"/>
  <c r="T890" i="1"/>
  <c r="T902" i="1"/>
  <c r="T914" i="1"/>
  <c r="T926" i="1"/>
  <c r="T938" i="1"/>
  <c r="T950" i="1"/>
  <c r="T962" i="1"/>
  <c r="T974" i="1"/>
  <c r="T986" i="1"/>
  <c r="T998" i="1"/>
  <c r="T1010" i="1"/>
  <c r="T3" i="1"/>
  <c r="T15" i="1"/>
  <c r="T27" i="1"/>
  <c r="T39" i="1"/>
  <c r="T51" i="1"/>
  <c r="T63" i="1"/>
  <c r="T75" i="1"/>
  <c r="T87" i="1"/>
  <c r="T99" i="1"/>
  <c r="T111" i="1"/>
  <c r="T123" i="1"/>
  <c r="T135" i="1"/>
  <c r="T147" i="1"/>
  <c r="T159" i="1"/>
  <c r="T171" i="1"/>
  <c r="T183" i="1"/>
  <c r="T195" i="1"/>
  <c r="T207" i="1"/>
  <c r="T219" i="1"/>
  <c r="T231" i="1"/>
  <c r="T243" i="1"/>
  <c r="T255" i="1"/>
  <c r="T267" i="1"/>
  <c r="T279" i="1"/>
  <c r="T291" i="1"/>
  <c r="T303" i="1"/>
  <c r="T315" i="1"/>
  <c r="T4" i="1"/>
  <c r="T16" i="1"/>
  <c r="T28" i="1"/>
  <c r="T40" i="1"/>
  <c r="T52" i="1"/>
  <c r="T64" i="1"/>
  <c r="T76" i="1"/>
  <c r="T88" i="1"/>
  <c r="T100" i="1"/>
  <c r="T112" i="1"/>
  <c r="T124" i="1"/>
  <c r="T136" i="1"/>
  <c r="T148" i="1"/>
  <c r="T160" i="1"/>
  <c r="T172" i="1"/>
  <c r="T184" i="1"/>
  <c r="T196" i="1"/>
  <c r="T208" i="1"/>
  <c r="T220" i="1"/>
  <c r="T232" i="1"/>
  <c r="T244" i="1"/>
  <c r="T256" i="1"/>
  <c r="T268" i="1"/>
  <c r="T280" i="1"/>
  <c r="T292" i="1"/>
  <c r="T304" i="1"/>
  <c r="T316" i="1"/>
  <c r="T328" i="1"/>
  <c r="T340" i="1"/>
  <c r="T352" i="1"/>
  <c r="T364" i="1"/>
  <c r="T376" i="1"/>
  <c r="T388" i="1"/>
  <c r="T400" i="1"/>
  <c r="T412" i="1"/>
  <c r="T424" i="1"/>
  <c r="T436" i="1"/>
  <c r="T448" i="1"/>
  <c r="T460" i="1"/>
  <c r="T472" i="1"/>
  <c r="T484" i="1"/>
  <c r="T496" i="1"/>
  <c r="T508" i="1"/>
  <c r="T520" i="1"/>
  <c r="T532" i="1"/>
  <c r="T544" i="1"/>
  <c r="T556" i="1"/>
  <c r="T568" i="1"/>
  <c r="T580" i="1"/>
  <c r="T592" i="1"/>
  <c r="T604" i="1"/>
  <c r="T616" i="1"/>
  <c r="T628" i="1"/>
  <c r="T640" i="1"/>
  <c r="T652" i="1"/>
  <c r="T664" i="1"/>
  <c r="T676" i="1"/>
  <c r="T688" i="1"/>
  <c r="T700" i="1"/>
  <c r="T712" i="1"/>
  <c r="T724" i="1"/>
  <c r="T736" i="1"/>
  <c r="T748" i="1"/>
  <c r="T760" i="1"/>
  <c r="T772" i="1"/>
  <c r="T784" i="1"/>
  <c r="T796" i="1"/>
  <c r="T808" i="1"/>
  <c r="T820" i="1"/>
  <c r="T832" i="1"/>
  <c r="T844" i="1"/>
  <c r="T5" i="1"/>
  <c r="T17" i="1"/>
  <c r="T29" i="1"/>
  <c r="T41" i="1"/>
  <c r="T53" i="1"/>
  <c r="T65" i="1"/>
  <c r="T77" i="1"/>
  <c r="T89" i="1"/>
  <c r="T101" i="1"/>
  <c r="T113" i="1"/>
  <c r="T125" i="1"/>
  <c r="T137" i="1"/>
  <c r="T149" i="1"/>
  <c r="T161" i="1"/>
  <c r="T173" i="1"/>
  <c r="T185" i="1"/>
  <c r="T197" i="1"/>
  <c r="T209" i="1"/>
  <c r="T221" i="1"/>
  <c r="T233" i="1"/>
  <c r="T245" i="1"/>
  <c r="T257" i="1"/>
  <c r="T269" i="1"/>
  <c r="T281" i="1"/>
  <c r="T293" i="1"/>
  <c r="T305" i="1"/>
  <c r="T317" i="1"/>
  <c r="T329" i="1"/>
  <c r="T341" i="1"/>
  <c r="T353" i="1"/>
  <c r="T365" i="1"/>
  <c r="T377" i="1"/>
  <c r="T389" i="1"/>
  <c r="T401" i="1"/>
  <c r="T413" i="1"/>
  <c r="T425" i="1"/>
  <c r="T437" i="1"/>
  <c r="T449" i="1"/>
  <c r="T461" i="1"/>
  <c r="T473" i="1"/>
  <c r="T485" i="1"/>
  <c r="T497" i="1"/>
  <c r="T509" i="1"/>
  <c r="T521" i="1"/>
  <c r="T533" i="1"/>
  <c r="T545" i="1"/>
  <c r="T557" i="1"/>
  <c r="T569" i="1"/>
  <c r="T581" i="1"/>
  <c r="T593" i="1"/>
  <c r="T605" i="1"/>
  <c r="T617" i="1"/>
  <c r="T629" i="1"/>
  <c r="T641" i="1"/>
  <c r="T653" i="1"/>
  <c r="T665" i="1"/>
  <c r="T677" i="1"/>
  <c r="T689" i="1"/>
  <c r="T701" i="1"/>
  <c r="T713" i="1"/>
  <c r="T6" i="1"/>
  <c r="T18" i="1"/>
  <c r="T30" i="1"/>
  <c r="T42" i="1"/>
  <c r="T54" i="1"/>
  <c r="T66" i="1"/>
  <c r="T78" i="1"/>
  <c r="T90" i="1"/>
  <c r="T102" i="1"/>
  <c r="T114" i="1"/>
  <c r="T126" i="1"/>
  <c r="T138" i="1"/>
  <c r="T150" i="1"/>
  <c r="T162" i="1"/>
  <c r="T174" i="1"/>
  <c r="T186" i="1"/>
  <c r="T198" i="1"/>
  <c r="T210" i="1"/>
  <c r="T222" i="1"/>
  <c r="T234" i="1"/>
  <c r="T246" i="1"/>
  <c r="T258" i="1"/>
  <c r="T270" i="1"/>
  <c r="T7" i="1"/>
  <c r="T31" i="1"/>
  <c r="T55" i="1"/>
  <c r="T79" i="1"/>
  <c r="T103" i="1"/>
  <c r="T127" i="1"/>
  <c r="T151" i="1"/>
  <c r="T175" i="1"/>
  <c r="T199" i="1"/>
  <c r="T223" i="1"/>
  <c r="T247" i="1"/>
  <c r="T271" i="1"/>
  <c r="T288" i="1"/>
  <c r="T310" i="1"/>
  <c r="T330" i="1"/>
  <c r="T345" i="1"/>
  <c r="T360" i="1"/>
  <c r="T378" i="1"/>
  <c r="T393" i="1"/>
  <c r="T408" i="1"/>
  <c r="T426" i="1"/>
  <c r="T441" i="1"/>
  <c r="T456" i="1"/>
  <c r="T474" i="1"/>
  <c r="T489" i="1"/>
  <c r="T504" i="1"/>
  <c r="T522" i="1"/>
  <c r="T537" i="1"/>
  <c r="T552" i="1"/>
  <c r="T570" i="1"/>
  <c r="T585" i="1"/>
  <c r="T600" i="1"/>
  <c r="T618" i="1"/>
  <c r="T633" i="1"/>
  <c r="T648" i="1"/>
  <c r="T666" i="1"/>
  <c r="T681" i="1"/>
  <c r="T696" i="1"/>
  <c r="T714" i="1"/>
  <c r="T728" i="1"/>
  <c r="T742" i="1"/>
  <c r="T756" i="1"/>
  <c r="T771" i="1"/>
  <c r="T786" i="1"/>
  <c r="T800" i="1"/>
  <c r="T814" i="1"/>
  <c r="T828" i="1"/>
  <c r="T843" i="1"/>
  <c r="T857" i="1"/>
  <c r="T870" i="1"/>
  <c r="T883" i="1"/>
  <c r="T896" i="1"/>
  <c r="T909" i="1"/>
  <c r="T922" i="1"/>
  <c r="T935" i="1"/>
  <c r="T948" i="1"/>
  <c r="T961" i="1"/>
  <c r="T975" i="1"/>
  <c r="T988" i="1"/>
  <c r="T1001" i="1"/>
  <c r="T1014" i="1"/>
  <c r="T1026" i="1"/>
  <c r="T1038" i="1"/>
  <c r="T1050" i="1"/>
  <c r="T1062" i="1"/>
  <c r="T1074" i="1"/>
  <c r="T1086" i="1"/>
  <c r="T1098" i="1"/>
  <c r="T1110" i="1"/>
  <c r="T1122" i="1"/>
  <c r="T1134" i="1"/>
  <c r="T1146" i="1"/>
  <c r="T1158" i="1"/>
  <c r="T1170" i="1"/>
  <c r="T1182" i="1"/>
  <c r="T1194" i="1"/>
  <c r="T1206" i="1"/>
  <c r="T1218" i="1"/>
  <c r="T1230" i="1"/>
  <c r="T1242" i="1"/>
  <c r="T1254" i="1"/>
  <c r="T1266" i="1"/>
  <c r="T1278" i="1"/>
  <c r="T1290" i="1"/>
  <c r="T1302" i="1"/>
  <c r="T8" i="1"/>
  <c r="T32" i="1"/>
  <c r="T56" i="1"/>
  <c r="T80" i="1"/>
  <c r="T104" i="1"/>
  <c r="T128" i="1"/>
  <c r="T152" i="1"/>
  <c r="T176" i="1"/>
  <c r="T200" i="1"/>
  <c r="T224" i="1"/>
  <c r="T248" i="1"/>
  <c r="T272" i="1"/>
  <c r="T294" i="1"/>
  <c r="T311" i="1"/>
  <c r="T331" i="1"/>
  <c r="T346" i="1"/>
  <c r="T361" i="1"/>
  <c r="T379" i="1"/>
  <c r="T394" i="1"/>
  <c r="T409" i="1"/>
  <c r="T427" i="1"/>
  <c r="T442" i="1"/>
  <c r="T457" i="1"/>
  <c r="T475" i="1"/>
  <c r="T490" i="1"/>
  <c r="T505" i="1"/>
  <c r="T9" i="1"/>
  <c r="T33" i="1"/>
  <c r="T57" i="1"/>
  <c r="T81" i="1"/>
  <c r="T105" i="1"/>
  <c r="T129" i="1"/>
  <c r="T153" i="1"/>
  <c r="T177" i="1"/>
  <c r="T201" i="1"/>
  <c r="T225" i="1"/>
  <c r="T249" i="1"/>
  <c r="T273" i="1"/>
  <c r="T295" i="1"/>
  <c r="T312" i="1"/>
  <c r="T332" i="1"/>
  <c r="T347" i="1"/>
  <c r="T363" i="1"/>
  <c r="T380" i="1"/>
  <c r="T395" i="1"/>
  <c r="T411" i="1"/>
  <c r="T428" i="1"/>
  <c r="T443" i="1"/>
  <c r="T459" i="1"/>
  <c r="T476" i="1"/>
  <c r="T491" i="1"/>
  <c r="T507" i="1"/>
  <c r="T524" i="1"/>
  <c r="T539" i="1"/>
  <c r="T555" i="1"/>
  <c r="T572" i="1"/>
  <c r="T587" i="1"/>
  <c r="T603" i="1"/>
  <c r="T620" i="1"/>
  <c r="T635" i="1"/>
  <c r="T651" i="1"/>
  <c r="T668" i="1"/>
  <c r="T683" i="1"/>
  <c r="T699" i="1"/>
  <c r="T716" i="1"/>
  <c r="T730" i="1"/>
  <c r="T744" i="1"/>
  <c r="T759" i="1"/>
  <c r="T774" i="1"/>
  <c r="T788" i="1"/>
  <c r="T802" i="1"/>
  <c r="T816" i="1"/>
  <c r="T831" i="1"/>
  <c r="T846" i="1"/>
  <c r="T859" i="1"/>
  <c r="T872" i="1"/>
  <c r="T885" i="1"/>
  <c r="T898" i="1"/>
  <c r="T911" i="1"/>
  <c r="T924" i="1"/>
  <c r="T937" i="1"/>
  <c r="T951" i="1"/>
  <c r="T964" i="1"/>
  <c r="T977" i="1"/>
  <c r="T990" i="1"/>
  <c r="T1003" i="1"/>
  <c r="T1016" i="1"/>
  <c r="T1028" i="1"/>
  <c r="T1040" i="1"/>
  <c r="T1052" i="1"/>
  <c r="T1064" i="1"/>
  <c r="T1076" i="1"/>
  <c r="T1088" i="1"/>
  <c r="T1100" i="1"/>
  <c r="T1112" i="1"/>
  <c r="T1124" i="1"/>
  <c r="T1136" i="1"/>
  <c r="T1148" i="1"/>
  <c r="T10" i="1"/>
  <c r="T34" i="1"/>
  <c r="T58" i="1"/>
  <c r="T82" i="1"/>
  <c r="T106" i="1"/>
  <c r="T130" i="1"/>
  <c r="T154" i="1"/>
  <c r="T178" i="1"/>
  <c r="T202" i="1"/>
  <c r="T226" i="1"/>
  <c r="T250" i="1"/>
  <c r="T274" i="1"/>
  <c r="T296" i="1"/>
  <c r="T318" i="1"/>
  <c r="T333" i="1"/>
  <c r="T348" i="1"/>
  <c r="T366" i="1"/>
  <c r="T381" i="1"/>
  <c r="T396" i="1"/>
  <c r="T414" i="1"/>
  <c r="T429" i="1"/>
  <c r="T444" i="1"/>
  <c r="T462" i="1"/>
  <c r="T477" i="1"/>
  <c r="T492" i="1"/>
  <c r="T510" i="1"/>
  <c r="T11" i="1"/>
  <c r="T12" i="1"/>
  <c r="T36" i="1"/>
  <c r="T60" i="1"/>
  <c r="T84" i="1"/>
  <c r="T108" i="1"/>
  <c r="T132" i="1"/>
  <c r="T156" i="1"/>
  <c r="T180" i="1"/>
  <c r="T19" i="1"/>
  <c r="T43" i="1"/>
  <c r="T67" i="1"/>
  <c r="T91" i="1"/>
  <c r="T115" i="1"/>
  <c r="T139" i="1"/>
  <c r="T163" i="1"/>
  <c r="T187" i="1"/>
  <c r="T211" i="1"/>
  <c r="T235" i="1"/>
  <c r="T259" i="1"/>
  <c r="T282" i="1"/>
  <c r="T299" i="1"/>
  <c r="T321" i="1"/>
  <c r="T336" i="1"/>
  <c r="T354" i="1"/>
  <c r="T369" i="1"/>
  <c r="T384" i="1"/>
  <c r="T402" i="1"/>
  <c r="T417" i="1"/>
  <c r="T432" i="1"/>
  <c r="T450" i="1"/>
  <c r="T465" i="1"/>
  <c r="T480" i="1"/>
  <c r="T498" i="1"/>
  <c r="T513" i="1"/>
  <c r="T528" i="1"/>
  <c r="T546" i="1"/>
  <c r="T561" i="1"/>
  <c r="T576" i="1"/>
  <c r="T20" i="1"/>
  <c r="T68" i="1"/>
  <c r="T116" i="1"/>
  <c r="T164" i="1"/>
  <c r="T204" i="1"/>
  <c r="T240" i="1"/>
  <c r="T285" i="1"/>
  <c r="T322" i="1"/>
  <c r="T349" i="1"/>
  <c r="T373" i="1"/>
  <c r="T404" i="1"/>
  <c r="T431" i="1"/>
  <c r="T455" i="1"/>
  <c r="T486" i="1"/>
  <c r="T514" i="1"/>
  <c r="T535" i="1"/>
  <c r="T558" i="1"/>
  <c r="T577" i="1"/>
  <c r="T597" i="1"/>
  <c r="T615" i="1"/>
  <c r="T636" i="1"/>
  <c r="T656" i="1"/>
  <c r="T673" i="1"/>
  <c r="T693" i="1"/>
  <c r="T711" i="1"/>
  <c r="T731" i="1"/>
  <c r="T749" i="1"/>
  <c r="T765" i="1"/>
  <c r="T781" i="1"/>
  <c r="T799" i="1"/>
  <c r="T817" i="1"/>
  <c r="T835" i="1"/>
  <c r="T851" i="1"/>
  <c r="T867" i="1"/>
  <c r="T882" i="1"/>
  <c r="T899" i="1"/>
  <c r="T915" i="1"/>
  <c r="T930" i="1"/>
  <c r="T945" i="1"/>
  <c r="T960" i="1"/>
  <c r="T978" i="1"/>
  <c r="T993" i="1"/>
  <c r="T1008" i="1"/>
  <c r="T1023" i="1"/>
  <c r="T1037" i="1"/>
  <c r="T1053" i="1"/>
  <c r="T1067" i="1"/>
  <c r="T1081" i="1"/>
  <c r="T1095" i="1"/>
  <c r="T1109" i="1"/>
  <c r="T1125" i="1"/>
  <c r="T1139" i="1"/>
  <c r="T1153" i="1"/>
  <c r="T1166" i="1"/>
  <c r="T1179" i="1"/>
  <c r="T1192" i="1"/>
  <c r="T1205" i="1"/>
  <c r="T1219" i="1"/>
  <c r="T1232" i="1"/>
  <c r="T1245" i="1"/>
  <c r="T1258" i="1"/>
  <c r="T1271" i="1"/>
  <c r="T1284" i="1"/>
  <c r="T1297" i="1"/>
  <c r="T1310" i="1"/>
  <c r="T1322" i="1"/>
  <c r="T1334" i="1"/>
  <c r="T1346" i="1"/>
  <c r="T1358" i="1"/>
  <c r="T1370" i="1"/>
  <c r="T1382" i="1"/>
  <c r="T1394" i="1"/>
  <c r="T1406" i="1"/>
  <c r="T1418" i="1"/>
  <c r="T1430" i="1"/>
  <c r="T1442" i="1"/>
  <c r="T1454" i="1"/>
  <c r="T1466" i="1"/>
  <c r="T1478" i="1"/>
  <c r="T1490" i="1"/>
  <c r="T1502" i="1"/>
  <c r="T1514" i="1"/>
  <c r="T1526" i="1"/>
  <c r="T1538" i="1"/>
  <c r="T1550" i="1"/>
  <c r="T21" i="1"/>
  <c r="T69" i="1"/>
  <c r="T117" i="1"/>
  <c r="T165" i="1"/>
  <c r="T212" i="1"/>
  <c r="T251" i="1"/>
  <c r="T286" i="1"/>
  <c r="T323" i="1"/>
  <c r="T351" i="1"/>
  <c r="T375" i="1"/>
  <c r="T405" i="1"/>
  <c r="T433" i="1"/>
  <c r="T463" i="1"/>
  <c r="T487" i="1"/>
  <c r="T515" i="1"/>
  <c r="T536" i="1"/>
  <c r="T559" i="1"/>
  <c r="T579" i="1"/>
  <c r="T598" i="1"/>
  <c r="T619" i="1"/>
  <c r="T637" i="1"/>
  <c r="T657" i="1"/>
  <c r="T675" i="1"/>
  <c r="T694" i="1"/>
  <c r="T715" i="1"/>
  <c r="T732" i="1"/>
  <c r="T750" i="1"/>
  <c r="T766" i="1"/>
  <c r="T783" i="1"/>
  <c r="T801" i="1"/>
  <c r="T819" i="1"/>
  <c r="T836" i="1"/>
  <c r="T852" i="1"/>
  <c r="T868" i="1"/>
  <c r="T884" i="1"/>
  <c r="T900" i="1"/>
  <c r="T916" i="1"/>
  <c r="T931" i="1"/>
  <c r="T946" i="1"/>
  <c r="T963" i="1"/>
  <c r="T979" i="1"/>
  <c r="T994" i="1"/>
  <c r="T1009" i="1"/>
  <c r="T1024" i="1"/>
  <c r="T1039" i="1"/>
  <c r="T1054" i="1"/>
  <c r="T1068" i="1"/>
  <c r="T1082" i="1"/>
  <c r="T1096" i="1"/>
  <c r="T1111" i="1"/>
  <c r="T1126" i="1"/>
  <c r="T1140" i="1"/>
  <c r="T1154" i="1"/>
  <c r="T1167" i="1"/>
  <c r="T1180" i="1"/>
  <c r="T1193" i="1"/>
  <c r="T1207" i="1"/>
  <c r="T1220" i="1"/>
  <c r="T1233" i="1"/>
  <c r="T1246" i="1"/>
  <c r="T1259" i="1"/>
  <c r="T1272" i="1"/>
  <c r="T1285" i="1"/>
  <c r="T1298" i="1"/>
  <c r="T1311" i="1"/>
  <c r="T1323" i="1"/>
  <c r="T1335" i="1"/>
  <c r="T1347" i="1"/>
  <c r="T1359" i="1"/>
  <c r="T1371" i="1"/>
  <c r="T1383" i="1"/>
  <c r="T1395" i="1"/>
  <c r="T1407" i="1"/>
  <c r="T1419" i="1"/>
  <c r="T1431" i="1"/>
  <c r="T1443" i="1"/>
  <c r="T1455" i="1"/>
  <c r="T1467" i="1"/>
  <c r="T22" i="1"/>
  <c r="T70" i="1"/>
  <c r="T118" i="1"/>
  <c r="T166" i="1"/>
  <c r="T213" i="1"/>
  <c r="T252" i="1"/>
  <c r="T287" i="1"/>
  <c r="T324" i="1"/>
  <c r="T355" i="1"/>
  <c r="T382" i="1"/>
  <c r="T406" i="1"/>
  <c r="T435" i="1"/>
  <c r="T464" i="1"/>
  <c r="T488" i="1"/>
  <c r="T516" i="1"/>
  <c r="T538" i="1"/>
  <c r="T560" i="1"/>
  <c r="T582" i="1"/>
  <c r="T599" i="1"/>
  <c r="T621" i="1"/>
  <c r="T639" i="1"/>
  <c r="T658" i="1"/>
  <c r="T678" i="1"/>
  <c r="T695" i="1"/>
  <c r="T717" i="1"/>
  <c r="T733" i="1"/>
  <c r="T751" i="1"/>
  <c r="T767" i="1"/>
  <c r="T785" i="1"/>
  <c r="T803" i="1"/>
  <c r="T821" i="1"/>
  <c r="T837" i="1"/>
  <c r="T853" i="1"/>
  <c r="T869" i="1"/>
  <c r="T886" i="1"/>
  <c r="T901" i="1"/>
  <c r="T917" i="1"/>
  <c r="T932" i="1"/>
  <c r="T947" i="1"/>
  <c r="T965" i="1"/>
  <c r="T980" i="1"/>
  <c r="T995" i="1"/>
  <c r="T1011" i="1"/>
  <c r="T1025" i="1"/>
  <c r="T1041" i="1"/>
  <c r="T1055" i="1"/>
  <c r="T1069" i="1"/>
  <c r="T1083" i="1"/>
  <c r="T1097" i="1"/>
  <c r="T1113" i="1"/>
  <c r="T1127" i="1"/>
  <c r="T1141" i="1"/>
  <c r="T1155" i="1"/>
  <c r="T1168" i="1"/>
  <c r="T1181" i="1"/>
  <c r="T1195" i="1"/>
  <c r="T1208" i="1"/>
  <c r="T1221" i="1"/>
  <c r="T1234" i="1"/>
  <c r="T1247" i="1"/>
  <c r="T1260" i="1"/>
  <c r="T1273" i="1"/>
  <c r="T1286" i="1"/>
  <c r="T1299" i="1"/>
  <c r="T1312" i="1"/>
  <c r="T1324" i="1"/>
  <c r="T1336" i="1"/>
  <c r="T1348" i="1"/>
  <c r="T1360" i="1"/>
  <c r="T1372" i="1"/>
  <c r="T1384" i="1"/>
  <c r="T1396" i="1"/>
  <c r="T1408" i="1"/>
  <c r="T1420" i="1"/>
  <c r="T1432" i="1"/>
  <c r="T1444" i="1"/>
  <c r="T1456" i="1"/>
  <c r="T1468" i="1"/>
  <c r="T1480" i="1"/>
  <c r="T1492" i="1"/>
  <c r="T23" i="1"/>
  <c r="T71" i="1"/>
  <c r="T119" i="1"/>
  <c r="T167" i="1"/>
  <c r="T214" i="1"/>
  <c r="T260" i="1"/>
  <c r="T297" i="1"/>
  <c r="T325" i="1"/>
  <c r="T356" i="1"/>
  <c r="T383" i="1"/>
  <c r="T407" i="1"/>
  <c r="T438" i="1"/>
  <c r="T466" i="1"/>
  <c r="T493" i="1"/>
  <c r="T517" i="1"/>
  <c r="T540" i="1"/>
  <c r="T562" i="1"/>
  <c r="T583" i="1"/>
  <c r="T601" i="1"/>
  <c r="T622" i="1"/>
  <c r="T642" i="1"/>
  <c r="T659" i="1"/>
  <c r="T679" i="1"/>
  <c r="T697" i="1"/>
  <c r="T718" i="1"/>
  <c r="T735" i="1"/>
  <c r="T752" i="1"/>
  <c r="T768" i="1"/>
  <c r="T787" i="1"/>
  <c r="T804" i="1"/>
  <c r="T822" i="1"/>
  <c r="T838" i="1"/>
  <c r="T855" i="1"/>
  <c r="T871" i="1"/>
  <c r="T887" i="1"/>
  <c r="T903" i="1"/>
  <c r="T918" i="1"/>
  <c r="T933" i="1"/>
  <c r="T949" i="1"/>
  <c r="T966" i="1"/>
  <c r="T981" i="1"/>
  <c r="T996" i="1"/>
  <c r="T1012" i="1"/>
  <c r="T1027" i="1"/>
  <c r="T1042" i="1"/>
  <c r="T1056" i="1"/>
  <c r="T1070" i="1"/>
  <c r="T1084" i="1"/>
  <c r="T1099" i="1"/>
  <c r="T1114" i="1"/>
  <c r="T1128" i="1"/>
  <c r="T1142" i="1"/>
  <c r="T1156" i="1"/>
  <c r="T1169" i="1"/>
  <c r="T1183" i="1"/>
  <c r="T1196" i="1"/>
  <c r="T1209" i="1"/>
  <c r="T1222" i="1"/>
  <c r="T1235" i="1"/>
  <c r="T1248" i="1"/>
  <c r="T1261" i="1"/>
  <c r="T1274" i="1"/>
  <c r="T1287" i="1"/>
  <c r="T1300" i="1"/>
  <c r="T1313" i="1"/>
  <c r="T1325" i="1"/>
  <c r="T1337" i="1"/>
  <c r="T1349" i="1"/>
  <c r="T1361" i="1"/>
  <c r="T1373" i="1"/>
  <c r="T1385" i="1"/>
  <c r="T1397" i="1"/>
  <c r="T1409" i="1"/>
  <c r="T1421" i="1"/>
  <c r="T1433" i="1"/>
  <c r="T1445" i="1"/>
  <c r="T1457" i="1"/>
  <c r="T1469" i="1"/>
  <c r="T1481" i="1"/>
  <c r="T1493" i="1"/>
  <c r="T1505" i="1"/>
  <c r="T1517" i="1"/>
  <c r="T1529" i="1"/>
  <c r="T1541" i="1"/>
  <c r="T1553" i="1"/>
  <c r="T24" i="1"/>
  <c r="T72" i="1"/>
  <c r="T120" i="1"/>
  <c r="T168" i="1"/>
  <c r="T215" i="1"/>
  <c r="T261" i="1"/>
  <c r="T298" i="1"/>
  <c r="T327" i="1"/>
  <c r="T357" i="1"/>
  <c r="T385" i="1"/>
  <c r="T415" i="1"/>
  <c r="T439" i="1"/>
  <c r="T467" i="1"/>
  <c r="T495" i="1"/>
  <c r="T519" i="1"/>
  <c r="T541" i="1"/>
  <c r="T563" i="1"/>
  <c r="T584" i="1"/>
  <c r="T606" i="1"/>
  <c r="T623" i="1"/>
  <c r="T643" i="1"/>
  <c r="T660" i="1"/>
  <c r="T680" i="1"/>
  <c r="T702" i="1"/>
  <c r="T719" i="1"/>
  <c r="T737" i="1"/>
  <c r="T753" i="1"/>
  <c r="T769" i="1"/>
  <c r="T789" i="1"/>
  <c r="T805" i="1"/>
  <c r="T823" i="1"/>
  <c r="T839" i="1"/>
  <c r="T856" i="1"/>
  <c r="T873" i="1"/>
  <c r="T888" i="1"/>
  <c r="T904" i="1"/>
  <c r="T919" i="1"/>
  <c r="T934" i="1"/>
  <c r="T952" i="1"/>
  <c r="T967" i="1"/>
  <c r="T982" i="1"/>
  <c r="T997" i="1"/>
  <c r="T1013" i="1"/>
  <c r="T1029" i="1"/>
  <c r="T1043" i="1"/>
  <c r="T1057" i="1"/>
  <c r="T1071" i="1"/>
  <c r="T1085" i="1"/>
  <c r="T1101" i="1"/>
  <c r="T1115" i="1"/>
  <c r="T1129" i="1"/>
  <c r="T1143" i="1"/>
  <c r="T1157" i="1"/>
  <c r="T1171" i="1"/>
  <c r="T1184" i="1"/>
  <c r="T1197" i="1"/>
  <c r="T1210" i="1"/>
  <c r="T1223" i="1"/>
  <c r="T1236" i="1"/>
  <c r="T1249" i="1"/>
  <c r="T1262" i="1"/>
  <c r="T1275" i="1"/>
  <c r="T1288" i="1"/>
  <c r="T1301" i="1"/>
  <c r="T1314" i="1"/>
  <c r="T1326" i="1"/>
  <c r="T1338" i="1"/>
  <c r="T1350" i="1"/>
  <c r="T1362" i="1"/>
  <c r="T1374" i="1"/>
  <c r="T1386" i="1"/>
  <c r="T1398" i="1"/>
  <c r="T1410" i="1"/>
  <c r="T1422" i="1"/>
  <c r="T1434" i="1"/>
  <c r="T1446" i="1"/>
  <c r="T1458" i="1"/>
  <c r="T1470" i="1"/>
  <c r="T1482" i="1"/>
  <c r="T1494" i="1"/>
  <c r="T1506" i="1"/>
  <c r="T1518" i="1"/>
  <c r="T1530" i="1"/>
  <c r="T35" i="1"/>
  <c r="T83" i="1"/>
  <c r="T131" i="1"/>
  <c r="T179" i="1"/>
  <c r="T216" i="1"/>
  <c r="T262" i="1"/>
  <c r="T300" i="1"/>
  <c r="T334" i="1"/>
  <c r="T358" i="1"/>
  <c r="T387" i="1"/>
  <c r="T416" i="1"/>
  <c r="T440" i="1"/>
  <c r="T468" i="1"/>
  <c r="T499" i="1"/>
  <c r="T523" i="1"/>
  <c r="T543" i="1"/>
  <c r="T564" i="1"/>
  <c r="T586" i="1"/>
  <c r="T607" i="1"/>
  <c r="T624" i="1"/>
  <c r="T644" i="1"/>
  <c r="T661" i="1"/>
  <c r="T682" i="1"/>
  <c r="T703" i="1"/>
  <c r="T720" i="1"/>
  <c r="T738" i="1"/>
  <c r="T754" i="1"/>
  <c r="T773" i="1"/>
  <c r="T790" i="1"/>
  <c r="T807" i="1"/>
  <c r="T824" i="1"/>
  <c r="T840" i="1"/>
  <c r="T858" i="1"/>
  <c r="T874" i="1"/>
  <c r="T889" i="1"/>
  <c r="T905" i="1"/>
  <c r="T920" i="1"/>
  <c r="T936" i="1"/>
  <c r="T953" i="1"/>
  <c r="T968" i="1"/>
  <c r="T983" i="1"/>
  <c r="T999" i="1"/>
  <c r="T1015" i="1"/>
  <c r="T1030" i="1"/>
  <c r="T1044" i="1"/>
  <c r="T1058" i="1"/>
  <c r="T1072" i="1"/>
  <c r="T1087" i="1"/>
  <c r="T1102" i="1"/>
  <c r="T1116" i="1"/>
  <c r="T1130" i="1"/>
  <c r="T1144" i="1"/>
  <c r="T1159" i="1"/>
  <c r="T1172" i="1"/>
  <c r="T1185" i="1"/>
  <c r="T1198" i="1"/>
  <c r="T1211" i="1"/>
  <c r="T1224" i="1"/>
  <c r="T1237" i="1"/>
  <c r="T1250" i="1"/>
  <c r="T1263" i="1"/>
  <c r="T1276" i="1"/>
  <c r="T1289" i="1"/>
  <c r="T1303" i="1"/>
  <c r="T1315" i="1"/>
  <c r="T1327" i="1"/>
  <c r="T1339" i="1"/>
  <c r="T1351" i="1"/>
  <c r="T1363" i="1"/>
  <c r="T1375" i="1"/>
  <c r="T1387" i="1"/>
  <c r="T1399" i="1"/>
  <c r="T1411" i="1"/>
  <c r="T1423" i="1"/>
  <c r="T1435" i="1"/>
  <c r="T1447" i="1"/>
  <c r="T1459" i="1"/>
  <c r="T1471" i="1"/>
  <c r="T1483" i="1"/>
  <c r="T1495" i="1"/>
  <c r="T44" i="1"/>
  <c r="T92" i="1"/>
  <c r="T140" i="1"/>
  <c r="T188" i="1"/>
  <c r="T227" i="1"/>
  <c r="T263" i="1"/>
  <c r="T306" i="1"/>
  <c r="T335" i="1"/>
  <c r="T359" i="1"/>
  <c r="T390" i="1"/>
  <c r="T418" i="1"/>
  <c r="T445" i="1"/>
  <c r="T469" i="1"/>
  <c r="T500" i="1"/>
  <c r="T525" i="1"/>
  <c r="T547" i="1"/>
  <c r="T565" i="1"/>
  <c r="T588" i="1"/>
  <c r="T608" i="1"/>
  <c r="T625" i="1"/>
  <c r="T645" i="1"/>
  <c r="T663" i="1"/>
  <c r="T684" i="1"/>
  <c r="T704" i="1"/>
  <c r="T721" i="1"/>
  <c r="T739" i="1"/>
  <c r="T755" i="1"/>
  <c r="T775" i="1"/>
  <c r="T791" i="1"/>
  <c r="T809" i="1"/>
  <c r="T825" i="1"/>
  <c r="T841" i="1"/>
  <c r="T860" i="1"/>
  <c r="T875" i="1"/>
  <c r="T891" i="1"/>
  <c r="T906" i="1"/>
  <c r="T921" i="1"/>
  <c r="T939" i="1"/>
  <c r="T954" i="1"/>
  <c r="T969" i="1"/>
  <c r="T984" i="1"/>
  <c r="T1000" i="1"/>
  <c r="T1017" i="1"/>
  <c r="T1031" i="1"/>
  <c r="T1045" i="1"/>
  <c r="T1059" i="1"/>
  <c r="T1073" i="1"/>
  <c r="T1089" i="1"/>
  <c r="T1103" i="1"/>
  <c r="T1117" i="1"/>
  <c r="T1131" i="1"/>
  <c r="T1145" i="1"/>
  <c r="T1160" i="1"/>
  <c r="T1173" i="1"/>
  <c r="T1186" i="1"/>
  <c r="T1199" i="1"/>
  <c r="T1212" i="1"/>
  <c r="T1225" i="1"/>
  <c r="T1238" i="1"/>
  <c r="T1251" i="1"/>
  <c r="T1264" i="1"/>
  <c r="T1277" i="1"/>
  <c r="T1291" i="1"/>
  <c r="T1304" i="1"/>
  <c r="T1316" i="1"/>
  <c r="T1328" i="1"/>
  <c r="T1340" i="1"/>
  <c r="T1352" i="1"/>
  <c r="T1364" i="1"/>
  <c r="T1376" i="1"/>
  <c r="T1388" i="1"/>
  <c r="T1400" i="1"/>
  <c r="T1412" i="1"/>
  <c r="T1424" i="1"/>
  <c r="T1436" i="1"/>
  <c r="T1448" i="1"/>
  <c r="T1460" i="1"/>
  <c r="T1472" i="1"/>
  <c r="T1484" i="1"/>
  <c r="T1496" i="1"/>
  <c r="T45" i="1"/>
  <c r="T93" i="1"/>
  <c r="T141" i="1"/>
  <c r="T189" i="1"/>
  <c r="T228" i="1"/>
  <c r="T264" i="1"/>
  <c r="T307" i="1"/>
  <c r="T337" i="1"/>
  <c r="T367" i="1"/>
  <c r="T391" i="1"/>
  <c r="T419" i="1"/>
  <c r="T447" i="1"/>
  <c r="T471" i="1"/>
  <c r="T501" i="1"/>
  <c r="T526" i="1"/>
  <c r="T548" i="1"/>
  <c r="T567" i="1"/>
  <c r="T589" i="1"/>
  <c r="T609" i="1"/>
  <c r="T627" i="1"/>
  <c r="T646" i="1"/>
  <c r="T667" i="1"/>
  <c r="T685" i="1"/>
  <c r="T705" i="1"/>
  <c r="T723" i="1"/>
  <c r="T740" i="1"/>
  <c r="T757" i="1"/>
  <c r="T776" i="1"/>
  <c r="T792" i="1"/>
  <c r="T810" i="1"/>
  <c r="T826" i="1"/>
  <c r="T845" i="1"/>
  <c r="T861" i="1"/>
  <c r="T876" i="1"/>
  <c r="T892" i="1"/>
  <c r="T907" i="1"/>
  <c r="T923" i="1"/>
  <c r="T940" i="1"/>
  <c r="T955" i="1"/>
  <c r="T970" i="1"/>
  <c r="T985" i="1"/>
  <c r="T1002" i="1"/>
  <c r="T1018" i="1"/>
  <c r="T1032" i="1"/>
  <c r="T1046" i="1"/>
  <c r="T1060" i="1"/>
  <c r="T1075" i="1"/>
  <c r="T1090" i="1"/>
  <c r="T1104" i="1"/>
  <c r="T1118" i="1"/>
  <c r="T1132" i="1"/>
  <c r="T1147" i="1"/>
  <c r="T1161" i="1"/>
  <c r="T1174" i="1"/>
  <c r="T1187" i="1"/>
  <c r="T1200" i="1"/>
  <c r="T1213" i="1"/>
  <c r="T46" i="1"/>
  <c r="T94" i="1"/>
  <c r="T142" i="1"/>
  <c r="T190" i="1"/>
  <c r="T236" i="1"/>
  <c r="T275" i="1"/>
  <c r="T308" i="1"/>
  <c r="T339" i="1"/>
  <c r="T368" i="1"/>
  <c r="T392" i="1"/>
  <c r="T420" i="1"/>
  <c r="T451" i="1"/>
  <c r="T478" i="1"/>
  <c r="T502" i="1"/>
  <c r="T527" i="1"/>
  <c r="T549" i="1"/>
  <c r="T571" i="1"/>
  <c r="T591" i="1"/>
  <c r="T610" i="1"/>
  <c r="T630" i="1"/>
  <c r="T647" i="1"/>
  <c r="T669" i="1"/>
  <c r="T687" i="1"/>
  <c r="T706" i="1"/>
  <c r="T725" i="1"/>
  <c r="T741" i="1"/>
  <c r="T761" i="1"/>
  <c r="T777" i="1"/>
  <c r="T793" i="1"/>
  <c r="T811" i="1"/>
  <c r="T827" i="1"/>
  <c r="T847" i="1"/>
  <c r="T862" i="1"/>
  <c r="T877" i="1"/>
  <c r="T893" i="1"/>
  <c r="T908" i="1"/>
  <c r="T925" i="1"/>
  <c r="T941" i="1"/>
  <c r="T956" i="1"/>
  <c r="T971" i="1"/>
  <c r="T47" i="1"/>
  <c r="T237" i="1"/>
  <c r="T370" i="1"/>
  <c r="T479" i="1"/>
  <c r="T573" i="1"/>
  <c r="T649" i="1"/>
  <c r="T726" i="1"/>
  <c r="T795" i="1"/>
  <c r="T863" i="1"/>
  <c r="T927" i="1"/>
  <c r="T987" i="1"/>
  <c r="T1033" i="1"/>
  <c r="T1077" i="1"/>
  <c r="T1119" i="1"/>
  <c r="T1162" i="1"/>
  <c r="T1201" i="1"/>
  <c r="T1231" i="1"/>
  <c r="T1267" i="1"/>
  <c r="T1295" i="1"/>
  <c r="T1329" i="1"/>
  <c r="T1355" i="1"/>
  <c r="T1381" i="1"/>
  <c r="T1414" i="1"/>
  <c r="T1440" i="1"/>
  <c r="T1473" i="1"/>
  <c r="T1497" i="1"/>
  <c r="T1512" i="1"/>
  <c r="T1528" i="1"/>
  <c r="T1544" i="1"/>
  <c r="T1558" i="1"/>
  <c r="T1570" i="1"/>
  <c r="T1582" i="1"/>
  <c r="T1594" i="1"/>
  <c r="T1606" i="1"/>
  <c r="T1618" i="1"/>
  <c r="T1630" i="1"/>
  <c r="T1642" i="1"/>
  <c r="T1654" i="1"/>
  <c r="T1666" i="1"/>
  <c r="T1678" i="1"/>
  <c r="T1690" i="1"/>
  <c r="T1702" i="1"/>
  <c r="T1714" i="1"/>
  <c r="T1726" i="1"/>
  <c r="T1738" i="1"/>
  <c r="T1750" i="1"/>
  <c r="T1762" i="1"/>
  <c r="T1774" i="1"/>
  <c r="T1786" i="1"/>
  <c r="T1798" i="1"/>
  <c r="T1810" i="1"/>
  <c r="T1822" i="1"/>
  <c r="T1834" i="1"/>
  <c r="T1846" i="1"/>
  <c r="T1858" i="1"/>
  <c r="T1870" i="1"/>
  <c r="T1882" i="1"/>
  <c r="T1894" i="1"/>
  <c r="T1906" i="1"/>
  <c r="T1918" i="1"/>
  <c r="T1930" i="1"/>
  <c r="T1942" i="1"/>
  <c r="T1954" i="1"/>
  <c r="T1966" i="1"/>
  <c r="T1978" i="1"/>
  <c r="T1990" i="1"/>
  <c r="T2002" i="1"/>
  <c r="T2014" i="1"/>
  <c r="T2026" i="1"/>
  <c r="T2038" i="1"/>
  <c r="T2050" i="1"/>
  <c r="T2062" i="1"/>
  <c r="T2074" i="1"/>
  <c r="T2086" i="1"/>
  <c r="T2098" i="1"/>
  <c r="T2110" i="1"/>
  <c r="T2122" i="1"/>
  <c r="T2134" i="1"/>
  <c r="T2146" i="1"/>
  <c r="T2158" i="1"/>
  <c r="T2170" i="1"/>
  <c r="T2182" i="1"/>
  <c r="T2194" i="1"/>
  <c r="T2206" i="1"/>
  <c r="T2218" i="1"/>
  <c r="T2230" i="1"/>
  <c r="T2242" i="1"/>
  <c r="T2254" i="1"/>
  <c r="T2266" i="1"/>
  <c r="T2278" i="1"/>
  <c r="T2290" i="1"/>
  <c r="T2302" i="1"/>
  <c r="T2314" i="1"/>
  <c r="T2326" i="1"/>
  <c r="T2338" i="1"/>
  <c r="T2350" i="1"/>
  <c r="T2362" i="1"/>
  <c r="T2374" i="1"/>
  <c r="T2386" i="1"/>
  <c r="T2398" i="1"/>
  <c r="T2410" i="1"/>
  <c r="T2422" i="1"/>
  <c r="T2434" i="1"/>
  <c r="T2446" i="1"/>
  <c r="T2458" i="1"/>
  <c r="T48" i="1"/>
  <c r="T238" i="1"/>
  <c r="T371" i="1"/>
  <c r="T481" i="1"/>
  <c r="T574" i="1"/>
  <c r="T654" i="1"/>
  <c r="T727" i="1"/>
  <c r="T797" i="1"/>
  <c r="T864" i="1"/>
  <c r="T928" i="1"/>
  <c r="T989" i="1"/>
  <c r="T1034" i="1"/>
  <c r="T1078" i="1"/>
  <c r="T1120" i="1"/>
  <c r="T1163" i="1"/>
  <c r="T1202" i="1"/>
  <c r="T1239" i="1"/>
  <c r="T1268" i="1"/>
  <c r="T1296" i="1"/>
  <c r="T1330" i="1"/>
  <c r="T1356" i="1"/>
  <c r="T1389" i="1"/>
  <c r="T1415" i="1"/>
  <c r="T1441" i="1"/>
  <c r="T1474" i="1"/>
  <c r="T1498" i="1"/>
  <c r="T1513" i="1"/>
  <c r="T1531" i="1"/>
  <c r="T1545" i="1"/>
  <c r="T59" i="1"/>
  <c r="T239" i="1"/>
  <c r="T372" i="1"/>
  <c r="T483" i="1"/>
  <c r="T575" i="1"/>
  <c r="T655" i="1"/>
  <c r="T729" i="1"/>
  <c r="T798" i="1"/>
  <c r="T865" i="1"/>
  <c r="T929" i="1"/>
  <c r="T991" i="1"/>
  <c r="T1035" i="1"/>
  <c r="T1079" i="1"/>
  <c r="T1121" i="1"/>
  <c r="T1164" i="1"/>
  <c r="T1203" i="1"/>
  <c r="T1240" i="1"/>
  <c r="T1269" i="1"/>
  <c r="T1305" i="1"/>
  <c r="T1331" i="1"/>
  <c r="T1357" i="1"/>
  <c r="T1390" i="1"/>
  <c r="T1416" i="1"/>
  <c r="T1449" i="1"/>
  <c r="T1475" i="1"/>
  <c r="T1499" i="1"/>
  <c r="T1515" i="1"/>
  <c r="T1532" i="1"/>
  <c r="T1546" i="1"/>
  <c r="T1560" i="1"/>
  <c r="T1572" i="1"/>
  <c r="T1584" i="1"/>
  <c r="T1596" i="1"/>
  <c r="T1608" i="1"/>
  <c r="T1620" i="1"/>
  <c r="T1632" i="1"/>
  <c r="T1644" i="1"/>
  <c r="T1656" i="1"/>
  <c r="T1668" i="1"/>
  <c r="T1680" i="1"/>
  <c r="T1692" i="1"/>
  <c r="T1704" i="1"/>
  <c r="T1716" i="1"/>
  <c r="T1728" i="1"/>
  <c r="T1740" i="1"/>
  <c r="T1752" i="1"/>
  <c r="T1764" i="1"/>
  <c r="T1776" i="1"/>
  <c r="T1788" i="1"/>
  <c r="T1800" i="1"/>
  <c r="T1812" i="1"/>
  <c r="T1824" i="1"/>
  <c r="T1836" i="1"/>
  <c r="T1848" i="1"/>
  <c r="T1860" i="1"/>
  <c r="T1872" i="1"/>
  <c r="T1884" i="1"/>
  <c r="T1896" i="1"/>
  <c r="T1908" i="1"/>
  <c r="T1920" i="1"/>
  <c r="T1932" i="1"/>
  <c r="T1944" i="1"/>
  <c r="T1956" i="1"/>
  <c r="T1968" i="1"/>
  <c r="T1980" i="1"/>
  <c r="T1992" i="1"/>
  <c r="T2004" i="1"/>
  <c r="T2016" i="1"/>
  <c r="T2028" i="1"/>
  <c r="T2040" i="1"/>
  <c r="T2052" i="1"/>
  <c r="T2064" i="1"/>
  <c r="T2076" i="1"/>
  <c r="T2088" i="1"/>
  <c r="T2100" i="1"/>
  <c r="T2112" i="1"/>
  <c r="T2124" i="1"/>
  <c r="T2136" i="1"/>
  <c r="T2148" i="1"/>
  <c r="T2160" i="1"/>
  <c r="T2172" i="1"/>
  <c r="T2184" i="1"/>
  <c r="T2196" i="1"/>
  <c r="T2208" i="1"/>
  <c r="T2220" i="1"/>
  <c r="T2232" i="1"/>
  <c r="T2244" i="1"/>
  <c r="T2256" i="1"/>
  <c r="T2268" i="1"/>
  <c r="T2280" i="1"/>
  <c r="T2292" i="1"/>
  <c r="T2304" i="1"/>
  <c r="T2316" i="1"/>
  <c r="T2328" i="1"/>
  <c r="T2340" i="1"/>
  <c r="T2352" i="1"/>
  <c r="T2364" i="1"/>
  <c r="T2376" i="1"/>
  <c r="T2388" i="1"/>
  <c r="T2400" i="1"/>
  <c r="T2412" i="1"/>
  <c r="T2424" i="1"/>
  <c r="T2436" i="1"/>
  <c r="T2448" i="1"/>
  <c r="T2460" i="1"/>
  <c r="T2472" i="1"/>
  <c r="T2484" i="1"/>
  <c r="T2496" i="1"/>
  <c r="T95" i="1"/>
  <c r="T276" i="1"/>
  <c r="T397" i="1"/>
  <c r="T503" i="1"/>
  <c r="T594" i="1"/>
  <c r="T670" i="1"/>
  <c r="T743" i="1"/>
  <c r="T812" i="1"/>
  <c r="T879" i="1"/>
  <c r="T942" i="1"/>
  <c r="T992" i="1"/>
  <c r="T1036" i="1"/>
  <c r="T1080" i="1"/>
  <c r="T1123" i="1"/>
  <c r="T1165" i="1"/>
  <c r="T1204" i="1"/>
  <c r="T1241" i="1"/>
  <c r="T1270" i="1"/>
  <c r="T1306" i="1"/>
  <c r="T1332" i="1"/>
  <c r="T1365" i="1"/>
  <c r="T1391" i="1"/>
  <c r="T1417" i="1"/>
  <c r="T1450" i="1"/>
  <c r="T1476" i="1"/>
  <c r="T1500" i="1"/>
  <c r="T1516" i="1"/>
  <c r="T1533" i="1"/>
  <c r="T1547" i="1"/>
  <c r="T96" i="1"/>
  <c r="T283" i="1"/>
  <c r="T399" i="1"/>
  <c r="T511" i="1"/>
  <c r="T595" i="1"/>
  <c r="T671" i="1"/>
  <c r="T745" i="1"/>
  <c r="T813" i="1"/>
  <c r="T880" i="1"/>
  <c r="T943" i="1"/>
  <c r="T1004" i="1"/>
  <c r="T1047" i="1"/>
  <c r="T1091" i="1"/>
  <c r="T1133" i="1"/>
  <c r="T1175" i="1"/>
  <c r="T1214" i="1"/>
  <c r="T1243" i="1"/>
  <c r="T1279" i="1"/>
  <c r="T1307" i="1"/>
  <c r="T1333" i="1"/>
  <c r="T1366" i="1"/>
  <c r="T1392" i="1"/>
  <c r="T1425" i="1"/>
  <c r="T1451" i="1"/>
  <c r="T1477" i="1"/>
  <c r="T1501" i="1"/>
  <c r="T1519" i="1"/>
  <c r="T1534" i="1"/>
  <c r="T1548" i="1"/>
  <c r="T107" i="1"/>
  <c r="T284" i="1"/>
  <c r="T403" i="1"/>
  <c r="T512" i="1"/>
  <c r="T596" i="1"/>
  <c r="T672" i="1"/>
  <c r="T747" i="1"/>
  <c r="T815" i="1"/>
  <c r="T881" i="1"/>
  <c r="T944" i="1"/>
  <c r="T1005" i="1"/>
  <c r="T1048" i="1"/>
  <c r="T1092" i="1"/>
  <c r="T1135" i="1"/>
  <c r="T1176" i="1"/>
  <c r="T1215" i="1"/>
  <c r="T1244" i="1"/>
  <c r="T1280" i="1"/>
  <c r="T1308" i="1"/>
  <c r="T1341" i="1"/>
  <c r="T1367" i="1"/>
  <c r="T1393" i="1"/>
  <c r="T1426" i="1"/>
  <c r="T1452" i="1"/>
  <c r="T1479" i="1"/>
  <c r="T1503" i="1"/>
  <c r="T1520" i="1"/>
  <c r="T1535" i="1"/>
  <c r="T1549" i="1"/>
  <c r="T1563" i="1"/>
  <c r="T1575" i="1"/>
  <c r="T1587" i="1"/>
  <c r="T1599" i="1"/>
  <c r="T1611" i="1"/>
  <c r="T1623" i="1"/>
  <c r="T1635" i="1"/>
  <c r="T1647" i="1"/>
  <c r="T1659" i="1"/>
  <c r="T1671" i="1"/>
  <c r="T1683" i="1"/>
  <c r="T1695" i="1"/>
  <c r="T1707" i="1"/>
  <c r="T1719" i="1"/>
  <c r="T1731" i="1"/>
  <c r="T1743" i="1"/>
  <c r="T1755" i="1"/>
  <c r="T1767" i="1"/>
  <c r="T1779" i="1"/>
  <c r="T1791" i="1"/>
  <c r="T1803" i="1"/>
  <c r="T1815" i="1"/>
  <c r="T143" i="1"/>
  <c r="T309" i="1"/>
  <c r="T421" i="1"/>
  <c r="T529" i="1"/>
  <c r="T611" i="1"/>
  <c r="T690" i="1"/>
  <c r="T762" i="1"/>
  <c r="T829" i="1"/>
  <c r="T894" i="1"/>
  <c r="T957" i="1"/>
  <c r="T1006" i="1"/>
  <c r="T1049" i="1"/>
  <c r="T1093" i="1"/>
  <c r="T1137" i="1"/>
  <c r="T1177" i="1"/>
  <c r="T1216" i="1"/>
  <c r="T1252" i="1"/>
  <c r="T1281" i="1"/>
  <c r="T1309" i="1"/>
  <c r="T1342" i="1"/>
  <c r="T1368" i="1"/>
  <c r="T1401" i="1"/>
  <c r="T1427" i="1"/>
  <c r="T1453" i="1"/>
  <c r="T1485" i="1"/>
  <c r="T1504" i="1"/>
  <c r="T1521" i="1"/>
  <c r="T1536" i="1"/>
  <c r="T1551" i="1"/>
  <c r="T1564" i="1"/>
  <c r="T1576" i="1"/>
  <c r="T1588" i="1"/>
  <c r="T1600" i="1"/>
  <c r="T1612" i="1"/>
  <c r="T1624" i="1"/>
  <c r="T1636" i="1"/>
  <c r="T1648" i="1"/>
  <c r="T1660" i="1"/>
  <c r="T1672" i="1"/>
  <c r="T1684" i="1"/>
  <c r="T1696" i="1"/>
  <c r="T1708" i="1"/>
  <c r="T1720" i="1"/>
  <c r="T1732" i="1"/>
  <c r="T1744" i="1"/>
  <c r="T1756" i="1"/>
  <c r="T1768" i="1"/>
  <c r="T1780" i="1"/>
  <c r="T1792" i="1"/>
  <c r="T1804" i="1"/>
  <c r="T1816" i="1"/>
  <c r="T1828" i="1"/>
  <c r="T1840" i="1"/>
  <c r="T1852" i="1"/>
  <c r="T1864" i="1"/>
  <c r="T1876" i="1"/>
  <c r="T1888" i="1"/>
  <c r="T1900" i="1"/>
  <c r="T1912" i="1"/>
  <c r="T1924" i="1"/>
  <c r="T1936" i="1"/>
  <c r="T1948" i="1"/>
  <c r="T1960" i="1"/>
  <c r="T1972" i="1"/>
  <c r="T1984" i="1"/>
  <c r="T1996" i="1"/>
  <c r="T2008" i="1"/>
  <c r="T2020" i="1"/>
  <c r="T2032" i="1"/>
  <c r="T2044" i="1"/>
  <c r="T2056" i="1"/>
  <c r="T2068" i="1"/>
  <c r="T2080" i="1"/>
  <c r="T2092" i="1"/>
  <c r="T2104" i="1"/>
  <c r="T2116" i="1"/>
  <c r="T2128" i="1"/>
  <c r="T2140" i="1"/>
  <c r="T2152" i="1"/>
  <c r="T2164" i="1"/>
  <c r="T2176" i="1"/>
  <c r="T2188" i="1"/>
  <c r="T2200" i="1"/>
  <c r="T2212" i="1"/>
  <c r="T2224" i="1"/>
  <c r="T144" i="1"/>
  <c r="T319" i="1"/>
  <c r="T423" i="1"/>
  <c r="T531" i="1"/>
  <c r="T612" i="1"/>
  <c r="T691" i="1"/>
  <c r="T763" i="1"/>
  <c r="T833" i="1"/>
  <c r="T895" i="1"/>
  <c r="T958" i="1"/>
  <c r="T1007" i="1"/>
  <c r="T1051" i="1"/>
  <c r="T1094" i="1"/>
  <c r="T1138" i="1"/>
  <c r="T1178" i="1"/>
  <c r="T1217" i="1"/>
  <c r="T1253" i="1"/>
  <c r="T1282" i="1"/>
  <c r="T1317" i="1"/>
  <c r="T1343" i="1"/>
  <c r="T1369" i="1"/>
  <c r="T1402" i="1"/>
  <c r="T1428" i="1"/>
  <c r="T1461" i="1"/>
  <c r="T1486" i="1"/>
  <c r="T1507" i="1"/>
  <c r="T1522" i="1"/>
  <c r="T1537" i="1"/>
  <c r="T155" i="1"/>
  <c r="T320" i="1"/>
  <c r="T430" i="1"/>
  <c r="T534" i="1"/>
  <c r="T613" i="1"/>
  <c r="T692" i="1"/>
  <c r="T764" i="1"/>
  <c r="T834" i="1"/>
  <c r="T897" i="1"/>
  <c r="T959" i="1"/>
  <c r="T1019" i="1"/>
  <c r="T1061" i="1"/>
  <c r="T1105" i="1"/>
  <c r="T1149" i="1"/>
  <c r="T1188" i="1"/>
  <c r="T1226" i="1"/>
  <c r="T1255" i="1"/>
  <c r="T1283" i="1"/>
  <c r="T1318" i="1"/>
  <c r="T1344" i="1"/>
  <c r="T1377" i="1"/>
  <c r="T1403" i="1"/>
  <c r="T1429" i="1"/>
  <c r="T1462" i="1"/>
  <c r="T1487" i="1"/>
  <c r="T1508" i="1"/>
  <c r="T1523" i="1"/>
  <c r="T1539" i="1"/>
  <c r="T1554" i="1"/>
  <c r="T1566" i="1"/>
  <c r="T1578" i="1"/>
  <c r="T1590" i="1"/>
  <c r="T192" i="1"/>
  <c r="T191" i="1"/>
  <c r="T632" i="1"/>
  <c r="T912" i="1"/>
  <c r="T1107" i="1"/>
  <c r="T1257" i="1"/>
  <c r="T1379" i="1"/>
  <c r="T1489" i="1"/>
  <c r="T1555" i="1"/>
  <c r="T1574" i="1"/>
  <c r="T1595" i="1"/>
  <c r="T1614" i="1"/>
  <c r="T1631" i="1"/>
  <c r="T1650" i="1"/>
  <c r="T1667" i="1"/>
  <c r="T1686" i="1"/>
  <c r="T1703" i="1"/>
  <c r="T1722" i="1"/>
  <c r="T1739" i="1"/>
  <c r="T1758" i="1"/>
  <c r="T1775" i="1"/>
  <c r="T1794" i="1"/>
  <c r="T1811" i="1"/>
  <c r="T1829" i="1"/>
  <c r="T1844" i="1"/>
  <c r="T1861" i="1"/>
  <c r="T1877" i="1"/>
  <c r="T1892" i="1"/>
  <c r="T1909" i="1"/>
  <c r="T1925" i="1"/>
  <c r="T1940" i="1"/>
  <c r="T1957" i="1"/>
  <c r="T1973" i="1"/>
  <c r="T1988" i="1"/>
  <c r="T2005" i="1"/>
  <c r="T2021" i="1"/>
  <c r="T2036" i="1"/>
  <c r="T2053" i="1"/>
  <c r="T2069" i="1"/>
  <c r="T2084" i="1"/>
  <c r="T2101" i="1"/>
  <c r="T2117" i="1"/>
  <c r="T2132" i="1"/>
  <c r="T2149" i="1"/>
  <c r="T2165" i="1"/>
  <c r="T2180" i="1"/>
  <c r="T2197" i="1"/>
  <c r="T2213" i="1"/>
  <c r="T2228" i="1"/>
  <c r="T2243" i="1"/>
  <c r="T2258" i="1"/>
  <c r="T2272" i="1"/>
  <c r="T2286" i="1"/>
  <c r="T2300" i="1"/>
  <c r="T2315" i="1"/>
  <c r="T2330" i="1"/>
  <c r="T2344" i="1"/>
  <c r="T2358" i="1"/>
  <c r="T2372" i="1"/>
  <c r="T2387" i="1"/>
  <c r="T2402" i="1"/>
  <c r="T2416" i="1"/>
  <c r="T2430" i="1"/>
  <c r="T2444" i="1"/>
  <c r="T2459" i="1"/>
  <c r="T2473" i="1"/>
  <c r="T2486" i="1"/>
  <c r="T2499" i="1"/>
  <c r="T2511" i="1"/>
  <c r="T2523" i="1"/>
  <c r="T2535" i="1"/>
  <c r="T2547" i="1"/>
  <c r="T2559" i="1"/>
  <c r="T2571" i="1"/>
  <c r="T2583" i="1"/>
  <c r="T2595" i="1"/>
  <c r="T2607" i="1"/>
  <c r="T2619" i="1"/>
  <c r="T2631" i="1"/>
  <c r="T2643" i="1"/>
  <c r="T2655" i="1"/>
  <c r="T2667" i="1"/>
  <c r="T2679" i="1"/>
  <c r="T2691" i="1"/>
  <c r="T2703" i="1"/>
  <c r="T203" i="1"/>
  <c r="T634" i="1"/>
  <c r="T913" i="1"/>
  <c r="T1108" i="1"/>
  <c r="T1265" i="1"/>
  <c r="T1380" i="1"/>
  <c r="T1491" i="1"/>
  <c r="T1556" i="1"/>
  <c r="T1577" i="1"/>
  <c r="T1597" i="1"/>
  <c r="T1615" i="1"/>
  <c r="T1633" i="1"/>
  <c r="T1651" i="1"/>
  <c r="T1669" i="1"/>
  <c r="T1687" i="1"/>
  <c r="T1705" i="1"/>
  <c r="T1723" i="1"/>
  <c r="T1741" i="1"/>
  <c r="T1759" i="1"/>
  <c r="T1777" i="1"/>
  <c r="T1795" i="1"/>
  <c r="T1813" i="1"/>
  <c r="T1830" i="1"/>
  <c r="T1845" i="1"/>
  <c r="T1862" i="1"/>
  <c r="T1878" i="1"/>
  <c r="T1893" i="1"/>
  <c r="T1910" i="1"/>
  <c r="T1926" i="1"/>
  <c r="T1941" i="1"/>
  <c r="T1958" i="1"/>
  <c r="T1974" i="1"/>
  <c r="T1989" i="1"/>
  <c r="T2006" i="1"/>
  <c r="T2022" i="1"/>
  <c r="T2037" i="1"/>
  <c r="T2054" i="1"/>
  <c r="T2070" i="1"/>
  <c r="T2085" i="1"/>
  <c r="T2102" i="1"/>
  <c r="T2118" i="1"/>
  <c r="T2133" i="1"/>
  <c r="T2150" i="1"/>
  <c r="T2166" i="1"/>
  <c r="T2181" i="1"/>
  <c r="T2198" i="1"/>
  <c r="T2214" i="1"/>
  <c r="T2229" i="1"/>
  <c r="T2245" i="1"/>
  <c r="T2259" i="1"/>
  <c r="T2273" i="1"/>
  <c r="T2287" i="1"/>
  <c r="T2301" i="1"/>
  <c r="T2317" i="1"/>
  <c r="T2331" i="1"/>
  <c r="T2345" i="1"/>
  <c r="T2359" i="1"/>
  <c r="T2373" i="1"/>
  <c r="T2389" i="1"/>
  <c r="T2403" i="1"/>
  <c r="T2417" i="1"/>
  <c r="T2431" i="1"/>
  <c r="T2445" i="1"/>
  <c r="T2461" i="1"/>
  <c r="T2474" i="1"/>
  <c r="T2487" i="1"/>
  <c r="T2500" i="1"/>
  <c r="T2512" i="1"/>
  <c r="T2524" i="1"/>
  <c r="T2536" i="1"/>
  <c r="T2548" i="1"/>
  <c r="T2560" i="1"/>
  <c r="T2572" i="1"/>
  <c r="T2584" i="1"/>
  <c r="T2596" i="1"/>
  <c r="T2608" i="1"/>
  <c r="T2620" i="1"/>
  <c r="T2632" i="1"/>
  <c r="T2644" i="1"/>
  <c r="T2656" i="1"/>
  <c r="T2668" i="1"/>
  <c r="T2680" i="1"/>
  <c r="T2692" i="1"/>
  <c r="T2704" i="1"/>
  <c r="T2716" i="1"/>
  <c r="T342" i="1"/>
  <c r="T707" i="1"/>
  <c r="T972" i="1"/>
  <c r="T1150" i="1"/>
  <c r="T1292" i="1"/>
  <c r="T1404" i="1"/>
  <c r="T1509" i="1"/>
  <c r="T1557" i="1"/>
  <c r="T1579" i="1"/>
  <c r="T1598" i="1"/>
  <c r="T1616" i="1"/>
  <c r="T1634" i="1"/>
  <c r="T1652" i="1"/>
  <c r="T1670" i="1"/>
  <c r="T1688" i="1"/>
  <c r="T1706" i="1"/>
  <c r="T1724" i="1"/>
  <c r="T1742" i="1"/>
  <c r="T1760" i="1"/>
  <c r="T1778" i="1"/>
  <c r="T1796" i="1"/>
  <c r="T1814" i="1"/>
  <c r="T1831" i="1"/>
  <c r="T1847" i="1"/>
  <c r="T1863" i="1"/>
  <c r="T1879" i="1"/>
  <c r="T1895" i="1"/>
  <c r="T1911" i="1"/>
  <c r="T1927" i="1"/>
  <c r="T1943" i="1"/>
  <c r="T1959" i="1"/>
  <c r="T1975" i="1"/>
  <c r="T1991" i="1"/>
  <c r="T2007" i="1"/>
  <c r="T2023" i="1"/>
  <c r="T2039" i="1"/>
  <c r="T2055" i="1"/>
  <c r="T2071" i="1"/>
  <c r="T2087" i="1"/>
  <c r="T2103" i="1"/>
  <c r="T2119" i="1"/>
  <c r="T2135" i="1"/>
  <c r="T2151" i="1"/>
  <c r="T2167" i="1"/>
  <c r="T2183" i="1"/>
  <c r="T2199" i="1"/>
  <c r="T2215" i="1"/>
  <c r="T2231" i="1"/>
  <c r="T2246" i="1"/>
  <c r="T2260" i="1"/>
  <c r="T2274" i="1"/>
  <c r="T2288" i="1"/>
  <c r="T2303" i="1"/>
  <c r="T2318" i="1"/>
  <c r="T2332" i="1"/>
  <c r="T2346" i="1"/>
  <c r="T2360" i="1"/>
  <c r="T2375" i="1"/>
  <c r="T2390" i="1"/>
  <c r="T2404" i="1"/>
  <c r="T2418" i="1"/>
  <c r="T2432" i="1"/>
  <c r="T2447" i="1"/>
  <c r="T2462" i="1"/>
  <c r="T2475" i="1"/>
  <c r="T2488" i="1"/>
  <c r="T2501" i="1"/>
  <c r="T2513" i="1"/>
  <c r="T2525" i="1"/>
  <c r="T2537" i="1"/>
  <c r="T2549" i="1"/>
  <c r="T2561" i="1"/>
  <c r="T2573" i="1"/>
  <c r="T2585" i="1"/>
  <c r="T2597" i="1"/>
  <c r="T2609" i="1"/>
  <c r="T2621" i="1"/>
  <c r="T2633" i="1"/>
  <c r="T2645" i="1"/>
  <c r="T2657" i="1"/>
  <c r="T2669" i="1"/>
  <c r="T2681" i="1"/>
  <c r="T343" i="1"/>
  <c r="T708" i="1"/>
  <c r="T973" i="1"/>
  <c r="T1151" i="1"/>
  <c r="T1293" i="1"/>
  <c r="T1405" i="1"/>
  <c r="T1510" i="1"/>
  <c r="T1559" i="1"/>
  <c r="T1580" i="1"/>
  <c r="T1601" i="1"/>
  <c r="T1617" i="1"/>
  <c r="T1637" i="1"/>
  <c r="T1653" i="1"/>
  <c r="T1673" i="1"/>
  <c r="T1689" i="1"/>
  <c r="T1709" i="1"/>
  <c r="T1725" i="1"/>
  <c r="T1745" i="1"/>
  <c r="T1761" i="1"/>
  <c r="T1781" i="1"/>
  <c r="T1797" i="1"/>
  <c r="T1817" i="1"/>
  <c r="T1832" i="1"/>
  <c r="T1849" i="1"/>
  <c r="T1865" i="1"/>
  <c r="T1880" i="1"/>
  <c r="T1897" i="1"/>
  <c r="T1913" i="1"/>
  <c r="T1928" i="1"/>
  <c r="T1945" i="1"/>
  <c r="T1961" i="1"/>
  <c r="T1976" i="1"/>
  <c r="T1993" i="1"/>
  <c r="T2009" i="1"/>
  <c r="T2024" i="1"/>
  <c r="T2041" i="1"/>
  <c r="T2057" i="1"/>
  <c r="T2072" i="1"/>
  <c r="T2089" i="1"/>
  <c r="T2105" i="1"/>
  <c r="T2120" i="1"/>
  <c r="T2137" i="1"/>
  <c r="T2153" i="1"/>
  <c r="T2168" i="1"/>
  <c r="T2185" i="1"/>
  <c r="T2201" i="1"/>
  <c r="T2216" i="1"/>
  <c r="T2233" i="1"/>
  <c r="T2247" i="1"/>
  <c r="T2261" i="1"/>
  <c r="T2275" i="1"/>
  <c r="T2289" i="1"/>
  <c r="T2305" i="1"/>
  <c r="T2319" i="1"/>
  <c r="T2333" i="1"/>
  <c r="T2347" i="1"/>
  <c r="T2361" i="1"/>
  <c r="T2377" i="1"/>
  <c r="T2391" i="1"/>
  <c r="T2405" i="1"/>
  <c r="T2419" i="1"/>
  <c r="T2433" i="1"/>
  <c r="T2449" i="1"/>
  <c r="T2463" i="1"/>
  <c r="T2476" i="1"/>
  <c r="T2489" i="1"/>
  <c r="T2502" i="1"/>
  <c r="T2514" i="1"/>
  <c r="T2526" i="1"/>
  <c r="T2538" i="1"/>
  <c r="T2550" i="1"/>
  <c r="T2562" i="1"/>
  <c r="T2574" i="1"/>
  <c r="T2586" i="1"/>
  <c r="T2598" i="1"/>
  <c r="T2610" i="1"/>
  <c r="T2622" i="1"/>
  <c r="T2634" i="1"/>
  <c r="T2646" i="1"/>
  <c r="T2658" i="1"/>
  <c r="T2670" i="1"/>
  <c r="T2682" i="1"/>
  <c r="T2694" i="1"/>
  <c r="T2706" i="1"/>
  <c r="T2718" i="1"/>
  <c r="T2730" i="1"/>
  <c r="T344" i="1"/>
  <c r="T709" i="1"/>
  <c r="T976" i="1"/>
  <c r="T1152" i="1"/>
  <c r="T1294" i="1"/>
  <c r="T1413" i="1"/>
  <c r="T1511" i="1"/>
  <c r="T1561" i="1"/>
  <c r="T1581" i="1"/>
  <c r="T1602" i="1"/>
  <c r="T1619" i="1"/>
  <c r="T1638" i="1"/>
  <c r="T1655" i="1"/>
  <c r="T1674" i="1"/>
  <c r="T1691" i="1"/>
  <c r="T1710" i="1"/>
  <c r="T1727" i="1"/>
  <c r="T1746" i="1"/>
  <c r="T1763" i="1"/>
  <c r="T1782" i="1"/>
  <c r="T1799" i="1"/>
  <c r="T1818" i="1"/>
  <c r="T1833" i="1"/>
  <c r="T1850" i="1"/>
  <c r="T1866" i="1"/>
  <c r="T1881" i="1"/>
  <c r="T1898" i="1"/>
  <c r="T1914" i="1"/>
  <c r="T1929" i="1"/>
  <c r="T1946" i="1"/>
  <c r="T1962" i="1"/>
  <c r="T1977" i="1"/>
  <c r="T1994" i="1"/>
  <c r="T2010" i="1"/>
  <c r="T2025" i="1"/>
  <c r="T2042" i="1"/>
  <c r="T2058" i="1"/>
  <c r="T2073" i="1"/>
  <c r="T2090" i="1"/>
  <c r="T2106" i="1"/>
  <c r="T2121" i="1"/>
  <c r="T2138" i="1"/>
  <c r="T2154" i="1"/>
  <c r="T2169" i="1"/>
  <c r="T2186" i="1"/>
  <c r="T2202" i="1"/>
  <c r="T2217" i="1"/>
  <c r="T2234" i="1"/>
  <c r="T2248" i="1"/>
  <c r="T2262" i="1"/>
  <c r="T2276" i="1"/>
  <c r="T2291" i="1"/>
  <c r="T2306" i="1"/>
  <c r="T2320" i="1"/>
  <c r="T2334" i="1"/>
  <c r="T2348" i="1"/>
  <c r="T2363" i="1"/>
  <c r="T2378" i="1"/>
  <c r="T2392" i="1"/>
  <c r="T2406" i="1"/>
  <c r="T2420" i="1"/>
  <c r="T2435" i="1"/>
  <c r="T2450" i="1"/>
  <c r="T2464" i="1"/>
  <c r="T2477" i="1"/>
  <c r="T2490" i="1"/>
  <c r="T2503" i="1"/>
  <c r="T2515" i="1"/>
  <c r="T2527" i="1"/>
  <c r="T2539" i="1"/>
  <c r="T2551" i="1"/>
  <c r="T2563" i="1"/>
  <c r="T2575" i="1"/>
  <c r="T2587" i="1"/>
  <c r="T2599" i="1"/>
  <c r="T2611" i="1"/>
  <c r="T2623" i="1"/>
  <c r="T2635" i="1"/>
  <c r="T2647" i="1"/>
  <c r="T2659" i="1"/>
  <c r="T2671" i="1"/>
  <c r="T2683" i="1"/>
  <c r="T2695" i="1"/>
  <c r="T2707" i="1"/>
  <c r="T2719" i="1"/>
  <c r="T452" i="1"/>
  <c r="T778" i="1"/>
  <c r="T1020" i="1"/>
  <c r="T1189" i="1"/>
  <c r="T1319" i="1"/>
  <c r="T1437" i="1"/>
  <c r="T1524" i="1"/>
  <c r="T1562" i="1"/>
  <c r="T1583" i="1"/>
  <c r="T1603" i="1"/>
  <c r="T1621" i="1"/>
  <c r="T1639" i="1"/>
  <c r="T1657" i="1"/>
  <c r="T1675" i="1"/>
  <c r="T1693" i="1"/>
  <c r="T1711" i="1"/>
  <c r="T1729" i="1"/>
  <c r="T1747" i="1"/>
  <c r="T1765" i="1"/>
  <c r="T1783" i="1"/>
  <c r="T1801" i="1"/>
  <c r="T1819" i="1"/>
  <c r="T1835" i="1"/>
  <c r="T1851" i="1"/>
  <c r="T1867" i="1"/>
  <c r="T1883" i="1"/>
  <c r="T1899" i="1"/>
  <c r="T1915" i="1"/>
  <c r="T1931" i="1"/>
  <c r="T1947" i="1"/>
  <c r="T1963" i="1"/>
  <c r="T1979" i="1"/>
  <c r="T1995" i="1"/>
  <c r="T2011" i="1"/>
  <c r="T2027" i="1"/>
  <c r="T2043" i="1"/>
  <c r="T2059" i="1"/>
  <c r="T2075" i="1"/>
  <c r="T2091" i="1"/>
  <c r="T2107" i="1"/>
  <c r="T2123" i="1"/>
  <c r="T2139" i="1"/>
  <c r="T2155" i="1"/>
  <c r="T2171" i="1"/>
  <c r="T2187" i="1"/>
  <c r="T2203" i="1"/>
  <c r="T2219" i="1"/>
  <c r="T2235" i="1"/>
  <c r="T2249" i="1"/>
  <c r="T2263" i="1"/>
  <c r="T2277" i="1"/>
  <c r="T2293" i="1"/>
  <c r="T2307" i="1"/>
  <c r="T2321" i="1"/>
  <c r="T2335" i="1"/>
  <c r="T2349" i="1"/>
  <c r="T2365" i="1"/>
  <c r="T2379" i="1"/>
  <c r="T2393" i="1"/>
  <c r="T2407" i="1"/>
  <c r="T2421" i="1"/>
  <c r="T2437" i="1"/>
  <c r="T2451" i="1"/>
  <c r="T2465" i="1"/>
  <c r="T2478" i="1"/>
  <c r="T2491" i="1"/>
  <c r="T2504" i="1"/>
  <c r="T2516" i="1"/>
  <c r="T2528" i="1"/>
  <c r="T2540" i="1"/>
  <c r="T2552" i="1"/>
  <c r="T2564" i="1"/>
  <c r="T2576" i="1"/>
  <c r="T2588" i="1"/>
  <c r="T2600" i="1"/>
  <c r="T2612" i="1"/>
  <c r="T2624" i="1"/>
  <c r="T2636" i="1"/>
  <c r="T2648" i="1"/>
  <c r="T2660" i="1"/>
  <c r="T2672" i="1"/>
  <c r="T2684" i="1"/>
  <c r="T453" i="1"/>
  <c r="T779" i="1"/>
  <c r="T1021" i="1"/>
  <c r="T1190" i="1"/>
  <c r="T1320" i="1"/>
  <c r="T1438" i="1"/>
  <c r="T1525" i="1"/>
  <c r="T1565" i="1"/>
  <c r="T1585" i="1"/>
  <c r="T1604" i="1"/>
  <c r="T1622" i="1"/>
  <c r="T1640" i="1"/>
  <c r="T1658" i="1"/>
  <c r="T1676" i="1"/>
  <c r="T1694" i="1"/>
  <c r="T1712" i="1"/>
  <c r="T1730" i="1"/>
  <c r="T1748" i="1"/>
  <c r="T1766" i="1"/>
  <c r="T1784" i="1"/>
  <c r="T1802" i="1"/>
  <c r="T1820" i="1"/>
  <c r="T1837" i="1"/>
  <c r="T1853" i="1"/>
  <c r="T1868" i="1"/>
  <c r="T1885" i="1"/>
  <c r="T1901" i="1"/>
  <c r="T1916" i="1"/>
  <c r="T1933" i="1"/>
  <c r="T1949" i="1"/>
  <c r="T1964" i="1"/>
  <c r="T1981" i="1"/>
  <c r="T1997" i="1"/>
  <c r="T2012" i="1"/>
  <c r="T2029" i="1"/>
  <c r="T2045" i="1"/>
  <c r="T2060" i="1"/>
  <c r="T2077" i="1"/>
  <c r="T2093" i="1"/>
  <c r="T2108" i="1"/>
  <c r="T2125" i="1"/>
  <c r="T2141" i="1"/>
  <c r="T2156" i="1"/>
  <c r="T2173" i="1"/>
  <c r="T2189" i="1"/>
  <c r="T2204" i="1"/>
  <c r="T2221" i="1"/>
  <c r="T2236" i="1"/>
  <c r="T2250" i="1"/>
  <c r="T2264" i="1"/>
  <c r="T2279" i="1"/>
  <c r="T2294" i="1"/>
  <c r="T2308" i="1"/>
  <c r="T2322" i="1"/>
  <c r="T2336" i="1"/>
  <c r="T2351" i="1"/>
  <c r="T2366" i="1"/>
  <c r="T2380" i="1"/>
  <c r="T2394" i="1"/>
  <c r="T2408" i="1"/>
  <c r="T2423" i="1"/>
  <c r="T2438" i="1"/>
  <c r="T2452" i="1"/>
  <c r="T2466" i="1"/>
  <c r="T2479" i="1"/>
  <c r="T2492" i="1"/>
  <c r="T2505" i="1"/>
  <c r="T2517" i="1"/>
  <c r="T2529" i="1"/>
  <c r="T2541" i="1"/>
  <c r="T2553" i="1"/>
  <c r="T2565" i="1"/>
  <c r="T2577" i="1"/>
  <c r="T2589" i="1"/>
  <c r="T2601" i="1"/>
  <c r="T2613" i="1"/>
  <c r="T2625" i="1"/>
  <c r="T2637" i="1"/>
  <c r="T2649" i="1"/>
  <c r="T2661" i="1"/>
  <c r="T2673" i="1"/>
  <c r="T2685" i="1"/>
  <c r="T454" i="1"/>
  <c r="T780" i="1"/>
  <c r="T1022" i="1"/>
  <c r="T1191" i="1"/>
  <c r="T1321" i="1"/>
  <c r="T1439" i="1"/>
  <c r="T1527" i="1"/>
  <c r="T1567" i="1"/>
  <c r="T1586" i="1"/>
  <c r="T1605" i="1"/>
  <c r="T1625" i="1"/>
  <c r="T1641" i="1"/>
  <c r="T1661" i="1"/>
  <c r="T1677" i="1"/>
  <c r="T1697" i="1"/>
  <c r="T1713" i="1"/>
  <c r="T1733" i="1"/>
  <c r="T1749" i="1"/>
  <c r="T1769" i="1"/>
  <c r="T1785" i="1"/>
  <c r="T1805" i="1"/>
  <c r="T1821" i="1"/>
  <c r="T1838" i="1"/>
  <c r="T1854" i="1"/>
  <c r="T1869" i="1"/>
  <c r="T1886" i="1"/>
  <c r="T1902" i="1"/>
  <c r="T1917" i="1"/>
  <c r="T1934" i="1"/>
  <c r="T1950" i="1"/>
  <c r="T1965" i="1"/>
  <c r="T1982" i="1"/>
  <c r="T1998" i="1"/>
  <c r="T2013" i="1"/>
  <c r="T2030" i="1"/>
  <c r="T2046" i="1"/>
  <c r="T2061" i="1"/>
  <c r="T2078" i="1"/>
  <c r="T2094" i="1"/>
  <c r="T2109" i="1"/>
  <c r="T2126" i="1"/>
  <c r="T2142" i="1"/>
  <c r="T2157" i="1"/>
  <c r="T2174" i="1"/>
  <c r="T2190" i="1"/>
  <c r="T2205" i="1"/>
  <c r="T2222" i="1"/>
  <c r="T2237" i="1"/>
  <c r="T2251" i="1"/>
  <c r="T2265" i="1"/>
  <c r="T2281" i="1"/>
  <c r="T2295" i="1"/>
  <c r="T2309" i="1"/>
  <c r="T2323" i="1"/>
  <c r="T2337" i="1"/>
  <c r="T2353" i="1"/>
  <c r="T2367" i="1"/>
  <c r="T2381" i="1"/>
  <c r="T2395" i="1"/>
  <c r="T2409" i="1"/>
  <c r="T2425" i="1"/>
  <c r="T2439" i="1"/>
  <c r="T2453" i="1"/>
  <c r="T2467" i="1"/>
  <c r="T2480" i="1"/>
  <c r="T550" i="1"/>
  <c r="T848" i="1"/>
  <c r="T1063" i="1"/>
  <c r="T1227" i="1"/>
  <c r="T1345" i="1"/>
  <c r="T1463" i="1"/>
  <c r="T1540" i="1"/>
  <c r="T1568" i="1"/>
  <c r="T1589" i="1"/>
  <c r="T1607" i="1"/>
  <c r="T1626" i="1"/>
  <c r="T1643" i="1"/>
  <c r="T1662" i="1"/>
  <c r="T1679" i="1"/>
  <c r="T1698" i="1"/>
  <c r="T1715" i="1"/>
  <c r="T1734" i="1"/>
  <c r="T1751" i="1"/>
  <c r="T1770" i="1"/>
  <c r="T1787" i="1"/>
  <c r="T1806" i="1"/>
  <c r="T1823" i="1"/>
  <c r="T1839" i="1"/>
  <c r="T1855" i="1"/>
  <c r="T1871" i="1"/>
  <c r="T1887" i="1"/>
  <c r="T1903" i="1"/>
  <c r="T1919" i="1"/>
  <c r="T1935" i="1"/>
  <c r="T1951" i="1"/>
  <c r="T1967" i="1"/>
  <c r="T1983" i="1"/>
  <c r="T1999" i="1"/>
  <c r="T2015" i="1"/>
  <c r="T2031" i="1"/>
  <c r="T2047" i="1"/>
  <c r="T2063" i="1"/>
  <c r="T2079" i="1"/>
  <c r="T2095" i="1"/>
  <c r="T2111" i="1"/>
  <c r="T2127" i="1"/>
  <c r="T2143" i="1"/>
  <c r="T2159" i="1"/>
  <c r="T2175" i="1"/>
  <c r="T2191" i="1"/>
  <c r="T2207" i="1"/>
  <c r="T2223" i="1"/>
  <c r="T2238" i="1"/>
  <c r="T2252" i="1"/>
  <c r="T2267" i="1"/>
  <c r="T2282" i="1"/>
  <c r="T2296" i="1"/>
  <c r="T2310" i="1"/>
  <c r="T2324" i="1"/>
  <c r="T2339" i="1"/>
  <c r="T2354" i="1"/>
  <c r="T2368" i="1"/>
  <c r="T2382" i="1"/>
  <c r="T2396" i="1"/>
  <c r="T2411" i="1"/>
  <c r="T2426" i="1"/>
  <c r="T2440" i="1"/>
  <c r="T2454" i="1"/>
  <c r="T2468" i="1"/>
  <c r="T2481" i="1"/>
  <c r="T2494" i="1"/>
  <c r="T2507" i="1"/>
  <c r="T2519" i="1"/>
  <c r="T2531" i="1"/>
  <c r="T2543" i="1"/>
  <c r="T2555" i="1"/>
  <c r="T2567" i="1"/>
  <c r="T2579" i="1"/>
  <c r="T2591" i="1"/>
  <c r="T2603" i="1"/>
  <c r="T2615" i="1"/>
  <c r="T2627" i="1"/>
  <c r="T2639" i="1"/>
  <c r="T2651" i="1"/>
  <c r="T2663" i="1"/>
  <c r="T2675" i="1"/>
  <c r="T2687" i="1"/>
  <c r="T551" i="1"/>
  <c r="T1353" i="1"/>
  <c r="T1591" i="1"/>
  <c r="T1663" i="1"/>
  <c r="T1735" i="1"/>
  <c r="T1807" i="1"/>
  <c r="T1873" i="1"/>
  <c r="T1937" i="1"/>
  <c r="T2000" i="1"/>
  <c r="T2065" i="1"/>
  <c r="T2129" i="1"/>
  <c r="T2192" i="1"/>
  <c r="T2253" i="1"/>
  <c r="T2311" i="1"/>
  <c r="T2369" i="1"/>
  <c r="T2427" i="1"/>
  <c r="T2482" i="1"/>
  <c r="T2520" i="1"/>
  <c r="T2556" i="1"/>
  <c r="T2592" i="1"/>
  <c r="T2628" i="1"/>
  <c r="T2664" i="1"/>
  <c r="T2696" i="1"/>
  <c r="T2712" i="1"/>
  <c r="T2727" i="1"/>
  <c r="T2740" i="1"/>
  <c r="T2752" i="1"/>
  <c r="T2764" i="1"/>
  <c r="T2776" i="1"/>
  <c r="T2788" i="1"/>
  <c r="T2800" i="1"/>
  <c r="T2812" i="1"/>
  <c r="T2824" i="1"/>
  <c r="T2836" i="1"/>
  <c r="T2848" i="1"/>
  <c r="T2860" i="1"/>
  <c r="T2872" i="1"/>
  <c r="T2884" i="1"/>
  <c r="T2896" i="1"/>
  <c r="T2908" i="1"/>
  <c r="T2920" i="1"/>
  <c r="T2932" i="1"/>
  <c r="T2944" i="1"/>
  <c r="T2956" i="1"/>
  <c r="T2968" i="1"/>
  <c r="T2980" i="1"/>
  <c r="T2992" i="1"/>
  <c r="T3004" i="1"/>
  <c r="T3016" i="1"/>
  <c r="T3028" i="1"/>
  <c r="T3040" i="1"/>
  <c r="T3052" i="1"/>
  <c r="T3064" i="1"/>
  <c r="T3076" i="1"/>
  <c r="T3088" i="1"/>
  <c r="T3100" i="1"/>
  <c r="T3112" i="1"/>
  <c r="T3124" i="1"/>
  <c r="T3136" i="1"/>
  <c r="T3148" i="1"/>
  <c r="T3160" i="1"/>
  <c r="T3172" i="1"/>
  <c r="T3184" i="1"/>
  <c r="T3196" i="1"/>
  <c r="T3208" i="1"/>
  <c r="T3220" i="1"/>
  <c r="T3232" i="1"/>
  <c r="T3244" i="1"/>
  <c r="T3256" i="1"/>
  <c r="T3268" i="1"/>
  <c r="T3280" i="1"/>
  <c r="T3292" i="1"/>
  <c r="T3304" i="1"/>
  <c r="T3316" i="1"/>
  <c r="T3328" i="1"/>
  <c r="T3340" i="1"/>
  <c r="T3352" i="1"/>
  <c r="T3364" i="1"/>
  <c r="T3376" i="1"/>
  <c r="T3388" i="1"/>
  <c r="T3400" i="1"/>
  <c r="T3412" i="1"/>
  <c r="T3424" i="1"/>
  <c r="T3436" i="1"/>
  <c r="T3448" i="1"/>
  <c r="T3460" i="1"/>
  <c r="T3472" i="1"/>
  <c r="T3484" i="1"/>
  <c r="T3496" i="1"/>
  <c r="T553" i="1"/>
  <c r="T1354" i="1"/>
  <c r="T1592" i="1"/>
  <c r="T1664" i="1"/>
  <c r="T1736" i="1"/>
  <c r="T1808" i="1"/>
  <c r="T1874" i="1"/>
  <c r="T1938" i="1"/>
  <c r="T2001" i="1"/>
  <c r="T2066" i="1"/>
  <c r="T2130" i="1"/>
  <c r="T2193" i="1"/>
  <c r="T2255" i="1"/>
  <c r="T2312" i="1"/>
  <c r="T2370" i="1"/>
  <c r="T2428" i="1"/>
  <c r="T2483" i="1"/>
  <c r="T2521" i="1"/>
  <c r="T2557" i="1"/>
  <c r="T2593" i="1"/>
  <c r="T2629" i="1"/>
  <c r="T2665" i="1"/>
  <c r="T2697" i="1"/>
  <c r="T2713" i="1"/>
  <c r="T2728" i="1"/>
  <c r="T2741" i="1"/>
  <c r="T2753" i="1"/>
  <c r="T2765" i="1"/>
  <c r="T2777" i="1"/>
  <c r="T2789" i="1"/>
  <c r="T2801" i="1"/>
  <c r="T2813" i="1"/>
  <c r="T2825" i="1"/>
  <c r="T2837" i="1"/>
  <c r="T2849" i="1"/>
  <c r="T2861" i="1"/>
  <c r="T2873" i="1"/>
  <c r="T2885" i="1"/>
  <c r="T2897" i="1"/>
  <c r="T2909" i="1"/>
  <c r="T2921" i="1"/>
  <c r="T2933" i="1"/>
  <c r="T2945" i="1"/>
  <c r="T2957" i="1"/>
  <c r="T2969" i="1"/>
  <c r="T2981" i="1"/>
  <c r="T2993" i="1"/>
  <c r="T3005" i="1"/>
  <c r="T3017" i="1"/>
  <c r="T3029" i="1"/>
  <c r="T3041" i="1"/>
  <c r="T3053" i="1"/>
  <c r="T3065" i="1"/>
  <c r="T3077" i="1"/>
  <c r="T3089" i="1"/>
  <c r="T3101" i="1"/>
  <c r="T3113" i="1"/>
  <c r="T3125" i="1"/>
  <c r="T3137" i="1"/>
  <c r="T3149" i="1"/>
  <c r="T3161" i="1"/>
  <c r="T3173" i="1"/>
  <c r="T3185" i="1"/>
  <c r="T3197" i="1"/>
  <c r="T3209" i="1"/>
  <c r="T3221" i="1"/>
  <c r="T3233" i="1"/>
  <c r="T3245" i="1"/>
  <c r="T3257" i="1"/>
  <c r="T3269" i="1"/>
  <c r="T3281" i="1"/>
  <c r="T3293" i="1"/>
  <c r="T3305" i="1"/>
  <c r="T3317" i="1"/>
  <c r="T3329" i="1"/>
  <c r="T3341" i="1"/>
  <c r="T3353" i="1"/>
  <c r="T3365" i="1"/>
  <c r="T3377" i="1"/>
  <c r="T3389" i="1"/>
  <c r="T3401" i="1"/>
  <c r="T3413" i="1"/>
  <c r="T3425" i="1"/>
  <c r="T3437" i="1"/>
  <c r="T3449" i="1"/>
  <c r="T3461" i="1"/>
  <c r="T631" i="1"/>
  <c r="T1378" i="1"/>
  <c r="T1593" i="1"/>
  <c r="T1665" i="1"/>
  <c r="T1737" i="1"/>
  <c r="T1809" i="1"/>
  <c r="T1875" i="1"/>
  <c r="T1939" i="1"/>
  <c r="T2003" i="1"/>
  <c r="T2067" i="1"/>
  <c r="T2131" i="1"/>
  <c r="T2195" i="1"/>
  <c r="T2257" i="1"/>
  <c r="T2313" i="1"/>
  <c r="T2371" i="1"/>
  <c r="T2429" i="1"/>
  <c r="T2485" i="1"/>
  <c r="T2522" i="1"/>
  <c r="T2558" i="1"/>
  <c r="T2594" i="1"/>
  <c r="T2630" i="1"/>
  <c r="T2666" i="1"/>
  <c r="T2698" i="1"/>
  <c r="T2714" i="1"/>
  <c r="T2729" i="1"/>
  <c r="T2742" i="1"/>
  <c r="T2754" i="1"/>
  <c r="T2766" i="1"/>
  <c r="T2778" i="1"/>
  <c r="T2790" i="1"/>
  <c r="T2802" i="1"/>
  <c r="T2814" i="1"/>
  <c r="T2826" i="1"/>
  <c r="T2838" i="1"/>
  <c r="T2850" i="1"/>
  <c r="T2862" i="1"/>
  <c r="T2874" i="1"/>
  <c r="T2886" i="1"/>
  <c r="T2898" i="1"/>
  <c r="T2910" i="1"/>
  <c r="T2922" i="1"/>
  <c r="T2934" i="1"/>
  <c r="T2946" i="1"/>
  <c r="T2958" i="1"/>
  <c r="T2970" i="1"/>
  <c r="T2982" i="1"/>
  <c r="T2994" i="1"/>
  <c r="T3006" i="1"/>
  <c r="T3018" i="1"/>
  <c r="T3030" i="1"/>
  <c r="T3042" i="1"/>
  <c r="T3054" i="1"/>
  <c r="T3066" i="1"/>
  <c r="T3078" i="1"/>
  <c r="T3090" i="1"/>
  <c r="T3102" i="1"/>
  <c r="T3114" i="1"/>
  <c r="T3126" i="1"/>
  <c r="T3138" i="1"/>
  <c r="T3150" i="1"/>
  <c r="T3162" i="1"/>
  <c r="T3174" i="1"/>
  <c r="T3186" i="1"/>
  <c r="T3198" i="1"/>
  <c r="T3210" i="1"/>
  <c r="T3222" i="1"/>
  <c r="T3234" i="1"/>
  <c r="T3246" i="1"/>
  <c r="T3258" i="1"/>
  <c r="T3270" i="1"/>
  <c r="T3282" i="1"/>
  <c r="T3294" i="1"/>
  <c r="T3306" i="1"/>
  <c r="T3318" i="1"/>
  <c r="T3330" i="1"/>
  <c r="T3342" i="1"/>
  <c r="T3354" i="1"/>
  <c r="T3366" i="1"/>
  <c r="T3378" i="1"/>
  <c r="T3390" i="1"/>
  <c r="T3402" i="1"/>
  <c r="T3414" i="1"/>
  <c r="T3426" i="1"/>
  <c r="T3438" i="1"/>
  <c r="T3450" i="1"/>
  <c r="T3462" i="1"/>
  <c r="T3474" i="1"/>
  <c r="T849" i="1"/>
  <c r="T1464" i="1"/>
  <c r="T1609" i="1"/>
  <c r="T1681" i="1"/>
  <c r="T1753" i="1"/>
  <c r="T1825" i="1"/>
  <c r="T1889" i="1"/>
  <c r="T1952" i="1"/>
  <c r="T2017" i="1"/>
  <c r="T2081" i="1"/>
  <c r="T2144" i="1"/>
  <c r="T2209" i="1"/>
  <c r="T2269" i="1"/>
  <c r="T2325" i="1"/>
  <c r="T2383" i="1"/>
  <c r="T2441" i="1"/>
  <c r="T2493" i="1"/>
  <c r="T2530" i="1"/>
  <c r="T2566" i="1"/>
  <c r="T2602" i="1"/>
  <c r="T2638" i="1"/>
  <c r="T2674" i="1"/>
  <c r="T2699" i="1"/>
  <c r="T2715" i="1"/>
  <c r="T2731" i="1"/>
  <c r="T2743" i="1"/>
  <c r="T2755" i="1"/>
  <c r="T2767" i="1"/>
  <c r="T2779" i="1"/>
  <c r="T2791" i="1"/>
  <c r="T2803" i="1"/>
  <c r="T2815" i="1"/>
  <c r="T2827" i="1"/>
  <c r="T2839" i="1"/>
  <c r="T2851" i="1"/>
  <c r="T2863" i="1"/>
  <c r="T2875" i="1"/>
  <c r="T2887" i="1"/>
  <c r="T2899" i="1"/>
  <c r="T2911" i="1"/>
  <c r="T2923" i="1"/>
  <c r="T2935" i="1"/>
  <c r="T2947" i="1"/>
  <c r="T2959" i="1"/>
  <c r="T2971" i="1"/>
  <c r="T2983" i="1"/>
  <c r="T2995" i="1"/>
  <c r="T3007" i="1"/>
  <c r="T3019" i="1"/>
  <c r="T3031" i="1"/>
  <c r="T3043" i="1"/>
  <c r="T3055" i="1"/>
  <c r="T3067" i="1"/>
  <c r="T3079" i="1"/>
  <c r="T3091" i="1"/>
  <c r="T3103" i="1"/>
  <c r="T3115" i="1"/>
  <c r="T3127" i="1"/>
  <c r="T3139" i="1"/>
  <c r="T3151" i="1"/>
  <c r="T3163" i="1"/>
  <c r="T3175" i="1"/>
  <c r="T3187" i="1"/>
  <c r="T3199" i="1"/>
  <c r="T3211" i="1"/>
  <c r="T3223" i="1"/>
  <c r="T3235" i="1"/>
  <c r="T3247" i="1"/>
  <c r="T3259" i="1"/>
  <c r="T3271" i="1"/>
  <c r="T3283" i="1"/>
  <c r="T3295" i="1"/>
  <c r="T3307" i="1"/>
  <c r="T3319" i="1"/>
  <c r="T3331" i="1"/>
  <c r="T3343" i="1"/>
  <c r="T3355" i="1"/>
  <c r="T3367" i="1"/>
  <c r="T3379" i="1"/>
  <c r="T3391" i="1"/>
  <c r="T3403" i="1"/>
  <c r="T3415" i="1"/>
  <c r="T850" i="1"/>
  <c r="T1465" i="1"/>
  <c r="T1610" i="1"/>
  <c r="T1682" i="1"/>
  <c r="T1754" i="1"/>
  <c r="T1826" i="1"/>
  <c r="T1890" i="1"/>
  <c r="T1953" i="1"/>
  <c r="T2018" i="1"/>
  <c r="T2082" i="1"/>
  <c r="T2145" i="1"/>
  <c r="T2210" i="1"/>
  <c r="T2270" i="1"/>
  <c r="T2327" i="1"/>
  <c r="T2384" i="1"/>
  <c r="T2442" i="1"/>
  <c r="T2495" i="1"/>
  <c r="T2532" i="1"/>
  <c r="T2568" i="1"/>
  <c r="T2604" i="1"/>
  <c r="T2640" i="1"/>
  <c r="T2676" i="1"/>
  <c r="T2700" i="1"/>
  <c r="T2717" i="1"/>
  <c r="T2732" i="1"/>
  <c r="T2744" i="1"/>
  <c r="T2756" i="1"/>
  <c r="T2768" i="1"/>
  <c r="T2780" i="1"/>
  <c r="T2792" i="1"/>
  <c r="T2804" i="1"/>
  <c r="T2816" i="1"/>
  <c r="T2828" i="1"/>
  <c r="T2840" i="1"/>
  <c r="T2852" i="1"/>
  <c r="T2864" i="1"/>
  <c r="T2876" i="1"/>
  <c r="T2888" i="1"/>
  <c r="T2900" i="1"/>
  <c r="T2912" i="1"/>
  <c r="T2924" i="1"/>
  <c r="T2936" i="1"/>
  <c r="T2948" i="1"/>
  <c r="T2960" i="1"/>
  <c r="T2972" i="1"/>
  <c r="T2984" i="1"/>
  <c r="T2996" i="1"/>
  <c r="T3008" i="1"/>
  <c r="T3020" i="1"/>
  <c r="T3032" i="1"/>
  <c r="T3044" i="1"/>
  <c r="T3056" i="1"/>
  <c r="T3068" i="1"/>
  <c r="T3080" i="1"/>
  <c r="T3092" i="1"/>
  <c r="T3104" i="1"/>
  <c r="T3116" i="1"/>
  <c r="T3128" i="1"/>
  <c r="T3140" i="1"/>
  <c r="T3152" i="1"/>
  <c r="T3164" i="1"/>
  <c r="T3176" i="1"/>
  <c r="T3188" i="1"/>
  <c r="T3200" i="1"/>
  <c r="T3212" i="1"/>
  <c r="T3224" i="1"/>
  <c r="T3236" i="1"/>
  <c r="T3248" i="1"/>
  <c r="T3260" i="1"/>
  <c r="T3272" i="1"/>
  <c r="T3284" i="1"/>
  <c r="T3296" i="1"/>
  <c r="T3308" i="1"/>
  <c r="T3320" i="1"/>
  <c r="T3332" i="1"/>
  <c r="T3344" i="1"/>
  <c r="T3356" i="1"/>
  <c r="T3368" i="1"/>
  <c r="T3380" i="1"/>
  <c r="T3392" i="1"/>
  <c r="T3404" i="1"/>
  <c r="T3416" i="1"/>
  <c r="T3428" i="1"/>
  <c r="T3440" i="1"/>
  <c r="T3452" i="1"/>
  <c r="T3464" i="1"/>
  <c r="T3476" i="1"/>
  <c r="T3488" i="1"/>
  <c r="T3500" i="1"/>
  <c r="T3512" i="1"/>
  <c r="T3524" i="1"/>
  <c r="T3536" i="1"/>
  <c r="T3548" i="1"/>
  <c r="T3560" i="1"/>
  <c r="T3572" i="1"/>
  <c r="T3584" i="1"/>
  <c r="T3596" i="1"/>
  <c r="T3608" i="1"/>
  <c r="T3620" i="1"/>
  <c r="T910" i="1"/>
  <c r="T1488" i="1"/>
  <c r="T1613" i="1"/>
  <c r="T1685" i="1"/>
  <c r="T1757" i="1"/>
  <c r="T1827" i="1"/>
  <c r="T1891" i="1"/>
  <c r="T1955" i="1"/>
  <c r="T2019" i="1"/>
  <c r="T2083" i="1"/>
  <c r="T2147" i="1"/>
  <c r="T2211" i="1"/>
  <c r="T2271" i="1"/>
  <c r="T2329" i="1"/>
  <c r="T2385" i="1"/>
  <c r="T2443" i="1"/>
  <c r="T2497" i="1"/>
  <c r="T2533" i="1"/>
  <c r="T2569" i="1"/>
  <c r="T2605" i="1"/>
  <c r="T2641" i="1"/>
  <c r="T2677" i="1"/>
  <c r="T2701" i="1"/>
  <c r="T2720" i="1"/>
  <c r="T2733" i="1"/>
  <c r="T2745" i="1"/>
  <c r="T2757" i="1"/>
  <c r="T2769" i="1"/>
  <c r="T2781" i="1"/>
  <c r="T2793" i="1"/>
  <c r="T2805" i="1"/>
  <c r="T2817" i="1"/>
  <c r="T2829" i="1"/>
  <c r="T2841" i="1"/>
  <c r="T2853" i="1"/>
  <c r="T2865" i="1"/>
  <c r="T2877" i="1"/>
  <c r="T2889" i="1"/>
  <c r="T2901" i="1"/>
  <c r="T2913" i="1"/>
  <c r="T2925" i="1"/>
  <c r="T2937" i="1"/>
  <c r="T2949" i="1"/>
  <c r="T2961" i="1"/>
  <c r="T2973" i="1"/>
  <c r="T2985" i="1"/>
  <c r="T2997" i="1"/>
  <c r="T3009" i="1"/>
  <c r="T3021" i="1"/>
  <c r="T3033" i="1"/>
  <c r="T3045" i="1"/>
  <c r="T3057" i="1"/>
  <c r="T3069" i="1"/>
  <c r="T3081" i="1"/>
  <c r="T3093" i="1"/>
  <c r="T3105" i="1"/>
  <c r="T3117" i="1"/>
  <c r="T3129" i="1"/>
  <c r="T3141" i="1"/>
  <c r="T3153" i="1"/>
  <c r="T3165" i="1"/>
  <c r="T3177" i="1"/>
  <c r="T3189" i="1"/>
  <c r="T3201" i="1"/>
  <c r="T3213" i="1"/>
  <c r="T3225" i="1"/>
  <c r="T3237" i="1"/>
  <c r="T3249" i="1"/>
  <c r="T3261" i="1"/>
  <c r="T3273" i="1"/>
  <c r="T3285" i="1"/>
  <c r="T3297" i="1"/>
  <c r="T3309" i="1"/>
  <c r="T3321" i="1"/>
  <c r="T3333" i="1"/>
  <c r="T3345" i="1"/>
  <c r="T3357" i="1"/>
  <c r="T3369" i="1"/>
  <c r="T3381" i="1"/>
  <c r="T3393" i="1"/>
  <c r="T3405" i="1"/>
  <c r="T3417" i="1"/>
  <c r="T3429" i="1"/>
  <c r="T3441" i="1"/>
  <c r="T1065" i="1"/>
  <c r="T1542" i="1"/>
  <c r="T1627" i="1"/>
  <c r="T1699" i="1"/>
  <c r="T1771" i="1"/>
  <c r="T1841" i="1"/>
  <c r="T1904" i="1"/>
  <c r="T1969" i="1"/>
  <c r="T2033" i="1"/>
  <c r="T2096" i="1"/>
  <c r="T2161" i="1"/>
  <c r="T2225" i="1"/>
  <c r="T2283" i="1"/>
  <c r="T2341" i="1"/>
  <c r="T2397" i="1"/>
  <c r="T2455" i="1"/>
  <c r="T2498" i="1"/>
  <c r="T2534" i="1"/>
  <c r="T2570" i="1"/>
  <c r="T2606" i="1"/>
  <c r="T2642" i="1"/>
  <c r="T2678" i="1"/>
  <c r="T2702" i="1"/>
  <c r="T2721" i="1"/>
  <c r="T2734" i="1"/>
  <c r="T2746" i="1"/>
  <c r="T2758" i="1"/>
  <c r="T2770" i="1"/>
  <c r="T2782" i="1"/>
  <c r="T2794" i="1"/>
  <c r="T2806" i="1"/>
  <c r="T2818" i="1"/>
  <c r="T2830" i="1"/>
  <c r="T2842" i="1"/>
  <c r="T2854" i="1"/>
  <c r="T2866" i="1"/>
  <c r="T2878" i="1"/>
  <c r="T2890" i="1"/>
  <c r="T2902" i="1"/>
  <c r="T2914" i="1"/>
  <c r="T2926" i="1"/>
  <c r="T2938" i="1"/>
  <c r="T2950" i="1"/>
  <c r="T2962" i="1"/>
  <c r="T2974" i="1"/>
  <c r="T2986" i="1"/>
  <c r="T2998" i="1"/>
  <c r="T3010" i="1"/>
  <c r="T3022" i="1"/>
  <c r="T3034" i="1"/>
  <c r="T3046" i="1"/>
  <c r="T3058" i="1"/>
  <c r="T3070" i="1"/>
  <c r="T3082" i="1"/>
  <c r="T3094" i="1"/>
  <c r="T3106" i="1"/>
  <c r="T3118" i="1"/>
  <c r="T3130" i="1"/>
  <c r="T3142" i="1"/>
  <c r="T3154" i="1"/>
  <c r="T3166" i="1"/>
  <c r="T3178" i="1"/>
  <c r="T3190" i="1"/>
  <c r="T3202" i="1"/>
  <c r="T3214" i="1"/>
  <c r="T3226" i="1"/>
  <c r="T3238" i="1"/>
  <c r="T3250" i="1"/>
  <c r="T3262" i="1"/>
  <c r="T3274" i="1"/>
  <c r="T3286" i="1"/>
  <c r="T3298" i="1"/>
  <c r="T3310" i="1"/>
  <c r="T3322" i="1"/>
  <c r="T3334" i="1"/>
  <c r="T3346" i="1"/>
  <c r="T3358" i="1"/>
  <c r="T3370" i="1"/>
  <c r="T3382" i="1"/>
  <c r="T3394" i="1"/>
  <c r="T3406" i="1"/>
  <c r="T3418" i="1"/>
  <c r="T3430" i="1"/>
  <c r="T3442" i="1"/>
  <c r="T1066" i="1"/>
  <c r="T1543" i="1"/>
  <c r="T1628" i="1"/>
  <c r="T1700" i="1"/>
  <c r="T1772" i="1"/>
  <c r="T1842" i="1"/>
  <c r="T1905" i="1"/>
  <c r="T1970" i="1"/>
  <c r="T2034" i="1"/>
  <c r="T2097" i="1"/>
  <c r="T2162" i="1"/>
  <c r="T2226" i="1"/>
  <c r="T2284" i="1"/>
  <c r="T2342" i="1"/>
  <c r="T2399" i="1"/>
  <c r="T2456" i="1"/>
  <c r="T2506" i="1"/>
  <c r="T2542" i="1"/>
  <c r="T2578" i="1"/>
  <c r="T2614" i="1"/>
  <c r="T2650" i="1"/>
  <c r="T2686" i="1"/>
  <c r="T2705" i="1"/>
  <c r="T2722" i="1"/>
  <c r="T2735" i="1"/>
  <c r="T2747" i="1"/>
  <c r="T2759" i="1"/>
  <c r="T2771" i="1"/>
  <c r="T2783" i="1"/>
  <c r="T2795" i="1"/>
  <c r="T2807" i="1"/>
  <c r="T2819" i="1"/>
  <c r="T2831" i="1"/>
  <c r="T2843" i="1"/>
  <c r="T2855" i="1"/>
  <c r="T2867" i="1"/>
  <c r="T2879" i="1"/>
  <c r="T2891" i="1"/>
  <c r="T2903" i="1"/>
  <c r="T2915" i="1"/>
  <c r="T2927" i="1"/>
  <c r="T2939" i="1"/>
  <c r="T2951" i="1"/>
  <c r="T2963" i="1"/>
  <c r="T2975" i="1"/>
  <c r="T2987" i="1"/>
  <c r="T2999" i="1"/>
  <c r="T3011" i="1"/>
  <c r="T3023" i="1"/>
  <c r="T3035" i="1"/>
  <c r="T3047" i="1"/>
  <c r="T3059" i="1"/>
  <c r="T3071" i="1"/>
  <c r="T3083" i="1"/>
  <c r="T3095" i="1"/>
  <c r="T3107" i="1"/>
  <c r="T3119" i="1"/>
  <c r="T3131" i="1"/>
  <c r="T3143" i="1"/>
  <c r="T3155" i="1"/>
  <c r="T3167" i="1"/>
  <c r="T3179" i="1"/>
  <c r="T3191" i="1"/>
  <c r="T3203" i="1"/>
  <c r="T3215" i="1"/>
  <c r="T3227" i="1"/>
  <c r="T3239" i="1"/>
  <c r="T3251" i="1"/>
  <c r="T3263" i="1"/>
  <c r="T3275" i="1"/>
  <c r="T3287" i="1"/>
  <c r="T3299" i="1"/>
  <c r="T3311" i="1"/>
  <c r="T3323" i="1"/>
  <c r="T3335" i="1"/>
  <c r="T3347" i="1"/>
  <c r="T3359" i="1"/>
  <c r="T3371" i="1"/>
  <c r="T3383" i="1"/>
  <c r="T3395" i="1"/>
  <c r="T3407" i="1"/>
  <c r="T1106" i="1"/>
  <c r="T1552" i="1"/>
  <c r="T1629" i="1"/>
  <c r="T1701" i="1"/>
  <c r="T1773" i="1"/>
  <c r="T1843" i="1"/>
  <c r="T1907" i="1"/>
  <c r="T1971" i="1"/>
  <c r="T2035" i="1"/>
  <c r="T2099" i="1"/>
  <c r="T2163" i="1"/>
  <c r="T2227" i="1"/>
  <c r="T2285" i="1"/>
  <c r="T2343" i="1"/>
  <c r="T2401" i="1"/>
  <c r="T2457" i="1"/>
  <c r="T2508" i="1"/>
  <c r="T2544" i="1"/>
  <c r="T2580" i="1"/>
  <c r="T2616" i="1"/>
  <c r="T2652" i="1"/>
  <c r="T2688" i="1"/>
  <c r="T2708" i="1"/>
  <c r="T2723" i="1"/>
  <c r="T2736" i="1"/>
  <c r="T2748" i="1"/>
  <c r="T2760" i="1"/>
  <c r="T2772" i="1"/>
  <c r="T2784" i="1"/>
  <c r="T2796" i="1"/>
  <c r="T2808" i="1"/>
  <c r="T2820" i="1"/>
  <c r="T2832" i="1"/>
  <c r="T2844" i="1"/>
  <c r="T2856" i="1"/>
  <c r="T2868" i="1"/>
  <c r="T2880" i="1"/>
  <c r="T2892" i="1"/>
  <c r="T2904" i="1"/>
  <c r="T2916" i="1"/>
  <c r="T2928" i="1"/>
  <c r="T2940" i="1"/>
  <c r="T2952" i="1"/>
  <c r="T2964" i="1"/>
  <c r="T2976" i="1"/>
  <c r="T2988" i="1"/>
  <c r="T3000" i="1"/>
  <c r="T3012" i="1"/>
  <c r="T3024" i="1"/>
  <c r="T3036" i="1"/>
  <c r="T3048" i="1"/>
  <c r="T3060" i="1"/>
  <c r="T3072" i="1"/>
  <c r="T3084" i="1"/>
  <c r="T3096" i="1"/>
  <c r="T3108" i="1"/>
  <c r="T3120" i="1"/>
  <c r="T3132" i="1"/>
  <c r="T3144" i="1"/>
  <c r="T3156" i="1"/>
  <c r="T3168" i="1"/>
  <c r="T3180" i="1"/>
  <c r="T3192" i="1"/>
  <c r="T3204" i="1"/>
  <c r="T3216" i="1"/>
  <c r="T3228" i="1"/>
  <c r="T3240" i="1"/>
  <c r="T3252" i="1"/>
  <c r="T3264" i="1"/>
  <c r="T3276" i="1"/>
  <c r="T3288" i="1"/>
  <c r="T3300" i="1"/>
  <c r="T3312" i="1"/>
  <c r="T3324" i="1"/>
  <c r="T3336" i="1"/>
  <c r="T3348" i="1"/>
  <c r="T3360" i="1"/>
  <c r="T3372" i="1"/>
  <c r="T3384" i="1"/>
  <c r="T3396" i="1"/>
  <c r="T3408" i="1"/>
  <c r="T3420" i="1"/>
  <c r="T3432" i="1"/>
  <c r="T3444" i="1"/>
  <c r="T3456" i="1"/>
  <c r="T1228" i="1"/>
  <c r="T1789" i="1"/>
  <c r="T2048" i="1"/>
  <c r="T2297" i="1"/>
  <c r="T2509" i="1"/>
  <c r="T2653" i="1"/>
  <c r="T2737" i="1"/>
  <c r="T2785" i="1"/>
  <c r="T2833" i="1"/>
  <c r="T2881" i="1"/>
  <c r="T2929" i="1"/>
  <c r="T2977" i="1"/>
  <c r="T3025" i="1"/>
  <c r="T3073" i="1"/>
  <c r="T3121" i="1"/>
  <c r="T3169" i="1"/>
  <c r="T3217" i="1"/>
  <c r="T3265" i="1"/>
  <c r="T3313" i="1"/>
  <c r="T3361" i="1"/>
  <c r="T3409" i="1"/>
  <c r="T3439" i="1"/>
  <c r="T3463" i="1"/>
  <c r="T3479" i="1"/>
  <c r="T3493" i="1"/>
  <c r="T3507" i="1"/>
  <c r="T3520" i="1"/>
  <c r="T3533" i="1"/>
  <c r="T3546" i="1"/>
  <c r="T3559" i="1"/>
  <c r="T3573" i="1"/>
  <c r="T3586" i="1"/>
  <c r="T3599" i="1"/>
  <c r="T3612" i="1"/>
  <c r="T3625" i="1"/>
  <c r="T3637" i="1"/>
  <c r="T3649" i="1"/>
  <c r="T3661" i="1"/>
  <c r="T3673" i="1"/>
  <c r="T3685" i="1"/>
  <c r="T3697" i="1"/>
  <c r="T3709" i="1"/>
  <c r="T3721" i="1"/>
  <c r="T3733" i="1"/>
  <c r="T3745" i="1"/>
  <c r="T3757" i="1"/>
  <c r="T3769" i="1"/>
  <c r="T3781" i="1"/>
  <c r="T3793" i="1"/>
  <c r="T3805" i="1"/>
  <c r="T3817" i="1"/>
  <c r="T3829" i="1"/>
  <c r="T3841" i="1"/>
  <c r="T3853" i="1"/>
  <c r="T3865" i="1"/>
  <c r="T3877" i="1"/>
  <c r="T3889" i="1"/>
  <c r="T3901" i="1"/>
  <c r="T3913" i="1"/>
  <c r="T3925" i="1"/>
  <c r="T3937" i="1"/>
  <c r="T3949" i="1"/>
  <c r="T3961" i="1"/>
  <c r="T3973" i="1"/>
  <c r="T3985" i="1"/>
  <c r="T3997" i="1"/>
  <c r="T4009" i="1"/>
  <c r="T4021" i="1"/>
  <c r="T4033" i="1"/>
  <c r="T4045" i="1"/>
  <c r="T4057" i="1"/>
  <c r="T1229" i="1"/>
  <c r="T1790" i="1"/>
  <c r="T2049" i="1"/>
  <c r="T2298" i="1"/>
  <c r="T2510" i="1"/>
  <c r="T2654" i="1"/>
  <c r="T2738" i="1"/>
  <c r="T2786" i="1"/>
  <c r="T2834" i="1"/>
  <c r="T2882" i="1"/>
  <c r="T2930" i="1"/>
  <c r="T2978" i="1"/>
  <c r="T3026" i="1"/>
  <c r="T3074" i="1"/>
  <c r="T3122" i="1"/>
  <c r="T3170" i="1"/>
  <c r="T3218" i="1"/>
  <c r="T3266" i="1"/>
  <c r="T3314" i="1"/>
  <c r="T3362" i="1"/>
  <c r="T3410" i="1"/>
  <c r="T3443" i="1"/>
  <c r="T3465" i="1"/>
  <c r="T3480" i="1"/>
  <c r="T3494" i="1"/>
  <c r="T3508" i="1"/>
  <c r="T3521" i="1"/>
  <c r="T3534" i="1"/>
  <c r="T3547" i="1"/>
  <c r="T3561" i="1"/>
  <c r="T3574" i="1"/>
  <c r="T3587" i="1"/>
  <c r="T3600" i="1"/>
  <c r="T3613" i="1"/>
  <c r="T3626" i="1"/>
  <c r="T3638" i="1"/>
  <c r="T3650" i="1"/>
  <c r="T3662" i="1"/>
  <c r="T3674" i="1"/>
  <c r="T3686" i="1"/>
  <c r="T3698" i="1"/>
  <c r="T3710" i="1"/>
  <c r="T3722" i="1"/>
  <c r="T3734" i="1"/>
  <c r="T3746" i="1"/>
  <c r="T3758" i="1"/>
  <c r="T3770" i="1"/>
  <c r="T3782" i="1"/>
  <c r="T3794" i="1"/>
  <c r="T3806" i="1"/>
  <c r="T3818" i="1"/>
  <c r="T3830" i="1"/>
  <c r="T3842" i="1"/>
  <c r="T3854" i="1"/>
  <c r="T3866" i="1"/>
  <c r="T3878" i="1"/>
  <c r="T3890" i="1"/>
  <c r="T3902" i="1"/>
  <c r="T3914" i="1"/>
  <c r="T3926" i="1"/>
  <c r="T3938" i="1"/>
  <c r="T3950" i="1"/>
  <c r="T3962" i="1"/>
  <c r="T3974" i="1"/>
  <c r="T3986" i="1"/>
  <c r="T3998" i="1"/>
  <c r="T4010" i="1"/>
  <c r="T4022" i="1"/>
  <c r="T4034" i="1"/>
  <c r="T4046" i="1"/>
  <c r="T4058" i="1"/>
  <c r="T4070" i="1"/>
  <c r="T4082" i="1"/>
  <c r="T4094" i="1"/>
  <c r="T4106" i="1"/>
  <c r="T1256" i="1"/>
  <c r="T1793" i="1"/>
  <c r="T2051" i="1"/>
  <c r="T2299" i="1"/>
  <c r="T2518" i="1"/>
  <c r="T2662" i="1"/>
  <c r="T2739" i="1"/>
  <c r="T2787" i="1"/>
  <c r="T2835" i="1"/>
  <c r="T2883" i="1"/>
  <c r="T2931" i="1"/>
  <c r="T2979" i="1"/>
  <c r="T3027" i="1"/>
  <c r="T3075" i="1"/>
  <c r="T3123" i="1"/>
  <c r="T3171" i="1"/>
  <c r="T3219" i="1"/>
  <c r="T3267" i="1"/>
  <c r="T3315" i="1"/>
  <c r="T3363" i="1"/>
  <c r="T3411" i="1"/>
  <c r="T3445" i="1"/>
  <c r="T3466" i="1"/>
  <c r="T3481" i="1"/>
  <c r="T3495" i="1"/>
  <c r="T3509" i="1"/>
  <c r="T3522" i="1"/>
  <c r="T3535" i="1"/>
  <c r="T3549" i="1"/>
  <c r="T3562" i="1"/>
  <c r="T3575" i="1"/>
  <c r="T3588" i="1"/>
  <c r="T3601" i="1"/>
  <c r="T3614" i="1"/>
  <c r="T3627" i="1"/>
  <c r="T3639" i="1"/>
  <c r="T3651" i="1"/>
  <c r="T3663" i="1"/>
  <c r="T3675" i="1"/>
  <c r="T3687" i="1"/>
  <c r="T3699" i="1"/>
  <c r="T3711" i="1"/>
  <c r="T3723" i="1"/>
  <c r="T3735" i="1"/>
  <c r="T3747" i="1"/>
  <c r="T3759" i="1"/>
  <c r="T3771" i="1"/>
  <c r="T3783" i="1"/>
  <c r="T3795" i="1"/>
  <c r="T3807" i="1"/>
  <c r="T3819" i="1"/>
  <c r="T3831" i="1"/>
  <c r="T3843" i="1"/>
  <c r="T3855" i="1"/>
  <c r="T3867" i="1"/>
  <c r="T3879" i="1"/>
  <c r="T3891" i="1"/>
  <c r="T3903" i="1"/>
  <c r="T3915" i="1"/>
  <c r="T3927" i="1"/>
  <c r="T3939" i="1"/>
  <c r="T3951" i="1"/>
  <c r="T3963" i="1"/>
  <c r="T3975" i="1"/>
  <c r="T3987" i="1"/>
  <c r="T3999" i="1"/>
  <c r="T4011" i="1"/>
  <c r="T4023" i="1"/>
  <c r="T4035" i="1"/>
  <c r="T4047" i="1"/>
  <c r="T4059" i="1"/>
  <c r="T4071" i="1"/>
  <c r="T4083" i="1"/>
  <c r="T4095" i="1"/>
  <c r="T4107" i="1"/>
  <c r="T4119" i="1"/>
  <c r="T4131" i="1"/>
  <c r="T4143" i="1"/>
  <c r="T1569" i="1"/>
  <c r="T1856" i="1"/>
  <c r="T2113" i="1"/>
  <c r="T2355" i="1"/>
  <c r="T2545" i="1"/>
  <c r="T2689" i="1"/>
  <c r="T2749" i="1"/>
  <c r="T2797" i="1"/>
  <c r="T2845" i="1"/>
  <c r="T2893" i="1"/>
  <c r="T2941" i="1"/>
  <c r="T2989" i="1"/>
  <c r="T3037" i="1"/>
  <c r="T3085" i="1"/>
  <c r="T3133" i="1"/>
  <c r="T3181" i="1"/>
  <c r="T3229" i="1"/>
  <c r="T3277" i="1"/>
  <c r="T3325" i="1"/>
  <c r="T3373" i="1"/>
  <c r="T3419" i="1"/>
  <c r="T3446" i="1"/>
  <c r="T3467" i="1"/>
  <c r="T3482" i="1"/>
  <c r="T3497" i="1"/>
  <c r="T3510" i="1"/>
  <c r="T3523" i="1"/>
  <c r="T3537" i="1"/>
  <c r="T3550" i="1"/>
  <c r="T3563" i="1"/>
  <c r="T3576" i="1"/>
  <c r="T3589" i="1"/>
  <c r="T3602" i="1"/>
  <c r="T3615" i="1"/>
  <c r="T3628" i="1"/>
  <c r="T3640" i="1"/>
  <c r="T3652" i="1"/>
  <c r="T3664" i="1"/>
  <c r="T3676" i="1"/>
  <c r="T3688" i="1"/>
  <c r="T3700" i="1"/>
  <c r="T3712" i="1"/>
  <c r="T3724" i="1"/>
  <c r="T3736" i="1"/>
  <c r="T3748" i="1"/>
  <c r="T3760" i="1"/>
  <c r="T3772" i="1"/>
  <c r="T3784" i="1"/>
  <c r="T3796" i="1"/>
  <c r="T3808" i="1"/>
  <c r="T3820" i="1"/>
  <c r="T3832" i="1"/>
  <c r="T3844" i="1"/>
  <c r="T3856" i="1"/>
  <c r="T3868" i="1"/>
  <c r="T3880" i="1"/>
  <c r="T3892" i="1"/>
  <c r="T3904" i="1"/>
  <c r="T3916" i="1"/>
  <c r="T3928" i="1"/>
  <c r="T3940" i="1"/>
  <c r="T3952" i="1"/>
  <c r="T3964" i="1"/>
  <c r="T3976" i="1"/>
  <c r="T3988" i="1"/>
  <c r="T4000" i="1"/>
  <c r="T4012" i="1"/>
  <c r="T4024" i="1"/>
  <c r="T4036" i="1"/>
  <c r="T4048" i="1"/>
  <c r="T1571" i="1"/>
  <c r="T1857" i="1"/>
  <c r="T2114" i="1"/>
  <c r="T2356" i="1"/>
  <c r="T2546" i="1"/>
  <c r="T2690" i="1"/>
  <c r="T2750" i="1"/>
  <c r="T2798" i="1"/>
  <c r="T2846" i="1"/>
  <c r="T2894" i="1"/>
  <c r="T2942" i="1"/>
  <c r="T2990" i="1"/>
  <c r="T3038" i="1"/>
  <c r="T3086" i="1"/>
  <c r="T3134" i="1"/>
  <c r="T3182" i="1"/>
  <c r="T3230" i="1"/>
  <c r="T3278" i="1"/>
  <c r="T3326" i="1"/>
  <c r="T3374" i="1"/>
  <c r="T3421" i="1"/>
  <c r="T3447" i="1"/>
  <c r="T3468" i="1"/>
  <c r="T3483" i="1"/>
  <c r="T3498" i="1"/>
  <c r="T3511" i="1"/>
  <c r="T3525" i="1"/>
  <c r="T3538" i="1"/>
  <c r="T3551" i="1"/>
  <c r="T3564" i="1"/>
  <c r="T3577" i="1"/>
  <c r="T3590" i="1"/>
  <c r="T3603" i="1"/>
  <c r="T3616" i="1"/>
  <c r="T3629" i="1"/>
  <c r="T3641" i="1"/>
  <c r="T3653" i="1"/>
  <c r="T3665" i="1"/>
  <c r="T3677" i="1"/>
  <c r="T3689" i="1"/>
  <c r="T3701" i="1"/>
  <c r="T3713" i="1"/>
  <c r="T3725" i="1"/>
  <c r="T3737" i="1"/>
  <c r="T3749" i="1"/>
  <c r="T3761" i="1"/>
  <c r="T3773" i="1"/>
  <c r="T3785" i="1"/>
  <c r="T3797" i="1"/>
  <c r="T3809" i="1"/>
  <c r="T3821" i="1"/>
  <c r="T3833" i="1"/>
  <c r="T3845" i="1"/>
  <c r="T3857" i="1"/>
  <c r="T3869" i="1"/>
  <c r="T3881" i="1"/>
  <c r="T3893" i="1"/>
  <c r="T3905" i="1"/>
  <c r="T3917" i="1"/>
  <c r="T3929" i="1"/>
  <c r="T3941" i="1"/>
  <c r="T3953" i="1"/>
  <c r="T3965" i="1"/>
  <c r="T3977" i="1"/>
  <c r="T3989" i="1"/>
  <c r="T4001" i="1"/>
  <c r="T4013" i="1"/>
  <c r="T4025" i="1"/>
  <c r="T4037" i="1"/>
  <c r="T4049" i="1"/>
  <c r="T4061" i="1"/>
  <c r="T4073" i="1"/>
  <c r="T1573" i="1"/>
  <c r="T1859" i="1"/>
  <c r="T2115" i="1"/>
  <c r="T2357" i="1"/>
  <c r="T2554" i="1"/>
  <c r="T2693" i="1"/>
  <c r="T2751" i="1"/>
  <c r="T2799" i="1"/>
  <c r="T2847" i="1"/>
  <c r="T2895" i="1"/>
  <c r="T2943" i="1"/>
  <c r="T2991" i="1"/>
  <c r="T3039" i="1"/>
  <c r="T3087" i="1"/>
  <c r="T3135" i="1"/>
  <c r="T3183" i="1"/>
  <c r="T3231" i="1"/>
  <c r="T3279" i="1"/>
  <c r="T3327" i="1"/>
  <c r="T3375" i="1"/>
  <c r="T3422" i="1"/>
  <c r="T3451" i="1"/>
  <c r="T3469" i="1"/>
  <c r="T3485" i="1"/>
  <c r="T3499" i="1"/>
  <c r="T3513" i="1"/>
  <c r="T3526" i="1"/>
  <c r="T3539" i="1"/>
  <c r="T3552" i="1"/>
  <c r="T3565" i="1"/>
  <c r="T3578" i="1"/>
  <c r="T3591" i="1"/>
  <c r="T3604" i="1"/>
  <c r="T3617" i="1"/>
  <c r="T3630" i="1"/>
  <c r="T3642" i="1"/>
  <c r="T3654" i="1"/>
  <c r="T3666" i="1"/>
  <c r="T3678" i="1"/>
  <c r="T3690" i="1"/>
  <c r="T3702" i="1"/>
  <c r="T3714" i="1"/>
  <c r="T3726" i="1"/>
  <c r="T3738" i="1"/>
  <c r="T3750" i="1"/>
  <c r="T3762" i="1"/>
  <c r="T3774" i="1"/>
  <c r="T3786" i="1"/>
  <c r="T3798" i="1"/>
  <c r="T3810" i="1"/>
  <c r="T3822" i="1"/>
  <c r="T3834" i="1"/>
  <c r="T3846" i="1"/>
  <c r="T3858" i="1"/>
  <c r="T3870" i="1"/>
  <c r="T3882" i="1"/>
  <c r="T3894" i="1"/>
  <c r="T3906" i="1"/>
  <c r="T3918" i="1"/>
  <c r="T3930" i="1"/>
  <c r="T3942" i="1"/>
  <c r="T3954" i="1"/>
  <c r="T3966" i="1"/>
  <c r="T3978" i="1"/>
  <c r="T3990" i="1"/>
  <c r="T4002" i="1"/>
  <c r="T4014" i="1"/>
  <c r="T4026" i="1"/>
  <c r="T4038" i="1"/>
  <c r="T4050" i="1"/>
  <c r="T4062" i="1"/>
  <c r="T4074" i="1"/>
  <c r="T4086" i="1"/>
  <c r="T4098" i="1"/>
  <c r="T4110" i="1"/>
  <c r="T4122" i="1"/>
  <c r="T4134" i="1"/>
  <c r="T4146" i="1"/>
  <c r="T4158" i="1"/>
  <c r="T4170" i="1"/>
  <c r="T4182" i="1"/>
  <c r="T4194" i="1"/>
  <c r="T4206" i="1"/>
  <c r="T1645" i="1"/>
  <c r="T1921" i="1"/>
  <c r="T2177" i="1"/>
  <c r="T2413" i="1"/>
  <c r="T2581" i="1"/>
  <c r="T2709" i="1"/>
  <c r="T2761" i="1"/>
  <c r="T2809" i="1"/>
  <c r="T2857" i="1"/>
  <c r="T2905" i="1"/>
  <c r="T2953" i="1"/>
  <c r="T3001" i="1"/>
  <c r="T3049" i="1"/>
  <c r="T3097" i="1"/>
  <c r="T3145" i="1"/>
  <c r="T3193" i="1"/>
  <c r="T3241" i="1"/>
  <c r="T3289" i="1"/>
  <c r="T3337" i="1"/>
  <c r="T3385" i="1"/>
  <c r="T3423" i="1"/>
  <c r="T3453" i="1"/>
  <c r="T3470" i="1"/>
  <c r="T3486" i="1"/>
  <c r="T3501" i="1"/>
  <c r="T3514" i="1"/>
  <c r="T3527" i="1"/>
  <c r="T3540" i="1"/>
  <c r="T3553" i="1"/>
  <c r="T3566" i="1"/>
  <c r="T3579" i="1"/>
  <c r="T3592" i="1"/>
  <c r="T3605" i="1"/>
  <c r="T3618" i="1"/>
  <c r="T3631" i="1"/>
  <c r="T3643" i="1"/>
  <c r="T3655" i="1"/>
  <c r="T3667" i="1"/>
  <c r="T3679" i="1"/>
  <c r="T3691" i="1"/>
  <c r="T3703" i="1"/>
  <c r="T3715" i="1"/>
  <c r="T3727" i="1"/>
  <c r="T3739" i="1"/>
  <c r="T3751" i="1"/>
  <c r="T3763" i="1"/>
  <c r="T3775" i="1"/>
  <c r="T3787" i="1"/>
  <c r="T3799" i="1"/>
  <c r="T3811" i="1"/>
  <c r="T3823" i="1"/>
  <c r="T3835" i="1"/>
  <c r="T3847" i="1"/>
  <c r="T3859" i="1"/>
  <c r="T3871" i="1"/>
  <c r="T3883" i="1"/>
  <c r="T3895" i="1"/>
  <c r="T3907" i="1"/>
  <c r="T3919" i="1"/>
  <c r="T3931" i="1"/>
  <c r="T3943" i="1"/>
  <c r="T3955" i="1"/>
  <c r="T3967" i="1"/>
  <c r="T3979" i="1"/>
  <c r="T3991" i="1"/>
  <c r="T4003" i="1"/>
  <c r="T4015" i="1"/>
  <c r="T4027" i="1"/>
  <c r="T4039" i="1"/>
  <c r="T4051" i="1"/>
  <c r="T4063" i="1"/>
  <c r="T4075" i="1"/>
  <c r="T4087" i="1"/>
  <c r="T4099" i="1"/>
  <c r="T4111" i="1"/>
  <c r="T4123" i="1"/>
  <c r="T4135" i="1"/>
  <c r="T4147" i="1"/>
  <c r="T4159" i="1"/>
  <c r="T4171" i="1"/>
  <c r="T4183" i="1"/>
  <c r="T4195" i="1"/>
  <c r="T1646" i="1"/>
  <c r="T1922" i="1"/>
  <c r="T2178" i="1"/>
  <c r="T2414" i="1"/>
  <c r="T2582" i="1"/>
  <c r="T2710" i="1"/>
  <c r="T2762" i="1"/>
  <c r="T2810" i="1"/>
  <c r="T2858" i="1"/>
  <c r="T2906" i="1"/>
  <c r="T2954" i="1"/>
  <c r="T3002" i="1"/>
  <c r="T3050" i="1"/>
  <c r="T3098" i="1"/>
  <c r="T3146" i="1"/>
  <c r="T3194" i="1"/>
  <c r="T3242" i="1"/>
  <c r="T3290" i="1"/>
  <c r="T3338" i="1"/>
  <c r="T3386" i="1"/>
  <c r="T3427" i="1"/>
  <c r="T3454" i="1"/>
  <c r="T3471" i="1"/>
  <c r="T3487" i="1"/>
  <c r="T3502" i="1"/>
  <c r="T3515" i="1"/>
  <c r="T3528" i="1"/>
  <c r="T3541" i="1"/>
  <c r="T3554" i="1"/>
  <c r="T3567" i="1"/>
  <c r="T3580" i="1"/>
  <c r="T3593" i="1"/>
  <c r="T3606" i="1"/>
  <c r="T3619" i="1"/>
  <c r="T3632" i="1"/>
  <c r="T3644" i="1"/>
  <c r="T3656" i="1"/>
  <c r="T3668" i="1"/>
  <c r="T3680" i="1"/>
  <c r="T3692" i="1"/>
  <c r="T3704" i="1"/>
  <c r="T3716" i="1"/>
  <c r="T3728" i="1"/>
  <c r="T3740" i="1"/>
  <c r="T3752" i="1"/>
  <c r="T3764" i="1"/>
  <c r="T3776" i="1"/>
  <c r="T3788" i="1"/>
  <c r="T3800" i="1"/>
  <c r="T3812" i="1"/>
  <c r="T3824" i="1"/>
  <c r="T3836" i="1"/>
  <c r="T3848" i="1"/>
  <c r="T3860" i="1"/>
  <c r="T3872" i="1"/>
  <c r="T3884" i="1"/>
  <c r="T3896" i="1"/>
  <c r="T3908" i="1"/>
  <c r="T3920" i="1"/>
  <c r="T3932" i="1"/>
  <c r="T3944" i="1"/>
  <c r="T3956" i="1"/>
  <c r="T3968" i="1"/>
  <c r="T3980" i="1"/>
  <c r="T3992" i="1"/>
  <c r="T4004" i="1"/>
  <c r="T4016" i="1"/>
  <c r="T4028" i="1"/>
  <c r="T4040" i="1"/>
  <c r="T4052" i="1"/>
  <c r="T4064" i="1"/>
  <c r="T1718" i="1"/>
  <c r="T1986" i="1"/>
  <c r="T2240" i="1"/>
  <c r="T2470" i="1"/>
  <c r="T2618" i="1"/>
  <c r="T2725" i="1"/>
  <c r="T2774" i="1"/>
  <c r="T2822" i="1"/>
  <c r="T2870" i="1"/>
  <c r="T2918" i="1"/>
  <c r="T2966" i="1"/>
  <c r="T3014" i="1"/>
  <c r="T3062" i="1"/>
  <c r="T3110" i="1"/>
  <c r="T3158" i="1"/>
  <c r="T3206" i="1"/>
  <c r="T3254" i="1"/>
  <c r="T3302" i="1"/>
  <c r="T3350" i="1"/>
  <c r="T3398" i="1"/>
  <c r="T3434" i="1"/>
  <c r="T3458" i="1"/>
  <c r="T3477" i="1"/>
  <c r="T3491" i="1"/>
  <c r="T3505" i="1"/>
  <c r="T3518" i="1"/>
  <c r="T3531" i="1"/>
  <c r="T3544" i="1"/>
  <c r="T3557" i="1"/>
  <c r="T3570" i="1"/>
  <c r="T3583" i="1"/>
  <c r="T3597" i="1"/>
  <c r="T3610" i="1"/>
  <c r="T3623" i="1"/>
  <c r="T3635" i="1"/>
  <c r="T3647" i="1"/>
  <c r="T3659" i="1"/>
  <c r="T3671" i="1"/>
  <c r="T3683" i="1"/>
  <c r="T3695" i="1"/>
  <c r="T3707" i="1"/>
  <c r="T3719" i="1"/>
  <c r="T3731" i="1"/>
  <c r="T3743" i="1"/>
  <c r="T3755" i="1"/>
  <c r="T3767" i="1"/>
  <c r="T3779" i="1"/>
  <c r="T3791" i="1"/>
  <c r="T3803" i="1"/>
  <c r="T3815" i="1"/>
  <c r="T3827" i="1"/>
  <c r="T3839" i="1"/>
  <c r="T3851" i="1"/>
  <c r="T3863" i="1"/>
  <c r="T3875" i="1"/>
  <c r="T3887" i="1"/>
  <c r="T3899" i="1"/>
  <c r="T3911" i="1"/>
  <c r="T3923" i="1"/>
  <c r="T3935" i="1"/>
  <c r="T3947" i="1"/>
  <c r="T3959" i="1"/>
  <c r="T3971" i="1"/>
  <c r="T3983" i="1"/>
  <c r="T3995" i="1"/>
  <c r="T4007" i="1"/>
  <c r="T4019" i="1"/>
  <c r="T4031" i="1"/>
  <c r="T4043" i="1"/>
  <c r="T4055" i="1"/>
  <c r="T4067" i="1"/>
  <c r="T4079" i="1"/>
  <c r="T4091" i="1"/>
  <c r="T4103" i="1"/>
  <c r="T4115" i="1"/>
  <c r="T4127" i="1"/>
  <c r="T4139" i="1"/>
  <c r="T4151" i="1"/>
  <c r="T4163" i="1"/>
  <c r="T4175" i="1"/>
  <c r="T4187" i="1"/>
  <c r="T4199" i="1"/>
  <c r="T4211" i="1"/>
  <c r="T4223" i="1"/>
  <c r="T4235" i="1"/>
  <c r="T1649" i="1"/>
  <c r="T2590" i="1"/>
  <c r="T2859" i="1"/>
  <c r="T3051" i="1"/>
  <c r="T3243" i="1"/>
  <c r="T3431" i="1"/>
  <c r="T3503" i="1"/>
  <c r="T3555" i="1"/>
  <c r="T3607" i="1"/>
  <c r="T3657" i="1"/>
  <c r="T3705" i="1"/>
  <c r="T3753" i="1"/>
  <c r="T3801" i="1"/>
  <c r="T3849" i="1"/>
  <c r="T3897" i="1"/>
  <c r="T3945" i="1"/>
  <c r="T3993" i="1"/>
  <c r="T4041" i="1"/>
  <c r="T4076" i="1"/>
  <c r="T4096" i="1"/>
  <c r="T4116" i="1"/>
  <c r="T4133" i="1"/>
  <c r="T4152" i="1"/>
  <c r="T4167" i="1"/>
  <c r="T4184" i="1"/>
  <c r="T4200" i="1"/>
  <c r="T4214" i="1"/>
  <c r="T4227" i="1"/>
  <c r="T4240" i="1"/>
  <c r="T4252" i="1"/>
  <c r="T4264" i="1"/>
  <c r="T4276" i="1"/>
  <c r="T4288" i="1"/>
  <c r="T4300" i="1"/>
  <c r="T4312" i="1"/>
  <c r="T4324" i="1"/>
  <c r="T4336" i="1"/>
  <c r="T4348" i="1"/>
  <c r="T4360" i="1"/>
  <c r="T4372" i="1"/>
  <c r="T4384" i="1"/>
  <c r="T4396" i="1"/>
  <c r="T4408" i="1"/>
  <c r="T4420" i="1"/>
  <c r="T4432" i="1"/>
  <c r="T4444" i="1"/>
  <c r="T4456" i="1"/>
  <c r="T4468" i="1"/>
  <c r="T4480" i="1"/>
  <c r="T4492" i="1"/>
  <c r="T4504" i="1"/>
  <c r="T4516" i="1"/>
  <c r="T4528" i="1"/>
  <c r="T4540" i="1"/>
  <c r="T4552" i="1"/>
  <c r="T4564" i="1"/>
  <c r="T4576" i="1"/>
  <c r="T4588" i="1"/>
  <c r="T4600" i="1"/>
  <c r="T4612" i="1"/>
  <c r="T4624" i="1"/>
  <c r="T4636" i="1"/>
  <c r="T4648" i="1"/>
  <c r="T4660" i="1"/>
  <c r="T4672" i="1"/>
  <c r="T4684" i="1"/>
  <c r="T4696" i="1"/>
  <c r="T4708" i="1"/>
  <c r="T4720" i="1"/>
  <c r="T4732" i="1"/>
  <c r="T4744" i="1"/>
  <c r="T4756" i="1"/>
  <c r="T4768" i="1"/>
  <c r="T4780" i="1"/>
  <c r="T4792" i="1"/>
  <c r="T4804" i="1"/>
  <c r="T4816" i="1"/>
  <c r="T4828" i="1"/>
  <c r="T4840" i="1"/>
  <c r="T4852" i="1"/>
  <c r="T4864" i="1"/>
  <c r="T4876" i="1"/>
  <c r="T4888" i="1"/>
  <c r="T1717" i="1"/>
  <c r="T2617" i="1"/>
  <c r="T2869" i="1"/>
  <c r="T3061" i="1"/>
  <c r="T3253" i="1"/>
  <c r="T3433" i="1"/>
  <c r="T3504" i="1"/>
  <c r="T3556" i="1"/>
  <c r="T3609" i="1"/>
  <c r="T3658" i="1"/>
  <c r="T3706" i="1"/>
  <c r="T3754" i="1"/>
  <c r="T3802" i="1"/>
  <c r="T3850" i="1"/>
  <c r="T3898" i="1"/>
  <c r="T3946" i="1"/>
  <c r="T3994" i="1"/>
  <c r="T4042" i="1"/>
  <c r="T4077" i="1"/>
  <c r="T4097" i="1"/>
  <c r="T4117" i="1"/>
  <c r="T4136" i="1"/>
  <c r="T4153" i="1"/>
  <c r="T4168" i="1"/>
  <c r="T4185" i="1"/>
  <c r="T4201" i="1"/>
  <c r="T4215" i="1"/>
  <c r="T4228" i="1"/>
  <c r="T4241" i="1"/>
  <c r="T4253" i="1"/>
  <c r="T4265" i="1"/>
  <c r="T4277" i="1"/>
  <c r="T4289" i="1"/>
  <c r="T4301" i="1"/>
  <c r="T4313" i="1"/>
  <c r="T4325" i="1"/>
  <c r="T4337" i="1"/>
  <c r="T4349" i="1"/>
  <c r="T4361" i="1"/>
  <c r="T4373" i="1"/>
  <c r="T4385" i="1"/>
  <c r="T4397" i="1"/>
  <c r="T4409" i="1"/>
  <c r="T4421" i="1"/>
  <c r="T4433" i="1"/>
  <c r="T4445" i="1"/>
  <c r="T4457" i="1"/>
  <c r="T4469" i="1"/>
  <c r="T4481" i="1"/>
  <c r="T4493" i="1"/>
  <c r="T4505" i="1"/>
  <c r="T4517" i="1"/>
  <c r="T4529" i="1"/>
  <c r="T4541" i="1"/>
  <c r="T4553" i="1"/>
  <c r="T4565" i="1"/>
  <c r="T4577" i="1"/>
  <c r="T4589" i="1"/>
  <c r="T4601" i="1"/>
  <c r="T4613" i="1"/>
  <c r="T4625" i="1"/>
  <c r="T4637" i="1"/>
  <c r="T4649" i="1"/>
  <c r="T4661" i="1"/>
  <c r="T4673" i="1"/>
  <c r="T4685" i="1"/>
  <c r="T4697" i="1"/>
  <c r="T4709" i="1"/>
  <c r="T4721" i="1"/>
  <c r="T4733" i="1"/>
  <c r="T4745" i="1"/>
  <c r="T4757" i="1"/>
  <c r="T4769" i="1"/>
  <c r="T4781" i="1"/>
  <c r="T4793" i="1"/>
  <c r="T4805" i="1"/>
  <c r="T1721" i="1"/>
  <c r="T2626" i="1"/>
  <c r="T2871" i="1"/>
  <c r="T3063" i="1"/>
  <c r="T3255" i="1"/>
  <c r="T3435" i="1"/>
  <c r="T3506" i="1"/>
  <c r="T3558" i="1"/>
  <c r="T3611" i="1"/>
  <c r="T3660" i="1"/>
  <c r="T3708" i="1"/>
  <c r="T3756" i="1"/>
  <c r="T3804" i="1"/>
  <c r="T3852" i="1"/>
  <c r="T3900" i="1"/>
  <c r="T3948" i="1"/>
  <c r="T3996" i="1"/>
  <c r="T4044" i="1"/>
  <c r="T4078" i="1"/>
  <c r="T4100" i="1"/>
  <c r="T4118" i="1"/>
  <c r="T4137" i="1"/>
  <c r="T4154" i="1"/>
  <c r="T4169" i="1"/>
  <c r="T4186" i="1"/>
  <c r="T4202" i="1"/>
  <c r="T4216" i="1"/>
  <c r="T4229" i="1"/>
  <c r="T4242" i="1"/>
  <c r="T4254" i="1"/>
  <c r="T4266" i="1"/>
  <c r="T4278" i="1"/>
  <c r="T4290" i="1"/>
  <c r="T4302" i="1"/>
  <c r="T4314" i="1"/>
  <c r="T4326" i="1"/>
  <c r="T4338" i="1"/>
  <c r="T4350" i="1"/>
  <c r="T4362" i="1"/>
  <c r="T4374" i="1"/>
  <c r="T4386" i="1"/>
  <c r="T4398" i="1"/>
  <c r="T4410" i="1"/>
  <c r="T4422" i="1"/>
  <c r="T4434" i="1"/>
  <c r="T4446" i="1"/>
  <c r="T4458" i="1"/>
  <c r="T4470" i="1"/>
  <c r="T4482" i="1"/>
  <c r="T4494" i="1"/>
  <c r="T4506" i="1"/>
  <c r="T4518" i="1"/>
  <c r="T4530" i="1"/>
  <c r="T4542" i="1"/>
  <c r="T4554" i="1"/>
  <c r="T4566" i="1"/>
  <c r="T4578" i="1"/>
  <c r="T4590" i="1"/>
  <c r="T4602" i="1"/>
  <c r="T4614" i="1"/>
  <c r="T4626" i="1"/>
  <c r="T4638" i="1"/>
  <c r="T4650" i="1"/>
  <c r="T4662" i="1"/>
  <c r="T4674" i="1"/>
  <c r="T4686" i="1"/>
  <c r="T4698" i="1"/>
  <c r="T4710" i="1"/>
  <c r="T4722" i="1"/>
  <c r="T4734" i="1"/>
  <c r="T4746" i="1"/>
  <c r="T4758" i="1"/>
  <c r="T4770" i="1"/>
  <c r="T4782" i="1"/>
  <c r="T4794" i="1"/>
  <c r="T4806" i="1"/>
  <c r="T4818" i="1"/>
  <c r="T4830" i="1"/>
  <c r="T4842" i="1"/>
  <c r="T4854" i="1"/>
  <c r="T4866" i="1"/>
  <c r="T4878" i="1"/>
  <c r="T4890" i="1"/>
  <c r="T4902" i="1"/>
  <c r="T4914" i="1"/>
  <c r="T4926" i="1"/>
  <c r="T4938" i="1"/>
  <c r="T4950" i="1"/>
  <c r="T4962" i="1"/>
  <c r="T4974" i="1"/>
  <c r="T4986" i="1"/>
  <c r="T4998" i="1"/>
  <c r="T1923" i="1"/>
  <c r="T2711" i="1"/>
  <c r="T2907" i="1"/>
  <c r="T3099" i="1"/>
  <c r="T3291" i="1"/>
  <c r="T3455" i="1"/>
  <c r="T3516" i="1"/>
  <c r="T3568" i="1"/>
  <c r="T3621" i="1"/>
  <c r="T3669" i="1"/>
  <c r="T3717" i="1"/>
  <c r="T3765" i="1"/>
  <c r="T3813" i="1"/>
  <c r="T3861" i="1"/>
  <c r="T3909" i="1"/>
  <c r="T3957" i="1"/>
  <c r="T4005" i="1"/>
  <c r="T4053" i="1"/>
  <c r="T4080" i="1"/>
  <c r="T4101" i="1"/>
  <c r="T4120" i="1"/>
  <c r="T4138" i="1"/>
  <c r="T4155" i="1"/>
  <c r="T4172" i="1"/>
  <c r="T4188" i="1"/>
  <c r="T4203" i="1"/>
  <c r="T4217" i="1"/>
  <c r="T4230" i="1"/>
  <c r="T4243" i="1"/>
  <c r="T4255" i="1"/>
  <c r="T4267" i="1"/>
  <c r="T4279" i="1"/>
  <c r="T4291" i="1"/>
  <c r="T4303" i="1"/>
  <c r="T4315" i="1"/>
  <c r="T4327" i="1"/>
  <c r="T4339" i="1"/>
  <c r="T4351" i="1"/>
  <c r="T4363" i="1"/>
  <c r="T4375" i="1"/>
  <c r="T4387" i="1"/>
  <c r="T4399" i="1"/>
  <c r="T4411" i="1"/>
  <c r="T4423" i="1"/>
  <c r="T4435" i="1"/>
  <c r="T4447" i="1"/>
  <c r="T4459" i="1"/>
  <c r="T4471" i="1"/>
  <c r="T4483" i="1"/>
  <c r="T4495" i="1"/>
  <c r="T4507" i="1"/>
  <c r="T4519" i="1"/>
  <c r="T4531" i="1"/>
  <c r="T4543" i="1"/>
  <c r="T4555" i="1"/>
  <c r="T4567" i="1"/>
  <c r="T4579" i="1"/>
  <c r="T4591" i="1"/>
  <c r="T4603" i="1"/>
  <c r="T4615" i="1"/>
  <c r="T4627" i="1"/>
  <c r="T4639" i="1"/>
  <c r="T4651" i="1"/>
  <c r="T4663" i="1"/>
  <c r="T4675" i="1"/>
  <c r="T4687" i="1"/>
  <c r="T4699" i="1"/>
  <c r="T4711" i="1"/>
  <c r="T4723" i="1"/>
  <c r="T4735" i="1"/>
  <c r="T4747" i="1"/>
  <c r="T4759" i="1"/>
  <c r="T4771" i="1"/>
  <c r="T4783" i="1"/>
  <c r="T4795" i="1"/>
  <c r="T4807" i="1"/>
  <c r="T4819" i="1"/>
  <c r="T4831" i="1"/>
  <c r="T4843" i="1"/>
  <c r="T1985" i="1"/>
  <c r="T2724" i="1"/>
  <c r="T2917" i="1"/>
  <c r="T3109" i="1"/>
  <c r="T3301" i="1"/>
  <c r="T3457" i="1"/>
  <c r="T3517" i="1"/>
  <c r="T3569" i="1"/>
  <c r="T3622" i="1"/>
  <c r="T3670" i="1"/>
  <c r="T3718" i="1"/>
  <c r="T3766" i="1"/>
  <c r="T3814" i="1"/>
  <c r="T3862" i="1"/>
  <c r="T3910" i="1"/>
  <c r="T3958" i="1"/>
  <c r="T4006" i="1"/>
  <c r="T4054" i="1"/>
  <c r="T4081" i="1"/>
  <c r="T4102" i="1"/>
  <c r="T4121" i="1"/>
  <c r="T4140" i="1"/>
  <c r="T4156" i="1"/>
  <c r="T4173" i="1"/>
  <c r="T4189" i="1"/>
  <c r="T4204" i="1"/>
  <c r="T4218" i="1"/>
  <c r="T4231" i="1"/>
  <c r="T4244" i="1"/>
  <c r="T4256" i="1"/>
  <c r="T4268" i="1"/>
  <c r="T4280" i="1"/>
  <c r="T4292" i="1"/>
  <c r="T4304" i="1"/>
  <c r="T4316" i="1"/>
  <c r="T4328" i="1"/>
  <c r="T4340" i="1"/>
  <c r="T4352" i="1"/>
  <c r="T4364" i="1"/>
  <c r="T4376" i="1"/>
  <c r="T4388" i="1"/>
  <c r="T4400" i="1"/>
  <c r="T4412" i="1"/>
  <c r="T4424" i="1"/>
  <c r="T4436" i="1"/>
  <c r="T4448" i="1"/>
  <c r="T4460" i="1"/>
  <c r="T4472" i="1"/>
  <c r="T4484" i="1"/>
  <c r="T4496" i="1"/>
  <c r="T4508" i="1"/>
  <c r="T4520" i="1"/>
  <c r="T4532" i="1"/>
  <c r="T4544" i="1"/>
  <c r="T4556" i="1"/>
  <c r="T4568" i="1"/>
  <c r="T4580" i="1"/>
  <c r="T4592" i="1"/>
  <c r="T4604" i="1"/>
  <c r="T4616" i="1"/>
  <c r="T4628" i="1"/>
  <c r="T4640" i="1"/>
  <c r="T4652" i="1"/>
  <c r="T4664" i="1"/>
  <c r="T4676" i="1"/>
  <c r="T4688" i="1"/>
  <c r="T4700" i="1"/>
  <c r="T4712" i="1"/>
  <c r="T4724" i="1"/>
  <c r="T4736" i="1"/>
  <c r="T4748" i="1"/>
  <c r="T4760" i="1"/>
  <c r="T4772" i="1"/>
  <c r="T4784" i="1"/>
  <c r="T4796" i="1"/>
  <c r="T4808" i="1"/>
  <c r="T4820" i="1"/>
  <c r="T4832" i="1"/>
  <c r="T4844" i="1"/>
  <c r="T4856" i="1"/>
  <c r="T4868" i="1"/>
  <c r="T4880" i="1"/>
  <c r="T4892" i="1"/>
  <c r="T1987" i="1"/>
  <c r="T2726" i="1"/>
  <c r="T2919" i="1"/>
  <c r="T3111" i="1"/>
  <c r="T3303" i="1"/>
  <c r="T3459" i="1"/>
  <c r="T3519" i="1"/>
  <c r="T3571" i="1"/>
  <c r="T3624" i="1"/>
  <c r="T3672" i="1"/>
  <c r="T3720" i="1"/>
  <c r="T3768" i="1"/>
  <c r="T3816" i="1"/>
  <c r="T3864" i="1"/>
  <c r="T3912" i="1"/>
  <c r="T3960" i="1"/>
  <c r="T4008" i="1"/>
  <c r="T4056" i="1"/>
  <c r="T4084" i="1"/>
  <c r="T4104" i="1"/>
  <c r="T4124" i="1"/>
  <c r="T4141" i="1"/>
  <c r="T4157" i="1"/>
  <c r="T4174" i="1"/>
  <c r="T4190" i="1"/>
  <c r="T4205" i="1"/>
  <c r="T4219" i="1"/>
  <c r="T4232" i="1"/>
  <c r="T4245" i="1"/>
  <c r="T4257" i="1"/>
  <c r="T4269" i="1"/>
  <c r="T4281" i="1"/>
  <c r="T4293" i="1"/>
  <c r="T4305" i="1"/>
  <c r="T4317" i="1"/>
  <c r="T4329" i="1"/>
  <c r="T4341" i="1"/>
  <c r="T4353" i="1"/>
  <c r="T4365" i="1"/>
  <c r="T4377" i="1"/>
  <c r="T4389" i="1"/>
  <c r="T4401" i="1"/>
  <c r="T4413" i="1"/>
  <c r="T4425" i="1"/>
  <c r="T4437" i="1"/>
  <c r="T4449" i="1"/>
  <c r="T4461" i="1"/>
  <c r="T4473" i="1"/>
  <c r="T4485" i="1"/>
  <c r="T4497" i="1"/>
  <c r="T4509" i="1"/>
  <c r="T4521" i="1"/>
  <c r="T4533" i="1"/>
  <c r="T4545" i="1"/>
  <c r="T4557" i="1"/>
  <c r="T4569" i="1"/>
  <c r="T4581" i="1"/>
  <c r="T4593" i="1"/>
  <c r="T4605" i="1"/>
  <c r="T4617" i="1"/>
  <c r="T4629" i="1"/>
  <c r="T4641" i="1"/>
  <c r="T4653" i="1"/>
  <c r="T4665" i="1"/>
  <c r="T4677" i="1"/>
  <c r="T4689" i="1"/>
  <c r="T4701" i="1"/>
  <c r="T4713" i="1"/>
  <c r="T4725" i="1"/>
  <c r="T4737" i="1"/>
  <c r="T4749" i="1"/>
  <c r="T4761" i="1"/>
  <c r="T4773" i="1"/>
  <c r="T4785" i="1"/>
  <c r="T4797" i="1"/>
  <c r="T4809" i="1"/>
  <c r="T4821" i="1"/>
  <c r="T4833" i="1"/>
  <c r="T4845" i="1"/>
  <c r="T4857" i="1"/>
  <c r="T4869" i="1"/>
  <c r="T4881" i="1"/>
  <c r="T4893" i="1"/>
  <c r="T4905" i="1"/>
  <c r="T4917" i="1"/>
  <c r="T2179" i="1"/>
  <c r="T2763" i="1"/>
  <c r="T2955" i="1"/>
  <c r="T3147" i="1"/>
  <c r="T3339" i="1"/>
  <c r="T3473" i="1"/>
  <c r="T3529" i="1"/>
  <c r="T3581" i="1"/>
  <c r="T3633" i="1"/>
  <c r="T3681" i="1"/>
  <c r="T3729" i="1"/>
  <c r="T3777" i="1"/>
  <c r="T3825" i="1"/>
  <c r="T3873" i="1"/>
  <c r="T3921" i="1"/>
  <c r="T3969" i="1"/>
  <c r="T4017" i="1"/>
  <c r="T4060" i="1"/>
  <c r="T4085" i="1"/>
  <c r="T4105" i="1"/>
  <c r="T4125" i="1"/>
  <c r="T4142" i="1"/>
  <c r="T4160" i="1"/>
  <c r="T4176" i="1"/>
  <c r="T4191" i="1"/>
  <c r="T4207" i="1"/>
  <c r="T4220" i="1"/>
  <c r="T4233" i="1"/>
  <c r="T4246" i="1"/>
  <c r="T4258" i="1"/>
  <c r="T4270" i="1"/>
  <c r="T4282" i="1"/>
  <c r="T4294" i="1"/>
  <c r="T4306" i="1"/>
  <c r="T4318" i="1"/>
  <c r="T4330" i="1"/>
  <c r="T4342" i="1"/>
  <c r="T4354" i="1"/>
  <c r="T4366" i="1"/>
  <c r="T4378" i="1"/>
  <c r="T4390" i="1"/>
  <c r="T4402" i="1"/>
  <c r="T4414" i="1"/>
  <c r="T4426" i="1"/>
  <c r="T4438" i="1"/>
  <c r="T4450" i="1"/>
  <c r="T4462" i="1"/>
  <c r="T4474" i="1"/>
  <c r="T4486" i="1"/>
  <c r="T4498" i="1"/>
  <c r="T4510" i="1"/>
  <c r="T4522" i="1"/>
  <c r="T4534" i="1"/>
  <c r="T4546" i="1"/>
  <c r="T4558" i="1"/>
  <c r="T4570" i="1"/>
  <c r="T4582" i="1"/>
  <c r="T4594" i="1"/>
  <c r="T4606" i="1"/>
  <c r="T4618" i="1"/>
  <c r="T4630" i="1"/>
  <c r="T4642" i="1"/>
  <c r="T4654" i="1"/>
  <c r="T4666" i="1"/>
  <c r="T4678" i="1"/>
  <c r="T4690" i="1"/>
  <c r="T4702" i="1"/>
  <c r="T4714" i="1"/>
  <c r="T4726" i="1"/>
  <c r="T4738" i="1"/>
  <c r="T4750" i="1"/>
  <c r="T4762" i="1"/>
  <c r="T4774" i="1"/>
  <c r="T4786" i="1"/>
  <c r="T4798" i="1"/>
  <c r="T4810" i="1"/>
  <c r="T4822" i="1"/>
  <c r="T4834" i="1"/>
  <c r="T4846" i="1"/>
  <c r="T4858" i="1"/>
  <c r="T4870" i="1"/>
  <c r="T4882" i="1"/>
  <c r="T4894" i="1"/>
  <c r="T4906" i="1"/>
  <c r="T4918" i="1"/>
  <c r="T4930" i="1"/>
  <c r="T4942" i="1"/>
  <c r="T4954" i="1"/>
  <c r="T2239" i="1"/>
  <c r="T2773" i="1"/>
  <c r="T2965" i="1"/>
  <c r="T3157" i="1"/>
  <c r="T3349" i="1"/>
  <c r="T3475" i="1"/>
  <c r="T3530" i="1"/>
  <c r="T3582" i="1"/>
  <c r="T3634" i="1"/>
  <c r="T3682" i="1"/>
  <c r="T3730" i="1"/>
  <c r="T3778" i="1"/>
  <c r="T3826" i="1"/>
  <c r="T3874" i="1"/>
  <c r="T3922" i="1"/>
  <c r="T3970" i="1"/>
  <c r="T4018" i="1"/>
  <c r="T4065" i="1"/>
  <c r="T4088" i="1"/>
  <c r="T4108" i="1"/>
  <c r="T4126" i="1"/>
  <c r="T4144" i="1"/>
  <c r="T4161" i="1"/>
  <c r="T4177" i="1"/>
  <c r="T4192" i="1"/>
  <c r="T4208" i="1"/>
  <c r="T4221" i="1"/>
  <c r="T4234" i="1"/>
  <c r="T4247" i="1"/>
  <c r="T4259" i="1"/>
  <c r="T4271" i="1"/>
  <c r="T4283" i="1"/>
  <c r="T4295" i="1"/>
  <c r="T4307" i="1"/>
  <c r="T4319" i="1"/>
  <c r="T4331" i="1"/>
  <c r="T4343" i="1"/>
  <c r="T4355" i="1"/>
  <c r="T4367" i="1"/>
  <c r="T4379" i="1"/>
  <c r="T4391" i="1"/>
  <c r="T4403" i="1"/>
  <c r="T4415" i="1"/>
  <c r="T4427" i="1"/>
  <c r="T4439" i="1"/>
  <c r="T4451" i="1"/>
  <c r="T4463" i="1"/>
  <c r="T4475" i="1"/>
  <c r="T4487" i="1"/>
  <c r="T4499" i="1"/>
  <c r="T4511" i="1"/>
  <c r="T4523" i="1"/>
  <c r="T4535" i="1"/>
  <c r="T4547" i="1"/>
  <c r="T4559" i="1"/>
  <c r="T4571" i="1"/>
  <c r="T4583" i="1"/>
  <c r="T4595" i="1"/>
  <c r="T4607" i="1"/>
  <c r="T4619" i="1"/>
  <c r="T4631" i="1"/>
  <c r="T4643" i="1"/>
  <c r="T4655" i="1"/>
  <c r="T4667" i="1"/>
  <c r="T4679" i="1"/>
  <c r="T4691" i="1"/>
  <c r="T4703" i="1"/>
  <c r="T4715" i="1"/>
  <c r="T4727" i="1"/>
  <c r="T4739" i="1"/>
  <c r="T4751" i="1"/>
  <c r="T4763" i="1"/>
  <c r="T4775" i="1"/>
  <c r="T4787" i="1"/>
  <c r="T4799" i="1"/>
  <c r="T4811" i="1"/>
  <c r="T4823" i="1"/>
  <c r="T4835" i="1"/>
  <c r="T4847" i="1"/>
  <c r="T4859" i="1"/>
  <c r="T2469" i="1"/>
  <c r="T2821" i="1"/>
  <c r="T3013" i="1"/>
  <c r="T3205" i="1"/>
  <c r="T3397" i="1"/>
  <c r="T3490" i="1"/>
  <c r="T3543" i="1"/>
  <c r="T3595" i="1"/>
  <c r="T3646" i="1"/>
  <c r="T3694" i="1"/>
  <c r="T3742" i="1"/>
  <c r="T3790" i="1"/>
  <c r="T3838" i="1"/>
  <c r="T3886" i="1"/>
  <c r="T3934" i="1"/>
  <c r="T3982" i="1"/>
  <c r="T4030" i="1"/>
  <c r="T4069" i="1"/>
  <c r="T4092" i="1"/>
  <c r="T4113" i="1"/>
  <c r="T4130" i="1"/>
  <c r="T4149" i="1"/>
  <c r="T4165" i="1"/>
  <c r="T4180" i="1"/>
  <c r="T4197" i="1"/>
  <c r="T4212" i="1"/>
  <c r="T4225" i="1"/>
  <c r="T4238" i="1"/>
  <c r="T4250" i="1"/>
  <c r="T4262" i="1"/>
  <c r="T4274" i="1"/>
  <c r="T4286" i="1"/>
  <c r="T4298" i="1"/>
  <c r="T4310" i="1"/>
  <c r="T4322" i="1"/>
  <c r="T4334" i="1"/>
  <c r="T4346" i="1"/>
  <c r="T4358" i="1"/>
  <c r="T4370" i="1"/>
  <c r="T4382" i="1"/>
  <c r="T4394" i="1"/>
  <c r="T4406" i="1"/>
  <c r="T4418" i="1"/>
  <c r="T4430" i="1"/>
  <c r="T4442" i="1"/>
  <c r="T4454" i="1"/>
  <c r="T4466" i="1"/>
  <c r="T4478" i="1"/>
  <c r="T4490" i="1"/>
  <c r="T4502" i="1"/>
  <c r="T4514" i="1"/>
  <c r="T4526" i="1"/>
  <c r="T4538" i="1"/>
  <c r="T4550" i="1"/>
  <c r="T4562" i="1"/>
  <c r="T4574" i="1"/>
  <c r="T4586" i="1"/>
  <c r="T4598" i="1"/>
  <c r="T4610" i="1"/>
  <c r="T4622" i="1"/>
  <c r="T4634" i="1"/>
  <c r="T4646" i="1"/>
  <c r="T4658" i="1"/>
  <c r="T4670" i="1"/>
  <c r="T4682" i="1"/>
  <c r="T4694" i="1"/>
  <c r="T4706" i="1"/>
  <c r="T4718" i="1"/>
  <c r="T4730" i="1"/>
  <c r="T4742" i="1"/>
  <c r="T4754" i="1"/>
  <c r="T4766" i="1"/>
  <c r="T4778" i="1"/>
  <c r="T4790" i="1"/>
  <c r="T4802" i="1"/>
  <c r="T4814" i="1"/>
  <c r="T4826" i="1"/>
  <c r="T4838" i="1"/>
  <c r="T4850" i="1"/>
  <c r="T4862" i="1"/>
  <c r="T4874" i="1"/>
  <c r="T4886" i="1"/>
  <c r="T2241" i="1"/>
  <c r="T3351" i="1"/>
  <c r="T3636" i="1"/>
  <c r="T3828" i="1"/>
  <c r="T4020" i="1"/>
  <c r="T4128" i="1"/>
  <c r="T4193" i="1"/>
  <c r="T4248" i="1"/>
  <c r="T4296" i="1"/>
  <c r="T4344" i="1"/>
  <c r="T4392" i="1"/>
  <c r="T4440" i="1"/>
  <c r="T4488" i="1"/>
  <c r="T4536" i="1"/>
  <c r="T4584" i="1"/>
  <c r="T4632" i="1"/>
  <c r="T4680" i="1"/>
  <c r="T4728" i="1"/>
  <c r="T4776" i="1"/>
  <c r="T4817" i="1"/>
  <c r="T4853" i="1"/>
  <c r="T4879" i="1"/>
  <c r="T4900" i="1"/>
  <c r="T4916" i="1"/>
  <c r="T4932" i="1"/>
  <c r="T4946" i="1"/>
  <c r="T4960" i="1"/>
  <c r="T4973" i="1"/>
  <c r="T4987" i="1"/>
  <c r="T5000" i="1"/>
  <c r="T5012" i="1"/>
  <c r="T5024" i="1"/>
  <c r="T5036" i="1"/>
  <c r="T5048" i="1"/>
  <c r="T5060" i="1"/>
  <c r="T5072" i="1"/>
  <c r="T5084" i="1"/>
  <c r="T4129" i="1"/>
  <c r="T4249" i="1"/>
  <c r="T4297" i="1"/>
  <c r="T4345" i="1"/>
  <c r="T4393" i="1"/>
  <c r="T4441" i="1"/>
  <c r="T4489" i="1"/>
  <c r="T4537" i="1"/>
  <c r="T4585" i="1"/>
  <c r="T4633" i="1"/>
  <c r="T4681" i="1"/>
  <c r="T4729" i="1"/>
  <c r="T4777" i="1"/>
  <c r="T4824" i="1"/>
  <c r="T4883" i="1"/>
  <c r="T4901" i="1"/>
  <c r="T4919" i="1"/>
  <c r="T4933" i="1"/>
  <c r="T4947" i="1"/>
  <c r="T4961" i="1"/>
  <c r="T4975" i="1"/>
  <c r="T4988" i="1"/>
  <c r="T5001" i="1"/>
  <c r="T5013" i="1"/>
  <c r="T5025" i="1"/>
  <c r="T5037" i="1"/>
  <c r="T5049" i="1"/>
  <c r="T5061" i="1"/>
  <c r="T5073" i="1"/>
  <c r="T5085" i="1"/>
  <c r="T5062" i="1"/>
  <c r="T5086" i="1"/>
  <c r="T4503" i="1"/>
  <c r="T4647" i="1"/>
  <c r="T4743" i="1"/>
  <c r="T4865" i="1"/>
  <c r="T4923" i="1"/>
  <c r="T4952" i="1"/>
  <c r="T4979" i="1"/>
  <c r="T5005" i="1"/>
  <c r="T5041" i="1"/>
  <c r="T5065" i="1"/>
  <c r="T4464" i="1"/>
  <c r="T4608" i="1"/>
  <c r="T4752" i="1"/>
  <c r="T4867" i="1"/>
  <c r="T4909" i="1"/>
  <c r="T4953" i="1"/>
  <c r="T4993" i="1"/>
  <c r="T5018" i="1"/>
  <c r="T5054" i="1"/>
  <c r="T4895" i="1"/>
  <c r="T4955" i="1"/>
  <c r="T4981" i="1"/>
  <c r="T5031" i="1"/>
  <c r="T5079" i="1"/>
  <c r="T4803" i="1"/>
  <c r="T4911" i="1"/>
  <c r="T4982" i="1"/>
  <c r="T5032" i="1"/>
  <c r="T3780" i="1"/>
  <c r="T4380" i="1"/>
  <c r="T4524" i="1"/>
  <c r="T4812" i="1"/>
  <c r="T4983" i="1"/>
  <c r="T4112" i="1"/>
  <c r="T4477" i="1"/>
  <c r="T4849" i="1"/>
  <c r="T4984" i="1"/>
  <c r="T5046" i="1"/>
  <c r="T3984" i="1"/>
  <c r="T4431" i="1"/>
  <c r="T4527" i="1"/>
  <c r="T4877" i="1"/>
  <c r="T5023" i="1"/>
  <c r="T2415" i="1"/>
  <c r="T3387" i="1"/>
  <c r="T3645" i="1"/>
  <c r="T3837" i="1"/>
  <c r="T4029" i="1"/>
  <c r="T4196" i="1"/>
  <c r="T4855" i="1"/>
  <c r="T4178" i="1"/>
  <c r="T4620" i="1"/>
  <c r="T4928" i="1"/>
  <c r="T5021" i="1"/>
  <c r="T3195" i="1"/>
  <c r="T4429" i="1"/>
  <c r="T4898" i="1"/>
  <c r="T5070" i="1"/>
  <c r="T4287" i="1"/>
  <c r="T4719" i="1"/>
  <c r="T4945" i="1"/>
  <c r="T5035" i="1"/>
  <c r="T2471" i="1"/>
  <c r="T3399" i="1"/>
  <c r="T3648" i="1"/>
  <c r="T3840" i="1"/>
  <c r="T4032" i="1"/>
  <c r="T4132" i="1"/>
  <c r="T4198" i="1"/>
  <c r="T4251" i="1"/>
  <c r="T4299" i="1"/>
  <c r="T4347" i="1"/>
  <c r="T4395" i="1"/>
  <c r="T4443" i="1"/>
  <c r="T4491" i="1"/>
  <c r="T4539" i="1"/>
  <c r="T4587" i="1"/>
  <c r="T4635" i="1"/>
  <c r="T4683" i="1"/>
  <c r="T4731" i="1"/>
  <c r="T4779" i="1"/>
  <c r="T4825" i="1"/>
  <c r="T4860" i="1"/>
  <c r="T4884" i="1"/>
  <c r="T4903" i="1"/>
  <c r="T4920" i="1"/>
  <c r="T4934" i="1"/>
  <c r="T4948" i="1"/>
  <c r="T4963" i="1"/>
  <c r="T4976" i="1"/>
  <c r="T4989" i="1"/>
  <c r="T5002" i="1"/>
  <c r="T5014" i="1"/>
  <c r="T5026" i="1"/>
  <c r="T5038" i="1"/>
  <c r="T5050" i="1"/>
  <c r="T5074" i="1"/>
  <c r="T4551" i="1"/>
  <c r="T4889" i="1"/>
  <c r="T4966" i="1"/>
  <c r="T5029" i="1"/>
  <c r="T4416" i="1"/>
  <c r="T4837" i="1"/>
  <c r="T4980" i="1"/>
  <c r="T5042" i="1"/>
  <c r="T5078" i="1"/>
  <c r="T4910" i="1"/>
  <c r="T4968" i="1"/>
  <c r="T5007" i="1"/>
  <c r="T5055" i="1"/>
  <c r="T4755" i="1"/>
  <c r="T4956" i="1"/>
  <c r="T5020" i="1"/>
  <c r="T5068" i="1"/>
  <c r="T4109" i="1"/>
  <c r="T4716" i="1"/>
  <c r="T4957" i="1"/>
  <c r="T5057" i="1"/>
  <c r="T4237" i="1"/>
  <c r="T4875" i="1"/>
  <c r="T5034" i="1"/>
  <c r="T4239" i="1"/>
  <c r="T4479" i="1"/>
  <c r="T4851" i="1"/>
  <c r="T4985" i="1"/>
  <c r="T5083" i="1"/>
  <c r="T2775" i="1"/>
  <c r="T3478" i="1"/>
  <c r="T3684" i="1"/>
  <c r="T3876" i="1"/>
  <c r="T4066" i="1"/>
  <c r="T4145" i="1"/>
  <c r="T4209" i="1"/>
  <c r="T4260" i="1"/>
  <c r="T4308" i="1"/>
  <c r="T4356" i="1"/>
  <c r="T4404" i="1"/>
  <c r="T4452" i="1"/>
  <c r="T4500" i="1"/>
  <c r="T4548" i="1"/>
  <c r="T4596" i="1"/>
  <c r="T4644" i="1"/>
  <c r="T4692" i="1"/>
  <c r="T4740" i="1"/>
  <c r="T4788" i="1"/>
  <c r="T4827" i="1"/>
  <c r="T4861" i="1"/>
  <c r="T4885" i="1"/>
  <c r="T4904" i="1"/>
  <c r="T4921" i="1"/>
  <c r="T4935" i="1"/>
  <c r="T4949" i="1"/>
  <c r="T4964" i="1"/>
  <c r="T4977" i="1"/>
  <c r="T4990" i="1"/>
  <c r="T5003" i="1"/>
  <c r="T5015" i="1"/>
  <c r="T5027" i="1"/>
  <c r="T5039" i="1"/>
  <c r="T5051" i="1"/>
  <c r="T5063" i="1"/>
  <c r="T5075" i="1"/>
  <c r="T5087" i="1"/>
  <c r="T4068" i="1"/>
  <c r="T4210" i="1"/>
  <c r="T4261" i="1"/>
  <c r="T4309" i="1"/>
  <c r="T4357" i="1"/>
  <c r="T4405" i="1"/>
  <c r="T4453" i="1"/>
  <c r="T4501" i="1"/>
  <c r="T4549" i="1"/>
  <c r="T4645" i="1"/>
  <c r="T4693" i="1"/>
  <c r="T4741" i="1"/>
  <c r="T4789" i="1"/>
  <c r="T4829" i="1"/>
  <c r="T4863" i="1"/>
  <c r="T4887" i="1"/>
  <c r="T4907" i="1"/>
  <c r="T4922" i="1"/>
  <c r="T4936" i="1"/>
  <c r="T4951" i="1"/>
  <c r="T4965" i="1"/>
  <c r="T4978" i="1"/>
  <c r="T4991" i="1"/>
  <c r="T5004" i="1"/>
  <c r="T5016" i="1"/>
  <c r="T5028" i="1"/>
  <c r="T5040" i="1"/>
  <c r="T5052" i="1"/>
  <c r="T5064" i="1"/>
  <c r="T5076" i="1"/>
  <c r="T4407" i="1"/>
  <c r="T4599" i="1"/>
  <c r="T4695" i="1"/>
  <c r="T4836" i="1"/>
  <c r="T4908" i="1"/>
  <c r="T4937" i="1"/>
  <c r="T4992" i="1"/>
  <c r="T5017" i="1"/>
  <c r="T5053" i="1"/>
  <c r="T5077" i="1"/>
  <c r="T4512" i="1"/>
  <c r="T4656" i="1"/>
  <c r="T4800" i="1"/>
  <c r="T4891" i="1"/>
  <c r="T4924" i="1"/>
  <c r="T4967" i="1"/>
  <c r="T5006" i="1"/>
  <c r="T5030" i="1"/>
  <c r="T5066" i="1"/>
  <c r="T4871" i="1"/>
  <c r="T4940" i="1"/>
  <c r="T4994" i="1"/>
  <c r="T5043" i="1"/>
  <c r="T5067" i="1"/>
  <c r="T4872" i="1"/>
  <c r="T4927" i="1"/>
  <c r="T4995" i="1"/>
  <c r="T5044" i="1"/>
  <c r="T5080" i="1"/>
  <c r="T3585" i="1"/>
  <c r="T4428" i="1"/>
  <c r="T4572" i="1"/>
  <c r="T4848" i="1"/>
  <c r="T4970" i="1"/>
  <c r="T5045" i="1"/>
  <c r="T3789" i="1"/>
  <c r="T4381" i="1"/>
  <c r="T4525" i="1"/>
  <c r="T4813" i="1"/>
  <c r="T4997" i="1"/>
  <c r="T3792" i="1"/>
  <c r="T4383" i="1"/>
  <c r="T4575" i="1"/>
  <c r="T4899" i="1"/>
  <c r="T4999" i="1"/>
  <c r="T5071" i="1"/>
  <c r="T2811" i="1"/>
  <c r="T3489" i="1"/>
  <c r="T3693" i="1"/>
  <c r="T3885" i="1"/>
  <c r="T4148" i="1"/>
  <c r="T4597" i="1"/>
  <c r="T3972" i="1"/>
  <c r="T4668" i="1"/>
  <c r="T5009" i="1"/>
  <c r="T4285" i="1"/>
  <c r="T4669" i="1"/>
  <c r="T4913" i="1"/>
  <c r="T5010" i="1"/>
  <c r="T5082" i="1"/>
  <c r="T4114" i="1"/>
  <c r="T4671" i="1"/>
  <c r="T4959" i="1"/>
  <c r="T2823" i="1"/>
  <c r="T3492" i="1"/>
  <c r="T3696" i="1"/>
  <c r="T3888" i="1"/>
  <c r="T4072" i="1"/>
  <c r="T4150" i="1"/>
  <c r="T4213" i="1"/>
  <c r="T4263" i="1"/>
  <c r="T4311" i="1"/>
  <c r="T4359" i="1"/>
  <c r="T4455" i="1"/>
  <c r="T4791" i="1"/>
  <c r="T4332" i="1"/>
  <c r="T4912" i="1"/>
  <c r="T5081" i="1"/>
  <c r="T4333" i="1"/>
  <c r="T4717" i="1"/>
  <c r="T4929" i="1"/>
  <c r="T5022" i="1"/>
  <c r="T3207" i="1"/>
  <c r="T4915" i="1"/>
  <c r="T2967" i="1"/>
  <c r="T3532" i="1"/>
  <c r="T3732" i="1"/>
  <c r="T3924" i="1"/>
  <c r="T4089" i="1"/>
  <c r="T4162" i="1"/>
  <c r="T4222" i="1"/>
  <c r="T4272" i="1"/>
  <c r="T4320" i="1"/>
  <c r="T4368" i="1"/>
  <c r="T4560" i="1"/>
  <c r="T4704" i="1"/>
  <c r="T4939" i="1"/>
  <c r="T4236" i="1"/>
  <c r="T4897" i="1"/>
  <c r="T5033" i="1"/>
  <c r="T3981" i="1"/>
  <c r="T4621" i="1"/>
  <c r="T4944" i="1"/>
  <c r="T5058" i="1"/>
  <c r="T4181" i="1"/>
  <c r="T4623" i="1"/>
  <c r="T4931" i="1"/>
  <c r="T5047" i="1"/>
  <c r="T3003" i="1"/>
  <c r="T3542" i="1"/>
  <c r="T3741" i="1"/>
  <c r="T3933" i="1"/>
  <c r="T4090" i="1"/>
  <c r="T4164" i="1"/>
  <c r="T4224" i="1"/>
  <c r="T4273" i="1"/>
  <c r="T4321" i="1"/>
  <c r="T4369" i="1"/>
  <c r="T4417" i="1"/>
  <c r="T4465" i="1"/>
  <c r="T4513" i="1"/>
  <c r="T4561" i="1"/>
  <c r="T4609" i="1"/>
  <c r="T4657" i="1"/>
  <c r="T4705" i="1"/>
  <c r="T4753" i="1"/>
  <c r="T4801" i="1"/>
  <c r="T4839" i="1"/>
  <c r="T4925" i="1"/>
  <c r="T5019" i="1"/>
  <c r="T4969" i="1"/>
  <c r="T5056" i="1"/>
  <c r="T3159" i="1"/>
  <c r="T4873" i="1"/>
  <c r="T4179" i="1"/>
  <c r="T4765" i="1"/>
  <c r="T4971" i="1"/>
  <c r="T3598" i="1"/>
  <c r="T4767" i="1"/>
  <c r="T5011" i="1"/>
  <c r="T3015" i="1"/>
  <c r="T3545" i="1"/>
  <c r="T3744" i="1"/>
  <c r="T3936" i="1"/>
  <c r="T4093" i="1"/>
  <c r="T4166" i="1"/>
  <c r="T4226" i="1"/>
  <c r="T4275" i="1"/>
  <c r="T4323" i="1"/>
  <c r="T4371" i="1"/>
  <c r="T4419" i="1"/>
  <c r="T4467" i="1"/>
  <c r="T4515" i="1"/>
  <c r="T4563" i="1"/>
  <c r="T4611" i="1"/>
  <c r="T4659" i="1"/>
  <c r="T4707" i="1"/>
  <c r="T4841" i="1"/>
  <c r="T4896" i="1"/>
  <c r="T4941" i="1"/>
  <c r="T5008" i="1"/>
  <c r="T4284" i="1"/>
  <c r="T4476" i="1"/>
  <c r="T4764" i="1"/>
  <c r="T4943" i="1"/>
  <c r="T4996" i="1"/>
  <c r="T5069" i="1"/>
  <c r="T3594" i="1"/>
  <c r="T4573" i="1"/>
  <c r="T4958" i="1"/>
  <c r="T4335" i="1"/>
  <c r="T4815" i="1"/>
  <c r="T4972" i="1"/>
  <c r="T5059" i="1"/>
  <c r="S12" i="1"/>
  <c r="S24" i="1"/>
  <c r="S36" i="1"/>
  <c r="S48" i="1"/>
  <c r="S60" i="1"/>
  <c r="S72" i="1"/>
  <c r="S84" i="1"/>
  <c r="S96" i="1"/>
  <c r="S108" i="1"/>
  <c r="S120" i="1"/>
  <c r="S132" i="1"/>
  <c r="S144" i="1"/>
  <c r="S156" i="1"/>
  <c r="S168" i="1"/>
  <c r="S180" i="1"/>
  <c r="S192" i="1"/>
  <c r="S204" i="1"/>
  <c r="S216" i="1"/>
  <c r="S228" i="1"/>
  <c r="S240" i="1"/>
  <c r="S252" i="1"/>
  <c r="S264" i="1"/>
  <c r="S276" i="1"/>
  <c r="S288" i="1"/>
  <c r="S300" i="1"/>
  <c r="S312" i="1"/>
  <c r="S324" i="1"/>
  <c r="S336" i="1"/>
  <c r="S348" i="1"/>
  <c r="S360" i="1"/>
  <c r="S372" i="1"/>
  <c r="S384" i="1"/>
  <c r="S396" i="1"/>
  <c r="S408" i="1"/>
  <c r="S420" i="1"/>
  <c r="S432" i="1"/>
  <c r="S444" i="1"/>
  <c r="S456" i="1"/>
  <c r="S468" i="1"/>
  <c r="S480" i="1"/>
  <c r="S492" i="1"/>
  <c r="S504" i="1"/>
  <c r="S516" i="1"/>
  <c r="S528" i="1"/>
  <c r="S540" i="1"/>
  <c r="S552" i="1"/>
  <c r="S564" i="1"/>
  <c r="S576" i="1"/>
  <c r="S588" i="1"/>
  <c r="S600" i="1"/>
  <c r="S612" i="1"/>
  <c r="S624" i="1"/>
  <c r="S636" i="1"/>
  <c r="S648" i="1"/>
  <c r="S660" i="1"/>
  <c r="S672" i="1"/>
  <c r="S684" i="1"/>
  <c r="S696" i="1"/>
  <c r="S1" i="1"/>
  <c r="S13" i="1"/>
  <c r="S25" i="1"/>
  <c r="S37" i="1"/>
  <c r="S49" i="1"/>
  <c r="S61" i="1"/>
  <c r="S73" i="1"/>
  <c r="S85" i="1"/>
  <c r="S97" i="1"/>
  <c r="S109" i="1"/>
  <c r="S121" i="1"/>
  <c r="S133" i="1"/>
  <c r="S145" i="1"/>
  <c r="S157" i="1"/>
  <c r="S169" i="1"/>
  <c r="S181" i="1"/>
  <c r="S193" i="1"/>
  <c r="S205" i="1"/>
  <c r="S217" i="1"/>
  <c r="S229" i="1"/>
  <c r="S241" i="1"/>
  <c r="S253" i="1"/>
  <c r="S265" i="1"/>
  <c r="S277" i="1"/>
  <c r="S289" i="1"/>
  <c r="S301" i="1"/>
  <c r="S313" i="1"/>
  <c r="S325" i="1"/>
  <c r="S337" i="1"/>
  <c r="S349" i="1"/>
  <c r="S361" i="1"/>
  <c r="S373" i="1"/>
  <c r="S385" i="1"/>
  <c r="S397" i="1"/>
  <c r="S409" i="1"/>
  <c r="S421" i="1"/>
  <c r="S433" i="1"/>
  <c r="S445" i="1"/>
  <c r="S457" i="1"/>
  <c r="S469" i="1"/>
  <c r="S481" i="1"/>
  <c r="S493" i="1"/>
  <c r="S505" i="1"/>
  <c r="S517" i="1"/>
  <c r="S529" i="1"/>
  <c r="S541" i="1"/>
  <c r="S553" i="1"/>
  <c r="S565" i="1"/>
  <c r="S577" i="1"/>
  <c r="S589" i="1"/>
  <c r="S601" i="1"/>
  <c r="S613" i="1"/>
  <c r="S625" i="1"/>
  <c r="S637" i="1"/>
  <c r="S649" i="1"/>
  <c r="S661" i="1"/>
  <c r="S673" i="1"/>
  <c r="S685" i="1"/>
  <c r="S697" i="1"/>
  <c r="S709" i="1"/>
  <c r="S721" i="1"/>
  <c r="S733" i="1"/>
  <c r="S745" i="1"/>
  <c r="S757" i="1"/>
  <c r="S769" i="1"/>
  <c r="S781" i="1"/>
  <c r="S793" i="1"/>
  <c r="S805" i="1"/>
  <c r="S817" i="1"/>
  <c r="S829" i="1"/>
  <c r="S841" i="1"/>
  <c r="S853" i="1"/>
  <c r="S865" i="1"/>
  <c r="S877" i="1"/>
  <c r="S889" i="1"/>
  <c r="S901" i="1"/>
  <c r="S913" i="1"/>
  <c r="S925" i="1"/>
  <c r="S937" i="1"/>
  <c r="S949" i="1"/>
  <c r="S961" i="1"/>
  <c r="S973" i="1"/>
  <c r="S985" i="1"/>
  <c r="S997" i="1"/>
  <c r="S1009" i="1"/>
  <c r="S2" i="1"/>
  <c r="S14" i="1"/>
  <c r="S26" i="1"/>
  <c r="S38" i="1"/>
  <c r="S50" i="1"/>
  <c r="S62" i="1"/>
  <c r="S74" i="1"/>
  <c r="S86" i="1"/>
  <c r="S98" i="1"/>
  <c r="S110" i="1"/>
  <c r="S122" i="1"/>
  <c r="S134" i="1"/>
  <c r="S146" i="1"/>
  <c r="S158" i="1"/>
  <c r="S170" i="1"/>
  <c r="S182" i="1"/>
  <c r="S194" i="1"/>
  <c r="S206" i="1"/>
  <c r="S218" i="1"/>
  <c r="S230" i="1"/>
  <c r="S242" i="1"/>
  <c r="S254" i="1"/>
  <c r="S266" i="1"/>
  <c r="S278" i="1"/>
  <c r="S290" i="1"/>
  <c r="S302" i="1"/>
  <c r="S314" i="1"/>
  <c r="S326" i="1"/>
  <c r="S338" i="1"/>
  <c r="S350" i="1"/>
  <c r="S362" i="1"/>
  <c r="S374" i="1"/>
  <c r="S386" i="1"/>
  <c r="S398" i="1"/>
  <c r="S410" i="1"/>
  <c r="S422" i="1"/>
  <c r="S434" i="1"/>
  <c r="S446" i="1"/>
  <c r="S458" i="1"/>
  <c r="S470" i="1"/>
  <c r="S482" i="1"/>
  <c r="S494" i="1"/>
  <c r="S506" i="1"/>
  <c r="S518" i="1"/>
  <c r="S530" i="1"/>
  <c r="S542" i="1"/>
  <c r="S554" i="1"/>
  <c r="S566" i="1"/>
  <c r="S578" i="1"/>
  <c r="S590" i="1"/>
  <c r="S602" i="1"/>
  <c r="S614" i="1"/>
  <c r="S626" i="1"/>
  <c r="S638" i="1"/>
  <c r="S650" i="1"/>
  <c r="S662" i="1"/>
  <c r="S674" i="1"/>
  <c r="S686" i="1"/>
  <c r="S698" i="1"/>
  <c r="S710" i="1"/>
  <c r="S722" i="1"/>
  <c r="S734" i="1"/>
  <c r="S746" i="1"/>
  <c r="S758" i="1"/>
  <c r="S770" i="1"/>
  <c r="S782" i="1"/>
  <c r="S794" i="1"/>
  <c r="S806" i="1"/>
  <c r="S818" i="1"/>
  <c r="S830" i="1"/>
  <c r="S842" i="1"/>
  <c r="S854" i="1"/>
  <c r="S866" i="1"/>
  <c r="S878" i="1"/>
  <c r="S890" i="1"/>
  <c r="S902" i="1"/>
  <c r="S914" i="1"/>
  <c r="S926" i="1"/>
  <c r="S938" i="1"/>
  <c r="S950" i="1"/>
  <c r="S962" i="1"/>
  <c r="S974" i="1"/>
  <c r="S986" i="1"/>
  <c r="S998" i="1"/>
  <c r="S1010" i="1"/>
  <c r="S3" i="1"/>
  <c r="S15" i="1"/>
  <c r="S27" i="1"/>
  <c r="S39" i="1"/>
  <c r="S51" i="1"/>
  <c r="S63" i="1"/>
  <c r="S75" i="1"/>
  <c r="S87" i="1"/>
  <c r="S99" i="1"/>
  <c r="S111" i="1"/>
  <c r="S123" i="1"/>
  <c r="S135" i="1"/>
  <c r="S147" i="1"/>
  <c r="S159" i="1"/>
  <c r="S171" i="1"/>
  <c r="S183" i="1"/>
  <c r="S195" i="1"/>
  <c r="S207" i="1"/>
  <c r="S219" i="1"/>
  <c r="S231" i="1"/>
  <c r="S243" i="1"/>
  <c r="S255" i="1"/>
  <c r="S267" i="1"/>
  <c r="S279" i="1"/>
  <c r="S291" i="1"/>
  <c r="S303" i="1"/>
  <c r="S315" i="1"/>
  <c r="S327" i="1"/>
  <c r="S339" i="1"/>
  <c r="S351" i="1"/>
  <c r="S363" i="1"/>
  <c r="S375" i="1"/>
  <c r="S387" i="1"/>
  <c r="S399" i="1"/>
  <c r="S411" i="1"/>
  <c r="S423" i="1"/>
  <c r="S435" i="1"/>
  <c r="S447" i="1"/>
  <c r="S459" i="1"/>
  <c r="S471" i="1"/>
  <c r="S483" i="1"/>
  <c r="S495" i="1"/>
  <c r="S507" i="1"/>
  <c r="S519" i="1"/>
  <c r="S531" i="1"/>
  <c r="S543" i="1"/>
  <c r="S555" i="1"/>
  <c r="S567" i="1"/>
  <c r="S579" i="1"/>
  <c r="S591" i="1"/>
  <c r="S603" i="1"/>
  <c r="S615" i="1"/>
  <c r="S627" i="1"/>
  <c r="S639" i="1"/>
  <c r="S651" i="1"/>
  <c r="S663" i="1"/>
  <c r="S675" i="1"/>
  <c r="S687" i="1"/>
  <c r="S699" i="1"/>
  <c r="S711" i="1"/>
  <c r="S723" i="1"/>
  <c r="S735" i="1"/>
  <c r="S747" i="1"/>
  <c r="S759" i="1"/>
  <c r="S771" i="1"/>
  <c r="S783" i="1"/>
  <c r="S795" i="1"/>
  <c r="S807" i="1"/>
  <c r="S4" i="1"/>
  <c r="S16" i="1"/>
  <c r="S28" i="1"/>
  <c r="S40" i="1"/>
  <c r="S52" i="1"/>
  <c r="S64" i="1"/>
  <c r="S76" i="1"/>
  <c r="S88" i="1"/>
  <c r="S100" i="1"/>
  <c r="S112" i="1"/>
  <c r="S124" i="1"/>
  <c r="S136" i="1"/>
  <c r="S148" i="1"/>
  <c r="S160" i="1"/>
  <c r="S172" i="1"/>
  <c r="S184" i="1"/>
  <c r="S196" i="1"/>
  <c r="S208" i="1"/>
  <c r="S220" i="1"/>
  <c r="S232" i="1"/>
  <c r="S244" i="1"/>
  <c r="S256" i="1"/>
  <c r="S268" i="1"/>
  <c r="S280" i="1"/>
  <c r="S292" i="1"/>
  <c r="S304" i="1"/>
  <c r="S316" i="1"/>
  <c r="S328" i="1"/>
  <c r="S340" i="1"/>
  <c r="S352" i="1"/>
  <c r="S364" i="1"/>
  <c r="S376" i="1"/>
  <c r="S388" i="1"/>
  <c r="S400" i="1"/>
  <c r="S412" i="1"/>
  <c r="S424" i="1"/>
  <c r="S436" i="1"/>
  <c r="S448" i="1"/>
  <c r="S460" i="1"/>
  <c r="S472" i="1"/>
  <c r="S484" i="1"/>
  <c r="S496" i="1"/>
  <c r="S508" i="1"/>
  <c r="S520" i="1"/>
  <c r="S532" i="1"/>
  <c r="S544" i="1"/>
  <c r="S556" i="1"/>
  <c r="S568" i="1"/>
  <c r="S580" i="1"/>
  <c r="S592" i="1"/>
  <c r="S604" i="1"/>
  <c r="S616" i="1"/>
  <c r="S628" i="1"/>
  <c r="S640" i="1"/>
  <c r="S652" i="1"/>
  <c r="S5" i="1"/>
  <c r="S17" i="1"/>
  <c r="S29" i="1"/>
  <c r="S41" i="1"/>
  <c r="S53" i="1"/>
  <c r="S65" i="1"/>
  <c r="S77" i="1"/>
  <c r="S89" i="1"/>
  <c r="S101" i="1"/>
  <c r="S113" i="1"/>
  <c r="S125" i="1"/>
  <c r="S137" i="1"/>
  <c r="S149" i="1"/>
  <c r="S161" i="1"/>
  <c r="S173" i="1"/>
  <c r="S185" i="1"/>
  <c r="S197" i="1"/>
  <c r="S209" i="1"/>
  <c r="S221" i="1"/>
  <c r="S233" i="1"/>
  <c r="S245" i="1"/>
  <c r="S257" i="1"/>
  <c r="S269" i="1"/>
  <c r="S281" i="1"/>
  <c r="S293" i="1"/>
  <c r="S305" i="1"/>
  <c r="S317" i="1"/>
  <c r="S329" i="1"/>
  <c r="S341" i="1"/>
  <c r="S353" i="1"/>
  <c r="S365" i="1"/>
  <c r="S377" i="1"/>
  <c r="S389" i="1"/>
  <c r="S401" i="1"/>
  <c r="S413" i="1"/>
  <c r="S425" i="1"/>
  <c r="S437" i="1"/>
  <c r="S449" i="1"/>
  <c r="S461" i="1"/>
  <c r="S473" i="1"/>
  <c r="S485" i="1"/>
  <c r="S497" i="1"/>
  <c r="S509" i="1"/>
  <c r="S521" i="1"/>
  <c r="S533" i="1"/>
  <c r="S545" i="1"/>
  <c r="S557" i="1"/>
  <c r="S569" i="1"/>
  <c r="S581" i="1"/>
  <c r="S593" i="1"/>
  <c r="S605" i="1"/>
  <c r="S617" i="1"/>
  <c r="S629" i="1"/>
  <c r="S641" i="1"/>
  <c r="S653" i="1"/>
  <c r="S665" i="1"/>
  <c r="S677" i="1"/>
  <c r="S689" i="1"/>
  <c r="S701" i="1"/>
  <c r="S713" i="1"/>
  <c r="S725" i="1"/>
  <c r="S737" i="1"/>
  <c r="S749" i="1"/>
  <c r="S761" i="1"/>
  <c r="S773" i="1"/>
  <c r="S785" i="1"/>
  <c r="S797" i="1"/>
  <c r="S809" i="1"/>
  <c r="S6" i="1"/>
  <c r="S18" i="1"/>
  <c r="S30" i="1"/>
  <c r="S42" i="1"/>
  <c r="S54" i="1"/>
  <c r="S66" i="1"/>
  <c r="S78" i="1"/>
  <c r="S90" i="1"/>
  <c r="S102" i="1"/>
  <c r="S114" i="1"/>
  <c r="S126" i="1"/>
  <c r="S138" i="1"/>
  <c r="S150" i="1"/>
  <c r="S162" i="1"/>
  <c r="S174" i="1"/>
  <c r="S186" i="1"/>
  <c r="S198" i="1"/>
  <c r="S210" i="1"/>
  <c r="S222" i="1"/>
  <c r="S234" i="1"/>
  <c r="S246" i="1"/>
  <c r="S258" i="1"/>
  <c r="S270" i="1"/>
  <c r="S282" i="1"/>
  <c r="S294" i="1"/>
  <c r="S306" i="1"/>
  <c r="S318" i="1"/>
  <c r="S330" i="1"/>
  <c r="S342" i="1"/>
  <c r="S354" i="1"/>
  <c r="S366" i="1"/>
  <c r="S378" i="1"/>
  <c r="S390" i="1"/>
  <c r="S402" i="1"/>
  <c r="S414" i="1"/>
  <c r="S426" i="1"/>
  <c r="S438" i="1"/>
  <c r="S450" i="1"/>
  <c r="S462" i="1"/>
  <c r="S474" i="1"/>
  <c r="S486" i="1"/>
  <c r="S498" i="1"/>
  <c r="S510" i="1"/>
  <c r="S522" i="1"/>
  <c r="S534" i="1"/>
  <c r="S546" i="1"/>
  <c r="S558" i="1"/>
  <c r="S570" i="1"/>
  <c r="S582" i="1"/>
  <c r="S594" i="1"/>
  <c r="S606" i="1"/>
  <c r="S618" i="1"/>
  <c r="S630" i="1"/>
  <c r="S642" i="1"/>
  <c r="S654" i="1"/>
  <c r="S666" i="1"/>
  <c r="S678" i="1"/>
  <c r="S690" i="1"/>
  <c r="S702" i="1"/>
  <c r="S714" i="1"/>
  <c r="S726" i="1"/>
  <c r="S738" i="1"/>
  <c r="S750" i="1"/>
  <c r="S762" i="1"/>
  <c r="S774" i="1"/>
  <c r="S786" i="1"/>
  <c r="S798" i="1"/>
  <c r="S810" i="1"/>
  <c r="S822" i="1"/>
  <c r="S834" i="1"/>
  <c r="S846" i="1"/>
  <c r="S858" i="1"/>
  <c r="S870" i="1"/>
  <c r="S882" i="1"/>
  <c r="S894" i="1"/>
  <c r="S906" i="1"/>
  <c r="S918" i="1"/>
  <c r="S930" i="1"/>
  <c r="S942" i="1"/>
  <c r="S954" i="1"/>
  <c r="S966" i="1"/>
  <c r="S978" i="1"/>
  <c r="S990" i="1"/>
  <c r="S1002" i="1"/>
  <c r="S1014" i="1"/>
  <c r="S7" i="1"/>
  <c r="S19" i="1"/>
  <c r="S31" i="1"/>
  <c r="S43" i="1"/>
  <c r="S55" i="1"/>
  <c r="S67" i="1"/>
  <c r="S79" i="1"/>
  <c r="S91" i="1"/>
  <c r="S103" i="1"/>
  <c r="S115" i="1"/>
  <c r="S127" i="1"/>
  <c r="S139" i="1"/>
  <c r="S151" i="1"/>
  <c r="S163" i="1"/>
  <c r="S175" i="1"/>
  <c r="S187" i="1"/>
  <c r="S199" i="1"/>
  <c r="S211" i="1"/>
  <c r="S223" i="1"/>
  <c r="S235" i="1"/>
  <c r="S247" i="1"/>
  <c r="S259" i="1"/>
  <c r="S271" i="1"/>
  <c r="S283" i="1"/>
  <c r="S295" i="1"/>
  <c r="S307" i="1"/>
  <c r="S319" i="1"/>
  <c r="S331" i="1"/>
  <c r="S343" i="1"/>
  <c r="S355" i="1"/>
  <c r="S367" i="1"/>
  <c r="S379" i="1"/>
  <c r="S391" i="1"/>
  <c r="S403" i="1"/>
  <c r="S415" i="1"/>
  <c r="S427" i="1"/>
  <c r="S439" i="1"/>
  <c r="S451" i="1"/>
  <c r="S463" i="1"/>
  <c r="S475" i="1"/>
  <c r="S487" i="1"/>
  <c r="S499" i="1"/>
  <c r="S511" i="1"/>
  <c r="S523" i="1"/>
  <c r="S535" i="1"/>
  <c r="S547" i="1"/>
  <c r="S559" i="1"/>
  <c r="S571" i="1"/>
  <c r="S583" i="1"/>
  <c r="S595" i="1"/>
  <c r="S607" i="1"/>
  <c r="S619" i="1"/>
  <c r="S631" i="1"/>
  <c r="S643" i="1"/>
  <c r="S655" i="1"/>
  <c r="S667" i="1"/>
  <c r="S679" i="1"/>
  <c r="S691" i="1"/>
  <c r="S703" i="1"/>
  <c r="S715" i="1"/>
  <c r="S727" i="1"/>
  <c r="S739" i="1"/>
  <c r="S751" i="1"/>
  <c r="S763" i="1"/>
  <c r="S775" i="1"/>
  <c r="S787" i="1"/>
  <c r="S799" i="1"/>
  <c r="S811" i="1"/>
  <c r="S823" i="1"/>
  <c r="S835" i="1"/>
  <c r="S847" i="1"/>
  <c r="S859" i="1"/>
  <c r="S871" i="1"/>
  <c r="S883" i="1"/>
  <c r="S895" i="1"/>
  <c r="S907" i="1"/>
  <c r="S919" i="1"/>
  <c r="S931" i="1"/>
  <c r="S943" i="1"/>
  <c r="S955" i="1"/>
  <c r="S967" i="1"/>
  <c r="S979" i="1"/>
  <c r="S991" i="1"/>
  <c r="S1003" i="1"/>
  <c r="S1015" i="1"/>
  <c r="S8" i="1"/>
  <c r="S20" i="1"/>
  <c r="S32" i="1"/>
  <c r="S44" i="1"/>
  <c r="S56" i="1"/>
  <c r="S68" i="1"/>
  <c r="S80" i="1"/>
  <c r="S92" i="1"/>
  <c r="S104" i="1"/>
  <c r="S116" i="1"/>
  <c r="S128" i="1"/>
  <c r="S140" i="1"/>
  <c r="S152" i="1"/>
  <c r="S164" i="1"/>
  <c r="S176" i="1"/>
  <c r="S188" i="1"/>
  <c r="S200" i="1"/>
  <c r="S212" i="1"/>
  <c r="S224" i="1"/>
  <c r="S236" i="1"/>
  <c r="S248" i="1"/>
  <c r="S260" i="1"/>
  <c r="S272" i="1"/>
  <c r="S284" i="1"/>
  <c r="S296" i="1"/>
  <c r="S308" i="1"/>
  <c r="S320" i="1"/>
  <c r="S332" i="1"/>
  <c r="S344" i="1"/>
  <c r="S356" i="1"/>
  <c r="S368" i="1"/>
  <c r="S380" i="1"/>
  <c r="S392" i="1"/>
  <c r="S404" i="1"/>
  <c r="S416" i="1"/>
  <c r="S428" i="1"/>
  <c r="S440" i="1"/>
  <c r="S452" i="1"/>
  <c r="S464" i="1"/>
  <c r="S476" i="1"/>
  <c r="S488" i="1"/>
  <c r="S500" i="1"/>
  <c r="S512" i="1"/>
  <c r="S524" i="1"/>
  <c r="S536" i="1"/>
  <c r="S548" i="1"/>
  <c r="S560" i="1"/>
  <c r="S572" i="1"/>
  <c r="S584" i="1"/>
  <c r="S596" i="1"/>
  <c r="S608" i="1"/>
  <c r="S620" i="1"/>
  <c r="S632" i="1"/>
  <c r="S644" i="1"/>
  <c r="S656" i="1"/>
  <c r="S668" i="1"/>
  <c r="S680" i="1"/>
  <c r="S692" i="1"/>
  <c r="S704" i="1"/>
  <c r="S716" i="1"/>
  <c r="S728" i="1"/>
  <c r="S740" i="1"/>
  <c r="S752" i="1"/>
  <c r="S764" i="1"/>
  <c r="S776" i="1"/>
  <c r="S788" i="1"/>
  <c r="S800" i="1"/>
  <c r="S812" i="1"/>
  <c r="S824" i="1"/>
  <c r="S836" i="1"/>
  <c r="S848" i="1"/>
  <c r="S860" i="1"/>
  <c r="S872" i="1"/>
  <c r="S884" i="1"/>
  <c r="S9" i="1"/>
  <c r="S57" i="1"/>
  <c r="S105" i="1"/>
  <c r="S153" i="1"/>
  <c r="S201" i="1"/>
  <c r="S249" i="1"/>
  <c r="S297" i="1"/>
  <c r="S345" i="1"/>
  <c r="S393" i="1"/>
  <c r="S441" i="1"/>
  <c r="S489" i="1"/>
  <c r="S537" i="1"/>
  <c r="S585" i="1"/>
  <c r="S633" i="1"/>
  <c r="S671" i="1"/>
  <c r="S707" i="1"/>
  <c r="S736" i="1"/>
  <c r="S766" i="1"/>
  <c r="S792" i="1"/>
  <c r="S820" i="1"/>
  <c r="S840" i="1"/>
  <c r="S862" i="1"/>
  <c r="S881" i="1"/>
  <c r="S900" i="1"/>
  <c r="S920" i="1"/>
  <c r="S936" i="1"/>
  <c r="S956" i="1"/>
  <c r="S972" i="1"/>
  <c r="S992" i="1"/>
  <c r="S1008" i="1"/>
  <c r="S1024" i="1"/>
  <c r="S1036" i="1"/>
  <c r="S1048" i="1"/>
  <c r="S1060" i="1"/>
  <c r="S1072" i="1"/>
  <c r="S1084" i="1"/>
  <c r="S1096" i="1"/>
  <c r="S1108" i="1"/>
  <c r="S1120" i="1"/>
  <c r="S1132" i="1"/>
  <c r="S1144" i="1"/>
  <c r="S1156" i="1"/>
  <c r="S1168" i="1"/>
  <c r="S1180" i="1"/>
  <c r="S1192" i="1"/>
  <c r="S1204" i="1"/>
  <c r="S1216" i="1"/>
  <c r="S1228" i="1"/>
  <c r="S1240" i="1"/>
  <c r="S1252" i="1"/>
  <c r="S1264" i="1"/>
  <c r="S1276" i="1"/>
  <c r="S1288" i="1"/>
  <c r="S1300" i="1"/>
  <c r="S1312" i="1"/>
  <c r="S1324" i="1"/>
  <c r="S1336" i="1"/>
  <c r="S1348" i="1"/>
  <c r="S1360" i="1"/>
  <c r="S1372" i="1"/>
  <c r="S1384" i="1"/>
  <c r="S1396" i="1"/>
  <c r="S1408" i="1"/>
  <c r="S1420" i="1"/>
  <c r="S1432" i="1"/>
  <c r="S1444" i="1"/>
  <c r="S1456" i="1"/>
  <c r="S1468" i="1"/>
  <c r="S1480" i="1"/>
  <c r="S1492" i="1"/>
  <c r="S1504" i="1"/>
  <c r="S1516" i="1"/>
  <c r="S1528" i="1"/>
  <c r="S1540" i="1"/>
  <c r="S1552" i="1"/>
  <c r="S1564" i="1"/>
  <c r="S1576" i="1"/>
  <c r="S1588" i="1"/>
  <c r="S1600" i="1"/>
  <c r="S1612" i="1"/>
  <c r="S1624" i="1"/>
  <c r="S1636" i="1"/>
  <c r="S1648" i="1"/>
  <c r="S1660" i="1"/>
  <c r="S1672" i="1"/>
  <c r="S10" i="1"/>
  <c r="S58" i="1"/>
  <c r="S106" i="1"/>
  <c r="S154" i="1"/>
  <c r="S202" i="1"/>
  <c r="S250" i="1"/>
  <c r="S298" i="1"/>
  <c r="S346" i="1"/>
  <c r="S394" i="1"/>
  <c r="S442" i="1"/>
  <c r="S490" i="1"/>
  <c r="S538" i="1"/>
  <c r="S586" i="1"/>
  <c r="S634" i="1"/>
  <c r="S676" i="1"/>
  <c r="S11" i="1"/>
  <c r="S59" i="1"/>
  <c r="S107" i="1"/>
  <c r="S155" i="1"/>
  <c r="S203" i="1"/>
  <c r="S251" i="1"/>
  <c r="S299" i="1"/>
  <c r="S347" i="1"/>
  <c r="S395" i="1"/>
  <c r="S443" i="1"/>
  <c r="S491" i="1"/>
  <c r="S539" i="1"/>
  <c r="S587" i="1"/>
  <c r="S635" i="1"/>
  <c r="S681" i="1"/>
  <c r="S21" i="1"/>
  <c r="S69" i="1"/>
  <c r="S117" i="1"/>
  <c r="S165" i="1"/>
  <c r="S213" i="1"/>
  <c r="S261" i="1"/>
  <c r="S309" i="1"/>
  <c r="S357" i="1"/>
  <c r="S405" i="1"/>
  <c r="S453" i="1"/>
  <c r="S501" i="1"/>
  <c r="S549" i="1"/>
  <c r="S597" i="1"/>
  <c r="S645" i="1"/>
  <c r="S682" i="1"/>
  <c r="S717" i="1"/>
  <c r="S743" i="1"/>
  <c r="S772" i="1"/>
  <c r="S802" i="1"/>
  <c r="S826" i="1"/>
  <c r="S845" i="1"/>
  <c r="S867" i="1"/>
  <c r="S887" i="1"/>
  <c r="S905" i="1"/>
  <c r="S923" i="1"/>
  <c r="S941" i="1"/>
  <c r="S959" i="1"/>
  <c r="S977" i="1"/>
  <c r="S995" i="1"/>
  <c r="S1013" i="1"/>
  <c r="S1027" i="1"/>
  <c r="S1039" i="1"/>
  <c r="S1051" i="1"/>
  <c r="S1063" i="1"/>
  <c r="S1075" i="1"/>
  <c r="S1087" i="1"/>
  <c r="S1099" i="1"/>
  <c r="S1111" i="1"/>
  <c r="S1123" i="1"/>
  <c r="S1135" i="1"/>
  <c r="S1147" i="1"/>
  <c r="S1159" i="1"/>
  <c r="S1171" i="1"/>
  <c r="S1183" i="1"/>
  <c r="S1195" i="1"/>
  <c r="S1207" i="1"/>
  <c r="S1219" i="1"/>
  <c r="S1231" i="1"/>
  <c r="S1243" i="1"/>
  <c r="S1255" i="1"/>
  <c r="S22" i="1"/>
  <c r="S70" i="1"/>
  <c r="S118" i="1"/>
  <c r="S166" i="1"/>
  <c r="S214" i="1"/>
  <c r="S262" i="1"/>
  <c r="S310" i="1"/>
  <c r="S358" i="1"/>
  <c r="S406" i="1"/>
  <c r="S454" i="1"/>
  <c r="S502" i="1"/>
  <c r="S550" i="1"/>
  <c r="S598" i="1"/>
  <c r="S646" i="1"/>
  <c r="S683" i="1"/>
  <c r="S718" i="1"/>
  <c r="S744" i="1"/>
  <c r="S777" i="1"/>
  <c r="S803" i="1"/>
  <c r="S827" i="1"/>
  <c r="S849" i="1"/>
  <c r="S868" i="1"/>
  <c r="S888" i="1"/>
  <c r="S908" i="1"/>
  <c r="S924" i="1"/>
  <c r="S944" i="1"/>
  <c r="S960" i="1"/>
  <c r="S980" i="1"/>
  <c r="S996" i="1"/>
  <c r="S1016" i="1"/>
  <c r="S1028" i="1"/>
  <c r="S1040" i="1"/>
  <c r="S1052" i="1"/>
  <c r="S1064" i="1"/>
  <c r="S1076" i="1"/>
  <c r="S1088" i="1"/>
  <c r="S1100" i="1"/>
  <c r="S1112" i="1"/>
  <c r="S1124" i="1"/>
  <c r="S1136" i="1"/>
  <c r="S1148" i="1"/>
  <c r="S23" i="1"/>
  <c r="S71" i="1"/>
  <c r="S119" i="1"/>
  <c r="S167" i="1"/>
  <c r="S215" i="1"/>
  <c r="S263" i="1"/>
  <c r="S311" i="1"/>
  <c r="S359" i="1"/>
  <c r="S407" i="1"/>
  <c r="S455" i="1"/>
  <c r="S503" i="1"/>
  <c r="S551" i="1"/>
  <c r="S599" i="1"/>
  <c r="S647" i="1"/>
  <c r="S688" i="1"/>
  <c r="S719" i="1"/>
  <c r="S748" i="1"/>
  <c r="S778" i="1"/>
  <c r="S804" i="1"/>
  <c r="S828" i="1"/>
  <c r="S850" i="1"/>
  <c r="S869" i="1"/>
  <c r="S891" i="1"/>
  <c r="S909" i="1"/>
  <c r="S927" i="1"/>
  <c r="S945" i="1"/>
  <c r="S963" i="1"/>
  <c r="S981" i="1"/>
  <c r="S999" i="1"/>
  <c r="S1017" i="1"/>
  <c r="S1029" i="1"/>
  <c r="S1041" i="1"/>
  <c r="S1053" i="1"/>
  <c r="S1065" i="1"/>
  <c r="S1077" i="1"/>
  <c r="S1089" i="1"/>
  <c r="S1101" i="1"/>
  <c r="S1113" i="1"/>
  <c r="S1125" i="1"/>
  <c r="S1137" i="1"/>
  <c r="S1149" i="1"/>
  <c r="S1161" i="1"/>
  <c r="S1173" i="1"/>
  <c r="S1185" i="1"/>
  <c r="S1197" i="1"/>
  <c r="S1209" i="1"/>
  <c r="S1221" i="1"/>
  <c r="S1233" i="1"/>
  <c r="S1245" i="1"/>
  <c r="S1257" i="1"/>
  <c r="S1269" i="1"/>
  <c r="S1281" i="1"/>
  <c r="S1293" i="1"/>
  <c r="S33" i="1"/>
  <c r="S81" i="1"/>
  <c r="S129" i="1"/>
  <c r="S177" i="1"/>
  <c r="S225" i="1"/>
  <c r="S273" i="1"/>
  <c r="S321" i="1"/>
  <c r="S369" i="1"/>
  <c r="S417" i="1"/>
  <c r="S465" i="1"/>
  <c r="S513" i="1"/>
  <c r="S34" i="1"/>
  <c r="S82" i="1"/>
  <c r="S130" i="1"/>
  <c r="S178" i="1"/>
  <c r="S226" i="1"/>
  <c r="S274" i="1"/>
  <c r="S322" i="1"/>
  <c r="S370" i="1"/>
  <c r="S418" i="1"/>
  <c r="S35" i="1"/>
  <c r="S179" i="1"/>
  <c r="S323" i="1"/>
  <c r="S466" i="1"/>
  <c r="S563" i="1"/>
  <c r="S659" i="1"/>
  <c r="S720" i="1"/>
  <c r="S760" i="1"/>
  <c r="S808" i="1"/>
  <c r="S838" i="1"/>
  <c r="S873" i="1"/>
  <c r="S898" i="1"/>
  <c r="S928" i="1"/>
  <c r="S952" i="1"/>
  <c r="S982" i="1"/>
  <c r="S1006" i="1"/>
  <c r="S1030" i="1"/>
  <c r="S1046" i="1"/>
  <c r="S1066" i="1"/>
  <c r="S1082" i="1"/>
  <c r="S1102" i="1"/>
  <c r="S1118" i="1"/>
  <c r="S1138" i="1"/>
  <c r="S1154" i="1"/>
  <c r="S1170" i="1"/>
  <c r="S1187" i="1"/>
  <c r="S1202" i="1"/>
  <c r="S1218" i="1"/>
  <c r="S1235" i="1"/>
  <c r="S1250" i="1"/>
  <c r="S1266" i="1"/>
  <c r="S1280" i="1"/>
  <c r="S1295" i="1"/>
  <c r="S1308" i="1"/>
  <c r="S1321" i="1"/>
  <c r="S1334" i="1"/>
  <c r="S1347" i="1"/>
  <c r="S1361" i="1"/>
  <c r="S1374" i="1"/>
  <c r="S1387" i="1"/>
  <c r="S1400" i="1"/>
  <c r="S1413" i="1"/>
  <c r="S1426" i="1"/>
  <c r="S1439" i="1"/>
  <c r="S1452" i="1"/>
  <c r="S1465" i="1"/>
  <c r="S1478" i="1"/>
  <c r="S1491" i="1"/>
  <c r="S1505" i="1"/>
  <c r="S1518" i="1"/>
  <c r="S1531" i="1"/>
  <c r="S1544" i="1"/>
  <c r="S1557" i="1"/>
  <c r="S1570" i="1"/>
  <c r="S1583" i="1"/>
  <c r="S1596" i="1"/>
  <c r="S1609" i="1"/>
  <c r="S1622" i="1"/>
  <c r="S1635" i="1"/>
  <c r="S1649" i="1"/>
  <c r="S1662" i="1"/>
  <c r="S1675" i="1"/>
  <c r="S1687" i="1"/>
  <c r="S1699" i="1"/>
  <c r="S1711" i="1"/>
  <c r="S1723" i="1"/>
  <c r="S1735" i="1"/>
  <c r="S1747" i="1"/>
  <c r="S1759" i="1"/>
  <c r="S1771" i="1"/>
  <c r="S1783" i="1"/>
  <c r="S1795" i="1"/>
  <c r="S1807" i="1"/>
  <c r="S1819" i="1"/>
  <c r="S1831" i="1"/>
  <c r="S1843" i="1"/>
  <c r="S1855" i="1"/>
  <c r="S1867" i="1"/>
  <c r="S1879" i="1"/>
  <c r="S1891" i="1"/>
  <c r="S1903" i="1"/>
  <c r="S1915" i="1"/>
  <c r="S1927" i="1"/>
  <c r="S1939" i="1"/>
  <c r="S1951" i="1"/>
  <c r="S1963" i="1"/>
  <c r="S1975" i="1"/>
  <c r="S1987" i="1"/>
  <c r="S1999" i="1"/>
  <c r="S2011" i="1"/>
  <c r="S2023" i="1"/>
  <c r="S2035" i="1"/>
  <c r="S2047" i="1"/>
  <c r="S2059" i="1"/>
  <c r="S2071" i="1"/>
  <c r="S2083" i="1"/>
  <c r="S2095" i="1"/>
  <c r="S2107" i="1"/>
  <c r="S2119" i="1"/>
  <c r="S2131" i="1"/>
  <c r="S2143" i="1"/>
  <c r="S2155" i="1"/>
  <c r="S2167" i="1"/>
  <c r="S2179" i="1"/>
  <c r="S2191" i="1"/>
  <c r="S2203" i="1"/>
  <c r="S2215" i="1"/>
  <c r="S2227" i="1"/>
  <c r="S2239" i="1"/>
  <c r="S45" i="1"/>
  <c r="S189" i="1"/>
  <c r="S333" i="1"/>
  <c r="S467" i="1"/>
  <c r="S573" i="1"/>
  <c r="S664" i="1"/>
  <c r="S724" i="1"/>
  <c r="S765" i="1"/>
  <c r="S813" i="1"/>
  <c r="S839" i="1"/>
  <c r="S874" i="1"/>
  <c r="S899" i="1"/>
  <c r="S929" i="1"/>
  <c r="S953" i="1"/>
  <c r="S983" i="1"/>
  <c r="S1007" i="1"/>
  <c r="S1031" i="1"/>
  <c r="S1047" i="1"/>
  <c r="S1067" i="1"/>
  <c r="S1083" i="1"/>
  <c r="S1103" i="1"/>
  <c r="S1119" i="1"/>
  <c r="S1139" i="1"/>
  <c r="S1155" i="1"/>
  <c r="S1172" i="1"/>
  <c r="S1188" i="1"/>
  <c r="S1203" i="1"/>
  <c r="S1220" i="1"/>
  <c r="S1236" i="1"/>
  <c r="S46" i="1"/>
  <c r="S190" i="1"/>
  <c r="S334" i="1"/>
  <c r="S477" i="1"/>
  <c r="S574" i="1"/>
  <c r="S669" i="1"/>
  <c r="S729" i="1"/>
  <c r="S767" i="1"/>
  <c r="S814" i="1"/>
  <c r="S843" i="1"/>
  <c r="S875" i="1"/>
  <c r="S903" i="1"/>
  <c r="S932" i="1"/>
  <c r="S957" i="1"/>
  <c r="S984" i="1"/>
  <c r="S1011" i="1"/>
  <c r="S1032" i="1"/>
  <c r="S1049" i="1"/>
  <c r="S1068" i="1"/>
  <c r="S1085" i="1"/>
  <c r="S1104" i="1"/>
  <c r="S1121" i="1"/>
  <c r="S1140" i="1"/>
  <c r="S1157" i="1"/>
  <c r="S1174" i="1"/>
  <c r="S1189" i="1"/>
  <c r="S1205" i="1"/>
  <c r="S1222" i="1"/>
  <c r="S47" i="1"/>
  <c r="S191" i="1"/>
  <c r="S335" i="1"/>
  <c r="S478" i="1"/>
  <c r="S575" i="1"/>
  <c r="S670" i="1"/>
  <c r="S730" i="1"/>
  <c r="S768" i="1"/>
  <c r="S815" i="1"/>
  <c r="S844" i="1"/>
  <c r="S876" i="1"/>
  <c r="S904" i="1"/>
  <c r="S933" i="1"/>
  <c r="S958" i="1"/>
  <c r="S987" i="1"/>
  <c r="S1012" i="1"/>
  <c r="S1033" i="1"/>
  <c r="S1050" i="1"/>
  <c r="S1069" i="1"/>
  <c r="S1086" i="1"/>
  <c r="S1105" i="1"/>
  <c r="S1122" i="1"/>
  <c r="S1141" i="1"/>
  <c r="S1158" i="1"/>
  <c r="S1175" i="1"/>
  <c r="S1190" i="1"/>
  <c r="S1206" i="1"/>
  <c r="S1223" i="1"/>
  <c r="S1238" i="1"/>
  <c r="S1254" i="1"/>
  <c r="S1270" i="1"/>
  <c r="S1284" i="1"/>
  <c r="S1298" i="1"/>
  <c r="S1311" i="1"/>
  <c r="S1325" i="1"/>
  <c r="S1338" i="1"/>
  <c r="S1351" i="1"/>
  <c r="S1364" i="1"/>
  <c r="S1377" i="1"/>
  <c r="S1390" i="1"/>
  <c r="S1403" i="1"/>
  <c r="S1416" i="1"/>
  <c r="S1429" i="1"/>
  <c r="S1442" i="1"/>
  <c r="S1455" i="1"/>
  <c r="S1469" i="1"/>
  <c r="S1482" i="1"/>
  <c r="S1495" i="1"/>
  <c r="S1508" i="1"/>
  <c r="S1521" i="1"/>
  <c r="S1534" i="1"/>
  <c r="S1547" i="1"/>
  <c r="S1560" i="1"/>
  <c r="S1573" i="1"/>
  <c r="S1586" i="1"/>
  <c r="S1599" i="1"/>
  <c r="S1613" i="1"/>
  <c r="S1626" i="1"/>
  <c r="S1639" i="1"/>
  <c r="S1652" i="1"/>
  <c r="S1665" i="1"/>
  <c r="S1678" i="1"/>
  <c r="S1690" i="1"/>
  <c r="S1702" i="1"/>
  <c r="S1714" i="1"/>
  <c r="S1726" i="1"/>
  <c r="S1738" i="1"/>
  <c r="S1750" i="1"/>
  <c r="S1762" i="1"/>
  <c r="S1774" i="1"/>
  <c r="S1786" i="1"/>
  <c r="S1798" i="1"/>
  <c r="S1810" i="1"/>
  <c r="S1822" i="1"/>
  <c r="S1834" i="1"/>
  <c r="S1846" i="1"/>
  <c r="S1858" i="1"/>
  <c r="S1870" i="1"/>
  <c r="S1882" i="1"/>
  <c r="S1894" i="1"/>
  <c r="S1906" i="1"/>
  <c r="S1918" i="1"/>
  <c r="S1930" i="1"/>
  <c r="S1942" i="1"/>
  <c r="S1954" i="1"/>
  <c r="S83" i="1"/>
  <c r="S227" i="1"/>
  <c r="S371" i="1"/>
  <c r="S479" i="1"/>
  <c r="S609" i="1"/>
  <c r="S693" i="1"/>
  <c r="S731" i="1"/>
  <c r="S779" i="1"/>
  <c r="S816" i="1"/>
  <c r="S851" i="1"/>
  <c r="S879" i="1"/>
  <c r="S910" i="1"/>
  <c r="S934" i="1"/>
  <c r="S964" i="1"/>
  <c r="S988" i="1"/>
  <c r="S1018" i="1"/>
  <c r="S1034" i="1"/>
  <c r="S1054" i="1"/>
  <c r="S1070" i="1"/>
  <c r="S1090" i="1"/>
  <c r="S1106" i="1"/>
  <c r="S1126" i="1"/>
  <c r="S1142" i="1"/>
  <c r="S1160" i="1"/>
  <c r="S1176" i="1"/>
  <c r="S1191" i="1"/>
  <c r="S1208" i="1"/>
  <c r="S1224" i="1"/>
  <c r="S1239" i="1"/>
  <c r="S1256" i="1"/>
  <c r="S1271" i="1"/>
  <c r="S1285" i="1"/>
  <c r="S1299" i="1"/>
  <c r="S1313" i="1"/>
  <c r="S1326" i="1"/>
  <c r="S1339" i="1"/>
  <c r="S1352" i="1"/>
  <c r="S1365" i="1"/>
  <c r="S1378" i="1"/>
  <c r="S1391" i="1"/>
  <c r="S1404" i="1"/>
  <c r="S1417" i="1"/>
  <c r="S1430" i="1"/>
  <c r="S1443" i="1"/>
  <c r="S1457" i="1"/>
  <c r="S1470" i="1"/>
  <c r="S1483" i="1"/>
  <c r="S1496" i="1"/>
  <c r="S1509" i="1"/>
  <c r="S1522" i="1"/>
  <c r="S1535" i="1"/>
  <c r="S1548" i="1"/>
  <c r="S1561" i="1"/>
  <c r="S1574" i="1"/>
  <c r="S1587" i="1"/>
  <c r="S1601" i="1"/>
  <c r="S93" i="1"/>
  <c r="S237" i="1"/>
  <c r="S381" i="1"/>
  <c r="S514" i="1"/>
  <c r="S610" i="1"/>
  <c r="S694" i="1"/>
  <c r="S732" i="1"/>
  <c r="S780" i="1"/>
  <c r="S819" i="1"/>
  <c r="S852" i="1"/>
  <c r="S880" i="1"/>
  <c r="S911" i="1"/>
  <c r="S935" i="1"/>
  <c r="S965" i="1"/>
  <c r="S989" i="1"/>
  <c r="S1019" i="1"/>
  <c r="S1035" i="1"/>
  <c r="S1055" i="1"/>
  <c r="S1071" i="1"/>
  <c r="S1091" i="1"/>
  <c r="S1107" i="1"/>
  <c r="S1127" i="1"/>
  <c r="S1143" i="1"/>
  <c r="S1162" i="1"/>
  <c r="S1177" i="1"/>
  <c r="S1193" i="1"/>
  <c r="S1210" i="1"/>
  <c r="S1225" i="1"/>
  <c r="S1241" i="1"/>
  <c r="S1258" i="1"/>
  <c r="S1272" i="1"/>
  <c r="S1286" i="1"/>
  <c r="S1301" i="1"/>
  <c r="S1314" i="1"/>
  <c r="S1327" i="1"/>
  <c r="S1340" i="1"/>
  <c r="S1353" i="1"/>
  <c r="S1366" i="1"/>
  <c r="S1379" i="1"/>
  <c r="S1392" i="1"/>
  <c r="S1405" i="1"/>
  <c r="S1418" i="1"/>
  <c r="S1431" i="1"/>
  <c r="S1445" i="1"/>
  <c r="S1458" i="1"/>
  <c r="S1471" i="1"/>
  <c r="S1484" i="1"/>
  <c r="S1497" i="1"/>
  <c r="S1510" i="1"/>
  <c r="S1523" i="1"/>
  <c r="S1536" i="1"/>
  <c r="S1549" i="1"/>
  <c r="S1562" i="1"/>
  <c r="S1575" i="1"/>
  <c r="S1589" i="1"/>
  <c r="S1602" i="1"/>
  <c r="S1615" i="1"/>
  <c r="S94" i="1"/>
  <c r="S238" i="1"/>
  <c r="S382" i="1"/>
  <c r="S515" i="1"/>
  <c r="S611" i="1"/>
  <c r="S695" i="1"/>
  <c r="S741" i="1"/>
  <c r="S784" i="1"/>
  <c r="S821" i="1"/>
  <c r="S855" i="1"/>
  <c r="S885" i="1"/>
  <c r="S912" i="1"/>
  <c r="S939" i="1"/>
  <c r="S968" i="1"/>
  <c r="S993" i="1"/>
  <c r="S1020" i="1"/>
  <c r="S1037" i="1"/>
  <c r="S1056" i="1"/>
  <c r="S1073" i="1"/>
  <c r="S1092" i="1"/>
  <c r="S1109" i="1"/>
  <c r="S1128" i="1"/>
  <c r="S1145" i="1"/>
  <c r="S1163" i="1"/>
  <c r="S1178" i="1"/>
  <c r="S1194" i="1"/>
  <c r="S1211" i="1"/>
  <c r="S1226" i="1"/>
  <c r="S95" i="1"/>
  <c r="S239" i="1"/>
  <c r="S383" i="1"/>
  <c r="S525" i="1"/>
  <c r="S621" i="1"/>
  <c r="S700" i="1"/>
  <c r="S742" i="1"/>
  <c r="S789" i="1"/>
  <c r="S825" i="1"/>
  <c r="S856" i="1"/>
  <c r="S886" i="1"/>
  <c r="S915" i="1"/>
  <c r="S940" i="1"/>
  <c r="S969" i="1"/>
  <c r="S994" i="1"/>
  <c r="S1021" i="1"/>
  <c r="S1038" i="1"/>
  <c r="S1057" i="1"/>
  <c r="S1074" i="1"/>
  <c r="S1093" i="1"/>
  <c r="S1110" i="1"/>
  <c r="S1129" i="1"/>
  <c r="S1146" i="1"/>
  <c r="S1164" i="1"/>
  <c r="S1179" i="1"/>
  <c r="S1196" i="1"/>
  <c r="S131" i="1"/>
  <c r="S275" i="1"/>
  <c r="S419" i="1"/>
  <c r="S526" i="1"/>
  <c r="S622" i="1"/>
  <c r="S705" i="1"/>
  <c r="S753" i="1"/>
  <c r="S790" i="1"/>
  <c r="S831" i="1"/>
  <c r="S857" i="1"/>
  <c r="S892" i="1"/>
  <c r="S916" i="1"/>
  <c r="S946" i="1"/>
  <c r="S970" i="1"/>
  <c r="S1000" i="1"/>
  <c r="S142" i="1"/>
  <c r="S286" i="1"/>
  <c r="S430" i="1"/>
  <c r="S561" i="1"/>
  <c r="S657" i="1"/>
  <c r="S708" i="1"/>
  <c r="S755" i="1"/>
  <c r="S796" i="1"/>
  <c r="S833" i="1"/>
  <c r="S863" i="1"/>
  <c r="S896" i="1"/>
  <c r="S921" i="1"/>
  <c r="S948" i="1"/>
  <c r="S975" i="1"/>
  <c r="S1004" i="1"/>
  <c r="S1025" i="1"/>
  <c r="S1044" i="1"/>
  <c r="S1061" i="1"/>
  <c r="S1080" i="1"/>
  <c r="S141" i="1"/>
  <c r="S754" i="1"/>
  <c r="S947" i="1"/>
  <c r="S1058" i="1"/>
  <c r="S1116" i="1"/>
  <c r="S1167" i="1"/>
  <c r="S1214" i="1"/>
  <c r="S1247" i="1"/>
  <c r="S1268" i="1"/>
  <c r="S1291" i="1"/>
  <c r="S1310" i="1"/>
  <c r="S1331" i="1"/>
  <c r="S1350" i="1"/>
  <c r="S1370" i="1"/>
  <c r="S1389" i="1"/>
  <c r="S1410" i="1"/>
  <c r="S1428" i="1"/>
  <c r="S1449" i="1"/>
  <c r="S1467" i="1"/>
  <c r="S1488" i="1"/>
  <c r="S1507" i="1"/>
  <c r="S1527" i="1"/>
  <c r="S1546" i="1"/>
  <c r="S1567" i="1"/>
  <c r="S1585" i="1"/>
  <c r="S1606" i="1"/>
  <c r="S1623" i="1"/>
  <c r="S1640" i="1"/>
  <c r="S1655" i="1"/>
  <c r="S1670" i="1"/>
  <c r="S1685" i="1"/>
  <c r="S1700" i="1"/>
  <c r="S1715" i="1"/>
  <c r="S1729" i="1"/>
  <c r="S1743" i="1"/>
  <c r="S1757" i="1"/>
  <c r="S1772" i="1"/>
  <c r="S1787" i="1"/>
  <c r="S1801" i="1"/>
  <c r="S1815" i="1"/>
  <c r="S1829" i="1"/>
  <c r="S1844" i="1"/>
  <c r="S1859" i="1"/>
  <c r="S1873" i="1"/>
  <c r="S1887" i="1"/>
  <c r="S1901" i="1"/>
  <c r="S1916" i="1"/>
  <c r="S1931" i="1"/>
  <c r="S1945" i="1"/>
  <c r="S1959" i="1"/>
  <c r="S1972" i="1"/>
  <c r="S1985" i="1"/>
  <c r="S1998" i="1"/>
  <c r="S2012" i="1"/>
  <c r="S2025" i="1"/>
  <c r="S2038" i="1"/>
  <c r="S2051" i="1"/>
  <c r="S2064" i="1"/>
  <c r="S2077" i="1"/>
  <c r="S2090" i="1"/>
  <c r="S2103" i="1"/>
  <c r="S2116" i="1"/>
  <c r="S2129" i="1"/>
  <c r="S2142" i="1"/>
  <c r="S2156" i="1"/>
  <c r="S2169" i="1"/>
  <c r="S2182" i="1"/>
  <c r="S2195" i="1"/>
  <c r="S2208" i="1"/>
  <c r="S2221" i="1"/>
  <c r="S2234" i="1"/>
  <c r="S2247" i="1"/>
  <c r="S143" i="1"/>
  <c r="S756" i="1"/>
  <c r="S951" i="1"/>
  <c r="S1059" i="1"/>
  <c r="S1117" i="1"/>
  <c r="S1169" i="1"/>
  <c r="S1215" i="1"/>
  <c r="S1248" i="1"/>
  <c r="S1273" i="1"/>
  <c r="S1292" i="1"/>
  <c r="S1315" i="1"/>
  <c r="S1332" i="1"/>
  <c r="S1354" i="1"/>
  <c r="S1371" i="1"/>
  <c r="S1393" i="1"/>
  <c r="S1411" i="1"/>
  <c r="S1433" i="1"/>
  <c r="S1450" i="1"/>
  <c r="S1472" i="1"/>
  <c r="S1489" i="1"/>
  <c r="S1511" i="1"/>
  <c r="S1529" i="1"/>
  <c r="S1550" i="1"/>
  <c r="S1568" i="1"/>
  <c r="S1590" i="1"/>
  <c r="S1607" i="1"/>
  <c r="S1625" i="1"/>
  <c r="S1641" i="1"/>
  <c r="S1656" i="1"/>
  <c r="S1671" i="1"/>
  <c r="S1686" i="1"/>
  <c r="S1701" i="1"/>
  <c r="S1716" i="1"/>
  <c r="S1730" i="1"/>
  <c r="S1744" i="1"/>
  <c r="S1758" i="1"/>
  <c r="S1773" i="1"/>
  <c r="S1788" i="1"/>
  <c r="S1802" i="1"/>
  <c r="S1816" i="1"/>
  <c r="S1830" i="1"/>
  <c r="S1845" i="1"/>
  <c r="S1860" i="1"/>
  <c r="S1874" i="1"/>
  <c r="S1888" i="1"/>
  <c r="S1902" i="1"/>
  <c r="S1917" i="1"/>
  <c r="S1932" i="1"/>
  <c r="S1946" i="1"/>
  <c r="S1960" i="1"/>
  <c r="S1973" i="1"/>
  <c r="S1986" i="1"/>
  <c r="S2000" i="1"/>
  <c r="S2013" i="1"/>
  <c r="S2026" i="1"/>
  <c r="S2039" i="1"/>
  <c r="S2052" i="1"/>
  <c r="S2065" i="1"/>
  <c r="S2078" i="1"/>
  <c r="S2091" i="1"/>
  <c r="S2104" i="1"/>
  <c r="S2117" i="1"/>
  <c r="S2130" i="1"/>
  <c r="S2144" i="1"/>
  <c r="S2157" i="1"/>
  <c r="S2170" i="1"/>
  <c r="S2183" i="1"/>
  <c r="S2196" i="1"/>
  <c r="S2209" i="1"/>
  <c r="S2222" i="1"/>
  <c r="S2235" i="1"/>
  <c r="S285" i="1"/>
  <c r="S791" i="1"/>
  <c r="S971" i="1"/>
  <c r="S1062" i="1"/>
  <c r="S1130" i="1"/>
  <c r="S1181" i="1"/>
  <c r="S1217" i="1"/>
  <c r="S1249" i="1"/>
  <c r="S1274" i="1"/>
  <c r="S1294" i="1"/>
  <c r="S1316" i="1"/>
  <c r="S1333" i="1"/>
  <c r="S1355" i="1"/>
  <c r="S1373" i="1"/>
  <c r="S1394" i="1"/>
  <c r="S1412" i="1"/>
  <c r="S1434" i="1"/>
  <c r="S1451" i="1"/>
  <c r="S1473" i="1"/>
  <c r="S1490" i="1"/>
  <c r="S1512" i="1"/>
  <c r="S1530" i="1"/>
  <c r="S1551" i="1"/>
  <c r="S1569" i="1"/>
  <c r="S1591" i="1"/>
  <c r="S1608" i="1"/>
  <c r="S1627" i="1"/>
  <c r="S1642" i="1"/>
  <c r="S1657" i="1"/>
  <c r="S1673" i="1"/>
  <c r="S1688" i="1"/>
  <c r="S1703" i="1"/>
  <c r="S1717" i="1"/>
  <c r="S1731" i="1"/>
  <c r="S1745" i="1"/>
  <c r="S1760" i="1"/>
  <c r="S1775" i="1"/>
  <c r="S1789" i="1"/>
  <c r="S1803" i="1"/>
  <c r="S1817" i="1"/>
  <c r="S1832" i="1"/>
  <c r="S1847" i="1"/>
  <c r="S1861" i="1"/>
  <c r="S1875" i="1"/>
  <c r="S1889" i="1"/>
  <c r="S1904" i="1"/>
  <c r="S1919" i="1"/>
  <c r="S1933" i="1"/>
  <c r="S1947" i="1"/>
  <c r="S1961" i="1"/>
  <c r="S1974" i="1"/>
  <c r="S1988" i="1"/>
  <c r="S2001" i="1"/>
  <c r="S2014" i="1"/>
  <c r="S2027" i="1"/>
  <c r="S2040" i="1"/>
  <c r="S2053" i="1"/>
  <c r="S2066" i="1"/>
  <c r="S2079" i="1"/>
  <c r="S2092" i="1"/>
  <c r="S2105" i="1"/>
  <c r="S2118" i="1"/>
  <c r="S2132" i="1"/>
  <c r="S2145" i="1"/>
  <c r="S2158" i="1"/>
  <c r="S2171" i="1"/>
  <c r="S2184" i="1"/>
  <c r="S2197" i="1"/>
  <c r="S2210" i="1"/>
  <c r="S2223" i="1"/>
  <c r="S2236" i="1"/>
  <c r="S2249" i="1"/>
  <c r="S2261" i="1"/>
  <c r="S2273" i="1"/>
  <c r="S2285" i="1"/>
  <c r="S2297" i="1"/>
  <c r="S2309" i="1"/>
  <c r="S2321" i="1"/>
  <c r="S2333" i="1"/>
  <c r="S2345" i="1"/>
  <c r="S2357" i="1"/>
  <c r="S287" i="1"/>
  <c r="S801" i="1"/>
  <c r="S976" i="1"/>
  <c r="S1078" i="1"/>
  <c r="S1131" i="1"/>
  <c r="S1182" i="1"/>
  <c r="S1227" i="1"/>
  <c r="S1251" i="1"/>
  <c r="S1275" i="1"/>
  <c r="S1296" i="1"/>
  <c r="S1317" i="1"/>
  <c r="S1335" i="1"/>
  <c r="S1356" i="1"/>
  <c r="S1375" i="1"/>
  <c r="S1395" i="1"/>
  <c r="S1414" i="1"/>
  <c r="S1435" i="1"/>
  <c r="S1453" i="1"/>
  <c r="S1474" i="1"/>
  <c r="S1493" i="1"/>
  <c r="S1513" i="1"/>
  <c r="S1532" i="1"/>
  <c r="S1553" i="1"/>
  <c r="S1571" i="1"/>
  <c r="S1592" i="1"/>
  <c r="S1610" i="1"/>
  <c r="S1628" i="1"/>
  <c r="S1643" i="1"/>
  <c r="S1658" i="1"/>
  <c r="S1674" i="1"/>
  <c r="S1689" i="1"/>
  <c r="S1704" i="1"/>
  <c r="S1718" i="1"/>
  <c r="S1732" i="1"/>
  <c r="S1746" i="1"/>
  <c r="S1761" i="1"/>
  <c r="S1776" i="1"/>
  <c r="S1790" i="1"/>
  <c r="S1804" i="1"/>
  <c r="S1818" i="1"/>
  <c r="S1833" i="1"/>
  <c r="S1848" i="1"/>
  <c r="S1862" i="1"/>
  <c r="S1876" i="1"/>
  <c r="S1890" i="1"/>
  <c r="S1905" i="1"/>
  <c r="S1920" i="1"/>
  <c r="S1934" i="1"/>
  <c r="S1948" i="1"/>
  <c r="S1962" i="1"/>
  <c r="S1976" i="1"/>
  <c r="S1989" i="1"/>
  <c r="S2002" i="1"/>
  <c r="S2015" i="1"/>
  <c r="S2028" i="1"/>
  <c r="S2041" i="1"/>
  <c r="S2054" i="1"/>
  <c r="S2067" i="1"/>
  <c r="S2080" i="1"/>
  <c r="S2093" i="1"/>
  <c r="S2106" i="1"/>
  <c r="S2120" i="1"/>
  <c r="S2133" i="1"/>
  <c r="S2146" i="1"/>
  <c r="S2159" i="1"/>
  <c r="S2172" i="1"/>
  <c r="S2185" i="1"/>
  <c r="S2198" i="1"/>
  <c r="S2211" i="1"/>
  <c r="S2224" i="1"/>
  <c r="S2237" i="1"/>
  <c r="S2250" i="1"/>
  <c r="S2262" i="1"/>
  <c r="S2274" i="1"/>
  <c r="S2286" i="1"/>
  <c r="S2298" i="1"/>
  <c r="S2310" i="1"/>
  <c r="S2322" i="1"/>
  <c r="S2334" i="1"/>
  <c r="S2346" i="1"/>
  <c r="S2358" i="1"/>
  <c r="S2370" i="1"/>
  <c r="S2382" i="1"/>
  <c r="S2394" i="1"/>
  <c r="S2406" i="1"/>
  <c r="S2418" i="1"/>
  <c r="S2430" i="1"/>
  <c r="S2442" i="1"/>
  <c r="S2454" i="1"/>
  <c r="S2466" i="1"/>
  <c r="S2478" i="1"/>
  <c r="S2490" i="1"/>
  <c r="S2502" i="1"/>
  <c r="S2514" i="1"/>
  <c r="S2526" i="1"/>
  <c r="S2538" i="1"/>
  <c r="S2550" i="1"/>
  <c r="S2562" i="1"/>
  <c r="S2574" i="1"/>
  <c r="S2586" i="1"/>
  <c r="S2598" i="1"/>
  <c r="S2610" i="1"/>
  <c r="S2622" i="1"/>
  <c r="S429" i="1"/>
  <c r="S832" i="1"/>
  <c r="S1001" i="1"/>
  <c r="S1079" i="1"/>
  <c r="S1133" i="1"/>
  <c r="S1184" i="1"/>
  <c r="S1229" i="1"/>
  <c r="S1253" i="1"/>
  <c r="S1277" i="1"/>
  <c r="S1297" i="1"/>
  <c r="S1318" i="1"/>
  <c r="S1337" i="1"/>
  <c r="S1357" i="1"/>
  <c r="S1376" i="1"/>
  <c r="S1397" i="1"/>
  <c r="S1415" i="1"/>
  <c r="S1436" i="1"/>
  <c r="S1454" i="1"/>
  <c r="S1475" i="1"/>
  <c r="S1494" i="1"/>
  <c r="S1514" i="1"/>
  <c r="S1533" i="1"/>
  <c r="S1554" i="1"/>
  <c r="S1572" i="1"/>
  <c r="S1593" i="1"/>
  <c r="S1611" i="1"/>
  <c r="S1629" i="1"/>
  <c r="S1644" i="1"/>
  <c r="S1659" i="1"/>
  <c r="S1676" i="1"/>
  <c r="S1691" i="1"/>
  <c r="S1705" i="1"/>
  <c r="S1719" i="1"/>
  <c r="S1733" i="1"/>
  <c r="S1748" i="1"/>
  <c r="S1763" i="1"/>
  <c r="S1777" i="1"/>
  <c r="S1791" i="1"/>
  <c r="S1805" i="1"/>
  <c r="S1820" i="1"/>
  <c r="S1835" i="1"/>
  <c r="S1849" i="1"/>
  <c r="S1863" i="1"/>
  <c r="S1877" i="1"/>
  <c r="S1892" i="1"/>
  <c r="S1907" i="1"/>
  <c r="S1921" i="1"/>
  <c r="S1935" i="1"/>
  <c r="S1949" i="1"/>
  <c r="S1964" i="1"/>
  <c r="S1977" i="1"/>
  <c r="S1990" i="1"/>
  <c r="S2003" i="1"/>
  <c r="S2016" i="1"/>
  <c r="S2029" i="1"/>
  <c r="S2042" i="1"/>
  <c r="S2055" i="1"/>
  <c r="S2068" i="1"/>
  <c r="S2081" i="1"/>
  <c r="S2094" i="1"/>
  <c r="S2108" i="1"/>
  <c r="S2121" i="1"/>
  <c r="S2134" i="1"/>
  <c r="S2147" i="1"/>
  <c r="S2160" i="1"/>
  <c r="S2173" i="1"/>
  <c r="S2186" i="1"/>
  <c r="S2199" i="1"/>
  <c r="S2212" i="1"/>
  <c r="S2225" i="1"/>
  <c r="S2238" i="1"/>
  <c r="S2251" i="1"/>
  <c r="S2263" i="1"/>
  <c r="S2275" i="1"/>
  <c r="S2287" i="1"/>
  <c r="S2299" i="1"/>
  <c r="S2311" i="1"/>
  <c r="S2323" i="1"/>
  <c r="S2335" i="1"/>
  <c r="S431" i="1"/>
  <c r="S837" i="1"/>
  <c r="S1005" i="1"/>
  <c r="S1081" i="1"/>
  <c r="S1134" i="1"/>
  <c r="S1186" i="1"/>
  <c r="S1230" i="1"/>
  <c r="S1259" i="1"/>
  <c r="S1278" i="1"/>
  <c r="S1302" i="1"/>
  <c r="S1319" i="1"/>
  <c r="S1341" i="1"/>
  <c r="S1358" i="1"/>
  <c r="S1380" i="1"/>
  <c r="S1398" i="1"/>
  <c r="S1419" i="1"/>
  <c r="S1437" i="1"/>
  <c r="S1459" i="1"/>
  <c r="S1476" i="1"/>
  <c r="S1498" i="1"/>
  <c r="S1515" i="1"/>
  <c r="S1537" i="1"/>
  <c r="S1555" i="1"/>
  <c r="S1577" i="1"/>
  <c r="S1594" i="1"/>
  <c r="S1614" i="1"/>
  <c r="S1630" i="1"/>
  <c r="S1645" i="1"/>
  <c r="S1661" i="1"/>
  <c r="S1677" i="1"/>
  <c r="S1692" i="1"/>
  <c r="S1706" i="1"/>
  <c r="S1720" i="1"/>
  <c r="S1734" i="1"/>
  <c r="S1749" i="1"/>
  <c r="S1764" i="1"/>
  <c r="S1778" i="1"/>
  <c r="S1792" i="1"/>
  <c r="S1806" i="1"/>
  <c r="S1821" i="1"/>
  <c r="S1836" i="1"/>
  <c r="S1850" i="1"/>
  <c r="S1864" i="1"/>
  <c r="S1878" i="1"/>
  <c r="S1893" i="1"/>
  <c r="S1908" i="1"/>
  <c r="S1922" i="1"/>
  <c r="S1936" i="1"/>
  <c r="S1950" i="1"/>
  <c r="S1965" i="1"/>
  <c r="S1978" i="1"/>
  <c r="S1991" i="1"/>
  <c r="S2004" i="1"/>
  <c r="S2017" i="1"/>
  <c r="S2030" i="1"/>
  <c r="S2043" i="1"/>
  <c r="S2056" i="1"/>
  <c r="S2069" i="1"/>
  <c r="S2082" i="1"/>
  <c r="S2096" i="1"/>
  <c r="S2109" i="1"/>
  <c r="S2122" i="1"/>
  <c r="S2135" i="1"/>
  <c r="S2148" i="1"/>
  <c r="S2161" i="1"/>
  <c r="S2174" i="1"/>
  <c r="S2187" i="1"/>
  <c r="S2200" i="1"/>
  <c r="S2213" i="1"/>
  <c r="S2226" i="1"/>
  <c r="S2240" i="1"/>
  <c r="S2252" i="1"/>
  <c r="S2264" i="1"/>
  <c r="S2276" i="1"/>
  <c r="S2288" i="1"/>
  <c r="S2300" i="1"/>
  <c r="S2312" i="1"/>
  <c r="S2324" i="1"/>
  <c r="S2336" i="1"/>
  <c r="S2348" i="1"/>
  <c r="S2360" i="1"/>
  <c r="S2372" i="1"/>
  <c r="S2384" i="1"/>
  <c r="S2396" i="1"/>
  <c r="S2408" i="1"/>
  <c r="S527" i="1"/>
  <c r="S861" i="1"/>
  <c r="S1022" i="1"/>
  <c r="S1094" i="1"/>
  <c r="S1150" i="1"/>
  <c r="S1198" i="1"/>
  <c r="S1232" i="1"/>
  <c r="S1260" i="1"/>
  <c r="S1279" i="1"/>
  <c r="S1303" i="1"/>
  <c r="S1320" i="1"/>
  <c r="S1342" i="1"/>
  <c r="S1359" i="1"/>
  <c r="S1381" i="1"/>
  <c r="S1399" i="1"/>
  <c r="S1421" i="1"/>
  <c r="S1438" i="1"/>
  <c r="S1460" i="1"/>
  <c r="S1477" i="1"/>
  <c r="S1499" i="1"/>
  <c r="S1517" i="1"/>
  <c r="S1538" i="1"/>
  <c r="S1556" i="1"/>
  <c r="S1578" i="1"/>
  <c r="S1595" i="1"/>
  <c r="S1616" i="1"/>
  <c r="S1631" i="1"/>
  <c r="S1646" i="1"/>
  <c r="S1663" i="1"/>
  <c r="S1679" i="1"/>
  <c r="S1693" i="1"/>
  <c r="S1707" i="1"/>
  <c r="S1721" i="1"/>
  <c r="S1736" i="1"/>
  <c r="S1751" i="1"/>
  <c r="S1765" i="1"/>
  <c r="S1779" i="1"/>
  <c r="S1793" i="1"/>
  <c r="S1808" i="1"/>
  <c r="S1823" i="1"/>
  <c r="S1837" i="1"/>
  <c r="S1851" i="1"/>
  <c r="S1865" i="1"/>
  <c r="S1880" i="1"/>
  <c r="S1895" i="1"/>
  <c r="S1909" i="1"/>
  <c r="S1923" i="1"/>
  <c r="S1937" i="1"/>
  <c r="S1952" i="1"/>
  <c r="S1966" i="1"/>
  <c r="S1979" i="1"/>
  <c r="S1992" i="1"/>
  <c r="S2005" i="1"/>
  <c r="S2018" i="1"/>
  <c r="S2031" i="1"/>
  <c r="S2044" i="1"/>
  <c r="S2057" i="1"/>
  <c r="S2070" i="1"/>
  <c r="S2084" i="1"/>
  <c r="S2097" i="1"/>
  <c r="S2110" i="1"/>
  <c r="S2123" i="1"/>
  <c r="S2136" i="1"/>
  <c r="S2149" i="1"/>
  <c r="S2162" i="1"/>
  <c r="S2175" i="1"/>
  <c r="S2188" i="1"/>
  <c r="S2201" i="1"/>
  <c r="S562" i="1"/>
  <c r="S864" i="1"/>
  <c r="S1023" i="1"/>
  <c r="S1095" i="1"/>
  <c r="S1151" i="1"/>
  <c r="S1199" i="1"/>
  <c r="S1234" i="1"/>
  <c r="S1261" i="1"/>
  <c r="S1282" i="1"/>
  <c r="S1304" i="1"/>
  <c r="S1322" i="1"/>
  <c r="S1343" i="1"/>
  <c r="S1362" i="1"/>
  <c r="S1382" i="1"/>
  <c r="S1401" i="1"/>
  <c r="S1422" i="1"/>
  <c r="S1440" i="1"/>
  <c r="S1461" i="1"/>
  <c r="S1479" i="1"/>
  <c r="S1500" i="1"/>
  <c r="S1519" i="1"/>
  <c r="S1539" i="1"/>
  <c r="S1558" i="1"/>
  <c r="S1579" i="1"/>
  <c r="S1597" i="1"/>
  <c r="S1617" i="1"/>
  <c r="S1632" i="1"/>
  <c r="S1647" i="1"/>
  <c r="S1664" i="1"/>
  <c r="S1680" i="1"/>
  <c r="S1694" i="1"/>
  <c r="S1708" i="1"/>
  <c r="S1722" i="1"/>
  <c r="S1737" i="1"/>
  <c r="S1752" i="1"/>
  <c r="S1766" i="1"/>
  <c r="S1780" i="1"/>
  <c r="S1794" i="1"/>
  <c r="S1809" i="1"/>
  <c r="S1824" i="1"/>
  <c r="S1838" i="1"/>
  <c r="S1852" i="1"/>
  <c r="S1866" i="1"/>
  <c r="S1881" i="1"/>
  <c r="S1896" i="1"/>
  <c r="S1910" i="1"/>
  <c r="S1924" i="1"/>
  <c r="S1938" i="1"/>
  <c r="S1953" i="1"/>
  <c r="S1967" i="1"/>
  <c r="S1980" i="1"/>
  <c r="S1993" i="1"/>
  <c r="S2006" i="1"/>
  <c r="S2019" i="1"/>
  <c r="S2032" i="1"/>
  <c r="S2045" i="1"/>
  <c r="S2058" i="1"/>
  <c r="S2072" i="1"/>
  <c r="S2085" i="1"/>
  <c r="S2098" i="1"/>
  <c r="S623" i="1"/>
  <c r="S893" i="1"/>
  <c r="S1026" i="1"/>
  <c r="S1097" i="1"/>
  <c r="S1152" i="1"/>
  <c r="S1200" i="1"/>
  <c r="S1237" i="1"/>
  <c r="S1262" i="1"/>
  <c r="S1283" i="1"/>
  <c r="S1305" i="1"/>
  <c r="S1323" i="1"/>
  <c r="S1344" i="1"/>
  <c r="S1363" i="1"/>
  <c r="S1383" i="1"/>
  <c r="S1402" i="1"/>
  <c r="S1423" i="1"/>
  <c r="S1441" i="1"/>
  <c r="S1462" i="1"/>
  <c r="S1481" i="1"/>
  <c r="S1501" i="1"/>
  <c r="S1520" i="1"/>
  <c r="S1541" i="1"/>
  <c r="S1559" i="1"/>
  <c r="S1580" i="1"/>
  <c r="S1598" i="1"/>
  <c r="S1618" i="1"/>
  <c r="S1633" i="1"/>
  <c r="S1650" i="1"/>
  <c r="S1666" i="1"/>
  <c r="S1681" i="1"/>
  <c r="S1695" i="1"/>
  <c r="S1709" i="1"/>
  <c r="S1724" i="1"/>
  <c r="S1739" i="1"/>
  <c r="S1753" i="1"/>
  <c r="S1767" i="1"/>
  <c r="S1781" i="1"/>
  <c r="S1796" i="1"/>
  <c r="S1811" i="1"/>
  <c r="S1825" i="1"/>
  <c r="S1839" i="1"/>
  <c r="S1853" i="1"/>
  <c r="S1868" i="1"/>
  <c r="S1883" i="1"/>
  <c r="S1897" i="1"/>
  <c r="S1911" i="1"/>
  <c r="S1925" i="1"/>
  <c r="S1940" i="1"/>
  <c r="S1955" i="1"/>
  <c r="S1968" i="1"/>
  <c r="S1981" i="1"/>
  <c r="S1994" i="1"/>
  <c r="S2007" i="1"/>
  <c r="S2020" i="1"/>
  <c r="S2033" i="1"/>
  <c r="S2046" i="1"/>
  <c r="S2060" i="1"/>
  <c r="S2073" i="1"/>
  <c r="S2086" i="1"/>
  <c r="S2099" i="1"/>
  <c r="S2112" i="1"/>
  <c r="S658" i="1"/>
  <c r="S897" i="1"/>
  <c r="S1042" i="1"/>
  <c r="S1098" i="1"/>
  <c r="S1153" i="1"/>
  <c r="S1201" i="1"/>
  <c r="S1242" i="1"/>
  <c r="S1263" i="1"/>
  <c r="S1287" i="1"/>
  <c r="S1306" i="1"/>
  <c r="S1328" i="1"/>
  <c r="S1345" i="1"/>
  <c r="S1367" i="1"/>
  <c r="S1385" i="1"/>
  <c r="S1406" i="1"/>
  <c r="S1424" i="1"/>
  <c r="S1446" i="1"/>
  <c r="S1463" i="1"/>
  <c r="S1485" i="1"/>
  <c r="S1502" i="1"/>
  <c r="S1524" i="1"/>
  <c r="S1542" i="1"/>
  <c r="S1563" i="1"/>
  <c r="S1581" i="1"/>
  <c r="S1603" i="1"/>
  <c r="S1619" i="1"/>
  <c r="S1634" i="1"/>
  <c r="S1651" i="1"/>
  <c r="S1667" i="1"/>
  <c r="S1682" i="1"/>
  <c r="S1696" i="1"/>
  <c r="S1710" i="1"/>
  <c r="S1725" i="1"/>
  <c r="S1740" i="1"/>
  <c r="S1754" i="1"/>
  <c r="S1768" i="1"/>
  <c r="S1782" i="1"/>
  <c r="S1797" i="1"/>
  <c r="S1812" i="1"/>
  <c r="S1826" i="1"/>
  <c r="S1840" i="1"/>
  <c r="S1854" i="1"/>
  <c r="S1869" i="1"/>
  <c r="S1884" i="1"/>
  <c r="S1898" i="1"/>
  <c r="S1912" i="1"/>
  <c r="S1926" i="1"/>
  <c r="S1941" i="1"/>
  <c r="S1956" i="1"/>
  <c r="S1969" i="1"/>
  <c r="S1982" i="1"/>
  <c r="S1995" i="1"/>
  <c r="S2008" i="1"/>
  <c r="S2021" i="1"/>
  <c r="S2034" i="1"/>
  <c r="S2048" i="1"/>
  <c r="S2061" i="1"/>
  <c r="S2074" i="1"/>
  <c r="S2087" i="1"/>
  <c r="S2100" i="1"/>
  <c r="S2113" i="1"/>
  <c r="S2126" i="1"/>
  <c r="S706" i="1"/>
  <c r="S1244" i="1"/>
  <c r="S1368" i="1"/>
  <c r="S1486" i="1"/>
  <c r="S1604" i="1"/>
  <c r="S1697" i="1"/>
  <c r="S1784" i="1"/>
  <c r="S1871" i="1"/>
  <c r="S1957" i="1"/>
  <c r="S2036" i="1"/>
  <c r="S2111" i="1"/>
  <c r="S2150" i="1"/>
  <c r="S2178" i="1"/>
  <c r="S2207" i="1"/>
  <c r="S2233" i="1"/>
  <c r="S2257" i="1"/>
  <c r="S2277" i="1"/>
  <c r="S2293" i="1"/>
  <c r="S2313" i="1"/>
  <c r="S2329" i="1"/>
  <c r="S2347" i="1"/>
  <c r="S2363" i="1"/>
  <c r="S2377" i="1"/>
  <c r="S2391" i="1"/>
  <c r="S2405" i="1"/>
  <c r="S2420" i="1"/>
  <c r="S2433" i="1"/>
  <c r="S2446" i="1"/>
  <c r="S2459" i="1"/>
  <c r="S2472" i="1"/>
  <c r="S2485" i="1"/>
  <c r="S2498" i="1"/>
  <c r="S2511" i="1"/>
  <c r="S2524" i="1"/>
  <c r="S2537" i="1"/>
  <c r="S2551" i="1"/>
  <c r="S2564" i="1"/>
  <c r="S2577" i="1"/>
  <c r="S2590" i="1"/>
  <c r="S2603" i="1"/>
  <c r="S2616" i="1"/>
  <c r="S2629" i="1"/>
  <c r="S2641" i="1"/>
  <c r="S2653" i="1"/>
  <c r="S2665" i="1"/>
  <c r="S2677" i="1"/>
  <c r="S2689" i="1"/>
  <c r="S2701" i="1"/>
  <c r="S2713" i="1"/>
  <c r="S2725" i="1"/>
  <c r="S2737" i="1"/>
  <c r="S2749" i="1"/>
  <c r="S2761" i="1"/>
  <c r="S2773" i="1"/>
  <c r="S2785" i="1"/>
  <c r="S2797" i="1"/>
  <c r="S2809" i="1"/>
  <c r="S2821" i="1"/>
  <c r="S2833" i="1"/>
  <c r="S2845" i="1"/>
  <c r="S2857" i="1"/>
  <c r="S2869" i="1"/>
  <c r="S2881" i="1"/>
  <c r="S2893" i="1"/>
  <c r="S2905" i="1"/>
  <c r="S2917" i="1"/>
  <c r="S2929" i="1"/>
  <c r="S2941" i="1"/>
  <c r="S2953" i="1"/>
  <c r="S2965" i="1"/>
  <c r="S2977" i="1"/>
  <c r="S2989" i="1"/>
  <c r="S3001" i="1"/>
  <c r="S3013" i="1"/>
  <c r="S712" i="1"/>
  <c r="S1246" i="1"/>
  <c r="S1369" i="1"/>
  <c r="S1487" i="1"/>
  <c r="S1605" i="1"/>
  <c r="S1698" i="1"/>
  <c r="S1785" i="1"/>
  <c r="S1872" i="1"/>
  <c r="S1958" i="1"/>
  <c r="S2037" i="1"/>
  <c r="S2114" i="1"/>
  <c r="S2151" i="1"/>
  <c r="S2180" i="1"/>
  <c r="S2214" i="1"/>
  <c r="S2241" i="1"/>
  <c r="S2258" i="1"/>
  <c r="S2278" i="1"/>
  <c r="S2294" i="1"/>
  <c r="S2314" i="1"/>
  <c r="S2330" i="1"/>
  <c r="S2349" i="1"/>
  <c r="S2364" i="1"/>
  <c r="S2378" i="1"/>
  <c r="S2392" i="1"/>
  <c r="S2407" i="1"/>
  <c r="S2421" i="1"/>
  <c r="S2434" i="1"/>
  <c r="S2447" i="1"/>
  <c r="S2460" i="1"/>
  <c r="S2473" i="1"/>
  <c r="S2486" i="1"/>
  <c r="S2499" i="1"/>
  <c r="S2512" i="1"/>
  <c r="S2525" i="1"/>
  <c r="S2539" i="1"/>
  <c r="S2552" i="1"/>
  <c r="S2565" i="1"/>
  <c r="S2578" i="1"/>
  <c r="S2591" i="1"/>
  <c r="S2604" i="1"/>
  <c r="S2617" i="1"/>
  <c r="S2630" i="1"/>
  <c r="S2642" i="1"/>
  <c r="S2654" i="1"/>
  <c r="S2666" i="1"/>
  <c r="S2678" i="1"/>
  <c r="S2690" i="1"/>
  <c r="S2702" i="1"/>
  <c r="S2714" i="1"/>
  <c r="S2726" i="1"/>
  <c r="S2738" i="1"/>
  <c r="S2750" i="1"/>
  <c r="S2762" i="1"/>
  <c r="S2774" i="1"/>
  <c r="S2786" i="1"/>
  <c r="S2798" i="1"/>
  <c r="S2810" i="1"/>
  <c r="S2822" i="1"/>
  <c r="S2834" i="1"/>
  <c r="S2846" i="1"/>
  <c r="S2858" i="1"/>
  <c r="S2870" i="1"/>
  <c r="S2882" i="1"/>
  <c r="S2894" i="1"/>
  <c r="S2906" i="1"/>
  <c r="S2918" i="1"/>
  <c r="S2930" i="1"/>
  <c r="S2942" i="1"/>
  <c r="S2954" i="1"/>
  <c r="S2966" i="1"/>
  <c r="S2978" i="1"/>
  <c r="S2990" i="1"/>
  <c r="S3002" i="1"/>
  <c r="S3014" i="1"/>
  <c r="S3026" i="1"/>
  <c r="S3038" i="1"/>
  <c r="S3050" i="1"/>
  <c r="S3062" i="1"/>
  <c r="S3074" i="1"/>
  <c r="S917" i="1"/>
  <c r="S1265" i="1"/>
  <c r="S1386" i="1"/>
  <c r="S1503" i="1"/>
  <c r="S1620" i="1"/>
  <c r="S1712" i="1"/>
  <c r="S1799" i="1"/>
  <c r="S1885" i="1"/>
  <c r="S1970" i="1"/>
  <c r="S2049" i="1"/>
  <c r="S2115" i="1"/>
  <c r="S2152" i="1"/>
  <c r="S2181" i="1"/>
  <c r="S2216" i="1"/>
  <c r="S2242" i="1"/>
  <c r="S2259" i="1"/>
  <c r="S2279" i="1"/>
  <c r="S2295" i="1"/>
  <c r="S2315" i="1"/>
  <c r="S2331" i="1"/>
  <c r="S2350" i="1"/>
  <c r="S2365" i="1"/>
  <c r="S2379" i="1"/>
  <c r="S2393" i="1"/>
  <c r="S2409" i="1"/>
  <c r="S2422" i="1"/>
  <c r="S2435" i="1"/>
  <c r="S2448" i="1"/>
  <c r="S2461" i="1"/>
  <c r="S2474" i="1"/>
  <c r="S2487" i="1"/>
  <c r="S2500" i="1"/>
  <c r="S2513" i="1"/>
  <c r="S2527" i="1"/>
  <c r="S2540" i="1"/>
  <c r="S2553" i="1"/>
  <c r="S2566" i="1"/>
  <c r="S2579" i="1"/>
  <c r="S2592" i="1"/>
  <c r="S2605" i="1"/>
  <c r="S2618" i="1"/>
  <c r="S2631" i="1"/>
  <c r="S2643" i="1"/>
  <c r="S2655" i="1"/>
  <c r="S2667" i="1"/>
  <c r="S2679" i="1"/>
  <c r="S2691" i="1"/>
  <c r="S2703" i="1"/>
  <c r="S2715" i="1"/>
  <c r="S2727" i="1"/>
  <c r="S2739" i="1"/>
  <c r="S2751" i="1"/>
  <c r="S2763" i="1"/>
  <c r="S2775" i="1"/>
  <c r="S2787" i="1"/>
  <c r="S2799" i="1"/>
  <c r="S2811" i="1"/>
  <c r="S2823" i="1"/>
  <c r="S2835" i="1"/>
  <c r="S2847" i="1"/>
  <c r="S2859" i="1"/>
  <c r="S2871" i="1"/>
  <c r="S2883" i="1"/>
  <c r="S2895" i="1"/>
  <c r="S2907" i="1"/>
  <c r="S2919" i="1"/>
  <c r="S2931" i="1"/>
  <c r="S2943" i="1"/>
  <c r="S2955" i="1"/>
  <c r="S2967" i="1"/>
  <c r="S2979" i="1"/>
  <c r="S2991" i="1"/>
  <c r="S3003" i="1"/>
  <c r="S3015" i="1"/>
  <c r="S3027" i="1"/>
  <c r="S3039" i="1"/>
  <c r="S3051" i="1"/>
  <c r="S3063" i="1"/>
  <c r="S3075" i="1"/>
  <c r="S3087" i="1"/>
  <c r="S3099" i="1"/>
  <c r="S3111" i="1"/>
  <c r="S3123" i="1"/>
  <c r="S3135" i="1"/>
  <c r="S3147" i="1"/>
  <c r="S3159" i="1"/>
  <c r="S3171" i="1"/>
  <c r="S3183" i="1"/>
  <c r="S3195" i="1"/>
  <c r="S922" i="1"/>
  <c r="S1267" i="1"/>
  <c r="S1388" i="1"/>
  <c r="S1506" i="1"/>
  <c r="S1621" i="1"/>
  <c r="S1713" i="1"/>
  <c r="S1800" i="1"/>
  <c r="S1886" i="1"/>
  <c r="S1971" i="1"/>
  <c r="S2050" i="1"/>
  <c r="S2124" i="1"/>
  <c r="S2153" i="1"/>
  <c r="S2189" i="1"/>
  <c r="S2217" i="1"/>
  <c r="S2243" i="1"/>
  <c r="S2260" i="1"/>
  <c r="S2280" i="1"/>
  <c r="S2296" i="1"/>
  <c r="S2316" i="1"/>
  <c r="S2332" i="1"/>
  <c r="S2351" i="1"/>
  <c r="S2366" i="1"/>
  <c r="S2380" i="1"/>
  <c r="S2395" i="1"/>
  <c r="S2410" i="1"/>
  <c r="S2423" i="1"/>
  <c r="S2436" i="1"/>
  <c r="S2449" i="1"/>
  <c r="S2462" i="1"/>
  <c r="S2475" i="1"/>
  <c r="S2488" i="1"/>
  <c r="S2501" i="1"/>
  <c r="S2515" i="1"/>
  <c r="S2528" i="1"/>
  <c r="S2541" i="1"/>
  <c r="S2554" i="1"/>
  <c r="S2567" i="1"/>
  <c r="S2580" i="1"/>
  <c r="S2593" i="1"/>
  <c r="S2606" i="1"/>
  <c r="S2619" i="1"/>
  <c r="S2632" i="1"/>
  <c r="S2644" i="1"/>
  <c r="S2656" i="1"/>
  <c r="S2668" i="1"/>
  <c r="S2680" i="1"/>
  <c r="S2692" i="1"/>
  <c r="S2704" i="1"/>
  <c r="S2716" i="1"/>
  <c r="S2728" i="1"/>
  <c r="S2740" i="1"/>
  <c r="S2752" i="1"/>
  <c r="S2764" i="1"/>
  <c r="S2776" i="1"/>
  <c r="S2788" i="1"/>
  <c r="S2800" i="1"/>
  <c r="S2812" i="1"/>
  <c r="S2824" i="1"/>
  <c r="S2836" i="1"/>
  <c r="S2848" i="1"/>
  <c r="S2860" i="1"/>
  <c r="S2872" i="1"/>
  <c r="S2884" i="1"/>
  <c r="S2896" i="1"/>
  <c r="S2908" i="1"/>
  <c r="S2920" i="1"/>
  <c r="S2932" i="1"/>
  <c r="S2944" i="1"/>
  <c r="S2956" i="1"/>
  <c r="S2968" i="1"/>
  <c r="S2980" i="1"/>
  <c r="S2992" i="1"/>
  <c r="S3004" i="1"/>
  <c r="S3016" i="1"/>
  <c r="S3028" i="1"/>
  <c r="S3040" i="1"/>
  <c r="S3052" i="1"/>
  <c r="S3064" i="1"/>
  <c r="S3076" i="1"/>
  <c r="S3088" i="1"/>
  <c r="S1043" i="1"/>
  <c r="S1289" i="1"/>
  <c r="S1407" i="1"/>
  <c r="S1525" i="1"/>
  <c r="S1637" i="1"/>
  <c r="S1727" i="1"/>
  <c r="S1813" i="1"/>
  <c r="S1899" i="1"/>
  <c r="S1983" i="1"/>
  <c r="S2062" i="1"/>
  <c r="S2125" i="1"/>
  <c r="S2154" i="1"/>
  <c r="S2190" i="1"/>
  <c r="S2218" i="1"/>
  <c r="S2244" i="1"/>
  <c r="S2265" i="1"/>
  <c r="S2281" i="1"/>
  <c r="S2301" i="1"/>
  <c r="S2317" i="1"/>
  <c r="S2337" i="1"/>
  <c r="S2352" i="1"/>
  <c r="S2367" i="1"/>
  <c r="S2381" i="1"/>
  <c r="S2397" i="1"/>
  <c r="S2411" i="1"/>
  <c r="S2424" i="1"/>
  <c r="S2437" i="1"/>
  <c r="S2450" i="1"/>
  <c r="S2463" i="1"/>
  <c r="S2476" i="1"/>
  <c r="S2489" i="1"/>
  <c r="S2503" i="1"/>
  <c r="S2516" i="1"/>
  <c r="S2529" i="1"/>
  <c r="S2542" i="1"/>
  <c r="S2555" i="1"/>
  <c r="S2568" i="1"/>
  <c r="S2581" i="1"/>
  <c r="S2594" i="1"/>
  <c r="S2607" i="1"/>
  <c r="S2620" i="1"/>
  <c r="S2633" i="1"/>
  <c r="S2645" i="1"/>
  <c r="S2657" i="1"/>
  <c r="S2669" i="1"/>
  <c r="S2681" i="1"/>
  <c r="S2693" i="1"/>
  <c r="S2705" i="1"/>
  <c r="S2717" i="1"/>
  <c r="S2729" i="1"/>
  <c r="S2741" i="1"/>
  <c r="S2753" i="1"/>
  <c r="S2765" i="1"/>
  <c r="S2777" i="1"/>
  <c r="S2789" i="1"/>
  <c r="S2801" i="1"/>
  <c r="S2813" i="1"/>
  <c r="S2825" i="1"/>
  <c r="S2837" i="1"/>
  <c r="S2849" i="1"/>
  <c r="S2861" i="1"/>
  <c r="S2873" i="1"/>
  <c r="S2885" i="1"/>
  <c r="S2897" i="1"/>
  <c r="S2909" i="1"/>
  <c r="S2921" i="1"/>
  <c r="S2933" i="1"/>
  <c r="S2945" i="1"/>
  <c r="S2957" i="1"/>
  <c r="S2969" i="1"/>
  <c r="S2981" i="1"/>
  <c r="S2993" i="1"/>
  <c r="S3005" i="1"/>
  <c r="S3017" i="1"/>
  <c r="S3029" i="1"/>
  <c r="S3041" i="1"/>
  <c r="S3053" i="1"/>
  <c r="S3065" i="1"/>
  <c r="S3077" i="1"/>
  <c r="S3089" i="1"/>
  <c r="S1045" i="1"/>
  <c r="S1290" i="1"/>
  <c r="S1409" i="1"/>
  <c r="S1526" i="1"/>
  <c r="S1638" i="1"/>
  <c r="S1728" i="1"/>
  <c r="S1814" i="1"/>
  <c r="S1900" i="1"/>
  <c r="S1984" i="1"/>
  <c r="S2063" i="1"/>
  <c r="S2127" i="1"/>
  <c r="S2163" i="1"/>
  <c r="S2192" i="1"/>
  <c r="S2219" i="1"/>
  <c r="S2245" i="1"/>
  <c r="S2266" i="1"/>
  <c r="S2282" i="1"/>
  <c r="S2302" i="1"/>
  <c r="S2318" i="1"/>
  <c r="S2338" i="1"/>
  <c r="S2353" i="1"/>
  <c r="S2368" i="1"/>
  <c r="S2383" i="1"/>
  <c r="S2398" i="1"/>
  <c r="S2412" i="1"/>
  <c r="S2425" i="1"/>
  <c r="S2438" i="1"/>
  <c r="S2451" i="1"/>
  <c r="S2464" i="1"/>
  <c r="S2477" i="1"/>
  <c r="S2491" i="1"/>
  <c r="S2504" i="1"/>
  <c r="S2517" i="1"/>
  <c r="S2530" i="1"/>
  <c r="S2543" i="1"/>
  <c r="S2556" i="1"/>
  <c r="S2569" i="1"/>
  <c r="S2582" i="1"/>
  <c r="S2595" i="1"/>
  <c r="S2608" i="1"/>
  <c r="S2621" i="1"/>
  <c r="S2634" i="1"/>
  <c r="S2646" i="1"/>
  <c r="S2658" i="1"/>
  <c r="S2670" i="1"/>
  <c r="S2682" i="1"/>
  <c r="S2694" i="1"/>
  <c r="S2706" i="1"/>
  <c r="S2718" i="1"/>
  <c r="S2730" i="1"/>
  <c r="S2742" i="1"/>
  <c r="S2754" i="1"/>
  <c r="S2766" i="1"/>
  <c r="S2778" i="1"/>
  <c r="S2790" i="1"/>
  <c r="S2802" i="1"/>
  <c r="S2814" i="1"/>
  <c r="S2826" i="1"/>
  <c r="S2838" i="1"/>
  <c r="S2850" i="1"/>
  <c r="S2862" i="1"/>
  <c r="S2874" i="1"/>
  <c r="S2886" i="1"/>
  <c r="S2898" i="1"/>
  <c r="S2910" i="1"/>
  <c r="S2922" i="1"/>
  <c r="S2934" i="1"/>
  <c r="S2946" i="1"/>
  <c r="S2958" i="1"/>
  <c r="S2970" i="1"/>
  <c r="S2982" i="1"/>
  <c r="S2994" i="1"/>
  <c r="S3006" i="1"/>
  <c r="S3018" i="1"/>
  <c r="S3030" i="1"/>
  <c r="S3042" i="1"/>
  <c r="S3054" i="1"/>
  <c r="S3066" i="1"/>
  <c r="S3078" i="1"/>
  <c r="S3090" i="1"/>
  <c r="S1114" i="1"/>
  <c r="S1307" i="1"/>
  <c r="S1425" i="1"/>
  <c r="S1543" i="1"/>
  <c r="S1653" i="1"/>
  <c r="S1741" i="1"/>
  <c r="S1827" i="1"/>
  <c r="S1913" i="1"/>
  <c r="S1996" i="1"/>
  <c r="S2075" i="1"/>
  <c r="S2128" i="1"/>
  <c r="S2164" i="1"/>
  <c r="S2193" i="1"/>
  <c r="S2220" i="1"/>
  <c r="S2246" i="1"/>
  <c r="S2267" i="1"/>
  <c r="S2283" i="1"/>
  <c r="S2303" i="1"/>
  <c r="S2319" i="1"/>
  <c r="S2339" i="1"/>
  <c r="S2354" i="1"/>
  <c r="S2369" i="1"/>
  <c r="S2385" i="1"/>
  <c r="S2399" i="1"/>
  <c r="S2413" i="1"/>
  <c r="S2426" i="1"/>
  <c r="S2439" i="1"/>
  <c r="S2452" i="1"/>
  <c r="S2465" i="1"/>
  <c r="S2479" i="1"/>
  <c r="S2492" i="1"/>
  <c r="S2505" i="1"/>
  <c r="S2518" i="1"/>
  <c r="S2531" i="1"/>
  <c r="S2544" i="1"/>
  <c r="S2557" i="1"/>
  <c r="S2570" i="1"/>
  <c r="S2583" i="1"/>
  <c r="S2596" i="1"/>
  <c r="S2609" i="1"/>
  <c r="S2623" i="1"/>
  <c r="S2635" i="1"/>
  <c r="S2647" i="1"/>
  <c r="S2659" i="1"/>
  <c r="S2671" i="1"/>
  <c r="S2683" i="1"/>
  <c r="S2695" i="1"/>
  <c r="S2707" i="1"/>
  <c r="S2719" i="1"/>
  <c r="S2731" i="1"/>
  <c r="S2743" i="1"/>
  <c r="S2755" i="1"/>
  <c r="S2767" i="1"/>
  <c r="S2779" i="1"/>
  <c r="S2791" i="1"/>
  <c r="S2803" i="1"/>
  <c r="S2815" i="1"/>
  <c r="S2827" i="1"/>
  <c r="S2839" i="1"/>
  <c r="S2851" i="1"/>
  <c r="S2863" i="1"/>
  <c r="S2875" i="1"/>
  <c r="S2887" i="1"/>
  <c r="S2899" i="1"/>
  <c r="S2911" i="1"/>
  <c r="S2923" i="1"/>
  <c r="S2935" i="1"/>
  <c r="S2947" i="1"/>
  <c r="S2959" i="1"/>
  <c r="S2971" i="1"/>
  <c r="S2983" i="1"/>
  <c r="S2995" i="1"/>
  <c r="S3007" i="1"/>
  <c r="S3019" i="1"/>
  <c r="S3031" i="1"/>
  <c r="S1115" i="1"/>
  <c r="S1309" i="1"/>
  <c r="S1427" i="1"/>
  <c r="S1545" i="1"/>
  <c r="S1654" i="1"/>
  <c r="S1742" i="1"/>
  <c r="S1828" i="1"/>
  <c r="S1914" i="1"/>
  <c r="S1997" i="1"/>
  <c r="S2076" i="1"/>
  <c r="S2137" i="1"/>
  <c r="S2165" i="1"/>
  <c r="S2194" i="1"/>
  <c r="S2228" i="1"/>
  <c r="S2248" i="1"/>
  <c r="S2268" i="1"/>
  <c r="S2284" i="1"/>
  <c r="S2304" i="1"/>
  <c r="S2320" i="1"/>
  <c r="S2340" i="1"/>
  <c r="S2355" i="1"/>
  <c r="S2371" i="1"/>
  <c r="S2386" i="1"/>
  <c r="S2400" i="1"/>
  <c r="S2414" i="1"/>
  <c r="S2427" i="1"/>
  <c r="S2440" i="1"/>
  <c r="S2453" i="1"/>
  <c r="S2467" i="1"/>
  <c r="S2480" i="1"/>
  <c r="S2493" i="1"/>
  <c r="S2506" i="1"/>
  <c r="S2519" i="1"/>
  <c r="S2532" i="1"/>
  <c r="S2545" i="1"/>
  <c r="S2558" i="1"/>
  <c r="S2571" i="1"/>
  <c r="S2584" i="1"/>
  <c r="S2597" i="1"/>
  <c r="S2611" i="1"/>
  <c r="S2624" i="1"/>
  <c r="S2636" i="1"/>
  <c r="S2648" i="1"/>
  <c r="S2660" i="1"/>
  <c r="S2672" i="1"/>
  <c r="S2684" i="1"/>
  <c r="S2696" i="1"/>
  <c r="S2708" i="1"/>
  <c r="S2720" i="1"/>
  <c r="S2732" i="1"/>
  <c r="S2744" i="1"/>
  <c r="S2756" i="1"/>
  <c r="S2768" i="1"/>
  <c r="S2780" i="1"/>
  <c r="S2792" i="1"/>
  <c r="S2804" i="1"/>
  <c r="S2816" i="1"/>
  <c r="S2828" i="1"/>
  <c r="S2840" i="1"/>
  <c r="S2852" i="1"/>
  <c r="S2864" i="1"/>
  <c r="S2876" i="1"/>
  <c r="S2888" i="1"/>
  <c r="S2900" i="1"/>
  <c r="S2912" i="1"/>
  <c r="S2924" i="1"/>
  <c r="S2936" i="1"/>
  <c r="S2948" i="1"/>
  <c r="S2960" i="1"/>
  <c r="S2972" i="1"/>
  <c r="S2984" i="1"/>
  <c r="S2996" i="1"/>
  <c r="S3008" i="1"/>
  <c r="S3020" i="1"/>
  <c r="S3032" i="1"/>
  <c r="S3044" i="1"/>
  <c r="S3056" i="1"/>
  <c r="S3068" i="1"/>
  <c r="S3080" i="1"/>
  <c r="S1165" i="1"/>
  <c r="S1329" i="1"/>
  <c r="S1447" i="1"/>
  <c r="S1565" i="1"/>
  <c r="S1668" i="1"/>
  <c r="S1755" i="1"/>
  <c r="S1841" i="1"/>
  <c r="S1928" i="1"/>
  <c r="S2009" i="1"/>
  <c r="S2088" i="1"/>
  <c r="S2138" i="1"/>
  <c r="S2166" i="1"/>
  <c r="S2202" i="1"/>
  <c r="S2229" i="1"/>
  <c r="S2253" i="1"/>
  <c r="S2269" i="1"/>
  <c r="S2289" i="1"/>
  <c r="S2305" i="1"/>
  <c r="S2325" i="1"/>
  <c r="S2341" i="1"/>
  <c r="S2356" i="1"/>
  <c r="S2373" i="1"/>
  <c r="S2387" i="1"/>
  <c r="S2401" i="1"/>
  <c r="S2415" i="1"/>
  <c r="S2428" i="1"/>
  <c r="S2441" i="1"/>
  <c r="S2455" i="1"/>
  <c r="S2468" i="1"/>
  <c r="S2481" i="1"/>
  <c r="S2494" i="1"/>
  <c r="S2507" i="1"/>
  <c r="S2520" i="1"/>
  <c r="S2533" i="1"/>
  <c r="S2546" i="1"/>
  <c r="S2559" i="1"/>
  <c r="S2572" i="1"/>
  <c r="S2585" i="1"/>
  <c r="S2599" i="1"/>
  <c r="S2612" i="1"/>
  <c r="S2625" i="1"/>
  <c r="S2637" i="1"/>
  <c r="S2649" i="1"/>
  <c r="S2661" i="1"/>
  <c r="S2673" i="1"/>
  <c r="S2685" i="1"/>
  <c r="S2697" i="1"/>
  <c r="S2709" i="1"/>
  <c r="S2721" i="1"/>
  <c r="S2733" i="1"/>
  <c r="S2745" i="1"/>
  <c r="S2757" i="1"/>
  <c r="S2769" i="1"/>
  <c r="S2781" i="1"/>
  <c r="S2793" i="1"/>
  <c r="S2805" i="1"/>
  <c r="S2817" i="1"/>
  <c r="S2829" i="1"/>
  <c r="S2841" i="1"/>
  <c r="S2853" i="1"/>
  <c r="S2865" i="1"/>
  <c r="S2877" i="1"/>
  <c r="S2889" i="1"/>
  <c r="S2901" i="1"/>
  <c r="S2913" i="1"/>
  <c r="S2925" i="1"/>
  <c r="S2937" i="1"/>
  <c r="S2949" i="1"/>
  <c r="S2961" i="1"/>
  <c r="S2973" i="1"/>
  <c r="S2985" i="1"/>
  <c r="S2997" i="1"/>
  <c r="S3009" i="1"/>
  <c r="S3021" i="1"/>
  <c r="S3033" i="1"/>
  <c r="S3045" i="1"/>
  <c r="S3057" i="1"/>
  <c r="S3069" i="1"/>
  <c r="S3081" i="1"/>
  <c r="S3093" i="1"/>
  <c r="S3105" i="1"/>
  <c r="S3117" i="1"/>
  <c r="S3129" i="1"/>
  <c r="S3141" i="1"/>
  <c r="S3153" i="1"/>
  <c r="S1212" i="1"/>
  <c r="S1346" i="1"/>
  <c r="S1464" i="1"/>
  <c r="S1582" i="1"/>
  <c r="S1683" i="1"/>
  <c r="S1769" i="1"/>
  <c r="S1856" i="1"/>
  <c r="S1943" i="1"/>
  <c r="S2022" i="1"/>
  <c r="S2101" i="1"/>
  <c r="S2140" i="1"/>
  <c r="S2176" i="1"/>
  <c r="S2205" i="1"/>
  <c r="S2231" i="1"/>
  <c r="S2255" i="1"/>
  <c r="S2271" i="1"/>
  <c r="S2291" i="1"/>
  <c r="S2307" i="1"/>
  <c r="S2327" i="1"/>
  <c r="S2343" i="1"/>
  <c r="S2361" i="1"/>
  <c r="S2375" i="1"/>
  <c r="S2389" i="1"/>
  <c r="S2403" i="1"/>
  <c r="S2417" i="1"/>
  <c r="S2431" i="1"/>
  <c r="S2444" i="1"/>
  <c r="S2457" i="1"/>
  <c r="S2470" i="1"/>
  <c r="S2483" i="1"/>
  <c r="S2496" i="1"/>
  <c r="S2509" i="1"/>
  <c r="S2522" i="1"/>
  <c r="S2535" i="1"/>
  <c r="S2548" i="1"/>
  <c r="S2561" i="1"/>
  <c r="S2575" i="1"/>
  <c r="S2588" i="1"/>
  <c r="S2601" i="1"/>
  <c r="S2614" i="1"/>
  <c r="S2627" i="1"/>
  <c r="S2639" i="1"/>
  <c r="S2651" i="1"/>
  <c r="S2663" i="1"/>
  <c r="S2675" i="1"/>
  <c r="S2687" i="1"/>
  <c r="S2699" i="1"/>
  <c r="S2711" i="1"/>
  <c r="S2723" i="1"/>
  <c r="S2735" i="1"/>
  <c r="S2747" i="1"/>
  <c r="S2759" i="1"/>
  <c r="S2771" i="1"/>
  <c r="S2783" i="1"/>
  <c r="S2795" i="1"/>
  <c r="S2807" i="1"/>
  <c r="S2819" i="1"/>
  <c r="S2831" i="1"/>
  <c r="S2843" i="1"/>
  <c r="S2855" i="1"/>
  <c r="S2867" i="1"/>
  <c r="S2879" i="1"/>
  <c r="S2891" i="1"/>
  <c r="S2903" i="1"/>
  <c r="S2915" i="1"/>
  <c r="S2927" i="1"/>
  <c r="S2939" i="1"/>
  <c r="S2951" i="1"/>
  <c r="S2963" i="1"/>
  <c r="S2975" i="1"/>
  <c r="S2987" i="1"/>
  <c r="S2999" i="1"/>
  <c r="S3011" i="1"/>
  <c r="S3023" i="1"/>
  <c r="S3035" i="1"/>
  <c r="S3047" i="1"/>
  <c r="S3059" i="1"/>
  <c r="S3071" i="1"/>
  <c r="S3083" i="1"/>
  <c r="S3095" i="1"/>
  <c r="S1166" i="1"/>
  <c r="S1842" i="1"/>
  <c r="S2204" i="1"/>
  <c r="S2326" i="1"/>
  <c r="S2416" i="1"/>
  <c r="S2495" i="1"/>
  <c r="S2573" i="1"/>
  <c r="S2650" i="1"/>
  <c r="S2722" i="1"/>
  <c r="S2794" i="1"/>
  <c r="S2866" i="1"/>
  <c r="S2938" i="1"/>
  <c r="S3010" i="1"/>
  <c r="S3055" i="1"/>
  <c r="S3086" i="1"/>
  <c r="S3106" i="1"/>
  <c r="S3120" i="1"/>
  <c r="S3134" i="1"/>
  <c r="S3149" i="1"/>
  <c r="S3163" i="1"/>
  <c r="S3176" i="1"/>
  <c r="S3189" i="1"/>
  <c r="S3202" i="1"/>
  <c r="S3214" i="1"/>
  <c r="S3226" i="1"/>
  <c r="S3238" i="1"/>
  <c r="S3250" i="1"/>
  <c r="S3262" i="1"/>
  <c r="S3274" i="1"/>
  <c r="S3286" i="1"/>
  <c r="S3298" i="1"/>
  <c r="S3310" i="1"/>
  <c r="S3322" i="1"/>
  <c r="S3334" i="1"/>
  <c r="S3346" i="1"/>
  <c r="S3358" i="1"/>
  <c r="S1213" i="1"/>
  <c r="S1857" i="1"/>
  <c r="S2206" i="1"/>
  <c r="S2328" i="1"/>
  <c r="S2419" i="1"/>
  <c r="S2497" i="1"/>
  <c r="S2576" i="1"/>
  <c r="S2652" i="1"/>
  <c r="S2724" i="1"/>
  <c r="S2796" i="1"/>
  <c r="S2868" i="1"/>
  <c r="S2940" i="1"/>
  <c r="S3012" i="1"/>
  <c r="S3058" i="1"/>
  <c r="S3091" i="1"/>
  <c r="S3107" i="1"/>
  <c r="S3121" i="1"/>
  <c r="S3136" i="1"/>
  <c r="S3150" i="1"/>
  <c r="S3164" i="1"/>
  <c r="S3177" i="1"/>
  <c r="S3190" i="1"/>
  <c r="S3203" i="1"/>
  <c r="S3215" i="1"/>
  <c r="S3227" i="1"/>
  <c r="S3239" i="1"/>
  <c r="S3251" i="1"/>
  <c r="S3263" i="1"/>
  <c r="S3275" i="1"/>
  <c r="S3287" i="1"/>
  <c r="S3299" i="1"/>
  <c r="S3311" i="1"/>
  <c r="S3323" i="1"/>
  <c r="S3335" i="1"/>
  <c r="S3347" i="1"/>
  <c r="S3359" i="1"/>
  <c r="S3371" i="1"/>
  <c r="S3383" i="1"/>
  <c r="S3395" i="1"/>
  <c r="S3407" i="1"/>
  <c r="S3419" i="1"/>
  <c r="S3431" i="1"/>
  <c r="S3443" i="1"/>
  <c r="S3455" i="1"/>
  <c r="S3467" i="1"/>
  <c r="S1330" i="1"/>
  <c r="S1929" i="1"/>
  <c r="S2230" i="1"/>
  <c r="S2342" i="1"/>
  <c r="S2429" i="1"/>
  <c r="S2508" i="1"/>
  <c r="S2587" i="1"/>
  <c r="S2662" i="1"/>
  <c r="S2734" i="1"/>
  <c r="S2806" i="1"/>
  <c r="S2878" i="1"/>
  <c r="S2950" i="1"/>
  <c r="S3022" i="1"/>
  <c r="S3060" i="1"/>
  <c r="S3092" i="1"/>
  <c r="S3108" i="1"/>
  <c r="S3122" i="1"/>
  <c r="S3137" i="1"/>
  <c r="S3151" i="1"/>
  <c r="S3165" i="1"/>
  <c r="S3178" i="1"/>
  <c r="S3191" i="1"/>
  <c r="S3204" i="1"/>
  <c r="S3216" i="1"/>
  <c r="S3228" i="1"/>
  <c r="S3240" i="1"/>
  <c r="S3252" i="1"/>
  <c r="S3264" i="1"/>
  <c r="S3276" i="1"/>
  <c r="S3288" i="1"/>
  <c r="S3300" i="1"/>
  <c r="S3312" i="1"/>
  <c r="S3324" i="1"/>
  <c r="S3336" i="1"/>
  <c r="S3348" i="1"/>
  <c r="S3360" i="1"/>
  <c r="S3372" i="1"/>
  <c r="S3384" i="1"/>
  <c r="S3396" i="1"/>
  <c r="S3408" i="1"/>
  <c r="S3420" i="1"/>
  <c r="S3432" i="1"/>
  <c r="S3444" i="1"/>
  <c r="S3456" i="1"/>
  <c r="S3468" i="1"/>
  <c r="S3480" i="1"/>
  <c r="S3492" i="1"/>
  <c r="S3504" i="1"/>
  <c r="S3516" i="1"/>
  <c r="S3528" i="1"/>
  <c r="S3540" i="1"/>
  <c r="S3552" i="1"/>
  <c r="S3564" i="1"/>
  <c r="S3576" i="1"/>
  <c r="S3588" i="1"/>
  <c r="S3600" i="1"/>
  <c r="S3612" i="1"/>
  <c r="S3624" i="1"/>
  <c r="S3636" i="1"/>
  <c r="S3648" i="1"/>
  <c r="S3660" i="1"/>
  <c r="S3672" i="1"/>
  <c r="S3684" i="1"/>
  <c r="S3696" i="1"/>
  <c r="S3708" i="1"/>
  <c r="S3720" i="1"/>
  <c r="S3732" i="1"/>
  <c r="S3744" i="1"/>
  <c r="S3756" i="1"/>
  <c r="S3768" i="1"/>
  <c r="S3780" i="1"/>
  <c r="S3792" i="1"/>
  <c r="S3804" i="1"/>
  <c r="S3816" i="1"/>
  <c r="S3828" i="1"/>
  <c r="S3840" i="1"/>
  <c r="S3852" i="1"/>
  <c r="S3864" i="1"/>
  <c r="S3876" i="1"/>
  <c r="S3888" i="1"/>
  <c r="S3900" i="1"/>
  <c r="S3912" i="1"/>
  <c r="S3924" i="1"/>
  <c r="S3936" i="1"/>
  <c r="S3948" i="1"/>
  <c r="S3960" i="1"/>
  <c r="S3972" i="1"/>
  <c r="S3984" i="1"/>
  <c r="S3996" i="1"/>
  <c r="S4008" i="1"/>
  <c r="S4020" i="1"/>
  <c r="S4032" i="1"/>
  <c r="S4044" i="1"/>
  <c r="S4056" i="1"/>
  <c r="S4068" i="1"/>
  <c r="S4080" i="1"/>
  <c r="S4092" i="1"/>
  <c r="S4104" i="1"/>
  <c r="S4116" i="1"/>
  <c r="S4128" i="1"/>
  <c r="S4140" i="1"/>
  <c r="S4152" i="1"/>
  <c r="S1349" i="1"/>
  <c r="S1944" i="1"/>
  <c r="S2232" i="1"/>
  <c r="S2344" i="1"/>
  <c r="S2432" i="1"/>
  <c r="S2510" i="1"/>
  <c r="S2589" i="1"/>
  <c r="S2664" i="1"/>
  <c r="S2736" i="1"/>
  <c r="S2808" i="1"/>
  <c r="S2880" i="1"/>
  <c r="S2952" i="1"/>
  <c r="S3024" i="1"/>
  <c r="S3061" i="1"/>
  <c r="S3094" i="1"/>
  <c r="S3109" i="1"/>
  <c r="S3124" i="1"/>
  <c r="S3138" i="1"/>
  <c r="S3152" i="1"/>
  <c r="S3166" i="1"/>
  <c r="S3179" i="1"/>
  <c r="S3192" i="1"/>
  <c r="S3205" i="1"/>
  <c r="S3217" i="1"/>
  <c r="S3229" i="1"/>
  <c r="S3241" i="1"/>
  <c r="S3253" i="1"/>
  <c r="S3265" i="1"/>
  <c r="S3277" i="1"/>
  <c r="S3289" i="1"/>
  <c r="S3301" i="1"/>
  <c r="S3313" i="1"/>
  <c r="S3325" i="1"/>
  <c r="S3337" i="1"/>
  <c r="S3349" i="1"/>
  <c r="S3361" i="1"/>
  <c r="S3373" i="1"/>
  <c r="S3385" i="1"/>
  <c r="S3397" i="1"/>
  <c r="S3409" i="1"/>
  <c r="S3421" i="1"/>
  <c r="S3433" i="1"/>
  <c r="S3445" i="1"/>
  <c r="S3457" i="1"/>
  <c r="S3469" i="1"/>
  <c r="S3481" i="1"/>
  <c r="S3493" i="1"/>
  <c r="S3505" i="1"/>
  <c r="S3517" i="1"/>
  <c r="S3529" i="1"/>
  <c r="S3541" i="1"/>
  <c r="S3553" i="1"/>
  <c r="S3565" i="1"/>
  <c r="S3577" i="1"/>
  <c r="S3589" i="1"/>
  <c r="S3601" i="1"/>
  <c r="S3613" i="1"/>
  <c r="S3625" i="1"/>
  <c r="S3637" i="1"/>
  <c r="S3649" i="1"/>
  <c r="S3661" i="1"/>
  <c r="S3673" i="1"/>
  <c r="S3685" i="1"/>
  <c r="S3697" i="1"/>
  <c r="S3709" i="1"/>
  <c r="S3721" i="1"/>
  <c r="S3733" i="1"/>
  <c r="S3745" i="1"/>
  <c r="S3757" i="1"/>
  <c r="S3769" i="1"/>
  <c r="S3781" i="1"/>
  <c r="S3793" i="1"/>
  <c r="S3805" i="1"/>
  <c r="S3817" i="1"/>
  <c r="S3829" i="1"/>
  <c r="S3841" i="1"/>
  <c r="S3853" i="1"/>
  <c r="S3865" i="1"/>
  <c r="S3877" i="1"/>
  <c r="S3889" i="1"/>
  <c r="S3901" i="1"/>
  <c r="S3913" i="1"/>
  <c r="S3925" i="1"/>
  <c r="S3937" i="1"/>
  <c r="S3949" i="1"/>
  <c r="S3961" i="1"/>
  <c r="S3973" i="1"/>
  <c r="S3985" i="1"/>
  <c r="S3997" i="1"/>
  <c r="S4009" i="1"/>
  <c r="S4021" i="1"/>
  <c r="S4033" i="1"/>
  <c r="S4045" i="1"/>
  <c r="S4057" i="1"/>
  <c r="S4069" i="1"/>
  <c r="S4081" i="1"/>
  <c r="S4093" i="1"/>
  <c r="S4105" i="1"/>
  <c r="S4117" i="1"/>
  <c r="S4129" i="1"/>
  <c r="S4141" i="1"/>
  <c r="S4153" i="1"/>
  <c r="S4165" i="1"/>
  <c r="S4177" i="1"/>
  <c r="S4189" i="1"/>
  <c r="S4201" i="1"/>
  <c r="S1448" i="1"/>
  <c r="S2010" i="1"/>
  <c r="S2254" i="1"/>
  <c r="S2359" i="1"/>
  <c r="S2443" i="1"/>
  <c r="S2521" i="1"/>
  <c r="S2600" i="1"/>
  <c r="S2674" i="1"/>
  <c r="S2746" i="1"/>
  <c r="S2818" i="1"/>
  <c r="S2890" i="1"/>
  <c r="S2962" i="1"/>
  <c r="S3025" i="1"/>
  <c r="S3067" i="1"/>
  <c r="S3096" i="1"/>
  <c r="S3110" i="1"/>
  <c r="S3125" i="1"/>
  <c r="S3139" i="1"/>
  <c r="S3154" i="1"/>
  <c r="S3167" i="1"/>
  <c r="S3180" i="1"/>
  <c r="S3193" i="1"/>
  <c r="S3206" i="1"/>
  <c r="S3218" i="1"/>
  <c r="S3230" i="1"/>
  <c r="S3242" i="1"/>
  <c r="S3254" i="1"/>
  <c r="S3266" i="1"/>
  <c r="S3278" i="1"/>
  <c r="S3290" i="1"/>
  <c r="S3302" i="1"/>
  <c r="S3314" i="1"/>
  <c r="S3326" i="1"/>
  <c r="S3338" i="1"/>
  <c r="S3350" i="1"/>
  <c r="S3362" i="1"/>
  <c r="S3374" i="1"/>
  <c r="S3386" i="1"/>
  <c r="S3398" i="1"/>
  <c r="S3410" i="1"/>
  <c r="S3422" i="1"/>
  <c r="S3434" i="1"/>
  <c r="S3446" i="1"/>
  <c r="S3458" i="1"/>
  <c r="S3470" i="1"/>
  <c r="S3482" i="1"/>
  <c r="S3494" i="1"/>
  <c r="S3506" i="1"/>
  <c r="S3518" i="1"/>
  <c r="S3530" i="1"/>
  <c r="S3542" i="1"/>
  <c r="S3554" i="1"/>
  <c r="S3566" i="1"/>
  <c r="S3578" i="1"/>
  <c r="S3590" i="1"/>
  <c r="S3602" i="1"/>
  <c r="S3614" i="1"/>
  <c r="S3626" i="1"/>
  <c r="S3638" i="1"/>
  <c r="S3650" i="1"/>
  <c r="S3662" i="1"/>
  <c r="S3674" i="1"/>
  <c r="S3686" i="1"/>
  <c r="S3698" i="1"/>
  <c r="S3710" i="1"/>
  <c r="S3722" i="1"/>
  <c r="S3734" i="1"/>
  <c r="S3746" i="1"/>
  <c r="S3758" i="1"/>
  <c r="S3770" i="1"/>
  <c r="S3782" i="1"/>
  <c r="S3794" i="1"/>
  <c r="S3806" i="1"/>
  <c r="S3818" i="1"/>
  <c r="S3830" i="1"/>
  <c r="S3842" i="1"/>
  <c r="S3854" i="1"/>
  <c r="S3866" i="1"/>
  <c r="S3878" i="1"/>
  <c r="S3890" i="1"/>
  <c r="S3902" i="1"/>
  <c r="S3914" i="1"/>
  <c r="S3926" i="1"/>
  <c r="S3938" i="1"/>
  <c r="S3950" i="1"/>
  <c r="S1466" i="1"/>
  <c r="S2024" i="1"/>
  <c r="S2256" i="1"/>
  <c r="S2362" i="1"/>
  <c r="S2445" i="1"/>
  <c r="S2523" i="1"/>
  <c r="S2602" i="1"/>
  <c r="S2676" i="1"/>
  <c r="S2748" i="1"/>
  <c r="S2820" i="1"/>
  <c r="S2892" i="1"/>
  <c r="S2964" i="1"/>
  <c r="S3034" i="1"/>
  <c r="S3070" i="1"/>
  <c r="S3097" i="1"/>
  <c r="S3112" i="1"/>
  <c r="S3126" i="1"/>
  <c r="S3140" i="1"/>
  <c r="S3155" i="1"/>
  <c r="S3168" i="1"/>
  <c r="S3181" i="1"/>
  <c r="S3194" i="1"/>
  <c r="S3207" i="1"/>
  <c r="S3219" i="1"/>
  <c r="S3231" i="1"/>
  <c r="S3243" i="1"/>
  <c r="S3255" i="1"/>
  <c r="S3267" i="1"/>
  <c r="S3279" i="1"/>
  <c r="S3291" i="1"/>
  <c r="S3303" i="1"/>
  <c r="S3315" i="1"/>
  <c r="S3327" i="1"/>
  <c r="S3339" i="1"/>
  <c r="S3351" i="1"/>
  <c r="S3363" i="1"/>
  <c r="S3375" i="1"/>
  <c r="S3387" i="1"/>
  <c r="S3399" i="1"/>
  <c r="S3411" i="1"/>
  <c r="S3423" i="1"/>
  <c r="S3435" i="1"/>
  <c r="S3447" i="1"/>
  <c r="S3459" i="1"/>
  <c r="S3471" i="1"/>
  <c r="S3483" i="1"/>
  <c r="S3495" i="1"/>
  <c r="S3507" i="1"/>
  <c r="S3519" i="1"/>
  <c r="S3531" i="1"/>
  <c r="S3543" i="1"/>
  <c r="S3555" i="1"/>
  <c r="S3567" i="1"/>
  <c r="S3579" i="1"/>
  <c r="S3591" i="1"/>
  <c r="S3603" i="1"/>
  <c r="S3615" i="1"/>
  <c r="S3627" i="1"/>
  <c r="S3639" i="1"/>
  <c r="S3651" i="1"/>
  <c r="S3663" i="1"/>
  <c r="S3675" i="1"/>
  <c r="S3687" i="1"/>
  <c r="S3699" i="1"/>
  <c r="S3711" i="1"/>
  <c r="S3723" i="1"/>
  <c r="S3735" i="1"/>
  <c r="S3747" i="1"/>
  <c r="S3759" i="1"/>
  <c r="S3771" i="1"/>
  <c r="S3783" i="1"/>
  <c r="S3795" i="1"/>
  <c r="S3807" i="1"/>
  <c r="S3819" i="1"/>
  <c r="S3831" i="1"/>
  <c r="S3843" i="1"/>
  <c r="S3855" i="1"/>
  <c r="S3867" i="1"/>
  <c r="S3879" i="1"/>
  <c r="S3891" i="1"/>
  <c r="S3903" i="1"/>
  <c r="S3915" i="1"/>
  <c r="S3927" i="1"/>
  <c r="S3939" i="1"/>
  <c r="S3951" i="1"/>
  <c r="S3963" i="1"/>
  <c r="S3975" i="1"/>
  <c r="S3987" i="1"/>
  <c r="S3999" i="1"/>
  <c r="S4011" i="1"/>
  <c r="S4023" i="1"/>
  <c r="S4035" i="1"/>
  <c r="S4047" i="1"/>
  <c r="S1566" i="1"/>
  <c r="S2089" i="1"/>
  <c r="S2270" i="1"/>
  <c r="S2374" i="1"/>
  <c r="S2456" i="1"/>
  <c r="S2534" i="1"/>
  <c r="S2613" i="1"/>
  <c r="S2686" i="1"/>
  <c r="S2758" i="1"/>
  <c r="S2830" i="1"/>
  <c r="S2902" i="1"/>
  <c r="S2974" i="1"/>
  <c r="S3036" i="1"/>
  <c r="S3072" i="1"/>
  <c r="S3098" i="1"/>
  <c r="S3113" i="1"/>
  <c r="S3127" i="1"/>
  <c r="S3142" i="1"/>
  <c r="S3156" i="1"/>
  <c r="S3169" i="1"/>
  <c r="S3182" i="1"/>
  <c r="S3196" i="1"/>
  <c r="S3208" i="1"/>
  <c r="S3220" i="1"/>
  <c r="S3232" i="1"/>
  <c r="S3244" i="1"/>
  <c r="S3256" i="1"/>
  <c r="S3268" i="1"/>
  <c r="S3280" i="1"/>
  <c r="S3292" i="1"/>
  <c r="S3304" i="1"/>
  <c r="S3316" i="1"/>
  <c r="S3328" i="1"/>
  <c r="S3340" i="1"/>
  <c r="S3352" i="1"/>
  <c r="S1584" i="1"/>
  <c r="S2102" i="1"/>
  <c r="S2272" i="1"/>
  <c r="S2376" i="1"/>
  <c r="S2458" i="1"/>
  <c r="S2536" i="1"/>
  <c r="S2615" i="1"/>
  <c r="S2688" i="1"/>
  <c r="S2760" i="1"/>
  <c r="S2832" i="1"/>
  <c r="S2904" i="1"/>
  <c r="S2976" i="1"/>
  <c r="S3037" i="1"/>
  <c r="S3073" i="1"/>
  <c r="S3100" i="1"/>
  <c r="S3114" i="1"/>
  <c r="S3128" i="1"/>
  <c r="S3143" i="1"/>
  <c r="S3157" i="1"/>
  <c r="S3170" i="1"/>
  <c r="S3184" i="1"/>
  <c r="S3197" i="1"/>
  <c r="S3209" i="1"/>
  <c r="S3221" i="1"/>
  <c r="S3233" i="1"/>
  <c r="S3245" i="1"/>
  <c r="S3257" i="1"/>
  <c r="S3269" i="1"/>
  <c r="S3281" i="1"/>
  <c r="S3293" i="1"/>
  <c r="S3305" i="1"/>
  <c r="S3317" i="1"/>
  <c r="S3329" i="1"/>
  <c r="S3341" i="1"/>
  <c r="S3353" i="1"/>
  <c r="S3365" i="1"/>
  <c r="S3377" i="1"/>
  <c r="S3389" i="1"/>
  <c r="S1669" i="1"/>
  <c r="S2139" i="1"/>
  <c r="S2290" i="1"/>
  <c r="S2388" i="1"/>
  <c r="S2469" i="1"/>
  <c r="S2547" i="1"/>
  <c r="S2626" i="1"/>
  <c r="S2698" i="1"/>
  <c r="S2770" i="1"/>
  <c r="S2842" i="1"/>
  <c r="S2914" i="1"/>
  <c r="S2986" i="1"/>
  <c r="S3043" i="1"/>
  <c r="S3079" i="1"/>
  <c r="S3101" i="1"/>
  <c r="S3115" i="1"/>
  <c r="S3130" i="1"/>
  <c r="S3144" i="1"/>
  <c r="S3158" i="1"/>
  <c r="S3172" i="1"/>
  <c r="S3185" i="1"/>
  <c r="S3198" i="1"/>
  <c r="S3210" i="1"/>
  <c r="S3222" i="1"/>
  <c r="S3234" i="1"/>
  <c r="S3246" i="1"/>
  <c r="S3258" i="1"/>
  <c r="S3270" i="1"/>
  <c r="S3282" i="1"/>
  <c r="S3294" i="1"/>
  <c r="S3306" i="1"/>
  <c r="S3318" i="1"/>
  <c r="S3330" i="1"/>
  <c r="S3342" i="1"/>
  <c r="S3354" i="1"/>
  <c r="S3366" i="1"/>
  <c r="S3378" i="1"/>
  <c r="S3390" i="1"/>
  <c r="S3402" i="1"/>
  <c r="S3414" i="1"/>
  <c r="S3426" i="1"/>
  <c r="S3438" i="1"/>
  <c r="S3450" i="1"/>
  <c r="S3462" i="1"/>
  <c r="S1684" i="1"/>
  <c r="S2141" i="1"/>
  <c r="S2292" i="1"/>
  <c r="S2390" i="1"/>
  <c r="S2471" i="1"/>
  <c r="S2549" i="1"/>
  <c r="S2628" i="1"/>
  <c r="S2700" i="1"/>
  <c r="S2772" i="1"/>
  <c r="S2844" i="1"/>
  <c r="S2916" i="1"/>
  <c r="S2988" i="1"/>
  <c r="S3046" i="1"/>
  <c r="S3082" i="1"/>
  <c r="S3102" i="1"/>
  <c r="S3116" i="1"/>
  <c r="S3131" i="1"/>
  <c r="S3145" i="1"/>
  <c r="S3160" i="1"/>
  <c r="S3173" i="1"/>
  <c r="S3186" i="1"/>
  <c r="S3199" i="1"/>
  <c r="S3211" i="1"/>
  <c r="S3223" i="1"/>
  <c r="S3235" i="1"/>
  <c r="S3247" i="1"/>
  <c r="S3259" i="1"/>
  <c r="S3271" i="1"/>
  <c r="S3283" i="1"/>
  <c r="S3295" i="1"/>
  <c r="S3307" i="1"/>
  <c r="S3319" i="1"/>
  <c r="S3331" i="1"/>
  <c r="S3343" i="1"/>
  <c r="S3355" i="1"/>
  <c r="S3367" i="1"/>
  <c r="S3379" i="1"/>
  <c r="S3391" i="1"/>
  <c r="S3403" i="1"/>
  <c r="S3415" i="1"/>
  <c r="S3427" i="1"/>
  <c r="S3439" i="1"/>
  <c r="S3451" i="1"/>
  <c r="S3463" i="1"/>
  <c r="S3475" i="1"/>
  <c r="S3487" i="1"/>
  <c r="S3499" i="1"/>
  <c r="S3511" i="1"/>
  <c r="S3523" i="1"/>
  <c r="S3535" i="1"/>
  <c r="S3547" i="1"/>
  <c r="S3559" i="1"/>
  <c r="S3571" i="1"/>
  <c r="S3583" i="1"/>
  <c r="S3595" i="1"/>
  <c r="S3607" i="1"/>
  <c r="S3619" i="1"/>
  <c r="S3631" i="1"/>
  <c r="S3643" i="1"/>
  <c r="S3655" i="1"/>
  <c r="S3667" i="1"/>
  <c r="S3679" i="1"/>
  <c r="S3691" i="1"/>
  <c r="S3703" i="1"/>
  <c r="S3715" i="1"/>
  <c r="S3727" i="1"/>
  <c r="S3739" i="1"/>
  <c r="S3751" i="1"/>
  <c r="S3763" i="1"/>
  <c r="S3775" i="1"/>
  <c r="S3787" i="1"/>
  <c r="S3799" i="1"/>
  <c r="S3811" i="1"/>
  <c r="S3823" i="1"/>
  <c r="S3835" i="1"/>
  <c r="S3847" i="1"/>
  <c r="S3859" i="1"/>
  <c r="S1756" i="1"/>
  <c r="S2638" i="1"/>
  <c r="S3048" i="1"/>
  <c r="S3161" i="1"/>
  <c r="S3236" i="1"/>
  <c r="S3308" i="1"/>
  <c r="S3369" i="1"/>
  <c r="S3404" i="1"/>
  <c r="S3430" i="1"/>
  <c r="S3461" i="1"/>
  <c r="S3485" i="1"/>
  <c r="S3503" i="1"/>
  <c r="S3525" i="1"/>
  <c r="S3546" i="1"/>
  <c r="S3568" i="1"/>
  <c r="S3586" i="1"/>
  <c r="S3608" i="1"/>
  <c r="S3629" i="1"/>
  <c r="S3647" i="1"/>
  <c r="S3669" i="1"/>
  <c r="S3690" i="1"/>
  <c r="S3712" i="1"/>
  <c r="S3730" i="1"/>
  <c r="S3752" i="1"/>
  <c r="S3773" i="1"/>
  <c r="S3791" i="1"/>
  <c r="S3813" i="1"/>
  <c r="S3834" i="1"/>
  <c r="S3856" i="1"/>
  <c r="S3873" i="1"/>
  <c r="S3893" i="1"/>
  <c r="S3909" i="1"/>
  <c r="S3929" i="1"/>
  <c r="S3945" i="1"/>
  <c r="S3964" i="1"/>
  <c r="S3979" i="1"/>
  <c r="S3994" i="1"/>
  <c r="S4012" i="1"/>
  <c r="S4027" i="1"/>
  <c r="S4042" i="1"/>
  <c r="S4059" i="1"/>
  <c r="S4073" i="1"/>
  <c r="S4087" i="1"/>
  <c r="S4101" i="1"/>
  <c r="S4115" i="1"/>
  <c r="S4131" i="1"/>
  <c r="S4145" i="1"/>
  <c r="S4159" i="1"/>
  <c r="S4172" i="1"/>
  <c r="S4185" i="1"/>
  <c r="S4198" i="1"/>
  <c r="S4211" i="1"/>
  <c r="S4223" i="1"/>
  <c r="S4235" i="1"/>
  <c r="S4247" i="1"/>
  <c r="S4259" i="1"/>
  <c r="S4271" i="1"/>
  <c r="S4283" i="1"/>
  <c r="S4295" i="1"/>
  <c r="S4307" i="1"/>
  <c r="S4319" i="1"/>
  <c r="S4331" i="1"/>
  <c r="S4343" i="1"/>
  <c r="S4355" i="1"/>
  <c r="S4367" i="1"/>
  <c r="S4379" i="1"/>
  <c r="S4391" i="1"/>
  <c r="S4403" i="1"/>
  <c r="S4415" i="1"/>
  <c r="S4427" i="1"/>
  <c r="S4439" i="1"/>
  <c r="S4451" i="1"/>
  <c r="S4463" i="1"/>
  <c r="S4475" i="1"/>
  <c r="S4487" i="1"/>
  <c r="S1770" i="1"/>
  <c r="S2640" i="1"/>
  <c r="S3049" i="1"/>
  <c r="S3162" i="1"/>
  <c r="S3237" i="1"/>
  <c r="S3309" i="1"/>
  <c r="S3370" i="1"/>
  <c r="S3405" i="1"/>
  <c r="S3436" i="1"/>
  <c r="S3464" i="1"/>
  <c r="S3486" i="1"/>
  <c r="S3508" i="1"/>
  <c r="S3526" i="1"/>
  <c r="S3548" i="1"/>
  <c r="S3569" i="1"/>
  <c r="S3587" i="1"/>
  <c r="S3609" i="1"/>
  <c r="S3630" i="1"/>
  <c r="S3652" i="1"/>
  <c r="S3670" i="1"/>
  <c r="S3692" i="1"/>
  <c r="S3713" i="1"/>
  <c r="S3731" i="1"/>
  <c r="S3753" i="1"/>
  <c r="S3774" i="1"/>
  <c r="S3796" i="1"/>
  <c r="S3814" i="1"/>
  <c r="S3836" i="1"/>
  <c r="S3857" i="1"/>
  <c r="S3874" i="1"/>
  <c r="S3894" i="1"/>
  <c r="S3910" i="1"/>
  <c r="S3930" i="1"/>
  <c r="S3946" i="1"/>
  <c r="S3965" i="1"/>
  <c r="S3980" i="1"/>
  <c r="S3995" i="1"/>
  <c r="S4013" i="1"/>
  <c r="S4028" i="1"/>
  <c r="S4043" i="1"/>
  <c r="S4060" i="1"/>
  <c r="S4074" i="1"/>
  <c r="S4088" i="1"/>
  <c r="S4102" i="1"/>
  <c r="S4118" i="1"/>
  <c r="S4132" i="1"/>
  <c r="S4146" i="1"/>
  <c r="S4160" i="1"/>
  <c r="S4173" i="1"/>
  <c r="S4186" i="1"/>
  <c r="S4199" i="1"/>
  <c r="S4212" i="1"/>
  <c r="S4224" i="1"/>
  <c r="S4236" i="1"/>
  <c r="S4248" i="1"/>
  <c r="S4260" i="1"/>
  <c r="S4272" i="1"/>
  <c r="S4284" i="1"/>
  <c r="S4296" i="1"/>
  <c r="S4308" i="1"/>
  <c r="S4320" i="1"/>
  <c r="S4332" i="1"/>
  <c r="S4344" i="1"/>
  <c r="S4356" i="1"/>
  <c r="S4368" i="1"/>
  <c r="S4380" i="1"/>
  <c r="S4392" i="1"/>
  <c r="S4404" i="1"/>
  <c r="S4416" i="1"/>
  <c r="S4428" i="1"/>
  <c r="S4440" i="1"/>
  <c r="S2168" i="1"/>
  <c r="S2710" i="1"/>
  <c r="S3084" i="1"/>
  <c r="S3174" i="1"/>
  <c r="S3248" i="1"/>
  <c r="S3320" i="1"/>
  <c r="S3376" i="1"/>
  <c r="S3406" i="1"/>
  <c r="S3437" i="1"/>
  <c r="S3465" i="1"/>
  <c r="S3488" i="1"/>
  <c r="S3509" i="1"/>
  <c r="S3527" i="1"/>
  <c r="S3549" i="1"/>
  <c r="S3570" i="1"/>
  <c r="S3592" i="1"/>
  <c r="S3610" i="1"/>
  <c r="S3632" i="1"/>
  <c r="S3653" i="1"/>
  <c r="S3671" i="1"/>
  <c r="S3693" i="1"/>
  <c r="S3714" i="1"/>
  <c r="S3736" i="1"/>
  <c r="S3754" i="1"/>
  <c r="S3776" i="1"/>
  <c r="S3797" i="1"/>
  <c r="S3815" i="1"/>
  <c r="S3837" i="1"/>
  <c r="S3858" i="1"/>
  <c r="S3875" i="1"/>
  <c r="S3895" i="1"/>
  <c r="S3911" i="1"/>
  <c r="S3931" i="1"/>
  <c r="S3947" i="1"/>
  <c r="S3966" i="1"/>
  <c r="S3981" i="1"/>
  <c r="S3998" i="1"/>
  <c r="S4014" i="1"/>
  <c r="S4029" i="1"/>
  <c r="S4046" i="1"/>
  <c r="S4061" i="1"/>
  <c r="S4075" i="1"/>
  <c r="S4089" i="1"/>
  <c r="S4103" i="1"/>
  <c r="S4119" i="1"/>
  <c r="S4133" i="1"/>
  <c r="S4147" i="1"/>
  <c r="S4161" i="1"/>
  <c r="S4174" i="1"/>
  <c r="S4187" i="1"/>
  <c r="S4200" i="1"/>
  <c r="S4213" i="1"/>
  <c r="S4225" i="1"/>
  <c r="S4237" i="1"/>
  <c r="S4249" i="1"/>
  <c r="S4261" i="1"/>
  <c r="S4273" i="1"/>
  <c r="S4285" i="1"/>
  <c r="S4297" i="1"/>
  <c r="S4309" i="1"/>
  <c r="S4321" i="1"/>
  <c r="S4333" i="1"/>
  <c r="S4345" i="1"/>
  <c r="S4357" i="1"/>
  <c r="S4369" i="1"/>
  <c r="S4381" i="1"/>
  <c r="S4393" i="1"/>
  <c r="S4405" i="1"/>
  <c r="S4417" i="1"/>
  <c r="S4429" i="1"/>
  <c r="S4441" i="1"/>
  <c r="S4453" i="1"/>
  <c r="S4465" i="1"/>
  <c r="S4477" i="1"/>
  <c r="S4489" i="1"/>
  <c r="S4501" i="1"/>
  <c r="S4513" i="1"/>
  <c r="S4525" i="1"/>
  <c r="S4537" i="1"/>
  <c r="S4549" i="1"/>
  <c r="S4561" i="1"/>
  <c r="S4573" i="1"/>
  <c r="S4585" i="1"/>
  <c r="S4597" i="1"/>
  <c r="S4609" i="1"/>
  <c r="S4621" i="1"/>
  <c r="S4633" i="1"/>
  <c r="S4645" i="1"/>
  <c r="S4657" i="1"/>
  <c r="S4669" i="1"/>
  <c r="S4681" i="1"/>
  <c r="S4693" i="1"/>
  <c r="S4705" i="1"/>
  <c r="S4717" i="1"/>
  <c r="S4729" i="1"/>
  <c r="S4741" i="1"/>
  <c r="S4753" i="1"/>
  <c r="S4765" i="1"/>
  <c r="S4777" i="1"/>
  <c r="S4789" i="1"/>
  <c r="S2177" i="1"/>
  <c r="S2712" i="1"/>
  <c r="S3085" i="1"/>
  <c r="S3175" i="1"/>
  <c r="S3249" i="1"/>
  <c r="S3321" i="1"/>
  <c r="S3380" i="1"/>
  <c r="S3412" i="1"/>
  <c r="S3440" i="1"/>
  <c r="S3466" i="1"/>
  <c r="S3489" i="1"/>
  <c r="S3510" i="1"/>
  <c r="S3532" i="1"/>
  <c r="S3550" i="1"/>
  <c r="S3572" i="1"/>
  <c r="S3593" i="1"/>
  <c r="S3611" i="1"/>
  <c r="S3633" i="1"/>
  <c r="S3654" i="1"/>
  <c r="S3676" i="1"/>
  <c r="S3694" i="1"/>
  <c r="S3716" i="1"/>
  <c r="S3737" i="1"/>
  <c r="S3755" i="1"/>
  <c r="S3777" i="1"/>
  <c r="S3798" i="1"/>
  <c r="S3820" i="1"/>
  <c r="S3838" i="1"/>
  <c r="S3860" i="1"/>
  <c r="S3880" i="1"/>
  <c r="S3896" i="1"/>
  <c r="S3916" i="1"/>
  <c r="S3932" i="1"/>
  <c r="S3952" i="1"/>
  <c r="S3967" i="1"/>
  <c r="S3982" i="1"/>
  <c r="S4000" i="1"/>
  <c r="S4015" i="1"/>
  <c r="S4030" i="1"/>
  <c r="S4048" i="1"/>
  <c r="S4062" i="1"/>
  <c r="S4076" i="1"/>
  <c r="S4090" i="1"/>
  <c r="S4106" i="1"/>
  <c r="S4120" i="1"/>
  <c r="S4134" i="1"/>
  <c r="S4148" i="1"/>
  <c r="S4162" i="1"/>
  <c r="S4175" i="1"/>
  <c r="S4188" i="1"/>
  <c r="S4202" i="1"/>
  <c r="S4214" i="1"/>
  <c r="S4226" i="1"/>
  <c r="S4238" i="1"/>
  <c r="S4250" i="1"/>
  <c r="S4262" i="1"/>
  <c r="S4274" i="1"/>
  <c r="S4286" i="1"/>
  <c r="S4298" i="1"/>
  <c r="S4310" i="1"/>
  <c r="S4322" i="1"/>
  <c r="S4334" i="1"/>
  <c r="S4346" i="1"/>
  <c r="S4358" i="1"/>
  <c r="S4370" i="1"/>
  <c r="S4382" i="1"/>
  <c r="S4394" i="1"/>
  <c r="S4406" i="1"/>
  <c r="S4418" i="1"/>
  <c r="S4430" i="1"/>
  <c r="S4442" i="1"/>
  <c r="S4454" i="1"/>
  <c r="S4466" i="1"/>
  <c r="S4478" i="1"/>
  <c r="S4490" i="1"/>
  <c r="S4502" i="1"/>
  <c r="S4514" i="1"/>
  <c r="S4526" i="1"/>
  <c r="S4538" i="1"/>
  <c r="S4550" i="1"/>
  <c r="S4562" i="1"/>
  <c r="S4574" i="1"/>
  <c r="S4586" i="1"/>
  <c r="S4598" i="1"/>
  <c r="S4610" i="1"/>
  <c r="S4622" i="1"/>
  <c r="S4634" i="1"/>
  <c r="S2306" i="1"/>
  <c r="S2782" i="1"/>
  <c r="S3103" i="1"/>
  <c r="S3187" i="1"/>
  <c r="S3260" i="1"/>
  <c r="S3332" i="1"/>
  <c r="S3381" i="1"/>
  <c r="S3413" i="1"/>
  <c r="S3441" i="1"/>
  <c r="S3472" i="1"/>
  <c r="S3490" i="1"/>
  <c r="S3512" i="1"/>
  <c r="S3533" i="1"/>
  <c r="S3551" i="1"/>
  <c r="S3573" i="1"/>
  <c r="S3594" i="1"/>
  <c r="S3616" i="1"/>
  <c r="S3634" i="1"/>
  <c r="S3656" i="1"/>
  <c r="S3677" i="1"/>
  <c r="S3695" i="1"/>
  <c r="S3717" i="1"/>
  <c r="S3738" i="1"/>
  <c r="S3760" i="1"/>
  <c r="S3778" i="1"/>
  <c r="S3800" i="1"/>
  <c r="S3821" i="1"/>
  <c r="S3839" i="1"/>
  <c r="S3861" i="1"/>
  <c r="S3881" i="1"/>
  <c r="S3897" i="1"/>
  <c r="S3917" i="1"/>
  <c r="S3933" i="1"/>
  <c r="S3953" i="1"/>
  <c r="S3968" i="1"/>
  <c r="S3983" i="1"/>
  <c r="S4001" i="1"/>
  <c r="S4016" i="1"/>
  <c r="S4031" i="1"/>
  <c r="S4049" i="1"/>
  <c r="S4063" i="1"/>
  <c r="S4077" i="1"/>
  <c r="S4091" i="1"/>
  <c r="S4107" i="1"/>
  <c r="S4121" i="1"/>
  <c r="S4135" i="1"/>
  <c r="S4149" i="1"/>
  <c r="S4163" i="1"/>
  <c r="S4176" i="1"/>
  <c r="S4190" i="1"/>
  <c r="S4203" i="1"/>
  <c r="S4215" i="1"/>
  <c r="S4227" i="1"/>
  <c r="S4239" i="1"/>
  <c r="S4251" i="1"/>
  <c r="S4263" i="1"/>
  <c r="S4275" i="1"/>
  <c r="S4287" i="1"/>
  <c r="S4299" i="1"/>
  <c r="S4311" i="1"/>
  <c r="S4323" i="1"/>
  <c r="S4335" i="1"/>
  <c r="S4347" i="1"/>
  <c r="S4359" i="1"/>
  <c r="S4371" i="1"/>
  <c r="S4383" i="1"/>
  <c r="S4395" i="1"/>
  <c r="S4407" i="1"/>
  <c r="S4419" i="1"/>
  <c r="S4431" i="1"/>
  <c r="S4443" i="1"/>
  <c r="S4455" i="1"/>
  <c r="S4467" i="1"/>
  <c r="S4479" i="1"/>
  <c r="S4491" i="1"/>
  <c r="S4503" i="1"/>
  <c r="S4515" i="1"/>
  <c r="S4527" i="1"/>
  <c r="S4539" i="1"/>
  <c r="S4551" i="1"/>
  <c r="S4563" i="1"/>
  <c r="S4575" i="1"/>
  <c r="S4587" i="1"/>
  <c r="S4599" i="1"/>
  <c r="S4611" i="1"/>
  <c r="S4623" i="1"/>
  <c r="S2308" i="1"/>
  <c r="S2784" i="1"/>
  <c r="S3104" i="1"/>
  <c r="S3188" i="1"/>
  <c r="S3261" i="1"/>
  <c r="S3333" i="1"/>
  <c r="S3382" i="1"/>
  <c r="S3416" i="1"/>
  <c r="S3442" i="1"/>
  <c r="S3473" i="1"/>
  <c r="S3491" i="1"/>
  <c r="S3513" i="1"/>
  <c r="S3534" i="1"/>
  <c r="S3556" i="1"/>
  <c r="S3574" i="1"/>
  <c r="S3596" i="1"/>
  <c r="S3617" i="1"/>
  <c r="S3635" i="1"/>
  <c r="S3657" i="1"/>
  <c r="S3678" i="1"/>
  <c r="S3700" i="1"/>
  <c r="S3718" i="1"/>
  <c r="S3740" i="1"/>
  <c r="S3761" i="1"/>
  <c r="S3779" i="1"/>
  <c r="S3801" i="1"/>
  <c r="S3822" i="1"/>
  <c r="S3844" i="1"/>
  <c r="S3862" i="1"/>
  <c r="S3882" i="1"/>
  <c r="S3898" i="1"/>
  <c r="S3918" i="1"/>
  <c r="S3934" i="1"/>
  <c r="S3954" i="1"/>
  <c r="S3969" i="1"/>
  <c r="S3986" i="1"/>
  <c r="S4002" i="1"/>
  <c r="S4017" i="1"/>
  <c r="S4034" i="1"/>
  <c r="S4050" i="1"/>
  <c r="S4064" i="1"/>
  <c r="S4078" i="1"/>
  <c r="S4094" i="1"/>
  <c r="S4108" i="1"/>
  <c r="S4122" i="1"/>
  <c r="S4136" i="1"/>
  <c r="S4150" i="1"/>
  <c r="S4164" i="1"/>
  <c r="S4178" i="1"/>
  <c r="S4191" i="1"/>
  <c r="S4204" i="1"/>
  <c r="S4216" i="1"/>
  <c r="S4228" i="1"/>
  <c r="S4240" i="1"/>
  <c r="S4252" i="1"/>
  <c r="S4264" i="1"/>
  <c r="S4276" i="1"/>
  <c r="S4288" i="1"/>
  <c r="S4300" i="1"/>
  <c r="S4312" i="1"/>
  <c r="S4324" i="1"/>
  <c r="S4336" i="1"/>
  <c r="S4348" i="1"/>
  <c r="S4360" i="1"/>
  <c r="S4372" i="1"/>
  <c r="S4384" i="1"/>
  <c r="S4396" i="1"/>
  <c r="S4408" i="1"/>
  <c r="S4420" i="1"/>
  <c r="S4432" i="1"/>
  <c r="S4444" i="1"/>
  <c r="S4456" i="1"/>
  <c r="S4468" i="1"/>
  <c r="S4480" i="1"/>
  <c r="S4492" i="1"/>
  <c r="S4504" i="1"/>
  <c r="S4516" i="1"/>
  <c r="S4528" i="1"/>
  <c r="S4540" i="1"/>
  <c r="S4552" i="1"/>
  <c r="S4564" i="1"/>
  <c r="S4576" i="1"/>
  <c r="S4588" i="1"/>
  <c r="S4600" i="1"/>
  <c r="S4612" i="1"/>
  <c r="S4624" i="1"/>
  <c r="S2402" i="1"/>
  <c r="S2854" i="1"/>
  <c r="S3118" i="1"/>
  <c r="S3200" i="1"/>
  <c r="S3272" i="1"/>
  <c r="S3344" i="1"/>
  <c r="S3388" i="1"/>
  <c r="S3417" i="1"/>
  <c r="S3448" i="1"/>
  <c r="S3474" i="1"/>
  <c r="S3496" i="1"/>
  <c r="S3514" i="1"/>
  <c r="S3536" i="1"/>
  <c r="S3557" i="1"/>
  <c r="S3575" i="1"/>
  <c r="S3597" i="1"/>
  <c r="S3618" i="1"/>
  <c r="S3640" i="1"/>
  <c r="S3658" i="1"/>
  <c r="S3680" i="1"/>
  <c r="S3701" i="1"/>
  <c r="S3719" i="1"/>
  <c r="S3741" i="1"/>
  <c r="S3762" i="1"/>
  <c r="S3784" i="1"/>
  <c r="S3802" i="1"/>
  <c r="S3824" i="1"/>
  <c r="S3845" i="1"/>
  <c r="S3863" i="1"/>
  <c r="S3883" i="1"/>
  <c r="S3899" i="1"/>
  <c r="S3919" i="1"/>
  <c r="S3935" i="1"/>
  <c r="S3955" i="1"/>
  <c r="S3970" i="1"/>
  <c r="S3988" i="1"/>
  <c r="S4003" i="1"/>
  <c r="S4018" i="1"/>
  <c r="S4036" i="1"/>
  <c r="S4051" i="1"/>
  <c r="S4065" i="1"/>
  <c r="S4079" i="1"/>
  <c r="S4095" i="1"/>
  <c r="S4109" i="1"/>
  <c r="S4123" i="1"/>
  <c r="S4137" i="1"/>
  <c r="S4151" i="1"/>
  <c r="S4166" i="1"/>
  <c r="S4179" i="1"/>
  <c r="S4192" i="1"/>
  <c r="S4205" i="1"/>
  <c r="S4217" i="1"/>
  <c r="S4229" i="1"/>
  <c r="S4241" i="1"/>
  <c r="S4253" i="1"/>
  <c r="S4265" i="1"/>
  <c r="S4277" i="1"/>
  <c r="S4289" i="1"/>
  <c r="S4301" i="1"/>
  <c r="S4313" i="1"/>
  <c r="S4325" i="1"/>
  <c r="S4337" i="1"/>
  <c r="S4349" i="1"/>
  <c r="S4361" i="1"/>
  <c r="S4373" i="1"/>
  <c r="S4385" i="1"/>
  <c r="S4397" i="1"/>
  <c r="S4409" i="1"/>
  <c r="S4421" i="1"/>
  <c r="S4433" i="1"/>
  <c r="S4445" i="1"/>
  <c r="S4457" i="1"/>
  <c r="S4469" i="1"/>
  <c r="S4481" i="1"/>
  <c r="S2404" i="1"/>
  <c r="S2856" i="1"/>
  <c r="S3119" i="1"/>
  <c r="S3201" i="1"/>
  <c r="S3273" i="1"/>
  <c r="S3345" i="1"/>
  <c r="S3392" i="1"/>
  <c r="S3418" i="1"/>
  <c r="S3449" i="1"/>
  <c r="S3476" i="1"/>
  <c r="S3497" i="1"/>
  <c r="S3515" i="1"/>
  <c r="S3537" i="1"/>
  <c r="S3558" i="1"/>
  <c r="S3580" i="1"/>
  <c r="S3598" i="1"/>
  <c r="S3620" i="1"/>
  <c r="S3641" i="1"/>
  <c r="S3659" i="1"/>
  <c r="S3681" i="1"/>
  <c r="S3702" i="1"/>
  <c r="S3724" i="1"/>
  <c r="S3742" i="1"/>
  <c r="S3764" i="1"/>
  <c r="S3785" i="1"/>
  <c r="S3803" i="1"/>
  <c r="S3825" i="1"/>
  <c r="S3846" i="1"/>
  <c r="S3868" i="1"/>
  <c r="S3884" i="1"/>
  <c r="S3904" i="1"/>
  <c r="S3920" i="1"/>
  <c r="S3940" i="1"/>
  <c r="S3956" i="1"/>
  <c r="S3971" i="1"/>
  <c r="S3989" i="1"/>
  <c r="S4004" i="1"/>
  <c r="S4019" i="1"/>
  <c r="S4037" i="1"/>
  <c r="S4052" i="1"/>
  <c r="S4066" i="1"/>
  <c r="S4082" i="1"/>
  <c r="S4096" i="1"/>
  <c r="S4110" i="1"/>
  <c r="S4124" i="1"/>
  <c r="S4138" i="1"/>
  <c r="S4154" i="1"/>
  <c r="S4167" i="1"/>
  <c r="S4180" i="1"/>
  <c r="S4193" i="1"/>
  <c r="S4206" i="1"/>
  <c r="S4218" i="1"/>
  <c r="S4230" i="1"/>
  <c r="S4242" i="1"/>
  <c r="S4254" i="1"/>
  <c r="S4266" i="1"/>
  <c r="S4278" i="1"/>
  <c r="S4290" i="1"/>
  <c r="S4302" i="1"/>
  <c r="S4314" i="1"/>
  <c r="S4326" i="1"/>
  <c r="S4338" i="1"/>
  <c r="S4350" i="1"/>
  <c r="S4362" i="1"/>
  <c r="S4374" i="1"/>
  <c r="S4386" i="1"/>
  <c r="S4398" i="1"/>
  <c r="S4410" i="1"/>
  <c r="S4422" i="1"/>
  <c r="S4434" i="1"/>
  <c r="S4446" i="1"/>
  <c r="S4458" i="1"/>
  <c r="S4470" i="1"/>
  <c r="S4482" i="1"/>
  <c r="S4494" i="1"/>
  <c r="S4506" i="1"/>
  <c r="S4518" i="1"/>
  <c r="S4530" i="1"/>
  <c r="S4542" i="1"/>
  <c r="S4554" i="1"/>
  <c r="S4566" i="1"/>
  <c r="S2482" i="1"/>
  <c r="S2926" i="1"/>
  <c r="S3132" i="1"/>
  <c r="S3212" i="1"/>
  <c r="S3284" i="1"/>
  <c r="S3356" i="1"/>
  <c r="S3393" i="1"/>
  <c r="S3424" i="1"/>
  <c r="S3452" i="1"/>
  <c r="S3477" i="1"/>
  <c r="S3498" i="1"/>
  <c r="S3520" i="1"/>
  <c r="S3538" i="1"/>
  <c r="S3560" i="1"/>
  <c r="S3581" i="1"/>
  <c r="S3599" i="1"/>
  <c r="S3621" i="1"/>
  <c r="S3642" i="1"/>
  <c r="S3664" i="1"/>
  <c r="S3682" i="1"/>
  <c r="S3704" i="1"/>
  <c r="S3725" i="1"/>
  <c r="S3743" i="1"/>
  <c r="S3765" i="1"/>
  <c r="S3786" i="1"/>
  <c r="S3808" i="1"/>
  <c r="S3826" i="1"/>
  <c r="S3848" i="1"/>
  <c r="S3869" i="1"/>
  <c r="S3885" i="1"/>
  <c r="S3905" i="1"/>
  <c r="S3921" i="1"/>
  <c r="S3941" i="1"/>
  <c r="S3957" i="1"/>
  <c r="S3974" i="1"/>
  <c r="S3990" i="1"/>
  <c r="S4005" i="1"/>
  <c r="S4022" i="1"/>
  <c r="S4038" i="1"/>
  <c r="S4053" i="1"/>
  <c r="S4067" i="1"/>
  <c r="S4083" i="1"/>
  <c r="S4097" i="1"/>
  <c r="S4111" i="1"/>
  <c r="S4125" i="1"/>
  <c r="S4139" i="1"/>
  <c r="S4155" i="1"/>
  <c r="S4168" i="1"/>
  <c r="S4181" i="1"/>
  <c r="S4194" i="1"/>
  <c r="S4207" i="1"/>
  <c r="S4219" i="1"/>
  <c r="S4231" i="1"/>
  <c r="S4243" i="1"/>
  <c r="S4255" i="1"/>
  <c r="S4267" i="1"/>
  <c r="S4279" i="1"/>
  <c r="S4291" i="1"/>
  <c r="S4303" i="1"/>
  <c r="S4315" i="1"/>
  <c r="S4327" i="1"/>
  <c r="S4339" i="1"/>
  <c r="S4351" i="1"/>
  <c r="S4363" i="1"/>
  <c r="S4375" i="1"/>
  <c r="S4387" i="1"/>
  <c r="S4399" i="1"/>
  <c r="S4411" i="1"/>
  <c r="S4423" i="1"/>
  <c r="S4435" i="1"/>
  <c r="S2560" i="1"/>
  <c r="S2998" i="1"/>
  <c r="S3146" i="1"/>
  <c r="S3224" i="1"/>
  <c r="S3296" i="1"/>
  <c r="S3364" i="1"/>
  <c r="S3400" i="1"/>
  <c r="S3428" i="1"/>
  <c r="S3454" i="1"/>
  <c r="S3479" i="1"/>
  <c r="S3501" i="1"/>
  <c r="S3522" i="1"/>
  <c r="S3544" i="1"/>
  <c r="S3562" i="1"/>
  <c r="S3584" i="1"/>
  <c r="S3605" i="1"/>
  <c r="S3623" i="1"/>
  <c r="S3645" i="1"/>
  <c r="S3666" i="1"/>
  <c r="S3688" i="1"/>
  <c r="S3706" i="1"/>
  <c r="S3728" i="1"/>
  <c r="S3749" i="1"/>
  <c r="S3767" i="1"/>
  <c r="S3789" i="1"/>
  <c r="S3810" i="1"/>
  <c r="S3832" i="1"/>
  <c r="S3850" i="1"/>
  <c r="S3871" i="1"/>
  <c r="S3887" i="1"/>
  <c r="S3907" i="1"/>
  <c r="S3923" i="1"/>
  <c r="S3943" i="1"/>
  <c r="S3959" i="1"/>
  <c r="S3977" i="1"/>
  <c r="S3992" i="1"/>
  <c r="S4007" i="1"/>
  <c r="S4025" i="1"/>
  <c r="S4040" i="1"/>
  <c r="S4055" i="1"/>
  <c r="S4071" i="1"/>
  <c r="S4085" i="1"/>
  <c r="S4099" i="1"/>
  <c r="S4113" i="1"/>
  <c r="S4127" i="1"/>
  <c r="S4143" i="1"/>
  <c r="S4157" i="1"/>
  <c r="S4170" i="1"/>
  <c r="S4183" i="1"/>
  <c r="S4196" i="1"/>
  <c r="S4209" i="1"/>
  <c r="S4221" i="1"/>
  <c r="S4233" i="1"/>
  <c r="S4245" i="1"/>
  <c r="S4257" i="1"/>
  <c r="S4269" i="1"/>
  <c r="S4281" i="1"/>
  <c r="S4293" i="1"/>
  <c r="S4305" i="1"/>
  <c r="S4317" i="1"/>
  <c r="S4329" i="1"/>
  <c r="S4341" i="1"/>
  <c r="S4353" i="1"/>
  <c r="S4365" i="1"/>
  <c r="S4377" i="1"/>
  <c r="S4389" i="1"/>
  <c r="S4401" i="1"/>
  <c r="S4413" i="1"/>
  <c r="S4425" i="1"/>
  <c r="S4437" i="1"/>
  <c r="S4449" i="1"/>
  <c r="S4461" i="1"/>
  <c r="S4473" i="1"/>
  <c r="S4485" i="1"/>
  <c r="S4497" i="1"/>
  <c r="S4509" i="1"/>
  <c r="S4521" i="1"/>
  <c r="S4533" i="1"/>
  <c r="S4545" i="1"/>
  <c r="S4557" i="1"/>
  <c r="S4569" i="1"/>
  <c r="S4581" i="1"/>
  <c r="S4593" i="1"/>
  <c r="S4605" i="1"/>
  <c r="S4617" i="1"/>
  <c r="S2484" i="1"/>
  <c r="S3394" i="1"/>
  <c r="S3539" i="1"/>
  <c r="S3665" i="1"/>
  <c r="S3788" i="1"/>
  <c r="S3906" i="1"/>
  <c r="S4006" i="1"/>
  <c r="S4098" i="1"/>
  <c r="S4182" i="1"/>
  <c r="S4256" i="1"/>
  <c r="S4328" i="1"/>
  <c r="S4400" i="1"/>
  <c r="S4459" i="1"/>
  <c r="S4493" i="1"/>
  <c r="S4517" i="1"/>
  <c r="S4541" i="1"/>
  <c r="S4565" i="1"/>
  <c r="S4584" i="1"/>
  <c r="S4606" i="1"/>
  <c r="S4627" i="1"/>
  <c r="S4641" i="1"/>
  <c r="S4654" i="1"/>
  <c r="S4667" i="1"/>
  <c r="S4680" i="1"/>
  <c r="S4694" i="1"/>
  <c r="S4707" i="1"/>
  <c r="S4720" i="1"/>
  <c r="S4733" i="1"/>
  <c r="S4746" i="1"/>
  <c r="S4759" i="1"/>
  <c r="S4772" i="1"/>
  <c r="S4785" i="1"/>
  <c r="S4798" i="1"/>
  <c r="S4810" i="1"/>
  <c r="S4822" i="1"/>
  <c r="S4834" i="1"/>
  <c r="S4846" i="1"/>
  <c r="S4858" i="1"/>
  <c r="S4870" i="1"/>
  <c r="S4882" i="1"/>
  <c r="S4894" i="1"/>
  <c r="S4906" i="1"/>
  <c r="S4918" i="1"/>
  <c r="S4930" i="1"/>
  <c r="S4942" i="1"/>
  <c r="S4954" i="1"/>
  <c r="S4966" i="1"/>
  <c r="S4978" i="1"/>
  <c r="S4990" i="1"/>
  <c r="S5002" i="1"/>
  <c r="S5014" i="1"/>
  <c r="S5026" i="1"/>
  <c r="S5038" i="1"/>
  <c r="S5050" i="1"/>
  <c r="S5062" i="1"/>
  <c r="S5074" i="1"/>
  <c r="S5086" i="1"/>
  <c r="S4316" i="1"/>
  <c r="S4770" i="1"/>
  <c r="S4976" i="1"/>
  <c r="S4318" i="1"/>
  <c r="S4771" i="1"/>
  <c r="S4941" i="1"/>
  <c r="S2563" i="1"/>
  <c r="S3401" i="1"/>
  <c r="S3545" i="1"/>
  <c r="S3668" i="1"/>
  <c r="S3790" i="1"/>
  <c r="S3908" i="1"/>
  <c r="S4010" i="1"/>
  <c r="S4100" i="1"/>
  <c r="S4184" i="1"/>
  <c r="S4258" i="1"/>
  <c r="S4330" i="1"/>
  <c r="S4402" i="1"/>
  <c r="S4460" i="1"/>
  <c r="S4495" i="1"/>
  <c r="S4519" i="1"/>
  <c r="S4543" i="1"/>
  <c r="S4567" i="1"/>
  <c r="S4589" i="1"/>
  <c r="S4607" i="1"/>
  <c r="S4628" i="1"/>
  <c r="S4642" i="1"/>
  <c r="S4655" i="1"/>
  <c r="S4668" i="1"/>
  <c r="S4682" i="1"/>
  <c r="S4695" i="1"/>
  <c r="S4708" i="1"/>
  <c r="S4721" i="1"/>
  <c r="S4734" i="1"/>
  <c r="S4747" i="1"/>
  <c r="S4760" i="1"/>
  <c r="S4773" i="1"/>
  <c r="S4786" i="1"/>
  <c r="S4799" i="1"/>
  <c r="S4811" i="1"/>
  <c r="S4823" i="1"/>
  <c r="S4835" i="1"/>
  <c r="S4847" i="1"/>
  <c r="S4859" i="1"/>
  <c r="S4871" i="1"/>
  <c r="S4883" i="1"/>
  <c r="S4895" i="1"/>
  <c r="S4907" i="1"/>
  <c r="S4919" i="1"/>
  <c r="S4931" i="1"/>
  <c r="S4943" i="1"/>
  <c r="S4955" i="1"/>
  <c r="S4967" i="1"/>
  <c r="S4979" i="1"/>
  <c r="S4991" i="1"/>
  <c r="S5003" i="1"/>
  <c r="S5015" i="1"/>
  <c r="S5027" i="1"/>
  <c r="S5039" i="1"/>
  <c r="S5051" i="1"/>
  <c r="S5063" i="1"/>
  <c r="S5075" i="1"/>
  <c r="S5087" i="1"/>
  <c r="S4084" i="1"/>
  <c r="S4486" i="1"/>
  <c r="S4625" i="1"/>
  <c r="S4744" i="1"/>
  <c r="S4844" i="1"/>
  <c r="S4892" i="1"/>
  <c r="S4964" i="1"/>
  <c r="S5072" i="1"/>
  <c r="S3646" i="1"/>
  <c r="S4452" i="1"/>
  <c r="S4626" i="1"/>
  <c r="S4719" i="1"/>
  <c r="S4833" i="1"/>
  <c r="S4953" i="1"/>
  <c r="S5085" i="1"/>
  <c r="S2928" i="1"/>
  <c r="S3425" i="1"/>
  <c r="S3561" i="1"/>
  <c r="S3683" i="1"/>
  <c r="S3809" i="1"/>
  <c r="S3922" i="1"/>
  <c r="S4024" i="1"/>
  <c r="S4112" i="1"/>
  <c r="S4195" i="1"/>
  <c r="S4268" i="1"/>
  <c r="S4340" i="1"/>
  <c r="S4412" i="1"/>
  <c r="S4462" i="1"/>
  <c r="S4496" i="1"/>
  <c r="S4520" i="1"/>
  <c r="S4544" i="1"/>
  <c r="S4568" i="1"/>
  <c r="S4590" i="1"/>
  <c r="S4608" i="1"/>
  <c r="S4629" i="1"/>
  <c r="S4643" i="1"/>
  <c r="S4656" i="1"/>
  <c r="S4670" i="1"/>
  <c r="S4683" i="1"/>
  <c r="S4696" i="1"/>
  <c r="S4709" i="1"/>
  <c r="S4722" i="1"/>
  <c r="S4735" i="1"/>
  <c r="S4748" i="1"/>
  <c r="S4761" i="1"/>
  <c r="S4774" i="1"/>
  <c r="S4787" i="1"/>
  <c r="S4800" i="1"/>
  <c r="S4812" i="1"/>
  <c r="S4824" i="1"/>
  <c r="S4836" i="1"/>
  <c r="S4848" i="1"/>
  <c r="S4860" i="1"/>
  <c r="S4872" i="1"/>
  <c r="S4884" i="1"/>
  <c r="S4896" i="1"/>
  <c r="S4908" i="1"/>
  <c r="S4920" i="1"/>
  <c r="S4932" i="1"/>
  <c r="S4944" i="1"/>
  <c r="S4956" i="1"/>
  <c r="S4968" i="1"/>
  <c r="S4980" i="1"/>
  <c r="S4992" i="1"/>
  <c r="S5004" i="1"/>
  <c r="S5016" i="1"/>
  <c r="S5028" i="1"/>
  <c r="S5040" i="1"/>
  <c r="S5052" i="1"/>
  <c r="S5064" i="1"/>
  <c r="S5076" i="1"/>
  <c r="S4244" i="1"/>
  <c r="S4582" i="1"/>
  <c r="S4652" i="1"/>
  <c r="S4704" i="1"/>
  <c r="S4796" i="1"/>
  <c r="S4856" i="1"/>
  <c r="S4916" i="1"/>
  <c r="S4988" i="1"/>
  <c r="S5048" i="1"/>
  <c r="S3368" i="1"/>
  <c r="S4390" i="1"/>
  <c r="S4536" i="1"/>
  <c r="S4666" i="1"/>
  <c r="S4797" i="1"/>
  <c r="S4929" i="1"/>
  <c r="S5073" i="1"/>
  <c r="S3000" i="1"/>
  <c r="S3429" i="1"/>
  <c r="S3563" i="1"/>
  <c r="S3689" i="1"/>
  <c r="S3812" i="1"/>
  <c r="S3928" i="1"/>
  <c r="S4026" i="1"/>
  <c r="S4114" i="1"/>
  <c r="S4197" i="1"/>
  <c r="S4270" i="1"/>
  <c r="S4342" i="1"/>
  <c r="S4414" i="1"/>
  <c r="S4464" i="1"/>
  <c r="S4498" i="1"/>
  <c r="S4522" i="1"/>
  <c r="S4546" i="1"/>
  <c r="S4570" i="1"/>
  <c r="S4591" i="1"/>
  <c r="S4613" i="1"/>
  <c r="S4630" i="1"/>
  <c r="S4644" i="1"/>
  <c r="S4658" i="1"/>
  <c r="S4671" i="1"/>
  <c r="S4684" i="1"/>
  <c r="S4697" i="1"/>
  <c r="S4710" i="1"/>
  <c r="S4723" i="1"/>
  <c r="S4736" i="1"/>
  <c r="S4749" i="1"/>
  <c r="S4762" i="1"/>
  <c r="S4775" i="1"/>
  <c r="S4788" i="1"/>
  <c r="S4801" i="1"/>
  <c r="S4813" i="1"/>
  <c r="S4825" i="1"/>
  <c r="S4837" i="1"/>
  <c r="S4849" i="1"/>
  <c r="S4861" i="1"/>
  <c r="S4873" i="1"/>
  <c r="S4885" i="1"/>
  <c r="S4897" i="1"/>
  <c r="S4909" i="1"/>
  <c r="S4921" i="1"/>
  <c r="S4933" i="1"/>
  <c r="S4945" i="1"/>
  <c r="S4957" i="1"/>
  <c r="S4969" i="1"/>
  <c r="S4981" i="1"/>
  <c r="S4993" i="1"/>
  <c r="S5005" i="1"/>
  <c r="S5017" i="1"/>
  <c r="S5029" i="1"/>
  <c r="S5041" i="1"/>
  <c r="S5053" i="1"/>
  <c r="S5065" i="1"/>
  <c r="S5077" i="1"/>
  <c r="S3991" i="1"/>
  <c r="S4639" i="1"/>
  <c r="S4783" i="1"/>
  <c r="S4868" i="1"/>
  <c r="S4940" i="1"/>
  <c r="S5024" i="1"/>
  <c r="S3524" i="1"/>
  <c r="S4560" i="1"/>
  <c r="S4758" i="1"/>
  <c r="S4977" i="1"/>
  <c r="S3133" i="1"/>
  <c r="S3453" i="1"/>
  <c r="S3582" i="1"/>
  <c r="S3705" i="1"/>
  <c r="S3827" i="1"/>
  <c r="S3942" i="1"/>
  <c r="S4039" i="1"/>
  <c r="S4126" i="1"/>
  <c r="S4208" i="1"/>
  <c r="S4280" i="1"/>
  <c r="S4352" i="1"/>
  <c r="S4424" i="1"/>
  <c r="S4471" i="1"/>
  <c r="S4499" i="1"/>
  <c r="S4523" i="1"/>
  <c r="S4547" i="1"/>
  <c r="S4571" i="1"/>
  <c r="S4592" i="1"/>
  <c r="S4614" i="1"/>
  <c r="S4631" i="1"/>
  <c r="S4646" i="1"/>
  <c r="S4659" i="1"/>
  <c r="S4672" i="1"/>
  <c r="S4685" i="1"/>
  <c r="S4698" i="1"/>
  <c r="S4711" i="1"/>
  <c r="S4724" i="1"/>
  <c r="S4737" i="1"/>
  <c r="S4750" i="1"/>
  <c r="S4763" i="1"/>
  <c r="S4776" i="1"/>
  <c r="S4790" i="1"/>
  <c r="S4802" i="1"/>
  <c r="S4814" i="1"/>
  <c r="S4826" i="1"/>
  <c r="S4838" i="1"/>
  <c r="S4850" i="1"/>
  <c r="S4862" i="1"/>
  <c r="S4874" i="1"/>
  <c r="S4886" i="1"/>
  <c r="S4898" i="1"/>
  <c r="S4910" i="1"/>
  <c r="S4922" i="1"/>
  <c r="S4934" i="1"/>
  <c r="S4946" i="1"/>
  <c r="S4958" i="1"/>
  <c r="S4970" i="1"/>
  <c r="S4982" i="1"/>
  <c r="S4994" i="1"/>
  <c r="S5006" i="1"/>
  <c r="S5018" i="1"/>
  <c r="S5030" i="1"/>
  <c r="S5042" i="1"/>
  <c r="S5054" i="1"/>
  <c r="S5066" i="1"/>
  <c r="S5078" i="1"/>
  <c r="S4169" i="1"/>
  <c r="S4718" i="1"/>
  <c r="S4928" i="1"/>
  <c r="S5084" i="1"/>
  <c r="S3993" i="1"/>
  <c r="S4679" i="1"/>
  <c r="S4857" i="1"/>
  <c r="S5001" i="1"/>
  <c r="S3148" i="1"/>
  <c r="S3460" i="1"/>
  <c r="S3585" i="1"/>
  <c r="S3707" i="1"/>
  <c r="S3833" i="1"/>
  <c r="S3944" i="1"/>
  <c r="S4041" i="1"/>
  <c r="S4130" i="1"/>
  <c r="S4210" i="1"/>
  <c r="S4282" i="1"/>
  <c r="S4354" i="1"/>
  <c r="S4426" i="1"/>
  <c r="S4472" i="1"/>
  <c r="S4500" i="1"/>
  <c r="S4524" i="1"/>
  <c r="S4548" i="1"/>
  <c r="S4572" i="1"/>
  <c r="S4594" i="1"/>
  <c r="S4615" i="1"/>
  <c r="S4632" i="1"/>
  <c r="S4647" i="1"/>
  <c r="S4660" i="1"/>
  <c r="S4673" i="1"/>
  <c r="S4686" i="1"/>
  <c r="S4699" i="1"/>
  <c r="S4712" i="1"/>
  <c r="S4725" i="1"/>
  <c r="S4738" i="1"/>
  <c r="S4751" i="1"/>
  <c r="S4764" i="1"/>
  <c r="S4778" i="1"/>
  <c r="S4791" i="1"/>
  <c r="S4803" i="1"/>
  <c r="S4815" i="1"/>
  <c r="S4827" i="1"/>
  <c r="S4839" i="1"/>
  <c r="S4851" i="1"/>
  <c r="S4863" i="1"/>
  <c r="S4875" i="1"/>
  <c r="S4887" i="1"/>
  <c r="S4899" i="1"/>
  <c r="S4911" i="1"/>
  <c r="S4923" i="1"/>
  <c r="S4935" i="1"/>
  <c r="S4947" i="1"/>
  <c r="S4959" i="1"/>
  <c r="S4971" i="1"/>
  <c r="S4983" i="1"/>
  <c r="S4995" i="1"/>
  <c r="S5007" i="1"/>
  <c r="S5019" i="1"/>
  <c r="S5031" i="1"/>
  <c r="S5043" i="1"/>
  <c r="S5055" i="1"/>
  <c r="S5067" i="1"/>
  <c r="S5079" i="1"/>
  <c r="S3886" i="1"/>
  <c r="S4388" i="1"/>
  <c r="S4603" i="1"/>
  <c r="S4691" i="1"/>
  <c r="S4808" i="1"/>
  <c r="S4904" i="1"/>
  <c r="S5060" i="1"/>
  <c r="S4086" i="1"/>
  <c r="S4512" i="1"/>
  <c r="S4653" i="1"/>
  <c r="S4745" i="1"/>
  <c r="S4809" i="1"/>
  <c r="S4869" i="1"/>
  <c r="S4917" i="1"/>
  <c r="S4989" i="1"/>
  <c r="S5061" i="1"/>
  <c r="S3213" i="1"/>
  <c r="S3478" i="1"/>
  <c r="S3604" i="1"/>
  <c r="S3726" i="1"/>
  <c r="S3849" i="1"/>
  <c r="S3958" i="1"/>
  <c r="S4054" i="1"/>
  <c r="S4142" i="1"/>
  <c r="S4220" i="1"/>
  <c r="S4292" i="1"/>
  <c r="S4364" i="1"/>
  <c r="S4436" i="1"/>
  <c r="S4474" i="1"/>
  <c r="S4505" i="1"/>
  <c r="S4529" i="1"/>
  <c r="S4553" i="1"/>
  <c r="S4577" i="1"/>
  <c r="S4595" i="1"/>
  <c r="S4616" i="1"/>
  <c r="S4635" i="1"/>
  <c r="S4648" i="1"/>
  <c r="S4661" i="1"/>
  <c r="S4674" i="1"/>
  <c r="S4687" i="1"/>
  <c r="S4700" i="1"/>
  <c r="S4713" i="1"/>
  <c r="S4726" i="1"/>
  <c r="S4739" i="1"/>
  <c r="S4752" i="1"/>
  <c r="S4766" i="1"/>
  <c r="S4779" i="1"/>
  <c r="S4792" i="1"/>
  <c r="S4804" i="1"/>
  <c r="S4816" i="1"/>
  <c r="S4828" i="1"/>
  <c r="S4840" i="1"/>
  <c r="S4852" i="1"/>
  <c r="S4864" i="1"/>
  <c r="S4876" i="1"/>
  <c r="S4888" i="1"/>
  <c r="S4900" i="1"/>
  <c r="S4912" i="1"/>
  <c r="S4924" i="1"/>
  <c r="S4936" i="1"/>
  <c r="S4948" i="1"/>
  <c r="S4960" i="1"/>
  <c r="S4972" i="1"/>
  <c r="S4984" i="1"/>
  <c r="S4996" i="1"/>
  <c r="S5008" i="1"/>
  <c r="S5020" i="1"/>
  <c r="S5032" i="1"/>
  <c r="S5044" i="1"/>
  <c r="S5056" i="1"/>
  <c r="S5068" i="1"/>
  <c r="S5080" i="1"/>
  <c r="S3521" i="1"/>
  <c r="S4535" i="1"/>
  <c r="S4678" i="1"/>
  <c r="S4820" i="1"/>
  <c r="S5000" i="1"/>
  <c r="S3772" i="1"/>
  <c r="S4640" i="1"/>
  <c r="S4845" i="1"/>
  <c r="S5025" i="1"/>
  <c r="S3225" i="1"/>
  <c r="S3484" i="1"/>
  <c r="S3606" i="1"/>
  <c r="S3729" i="1"/>
  <c r="S3851" i="1"/>
  <c r="S3962" i="1"/>
  <c r="S4058" i="1"/>
  <c r="S4144" i="1"/>
  <c r="S4222" i="1"/>
  <c r="S4294" i="1"/>
  <c r="S4366" i="1"/>
  <c r="S4438" i="1"/>
  <c r="S4476" i="1"/>
  <c r="S4507" i="1"/>
  <c r="S4531" i="1"/>
  <c r="S4555" i="1"/>
  <c r="S4578" i="1"/>
  <c r="S4596" i="1"/>
  <c r="S4618" i="1"/>
  <c r="S4636" i="1"/>
  <c r="S4649" i="1"/>
  <c r="S4662" i="1"/>
  <c r="S4675" i="1"/>
  <c r="S4688" i="1"/>
  <c r="S4701" i="1"/>
  <c r="S4714" i="1"/>
  <c r="S4727" i="1"/>
  <c r="S4740" i="1"/>
  <c r="S4754" i="1"/>
  <c r="S4767" i="1"/>
  <c r="S4780" i="1"/>
  <c r="S4793" i="1"/>
  <c r="S4805" i="1"/>
  <c r="S4817" i="1"/>
  <c r="S4829" i="1"/>
  <c r="S4841" i="1"/>
  <c r="S4853" i="1"/>
  <c r="S4865" i="1"/>
  <c r="S4877" i="1"/>
  <c r="S4889" i="1"/>
  <c r="S4901" i="1"/>
  <c r="S4913" i="1"/>
  <c r="S4925" i="1"/>
  <c r="S4937" i="1"/>
  <c r="S4949" i="1"/>
  <c r="S4961" i="1"/>
  <c r="S4973" i="1"/>
  <c r="S4985" i="1"/>
  <c r="S4997" i="1"/>
  <c r="S5009" i="1"/>
  <c r="S5021" i="1"/>
  <c r="S5033" i="1"/>
  <c r="S5045" i="1"/>
  <c r="S5057" i="1"/>
  <c r="S5069" i="1"/>
  <c r="S5081" i="1"/>
  <c r="S3644" i="1"/>
  <c r="S4511" i="1"/>
  <c r="S4665" i="1"/>
  <c r="S4832" i="1"/>
  <c r="S5012" i="1"/>
  <c r="S3892" i="1"/>
  <c r="S4583" i="1"/>
  <c r="S4732" i="1"/>
  <c r="S4893" i="1"/>
  <c r="S5049" i="1"/>
  <c r="S3285" i="1"/>
  <c r="S3500" i="1"/>
  <c r="S3622" i="1"/>
  <c r="S3748" i="1"/>
  <c r="S3870" i="1"/>
  <c r="S3976" i="1"/>
  <c r="S4070" i="1"/>
  <c r="S4156" i="1"/>
  <c r="S4232" i="1"/>
  <c r="S4304" i="1"/>
  <c r="S4376" i="1"/>
  <c r="S4447" i="1"/>
  <c r="S4483" i="1"/>
  <c r="S4508" i="1"/>
  <c r="S4532" i="1"/>
  <c r="S4556" i="1"/>
  <c r="S4579" i="1"/>
  <c r="S4601" i="1"/>
  <c r="S4619" i="1"/>
  <c r="S4637" i="1"/>
  <c r="S4650" i="1"/>
  <c r="S4663" i="1"/>
  <c r="S4676" i="1"/>
  <c r="S4689" i="1"/>
  <c r="S4702" i="1"/>
  <c r="S4715" i="1"/>
  <c r="S4728" i="1"/>
  <c r="S4742" i="1"/>
  <c r="S4755" i="1"/>
  <c r="S4768" i="1"/>
  <c r="S4781" i="1"/>
  <c r="S4794" i="1"/>
  <c r="S4806" i="1"/>
  <c r="S4818" i="1"/>
  <c r="S4830" i="1"/>
  <c r="S4842" i="1"/>
  <c r="S4854" i="1"/>
  <c r="S4866" i="1"/>
  <c r="S4878" i="1"/>
  <c r="S4890" i="1"/>
  <c r="S4902" i="1"/>
  <c r="S4914" i="1"/>
  <c r="S4926" i="1"/>
  <c r="S4938" i="1"/>
  <c r="S4950" i="1"/>
  <c r="S4962" i="1"/>
  <c r="S4974" i="1"/>
  <c r="S4986" i="1"/>
  <c r="S4998" i="1"/>
  <c r="S5010" i="1"/>
  <c r="S5022" i="1"/>
  <c r="S5034" i="1"/>
  <c r="S5046" i="1"/>
  <c r="S5058" i="1"/>
  <c r="S5070" i="1"/>
  <c r="S5082" i="1"/>
  <c r="S3357" i="1"/>
  <c r="S4450" i="1"/>
  <c r="S4757" i="1"/>
  <c r="S4952" i="1"/>
  <c r="S4171" i="1"/>
  <c r="S4488" i="1"/>
  <c r="S4604" i="1"/>
  <c r="S4706" i="1"/>
  <c r="S4784" i="1"/>
  <c r="S4881" i="1"/>
  <c r="S4965" i="1"/>
  <c r="S5037" i="1"/>
  <c r="S3297" i="1"/>
  <c r="S3502" i="1"/>
  <c r="S3628" i="1"/>
  <c r="S3750" i="1"/>
  <c r="S3872" i="1"/>
  <c r="S3978" i="1"/>
  <c r="S4072" i="1"/>
  <c r="S4158" i="1"/>
  <c r="S4234" i="1"/>
  <c r="S4306" i="1"/>
  <c r="S4378" i="1"/>
  <c r="S4448" i="1"/>
  <c r="S4484" i="1"/>
  <c r="S4510" i="1"/>
  <c r="S4534" i="1"/>
  <c r="S4558" i="1"/>
  <c r="S4580" i="1"/>
  <c r="S4602" i="1"/>
  <c r="S4620" i="1"/>
  <c r="S4638" i="1"/>
  <c r="S4651" i="1"/>
  <c r="S4664" i="1"/>
  <c r="S4677" i="1"/>
  <c r="S4690" i="1"/>
  <c r="S4703" i="1"/>
  <c r="S4716" i="1"/>
  <c r="S4730" i="1"/>
  <c r="S4743" i="1"/>
  <c r="S4756" i="1"/>
  <c r="S4769" i="1"/>
  <c r="S4782" i="1"/>
  <c r="S4795" i="1"/>
  <c r="S4807" i="1"/>
  <c r="S4819" i="1"/>
  <c r="S4831" i="1"/>
  <c r="S4843" i="1"/>
  <c r="S4855" i="1"/>
  <c r="S4867" i="1"/>
  <c r="S4879" i="1"/>
  <c r="S4891" i="1"/>
  <c r="S4903" i="1"/>
  <c r="S4915" i="1"/>
  <c r="S4927" i="1"/>
  <c r="S4939" i="1"/>
  <c r="S4951" i="1"/>
  <c r="S4963" i="1"/>
  <c r="S4975" i="1"/>
  <c r="S4987" i="1"/>
  <c r="S4999" i="1"/>
  <c r="S5011" i="1"/>
  <c r="S5023" i="1"/>
  <c r="S5035" i="1"/>
  <c r="S5047" i="1"/>
  <c r="S5059" i="1"/>
  <c r="S5071" i="1"/>
  <c r="S5083" i="1"/>
  <c r="S3766" i="1"/>
  <c r="S4559" i="1"/>
  <c r="S4731" i="1"/>
  <c r="S4880" i="1"/>
  <c r="S5036" i="1"/>
  <c r="S4246" i="1"/>
  <c r="S4692" i="1"/>
  <c r="S4821" i="1"/>
  <c r="S4905" i="1"/>
  <c r="S5013" i="1"/>
  <c r="I2" i="8"/>
  <c r="A2" i="8"/>
  <c r="F3" i="8"/>
  <c r="D5" i="8"/>
  <c r="B7" i="8"/>
  <c r="G8" i="8"/>
  <c r="E10" i="8"/>
  <c r="C12" i="8"/>
  <c r="A14" i="8"/>
  <c r="F15" i="8"/>
  <c r="D17" i="8"/>
  <c r="G3" i="8"/>
  <c r="E5" i="8"/>
  <c r="C7" i="8"/>
  <c r="A9" i="8"/>
  <c r="F10" i="8"/>
  <c r="D12" i="8"/>
  <c r="B14" i="8"/>
  <c r="G15" i="8"/>
  <c r="E17" i="8"/>
  <c r="J17" i="8" s="1"/>
  <c r="C2" i="8"/>
  <c r="F5" i="8"/>
  <c r="D7" i="8"/>
  <c r="B9" i="8"/>
  <c r="G10" i="8"/>
  <c r="E12" i="8"/>
  <c r="C14" i="8"/>
  <c r="A16" i="8"/>
  <c r="F17" i="8"/>
  <c r="D9" i="8"/>
  <c r="G12" i="8"/>
  <c r="C16" i="8"/>
  <c r="D4" i="8"/>
  <c r="B6" i="8"/>
  <c r="E9" i="8"/>
  <c r="J9" i="8" s="1"/>
  <c r="C11" i="8"/>
  <c r="F14" i="8"/>
  <c r="G2" i="8"/>
  <c r="C6" i="8"/>
  <c r="D11" i="8"/>
  <c r="B13" i="8"/>
  <c r="E16" i="8"/>
  <c r="A3" i="8"/>
  <c r="G9" i="8"/>
  <c r="G4" i="8"/>
  <c r="F11" i="8"/>
  <c r="D8" i="8"/>
  <c r="C15" i="8"/>
  <c r="E8" i="8"/>
  <c r="D15" i="8"/>
  <c r="B12" i="8"/>
  <c r="B2" i="8"/>
  <c r="B8" i="8"/>
  <c r="A15" i="8"/>
  <c r="C8" i="8"/>
  <c r="G16" i="8"/>
  <c r="C3" i="8"/>
  <c r="A5" i="8"/>
  <c r="G11" i="8"/>
  <c r="C10" i="8"/>
  <c r="F13" i="8"/>
  <c r="E3" i="8"/>
  <c r="E15" i="8"/>
  <c r="A4" i="8"/>
  <c r="G14" i="8"/>
  <c r="F4" i="8"/>
  <c r="C13" i="8"/>
  <c r="B3" i="8"/>
  <c r="B15" i="8"/>
  <c r="B10" i="8"/>
  <c r="B5" i="8"/>
  <c r="F8" i="8"/>
  <c r="D2" i="8"/>
  <c r="B4" i="8"/>
  <c r="G5" i="8"/>
  <c r="E7" i="8"/>
  <c r="C9" i="8"/>
  <c r="A11" i="8"/>
  <c r="F12" i="8"/>
  <c r="D14" i="8"/>
  <c r="B16" i="8"/>
  <c r="G17" i="8"/>
  <c r="E2" i="8"/>
  <c r="C4" i="8"/>
  <c r="A6" i="8"/>
  <c r="F7" i="8"/>
  <c r="B11" i="8"/>
  <c r="E14" i="8"/>
  <c r="F2" i="8"/>
  <c r="G7" i="8"/>
  <c r="A13" i="8"/>
  <c r="D16" i="8"/>
  <c r="E4" i="8"/>
  <c r="J4" i="8" s="1"/>
  <c r="A8" i="8"/>
  <c r="F9" i="8"/>
  <c r="D6" i="8"/>
  <c r="E11" i="8"/>
  <c r="F16" i="8"/>
  <c r="E6" i="8"/>
  <c r="D13" i="8"/>
  <c r="F6" i="8"/>
  <c r="A17" i="8"/>
  <c r="G6" i="8"/>
  <c r="B17" i="8"/>
  <c r="D10" i="8"/>
  <c r="A10" i="8"/>
  <c r="D3" i="8"/>
  <c r="A12" i="8"/>
  <c r="C5" i="8"/>
  <c r="G13" i="8"/>
  <c r="E13" i="8"/>
  <c r="A7" i="8"/>
  <c r="C17" i="8"/>
  <c r="G18" i="6"/>
  <c r="H18" i="6"/>
  <c r="G1" i="6"/>
  <c r="G7" i="6"/>
  <c r="H2" i="6"/>
  <c r="H8" i="6"/>
  <c r="H3" i="6"/>
  <c r="H4" i="6"/>
  <c r="H5" i="6"/>
  <c r="H1" i="6"/>
  <c r="H7" i="6"/>
  <c r="G9" i="6"/>
  <c r="H9" i="6"/>
  <c r="G5" i="6"/>
  <c r="H11" i="6"/>
  <c r="H6" i="6"/>
  <c r="G2" i="6"/>
  <c r="G8" i="6"/>
  <c r="G3" i="6"/>
  <c r="G4" i="6"/>
  <c r="G10" i="6"/>
  <c r="H10" i="6"/>
  <c r="G11" i="6"/>
  <c r="G12" i="6"/>
  <c r="H12" i="6"/>
  <c r="G6" i="6"/>
  <c r="D18" i="6"/>
  <c r="E18" i="6"/>
  <c r="J4" i="9"/>
  <c r="J8" i="9"/>
  <c r="M2" i="10"/>
  <c r="M6" i="10"/>
  <c r="M3" i="10"/>
  <c r="M4" i="10"/>
  <c r="M5" i="10"/>
  <c r="E3" i="10"/>
  <c r="D2" i="10"/>
  <c r="D26" i="10"/>
  <c r="E24" i="10"/>
  <c r="D23" i="10"/>
  <c r="E5" i="10"/>
  <c r="D4" i="10"/>
  <c r="E2" i="10"/>
  <c r="E26" i="10"/>
  <c r="D25" i="10"/>
  <c r="E7" i="10"/>
  <c r="D6" i="10"/>
  <c r="E4" i="10"/>
  <c r="D3" i="10"/>
  <c r="E9" i="10"/>
  <c r="D8" i="10"/>
  <c r="E6" i="10"/>
  <c r="D5" i="10"/>
  <c r="D24" i="10"/>
  <c r="E11" i="10"/>
  <c r="D10" i="10"/>
  <c r="E8" i="10"/>
  <c r="D7" i="10"/>
  <c r="E13" i="10"/>
  <c r="D12" i="10"/>
  <c r="E10" i="10"/>
  <c r="D9" i="10"/>
  <c r="E15" i="10"/>
  <c r="D14" i="10"/>
  <c r="E12" i="10"/>
  <c r="D11" i="10"/>
  <c r="D21" i="10"/>
  <c r="E17" i="10"/>
  <c r="D16" i="10"/>
  <c r="E14" i="10"/>
  <c r="D13" i="10"/>
  <c r="E22" i="10"/>
  <c r="E19" i="10"/>
  <c r="D18" i="10"/>
  <c r="E16" i="10"/>
  <c r="D15" i="10"/>
  <c r="E21" i="10"/>
  <c r="D20" i="10"/>
  <c r="E18" i="10"/>
  <c r="D17" i="10"/>
  <c r="E25" i="10"/>
  <c r="E23" i="10"/>
  <c r="D22" i="10"/>
  <c r="E20" i="10"/>
  <c r="D19" i="10"/>
  <c r="J12" i="8"/>
  <c r="J15" i="8"/>
  <c r="J14" i="8"/>
  <c r="J7" i="8"/>
  <c r="Q9" i="10"/>
  <c r="P8" i="10"/>
  <c r="Q8" i="10"/>
  <c r="P9" i="10"/>
  <c r="S8" i="10"/>
  <c r="R9" i="10"/>
  <c r="R8" i="10"/>
  <c r="S9" i="10"/>
  <c r="G4" i="10"/>
  <c r="H10" i="10"/>
  <c r="G5" i="10"/>
  <c r="G6" i="10"/>
  <c r="H12" i="10"/>
  <c r="G7" i="10"/>
  <c r="G18" i="10"/>
  <c r="G2" i="10"/>
  <c r="G8" i="10"/>
  <c r="H16" i="10"/>
  <c r="G9" i="10"/>
  <c r="H13" i="10"/>
  <c r="G3" i="10"/>
  <c r="G10" i="10"/>
  <c r="H18" i="10"/>
  <c r="G13" i="10"/>
  <c r="G12" i="10"/>
  <c r="G11" i="10"/>
  <c r="G17" i="10"/>
  <c r="G14" i="10"/>
  <c r="G15" i="10"/>
  <c r="H5" i="10"/>
  <c r="G16" i="10"/>
  <c r="H3" i="10"/>
  <c r="H9" i="10"/>
  <c r="H7" i="10"/>
  <c r="H2" i="10"/>
  <c r="H11" i="10"/>
  <c r="H17" i="10"/>
  <c r="H8" i="10"/>
  <c r="H4" i="10"/>
  <c r="H15" i="10"/>
  <c r="H6" i="10"/>
  <c r="H14" i="10"/>
  <c r="J16" i="8"/>
  <c r="J10" i="8"/>
  <c r="J6" i="8"/>
  <c r="J13" i="8"/>
  <c r="J3" i="8"/>
  <c r="L2" i="8"/>
  <c r="M2" i="8"/>
  <c r="L3" i="8"/>
  <c r="M3" i="8"/>
  <c r="P2" i="10"/>
  <c r="P4" i="10"/>
  <c r="Q2" i="10"/>
  <c r="Q4" i="10"/>
  <c r="P3" i="10"/>
  <c r="P5" i="10"/>
  <c r="Q3" i="10"/>
  <c r="Q5" i="10"/>
  <c r="J8" i="10"/>
  <c r="J5" i="10"/>
  <c r="J10" i="10"/>
  <c r="J7" i="10"/>
  <c r="J12" i="10"/>
  <c r="J9" i="10"/>
  <c r="K5" i="10"/>
  <c r="J14" i="10"/>
  <c r="J11" i="10"/>
  <c r="K6" i="10"/>
  <c r="K8" i="10"/>
  <c r="K2" i="10"/>
  <c r="J13" i="10"/>
  <c r="K9" i="10"/>
  <c r="K4" i="10"/>
  <c r="K3" i="10"/>
  <c r="K7" i="10"/>
  <c r="K14" i="10"/>
  <c r="J3" i="10"/>
  <c r="K10" i="10"/>
  <c r="K13" i="10"/>
  <c r="K12" i="10"/>
  <c r="J2" i="10"/>
  <c r="K11" i="10"/>
  <c r="J6" i="10"/>
  <c r="J4" i="10"/>
  <c r="G2" i="9"/>
  <c r="G4" i="9"/>
  <c r="G6" i="9"/>
  <c r="G8" i="9"/>
  <c r="G10" i="9"/>
  <c r="H2" i="9"/>
  <c r="H4" i="9"/>
  <c r="H6" i="9"/>
  <c r="H8" i="9"/>
  <c r="H10" i="9"/>
  <c r="G3" i="9"/>
  <c r="G5" i="9"/>
  <c r="G7" i="9"/>
  <c r="G9" i="9"/>
  <c r="G11" i="9"/>
  <c r="H3" i="9"/>
  <c r="H5" i="9"/>
  <c r="H7" i="9"/>
  <c r="H9" i="9"/>
  <c r="H11" i="9"/>
  <c r="E3" i="9"/>
  <c r="E5" i="9"/>
  <c r="E7" i="9"/>
  <c r="E9" i="9"/>
  <c r="E11" i="9"/>
  <c r="E13" i="9"/>
  <c r="E15" i="9"/>
  <c r="E19" i="9"/>
  <c r="D2" i="9"/>
  <c r="D4" i="9"/>
  <c r="D6" i="9"/>
  <c r="D8" i="9"/>
  <c r="D10" i="9"/>
  <c r="D12" i="9"/>
  <c r="D14" i="9"/>
  <c r="D16" i="9"/>
  <c r="D18" i="9"/>
  <c r="D20" i="9"/>
  <c r="E10" i="9"/>
  <c r="E14" i="9"/>
  <c r="E18" i="9"/>
  <c r="E2" i="9"/>
  <c r="E4" i="9"/>
  <c r="E6" i="9"/>
  <c r="E8" i="9"/>
  <c r="E12" i="9"/>
  <c r="E16" i="9"/>
  <c r="E20" i="9"/>
  <c r="D3" i="9"/>
  <c r="D5" i="9"/>
  <c r="D7" i="9"/>
  <c r="D9" i="9"/>
  <c r="D11" i="9"/>
  <c r="D13" i="9"/>
  <c r="D15" i="9"/>
  <c r="D17" i="9"/>
  <c r="D19" i="9"/>
  <c r="D21" i="9"/>
  <c r="E17" i="9"/>
  <c r="E21" i="9"/>
  <c r="D1" i="6"/>
  <c r="D3" i="6"/>
  <c r="E1" i="6"/>
  <c r="E3" i="6"/>
  <c r="D2" i="6"/>
  <c r="E2" i="6"/>
  <c r="B2" i="4" a="1"/>
  <c r="J11" i="8" l="1"/>
  <c r="J8" i="8"/>
  <c r="J5" i="8"/>
  <c r="B2" i="4"/>
  <c r="A1" i="3" a="1"/>
  <c r="D29" i="3" l="1"/>
  <c r="B2" i="3"/>
  <c r="F38" i="3"/>
  <c r="C75" i="3"/>
  <c r="C16" i="3"/>
  <c r="G52" i="3"/>
  <c r="D21" i="3"/>
  <c r="A58" i="3"/>
  <c r="F30" i="3"/>
  <c r="C67" i="3"/>
  <c r="C8" i="3"/>
  <c r="G44" i="3"/>
  <c r="D81" i="3"/>
  <c r="E16" i="3"/>
  <c r="C73" i="3"/>
  <c r="E115" i="3"/>
  <c r="A37" i="3"/>
  <c r="C90" i="3"/>
  <c r="C128" i="3"/>
  <c r="C57" i="3"/>
  <c r="G11" i="3"/>
  <c r="C69" i="3"/>
  <c r="E112" i="3"/>
  <c r="G35" i="3"/>
  <c r="C89" i="3"/>
  <c r="B14" i="3"/>
  <c r="C71" i="3"/>
  <c r="D13" i="3"/>
  <c r="E14" i="3"/>
  <c r="B51" i="3"/>
  <c r="G23" i="3"/>
  <c r="D60" i="3"/>
  <c r="D1" i="3"/>
  <c r="A38" i="3"/>
  <c r="E74" i="3"/>
  <c r="E4" i="3"/>
  <c r="B64" i="3"/>
  <c r="F108" i="3"/>
  <c r="G25" i="3"/>
  <c r="B81" i="3"/>
  <c r="D121" i="3"/>
  <c r="C46" i="3"/>
  <c r="E97" i="3"/>
  <c r="D59" i="3"/>
  <c r="F105" i="3"/>
  <c r="F24" i="3"/>
  <c r="B80" i="3"/>
  <c r="F120" i="3"/>
  <c r="F61" i="3"/>
  <c r="E6" i="3"/>
  <c r="F6" i="3"/>
  <c r="G63" i="3"/>
  <c r="F27" i="3"/>
  <c r="E82" i="3"/>
  <c r="D38" i="3"/>
  <c r="B104" i="3"/>
  <c r="G38" i="3"/>
  <c r="D105" i="3"/>
  <c r="A39" i="3"/>
  <c r="F13" i="3"/>
  <c r="E87" i="3"/>
  <c r="E17" i="3"/>
  <c r="G90" i="3"/>
  <c r="A36" i="3"/>
  <c r="A4" i="3"/>
  <c r="C82" i="3"/>
  <c r="C147" i="3"/>
  <c r="G183" i="3"/>
  <c r="C114" i="3"/>
  <c r="G157" i="3"/>
  <c r="D194" i="3"/>
  <c r="F55" i="3"/>
  <c r="D52" i="3"/>
  <c r="A14" i="3"/>
  <c r="B71" i="3"/>
  <c r="B22" i="3"/>
  <c r="B93" i="3"/>
  <c r="E20" i="3"/>
  <c r="F94" i="3"/>
  <c r="D22" i="3"/>
  <c r="D93" i="3"/>
  <c r="G73" i="3"/>
  <c r="D127" i="3"/>
  <c r="E75" i="3"/>
  <c r="A2" i="3"/>
  <c r="E38" i="3"/>
  <c r="C11" i="3"/>
  <c r="G47" i="3"/>
  <c r="D84" i="3"/>
  <c r="D25" i="3"/>
  <c r="A62" i="3"/>
  <c r="E30" i="3"/>
  <c r="C3" i="3"/>
  <c r="G39" i="3"/>
  <c r="D76" i="3"/>
  <c r="D17" i="3"/>
  <c r="A54" i="3"/>
  <c r="E90" i="3"/>
  <c r="C31" i="3"/>
  <c r="D85" i="3"/>
  <c r="F124" i="3"/>
  <c r="E51" i="3"/>
  <c r="G100" i="3"/>
  <c r="C13" i="3"/>
  <c r="E70" i="3"/>
  <c r="D26" i="3"/>
  <c r="E81" i="3"/>
  <c r="F121" i="3"/>
  <c r="D50" i="3"/>
  <c r="B100" i="3"/>
  <c r="F28" i="3"/>
  <c r="D83" i="3"/>
  <c r="E22" i="3"/>
  <c r="F23" i="3"/>
  <c r="C60" i="3"/>
  <c r="A33" i="3"/>
  <c r="E69" i="3"/>
  <c r="E10" i="3"/>
  <c r="B47" i="3"/>
  <c r="F83" i="3"/>
  <c r="B20" i="3"/>
  <c r="C76" i="3"/>
  <c r="G117" i="3"/>
  <c r="E40" i="3"/>
  <c r="C93" i="3"/>
  <c r="E130" i="3"/>
  <c r="A61" i="3"/>
  <c r="D15" i="3"/>
  <c r="D72" i="3"/>
  <c r="G114" i="3"/>
  <c r="D39" i="3"/>
  <c r="C92" i="3"/>
  <c r="F17" i="3"/>
  <c r="C74" i="3"/>
  <c r="G24" i="3"/>
  <c r="C19" i="3"/>
  <c r="G79" i="3"/>
  <c r="D41" i="3"/>
  <c r="B95" i="3"/>
  <c r="F56" i="3"/>
  <c r="F116" i="3"/>
  <c r="G58" i="3"/>
  <c r="G116" i="3"/>
  <c r="A59" i="3"/>
  <c r="F33" i="3"/>
  <c r="B101" i="3"/>
  <c r="F37" i="3"/>
  <c r="F104" i="3"/>
  <c r="C54" i="3"/>
  <c r="G19" i="3"/>
  <c r="F111" i="3"/>
  <c r="D156" i="3"/>
  <c r="A193" i="3"/>
  <c r="B130" i="3"/>
  <c r="A167" i="3"/>
  <c r="F7" i="3"/>
  <c r="G7" i="3"/>
  <c r="A65" i="3"/>
  <c r="A30" i="3"/>
  <c r="G84" i="3"/>
  <c r="D40" i="3"/>
  <c r="C105" i="3"/>
  <c r="D42" i="3"/>
  <c r="E106" i="3"/>
  <c r="F40" i="3"/>
  <c r="C17" i="3"/>
  <c r="B89" i="3"/>
  <c r="D19" i="3"/>
  <c r="G93" i="3"/>
  <c r="B11" i="3"/>
  <c r="F47" i="3"/>
  <c r="D20" i="3"/>
  <c r="A57" i="3"/>
  <c r="E93" i="3"/>
  <c r="E34" i="3"/>
  <c r="B3" i="3"/>
  <c r="F39" i="3"/>
  <c r="D12" i="3"/>
  <c r="A49" i="3"/>
  <c r="E85" i="3"/>
  <c r="E26" i="3"/>
  <c r="B63" i="3"/>
  <c r="F2" i="3"/>
  <c r="G45" i="3"/>
  <c r="B97" i="3"/>
  <c r="A7" i="3"/>
  <c r="G65" i="3"/>
  <c r="A110" i="3"/>
  <c r="A28" i="3"/>
  <c r="G82" i="3"/>
  <c r="B41" i="3"/>
  <c r="F93" i="3"/>
  <c r="F5" i="3"/>
  <c r="G64" i="3"/>
  <c r="C109" i="3"/>
  <c r="D43" i="3"/>
  <c r="D95" i="3"/>
  <c r="F31" i="3"/>
  <c r="G32" i="3"/>
  <c r="E5" i="3"/>
  <c r="B42" i="3"/>
  <c r="F78" i="3"/>
  <c r="F19" i="3"/>
  <c r="C56" i="3"/>
  <c r="G92" i="3"/>
  <c r="G34" i="3"/>
  <c r="E88" i="3"/>
  <c r="A127" i="3"/>
  <c r="C55" i="3"/>
  <c r="B103" i="3"/>
  <c r="B17" i="3"/>
  <c r="F73" i="3"/>
  <c r="B30" i="3"/>
  <c r="E84" i="3"/>
  <c r="A124" i="3"/>
  <c r="B54" i="3"/>
  <c r="D102" i="3"/>
  <c r="D32" i="3"/>
  <c r="D86" i="3"/>
  <c r="G40" i="3"/>
  <c r="C35" i="3"/>
  <c r="D92" i="3"/>
  <c r="D57" i="3"/>
  <c r="E9" i="3"/>
  <c r="G74" i="3"/>
  <c r="C129" i="3"/>
  <c r="A75" i="3"/>
  <c r="D129" i="3"/>
  <c r="F76" i="3"/>
  <c r="A52" i="3"/>
  <c r="F113" i="3"/>
  <c r="F57" i="3"/>
  <c r="B116" i="3"/>
  <c r="F72" i="3"/>
  <c r="D14" i="3"/>
  <c r="A128" i="3"/>
  <c r="E165" i="3"/>
  <c r="E36" i="3"/>
  <c r="E139" i="3"/>
  <c r="B176" i="3"/>
  <c r="A26" i="3"/>
  <c r="F22" i="3"/>
  <c r="A81" i="3"/>
  <c r="E42" i="3"/>
  <c r="C96" i="3"/>
  <c r="F58" i="3"/>
  <c r="A119" i="3"/>
  <c r="F60" i="3"/>
  <c r="A118" i="3"/>
  <c r="G62" i="3"/>
  <c r="E35" i="3"/>
  <c r="C102" i="3"/>
  <c r="C41" i="3"/>
  <c r="G105" i="3"/>
  <c r="C20" i="3"/>
  <c r="B7" i="3"/>
  <c r="E21" i="3"/>
  <c r="C72" i="3"/>
  <c r="C22" i="3"/>
  <c r="G94" i="3"/>
  <c r="B77" i="3"/>
  <c r="D5" i="3"/>
  <c r="G87" i="3"/>
  <c r="E49" i="3"/>
  <c r="C112" i="3"/>
  <c r="D96" i="3"/>
  <c r="A47" i="3"/>
  <c r="G12" i="3"/>
  <c r="F18" i="3"/>
  <c r="G70" i="3"/>
  <c r="E89" i="3"/>
  <c r="G89" i="3"/>
  <c r="D36" i="3"/>
  <c r="G77" i="3"/>
  <c r="C78" i="3"/>
  <c r="C117" i="3"/>
  <c r="G75" i="3"/>
  <c r="D16" i="3"/>
  <c r="G129" i="3"/>
  <c r="F166" i="3"/>
  <c r="G43" i="3"/>
  <c r="F140" i="3"/>
  <c r="C177" i="3"/>
  <c r="B27" i="3"/>
  <c r="A25" i="3"/>
  <c r="B82" i="3"/>
  <c r="A46" i="3"/>
  <c r="D97" i="3"/>
  <c r="C62" i="3"/>
  <c r="B120" i="3"/>
  <c r="D62" i="3"/>
  <c r="C120" i="3"/>
  <c r="E64" i="3"/>
  <c r="C37" i="3"/>
  <c r="E104" i="3"/>
  <c r="A43" i="3"/>
  <c r="A107" i="3"/>
  <c r="G59" i="3"/>
  <c r="D23" i="3"/>
  <c r="C116" i="3"/>
  <c r="F158" i="3"/>
  <c r="C195" i="3"/>
  <c r="F132" i="3"/>
  <c r="C169" i="3"/>
  <c r="C28" i="3"/>
  <c r="B26" i="3"/>
  <c r="C83" i="3"/>
  <c r="C48" i="3"/>
  <c r="E1" i="3"/>
  <c r="F65" i="3"/>
  <c r="C121" i="3"/>
  <c r="D64" i="3"/>
  <c r="E122" i="3"/>
  <c r="A66" i="3"/>
  <c r="C39" i="3"/>
  <c r="G106" i="3"/>
  <c r="A45" i="3"/>
  <c r="B108" i="3"/>
  <c r="D63" i="3"/>
  <c r="B4" i="3"/>
  <c r="E118" i="3"/>
  <c r="G159" i="3"/>
  <c r="D196" i="3"/>
  <c r="G133" i="3"/>
  <c r="D170" i="3"/>
  <c r="F15" i="3"/>
  <c r="E13" i="3"/>
  <c r="G71" i="3"/>
  <c r="D33" i="3"/>
  <c r="C88" i="3"/>
  <c r="E47" i="3"/>
  <c r="A111" i="3"/>
  <c r="A48" i="3"/>
  <c r="B111" i="3"/>
  <c r="G49" i="3"/>
  <c r="G22" i="3"/>
  <c r="A95" i="3"/>
  <c r="E28" i="3"/>
  <c r="G97" i="3"/>
  <c r="B45" i="3"/>
  <c r="E12" i="3"/>
  <c r="E102" i="3"/>
  <c r="G151" i="3"/>
  <c r="D188" i="3"/>
  <c r="B123" i="3"/>
  <c r="D162" i="3"/>
  <c r="G16" i="3"/>
  <c r="G15" i="3"/>
  <c r="A18" i="3"/>
  <c r="A17" i="3"/>
  <c r="B74" i="3"/>
  <c r="B39" i="3"/>
  <c r="F91" i="3"/>
  <c r="B53" i="3"/>
  <c r="B19" i="3"/>
  <c r="D51" i="3"/>
  <c r="D113" i="3"/>
  <c r="G67" i="3"/>
  <c r="G113" i="3"/>
  <c r="G104" i="3"/>
  <c r="G83" i="3"/>
  <c r="F52" i="3"/>
  <c r="A142" i="3"/>
  <c r="A67" i="3"/>
  <c r="D144" i="3"/>
  <c r="E32" i="3"/>
  <c r="B149" i="3"/>
  <c r="A205" i="3"/>
  <c r="E241" i="3"/>
  <c r="G169" i="3"/>
  <c r="D215" i="3"/>
  <c r="G115" i="3"/>
  <c r="A189" i="3"/>
  <c r="B228" i="3"/>
  <c r="F145" i="3"/>
  <c r="C203" i="3"/>
  <c r="C40" i="3"/>
  <c r="D31" i="3"/>
  <c r="B75" i="3"/>
  <c r="B32" i="3"/>
  <c r="B99" i="3"/>
  <c r="D164" i="3"/>
  <c r="F164" i="3"/>
  <c r="E121" i="3"/>
  <c r="D161" i="3"/>
  <c r="D125" i="3"/>
  <c r="G163" i="3"/>
  <c r="C99" i="3"/>
  <c r="A184" i="3"/>
  <c r="D224" i="3"/>
  <c r="E135" i="3"/>
  <c r="A198" i="3"/>
  <c r="G234" i="3"/>
  <c r="G160" i="3"/>
  <c r="A211" i="3"/>
  <c r="A76" i="3"/>
  <c r="F181" i="3"/>
  <c r="E50" i="3"/>
  <c r="C33" i="3"/>
  <c r="D87" i="3"/>
  <c r="G33" i="3"/>
  <c r="C100" i="3"/>
  <c r="C171" i="3"/>
  <c r="G165" i="3"/>
  <c r="C123" i="3"/>
  <c r="E162" i="3"/>
  <c r="C127" i="3"/>
  <c r="A165" i="3"/>
  <c r="B106" i="3"/>
  <c r="E185" i="3"/>
  <c r="E225" i="3"/>
  <c r="G137" i="3"/>
  <c r="C199" i="3"/>
  <c r="A236" i="3"/>
  <c r="B163" i="3"/>
  <c r="D4" i="3"/>
  <c r="F71" i="3"/>
  <c r="G124" i="3"/>
  <c r="B86" i="3"/>
  <c r="D10" i="3"/>
  <c r="F122" i="3"/>
  <c r="A112" i="3"/>
  <c r="G72" i="3"/>
  <c r="G56" i="3"/>
  <c r="F43" i="3"/>
  <c r="B58" i="3"/>
  <c r="G1" i="3"/>
  <c r="B78" i="3"/>
  <c r="E55" i="3"/>
  <c r="D118" i="3"/>
  <c r="A42" i="3"/>
  <c r="G28" i="3"/>
  <c r="E99" i="3"/>
  <c r="E31" i="3"/>
  <c r="C10" i="3"/>
  <c r="A98" i="3"/>
  <c r="A70" i="3"/>
  <c r="G91" i="3"/>
  <c r="C126" i="3"/>
  <c r="A27" i="3"/>
  <c r="F148" i="3"/>
  <c r="C1" i="3"/>
  <c r="D130" i="3"/>
  <c r="G53" i="3"/>
  <c r="E19" i="3"/>
  <c r="A91" i="3"/>
  <c r="F34" i="3"/>
  <c r="C139" i="3"/>
  <c r="G175" i="3"/>
  <c r="F95" i="3"/>
  <c r="G149" i="3"/>
  <c r="D186" i="3"/>
  <c r="C44" i="3"/>
  <c r="E37" i="3"/>
  <c r="E2" i="3"/>
  <c r="F59" i="3"/>
  <c r="C2" i="3"/>
  <c r="D79" i="3"/>
  <c r="D2" i="3"/>
  <c r="E79" i="3"/>
  <c r="B5" i="3"/>
  <c r="F79" i="3"/>
  <c r="E57" i="3"/>
  <c r="B117" i="3"/>
  <c r="C61" i="3"/>
  <c r="E119" i="3"/>
  <c r="C77" i="3"/>
  <c r="C18" i="3"/>
  <c r="C131" i="3"/>
  <c r="G167" i="3"/>
  <c r="A51" i="3"/>
  <c r="G141" i="3"/>
  <c r="D178" i="3"/>
  <c r="D45" i="3"/>
  <c r="A41" i="3"/>
  <c r="F3" i="3"/>
  <c r="G60" i="3"/>
  <c r="G6" i="3"/>
  <c r="G80" i="3"/>
  <c r="F4" i="3"/>
  <c r="F82" i="3"/>
  <c r="D7" i="3"/>
  <c r="C81" i="3"/>
  <c r="B61" i="3"/>
  <c r="C118" i="3"/>
  <c r="C63" i="3"/>
  <c r="E3" i="3"/>
  <c r="G78" i="3"/>
  <c r="A20" i="3"/>
  <c r="D132" i="3"/>
  <c r="A169" i="3"/>
  <c r="D58" i="3"/>
  <c r="A143" i="3"/>
  <c r="E179" i="3"/>
  <c r="A34" i="3"/>
  <c r="C27" i="3"/>
  <c r="F86" i="3"/>
  <c r="D49" i="3"/>
  <c r="G3" i="3"/>
  <c r="B67" i="3"/>
  <c r="D122" i="3"/>
  <c r="D67" i="3"/>
  <c r="F123" i="3"/>
  <c r="E67" i="3"/>
  <c r="G42" i="3"/>
  <c r="A108" i="3"/>
  <c r="G46" i="3"/>
  <c r="D110" i="3"/>
  <c r="B65" i="3"/>
  <c r="D6" i="3"/>
  <c r="G120" i="3"/>
  <c r="A161" i="3"/>
  <c r="E197" i="3"/>
  <c r="A135" i="3"/>
  <c r="E171" i="3"/>
  <c r="B35" i="3"/>
  <c r="D28" i="3"/>
  <c r="C36" i="3"/>
  <c r="G31" i="3"/>
  <c r="B90" i="3"/>
  <c r="F51" i="3"/>
  <c r="C7" i="3"/>
  <c r="C70" i="3"/>
  <c r="A73" i="3"/>
  <c r="B112" i="3"/>
  <c r="G18" i="3"/>
  <c r="C110" i="3"/>
  <c r="F48" i="3"/>
  <c r="A137" i="3"/>
  <c r="C137" i="3"/>
  <c r="E100" i="3"/>
  <c r="B151" i="3"/>
  <c r="A106" i="3"/>
  <c r="E153" i="3"/>
  <c r="E86" i="3"/>
  <c r="D167" i="3"/>
  <c r="B214" i="3"/>
  <c r="G99" i="3"/>
  <c r="C184" i="3"/>
  <c r="E224" i="3"/>
  <c r="C140" i="3"/>
  <c r="F200" i="3"/>
  <c r="C237" i="3"/>
  <c r="A164" i="3"/>
  <c r="D212" i="3"/>
  <c r="A94" i="3"/>
  <c r="E73" i="3"/>
  <c r="B28" i="3"/>
  <c r="F84" i="3"/>
  <c r="F12" i="3"/>
  <c r="F190" i="3"/>
  <c r="A191" i="3"/>
  <c r="A134" i="3"/>
  <c r="E170" i="3"/>
  <c r="D136" i="3"/>
  <c r="A173" i="3"/>
  <c r="B133" i="3"/>
  <c r="B196" i="3"/>
  <c r="E233" i="3"/>
  <c r="G153" i="3"/>
  <c r="D207" i="3"/>
  <c r="D34" i="3"/>
  <c r="G177" i="3"/>
  <c r="B220" i="3"/>
  <c r="B129" i="3"/>
  <c r="G193" i="3"/>
  <c r="B6" i="3"/>
  <c r="F85" i="3"/>
  <c r="A32" i="3"/>
  <c r="C86" i="3"/>
  <c r="E23" i="3"/>
  <c r="G191" i="3"/>
  <c r="B192" i="3"/>
  <c r="B135" i="3"/>
  <c r="F171" i="3"/>
  <c r="E137" i="3"/>
  <c r="B174" i="3"/>
  <c r="D135" i="3"/>
  <c r="F197" i="3"/>
  <c r="F234" i="3"/>
  <c r="B156" i="3"/>
  <c r="E208" i="3"/>
  <c r="G54" i="3"/>
  <c r="F179" i="3"/>
  <c r="C91" i="3"/>
  <c r="E123" i="3"/>
  <c r="B37" i="3"/>
  <c r="G122" i="3"/>
  <c r="F66" i="3"/>
  <c r="B146" i="3"/>
  <c r="D146" i="3"/>
  <c r="G107" i="3"/>
  <c r="E154" i="3"/>
  <c r="E29" i="3"/>
  <c r="C12" i="3"/>
  <c r="B1" i="3"/>
  <c r="E60" i="3"/>
  <c r="B119" i="3"/>
  <c r="D103" i="3"/>
  <c r="G57" i="3"/>
  <c r="F14" i="3"/>
  <c r="D65" i="3"/>
  <c r="D11" i="3"/>
  <c r="G85" i="3"/>
  <c r="A68" i="3"/>
  <c r="E54" i="3"/>
  <c r="D18" i="3"/>
  <c r="F20" i="3"/>
  <c r="A74" i="3"/>
  <c r="B138" i="3"/>
  <c r="C185" i="3"/>
  <c r="E58" i="3"/>
  <c r="E76" i="3"/>
  <c r="A116" i="3"/>
  <c r="G37" i="3"/>
  <c r="C6" i="3"/>
  <c r="D88" i="3"/>
  <c r="D148" i="3"/>
  <c r="A185" i="3"/>
  <c r="E116" i="3"/>
  <c r="A159" i="3"/>
  <c r="E195" i="3"/>
  <c r="B59" i="3"/>
  <c r="E53" i="3"/>
  <c r="B15" i="3"/>
  <c r="D73" i="3"/>
  <c r="A24" i="3"/>
  <c r="E94" i="3"/>
  <c r="B24" i="3"/>
  <c r="A96" i="3"/>
  <c r="D24" i="3"/>
  <c r="B96" i="3"/>
  <c r="D75" i="3"/>
  <c r="E128" i="3"/>
  <c r="E78" i="3"/>
  <c r="C21" i="3"/>
  <c r="E92" i="3"/>
  <c r="G41" i="3"/>
  <c r="D140" i="3"/>
  <c r="A177" i="3"/>
  <c r="D100" i="3"/>
  <c r="A151" i="3"/>
  <c r="E187" i="3"/>
  <c r="D61" i="3"/>
  <c r="F54" i="3"/>
  <c r="E18" i="3"/>
  <c r="F75" i="3"/>
  <c r="F25" i="3"/>
  <c r="G95" i="3"/>
  <c r="G27" i="3"/>
  <c r="C97" i="3"/>
  <c r="C26" i="3"/>
  <c r="F98" i="3"/>
  <c r="A77" i="3"/>
  <c r="D3" i="3"/>
  <c r="F81" i="3"/>
  <c r="C23" i="3"/>
  <c r="B94" i="3"/>
  <c r="C49" i="3"/>
  <c r="E141" i="3"/>
  <c r="B178" i="3"/>
  <c r="G102" i="3"/>
  <c r="B152" i="3"/>
  <c r="F188" i="3"/>
  <c r="E46" i="3"/>
  <c r="C43" i="3"/>
  <c r="G4" i="3"/>
  <c r="C64" i="3"/>
  <c r="B9" i="3"/>
  <c r="D82" i="3"/>
  <c r="C9" i="3"/>
  <c r="B84" i="3"/>
  <c r="F9" i="3"/>
  <c r="C84" i="3"/>
  <c r="A63" i="3"/>
  <c r="D119" i="3"/>
  <c r="D66" i="3"/>
  <c r="G5" i="3"/>
  <c r="D80" i="3"/>
  <c r="G21" i="3"/>
  <c r="E133" i="3"/>
  <c r="B170" i="3"/>
  <c r="E65" i="3"/>
  <c r="B144" i="3"/>
  <c r="F180" i="3"/>
  <c r="A50" i="3"/>
  <c r="D44" i="3"/>
  <c r="C52" i="3"/>
  <c r="E45" i="3"/>
  <c r="D9" i="3"/>
  <c r="F67" i="3"/>
  <c r="A13" i="3"/>
  <c r="A87" i="3"/>
  <c r="G36" i="3"/>
  <c r="F16" i="3"/>
  <c r="B72" i="3"/>
  <c r="C30" i="3"/>
  <c r="A88" i="3"/>
  <c r="C163" i="3"/>
  <c r="E163" i="3"/>
  <c r="C119" i="3"/>
  <c r="C160" i="3"/>
  <c r="D123" i="3"/>
  <c r="F162" i="3"/>
  <c r="E83" i="3"/>
  <c r="D182" i="3"/>
  <c r="C223" i="3"/>
  <c r="C133" i="3"/>
  <c r="C196" i="3"/>
  <c r="F233" i="3"/>
  <c r="E158" i="3"/>
  <c r="G209" i="3"/>
  <c r="C58" i="3"/>
  <c r="B180" i="3"/>
  <c r="D37" i="3"/>
  <c r="A55" i="3"/>
  <c r="E114" i="3"/>
  <c r="A80" i="3"/>
  <c r="A115" i="3"/>
  <c r="B107" i="3"/>
  <c r="D107" i="3"/>
  <c r="A60" i="3"/>
  <c r="B143" i="3"/>
  <c r="B73" i="3"/>
  <c r="E145" i="3"/>
  <c r="A40" i="3"/>
  <c r="D151" i="3"/>
  <c r="B206" i="3"/>
  <c r="F242" i="3"/>
  <c r="B172" i="3"/>
  <c r="E216" i="3"/>
  <c r="D120" i="3"/>
  <c r="D190" i="3"/>
  <c r="C229" i="3"/>
  <c r="A148" i="3"/>
  <c r="D53" i="3"/>
  <c r="F68" i="3"/>
  <c r="F115" i="3"/>
  <c r="A83" i="3"/>
  <c r="B8" i="3"/>
  <c r="D109" i="3"/>
  <c r="F109" i="3"/>
  <c r="G66" i="3"/>
  <c r="C144" i="3"/>
  <c r="C79" i="3"/>
  <c r="F146" i="3"/>
  <c r="C47" i="3"/>
  <c r="F153" i="3"/>
  <c r="C207" i="3"/>
  <c r="G243" i="3"/>
  <c r="A174" i="3"/>
  <c r="F217" i="3"/>
  <c r="C124" i="3"/>
  <c r="A192" i="3"/>
  <c r="B55" i="3"/>
  <c r="A35" i="3"/>
  <c r="G88" i="3"/>
  <c r="E48" i="3"/>
  <c r="D101" i="3"/>
  <c r="D172" i="3"/>
  <c r="F172" i="3"/>
  <c r="C125" i="3"/>
  <c r="F163" i="3"/>
  <c r="B66" i="3"/>
  <c r="F42" i="3"/>
  <c r="A5" i="3"/>
  <c r="B50" i="3"/>
  <c r="F174" i="3"/>
  <c r="E59" i="3"/>
  <c r="E157" i="3"/>
  <c r="G8" i="3"/>
  <c r="A86" i="3"/>
  <c r="F107" i="3"/>
  <c r="A23" i="3"/>
  <c r="D94" i="3"/>
  <c r="B160" i="3"/>
  <c r="C32" i="3"/>
  <c r="B46" i="3"/>
  <c r="B92" i="3"/>
  <c r="F10" i="3"/>
  <c r="B121" i="3"/>
  <c r="G55" i="3"/>
  <c r="D98" i="3"/>
  <c r="A3" i="3"/>
  <c r="B25" i="3"/>
  <c r="C179" i="3"/>
  <c r="F63" i="3"/>
  <c r="B23" i="3"/>
  <c r="D89" i="3"/>
  <c r="G10" i="3"/>
  <c r="D169" i="3"/>
  <c r="F194" i="3"/>
  <c r="G242" i="3"/>
  <c r="D192" i="3"/>
  <c r="D111" i="3"/>
  <c r="C103" i="3"/>
  <c r="F92" i="3"/>
  <c r="F185" i="3"/>
  <c r="D238" i="3"/>
  <c r="D35" i="3"/>
  <c r="C145" i="3"/>
  <c r="G155" i="3"/>
  <c r="G110" i="3"/>
  <c r="A203" i="3"/>
  <c r="F87" i="3"/>
  <c r="G48" i="3"/>
  <c r="B21" i="3"/>
  <c r="A69" i="3"/>
  <c r="E91" i="3"/>
  <c r="B43" i="3"/>
  <c r="B56" i="3"/>
  <c r="B194" i="3"/>
  <c r="A9" i="3"/>
  <c r="C42" i="3"/>
  <c r="E44" i="3"/>
  <c r="C95" i="3"/>
  <c r="E149" i="3"/>
  <c r="A10" i="3"/>
  <c r="B87" i="3"/>
  <c r="G108" i="3"/>
  <c r="F26" i="3"/>
  <c r="D99" i="3"/>
  <c r="C161" i="3"/>
  <c r="G20" i="3"/>
  <c r="F29" i="3"/>
  <c r="D78" i="3"/>
  <c r="F96" i="3"/>
  <c r="B105" i="3"/>
  <c r="C59" i="3"/>
  <c r="B79" i="3"/>
  <c r="A72" i="3"/>
  <c r="E189" i="3"/>
  <c r="C135" i="3"/>
  <c r="D232" i="3"/>
  <c r="A176" i="3"/>
  <c r="E77" i="3"/>
  <c r="F50" i="3"/>
  <c r="C152" i="3"/>
  <c r="F169" i="3"/>
  <c r="F225" i="3"/>
  <c r="C166" i="3"/>
  <c r="E120" i="3"/>
  <c r="E105" i="3"/>
  <c r="B98" i="3"/>
  <c r="B187" i="3"/>
  <c r="D8" i="3"/>
  <c r="E25" i="3"/>
  <c r="D145" i="3"/>
  <c r="A129" i="3"/>
  <c r="B166" i="3"/>
  <c r="F110" i="3"/>
  <c r="A187" i="3"/>
  <c r="F226" i="3"/>
  <c r="B140" i="3"/>
  <c r="E200" i="3"/>
  <c r="B237" i="3"/>
  <c r="D165" i="3"/>
  <c r="C213" i="3"/>
  <c r="F102" i="3"/>
  <c r="A6" i="3"/>
  <c r="G125" i="3"/>
  <c r="G51" i="3"/>
  <c r="B125" i="3"/>
  <c r="B68" i="3"/>
  <c r="A153" i="3"/>
  <c r="E147" i="3"/>
  <c r="B110" i="3"/>
  <c r="F155" i="3"/>
  <c r="B115" i="3"/>
  <c r="B158" i="3"/>
  <c r="G103" i="3"/>
  <c r="E175" i="3"/>
  <c r="F218" i="3"/>
  <c r="A120" i="3"/>
  <c r="C190" i="3"/>
  <c r="B229" i="3"/>
  <c r="D149" i="3"/>
  <c r="C205" i="3"/>
  <c r="G241" i="3"/>
  <c r="G172" i="3"/>
  <c r="B34" i="3"/>
  <c r="A90" i="3"/>
  <c r="B127" i="3"/>
  <c r="G98" i="3"/>
  <c r="G26" i="3"/>
  <c r="D126" i="3"/>
  <c r="F126" i="3"/>
  <c r="B85" i="3"/>
  <c r="A78" i="3"/>
  <c r="B57" i="3"/>
  <c r="E7" i="3"/>
  <c r="D69" i="3"/>
  <c r="G17" i="3"/>
  <c r="E181" i="3"/>
  <c r="G181" i="3"/>
  <c r="C130" i="3"/>
  <c r="B167" i="3"/>
  <c r="A133" i="3"/>
  <c r="E169" i="3"/>
  <c r="G123" i="3"/>
  <c r="E191" i="3"/>
  <c r="B230" i="3"/>
  <c r="A147" i="3"/>
  <c r="F62" i="3"/>
  <c r="E138" i="3"/>
  <c r="C142" i="3"/>
  <c r="B205" i="3"/>
  <c r="E207" i="3"/>
  <c r="E174" i="3"/>
  <c r="B113" i="3"/>
  <c r="A188" i="3"/>
  <c r="F204" i="3"/>
  <c r="C258" i="3"/>
  <c r="G294" i="3"/>
  <c r="G224" i="3"/>
  <c r="F268" i="3"/>
  <c r="B137" i="3"/>
  <c r="C241" i="3"/>
  <c r="B279" i="3"/>
  <c r="D191" i="3"/>
  <c r="B254" i="3"/>
  <c r="F290" i="3"/>
  <c r="E219" i="3"/>
  <c r="F265" i="3"/>
  <c r="B126" i="3"/>
  <c r="E238" i="3"/>
  <c r="C277" i="3"/>
  <c r="C24" i="3"/>
  <c r="G140" i="3"/>
  <c r="G146" i="3"/>
  <c r="A212" i="3"/>
  <c r="F208" i="3"/>
  <c r="E176" i="3"/>
  <c r="F117" i="3"/>
  <c r="D189" i="3"/>
  <c r="A207" i="3"/>
  <c r="D259" i="3"/>
  <c r="A296" i="3"/>
  <c r="D226" i="3"/>
  <c r="G269" i="3"/>
  <c r="F143" i="3"/>
  <c r="C243" i="3"/>
  <c r="C280" i="3"/>
  <c r="G195" i="3"/>
  <c r="C255" i="3"/>
  <c r="G291" i="3"/>
  <c r="F221" i="3"/>
  <c r="G266" i="3"/>
  <c r="F133" i="3"/>
  <c r="B240" i="3"/>
  <c r="D278" i="3"/>
  <c r="G192" i="3"/>
  <c r="F8" i="3"/>
  <c r="B150" i="3"/>
  <c r="G50" i="3"/>
  <c r="A138" i="3"/>
  <c r="A93" i="3"/>
  <c r="C211" i="3"/>
  <c r="G161" i="3"/>
  <c r="A136" i="3"/>
  <c r="A241" i="3"/>
  <c r="G278" i="3"/>
  <c r="F186" i="3"/>
  <c r="F252" i="3"/>
  <c r="C289" i="3"/>
  <c r="B76" i="3"/>
  <c r="D152" i="3"/>
  <c r="G86" i="3"/>
  <c r="F151" i="3"/>
  <c r="A113" i="3"/>
  <c r="E213" i="3"/>
  <c r="B164" i="3"/>
  <c r="F141" i="3"/>
  <c r="E242" i="3"/>
  <c r="A280" i="3"/>
  <c r="E190" i="3"/>
  <c r="G253" i="3"/>
  <c r="D290" i="3"/>
  <c r="G216" i="3"/>
  <c r="C264" i="3"/>
  <c r="G111" i="3"/>
  <c r="C236" i="3"/>
  <c r="G275" i="3"/>
  <c r="A180" i="3"/>
  <c r="G250" i="3"/>
  <c r="D287" i="3"/>
  <c r="A103" i="3"/>
  <c r="G156" i="3"/>
  <c r="D177" i="3"/>
  <c r="B221" i="3"/>
  <c r="F216" i="3"/>
  <c r="F184" i="3"/>
  <c r="E129" i="3"/>
  <c r="A194" i="3"/>
  <c r="G213" i="3"/>
  <c r="G262" i="3"/>
  <c r="B36" i="3"/>
  <c r="A232" i="3"/>
  <c r="C273" i="3"/>
  <c r="A162" i="3"/>
  <c r="B247" i="3"/>
  <c r="F283" i="3"/>
  <c r="F205" i="3"/>
  <c r="F258" i="3"/>
  <c r="C295" i="3"/>
  <c r="C227" i="3"/>
  <c r="C270" i="3"/>
  <c r="A152" i="3"/>
  <c r="C245" i="3"/>
  <c r="G281" i="3"/>
  <c r="F203" i="3"/>
  <c r="A117" i="3"/>
  <c r="E68" i="3"/>
  <c r="G194" i="3"/>
  <c r="B198" i="3"/>
  <c r="F161" i="3"/>
  <c r="C94" i="3"/>
  <c r="D183" i="3"/>
  <c r="C194" i="3"/>
  <c r="G254" i="3"/>
  <c r="D291" i="3"/>
  <c r="G128" i="3"/>
  <c r="G119" i="3"/>
  <c r="G202" i="3"/>
  <c r="D199" i="3"/>
  <c r="E168" i="3"/>
  <c r="A104" i="3"/>
  <c r="G184" i="3"/>
  <c r="C198" i="3"/>
  <c r="A256" i="3"/>
  <c r="E292" i="3"/>
  <c r="G220" i="3"/>
  <c r="D266" i="3"/>
  <c r="C122" i="3"/>
  <c r="F237" i="3"/>
  <c r="G276" i="3"/>
  <c r="E183" i="3"/>
  <c r="G251" i="3"/>
  <c r="D288" i="3"/>
  <c r="A215" i="3"/>
  <c r="D263" i="3"/>
  <c r="B102" i="3"/>
  <c r="F224" i="3"/>
  <c r="A234" i="3"/>
  <c r="D257" i="3"/>
  <c r="D256" i="3"/>
  <c r="D255" i="3"/>
  <c r="E236" i="3"/>
  <c r="D104" i="3"/>
  <c r="E246" i="3"/>
  <c r="B283" i="3"/>
  <c r="G206" i="3"/>
  <c r="C259" i="3"/>
  <c r="G295" i="3"/>
  <c r="B305" i="3"/>
  <c r="C305" i="3"/>
  <c r="E319" i="3"/>
  <c r="G298" i="3"/>
  <c r="F112" i="3"/>
  <c r="D235" i="3"/>
  <c r="A168" i="3"/>
  <c r="C162" i="3"/>
  <c r="D157" i="3"/>
  <c r="F157" i="3"/>
  <c r="E271" i="3"/>
  <c r="C220" i="3"/>
  <c r="A266" i="3"/>
  <c r="G134" i="3"/>
  <c r="G240" i="3"/>
  <c r="F278" i="3"/>
  <c r="C315" i="3"/>
  <c r="C318" i="3"/>
  <c r="A309" i="3"/>
  <c r="C312" i="3"/>
  <c r="E302" i="3"/>
  <c r="G138" i="3"/>
  <c r="A247" i="3"/>
  <c r="B263" i="3"/>
  <c r="B262" i="3"/>
  <c r="C262" i="3"/>
  <c r="F243" i="3"/>
  <c r="E134" i="3"/>
  <c r="G248" i="3"/>
  <c r="D285" i="3"/>
  <c r="D211" i="3"/>
  <c r="E261" i="3"/>
  <c r="G297" i="3"/>
  <c r="D307" i="3"/>
  <c r="E307" i="3"/>
  <c r="B307" i="3"/>
  <c r="F305" i="3"/>
  <c r="G312" i="3"/>
  <c r="D258" i="3"/>
  <c r="D271" i="3"/>
  <c r="E270" i="3"/>
  <c r="F301" i="3"/>
  <c r="A204" i="3"/>
  <c r="C173" i="3"/>
  <c r="F239" i="3"/>
  <c r="G239" i="3"/>
  <c r="A238" i="3"/>
  <c r="G221" i="3"/>
  <c r="G289" i="3"/>
  <c r="F238" i="3"/>
  <c r="D277" i="3"/>
  <c r="F189" i="3"/>
  <c r="E253" i="3"/>
  <c r="B290" i="3"/>
  <c r="D299" i="3"/>
  <c r="E299" i="3"/>
  <c r="B300" i="3"/>
  <c r="B309" i="3"/>
  <c r="A295" i="3"/>
  <c r="C200" i="3"/>
  <c r="D261" i="3"/>
  <c r="G255" i="3"/>
  <c r="B301" i="3"/>
  <c r="C168" i="3"/>
  <c r="C266" i="3"/>
  <c r="D202" i="3"/>
  <c r="E199" i="3"/>
  <c r="A196" i="3"/>
  <c r="G196" i="3"/>
  <c r="B276" i="3"/>
  <c r="A226" i="3"/>
  <c r="D269" i="3"/>
  <c r="B153" i="3"/>
  <c r="E245" i="3"/>
  <c r="B282" i="3"/>
  <c r="F318" i="3"/>
  <c r="C309" i="3"/>
  <c r="C319" i="3"/>
  <c r="F315" i="3"/>
  <c r="D310" i="3"/>
  <c r="C296" i="3"/>
  <c r="F248" i="3"/>
  <c r="F279" i="3"/>
  <c r="C283" i="3"/>
  <c r="A307" i="3"/>
  <c r="B218" i="3"/>
  <c r="C265" i="3"/>
  <c r="F275" i="3"/>
  <c r="F274" i="3"/>
  <c r="F273" i="3"/>
  <c r="B252" i="3"/>
  <c r="C176" i="3"/>
  <c r="F35" i="3"/>
  <c r="C4" i="3"/>
  <c r="F44" i="3"/>
  <c r="A92" i="3"/>
  <c r="F1" i="3"/>
  <c r="F21" i="3"/>
  <c r="E131" i="3"/>
  <c r="D68" i="3"/>
  <c r="E107" i="3"/>
  <c r="A19" i="3"/>
  <c r="E39" i="3"/>
  <c r="B186" i="3"/>
  <c r="B10" i="3"/>
  <c r="A44" i="3"/>
  <c r="B48" i="3"/>
  <c r="E96" i="3"/>
  <c r="F150" i="3"/>
  <c r="G197" i="3"/>
  <c r="G76" i="3"/>
  <c r="E98" i="3"/>
  <c r="A8" i="3"/>
  <c r="E56" i="3"/>
  <c r="C153" i="3"/>
  <c r="A1" i="3"/>
  <c r="B33" i="3"/>
  <c r="E24" i="3"/>
  <c r="B184" i="3"/>
  <c r="G171" i="3"/>
  <c r="E151" i="3"/>
  <c r="A219" i="3"/>
  <c r="C113" i="3"/>
  <c r="G143" i="3"/>
  <c r="C108" i="3"/>
  <c r="C215" i="3"/>
  <c r="E142" i="3"/>
  <c r="A89" i="3"/>
  <c r="E52" i="3"/>
  <c r="D153" i="3"/>
  <c r="A172" i="3"/>
  <c r="G226" i="3"/>
  <c r="C87" i="3"/>
  <c r="F198" i="3"/>
  <c r="A31" i="3"/>
  <c r="F138" i="3"/>
  <c r="C175" i="3"/>
  <c r="F137" i="3"/>
  <c r="B199" i="3"/>
  <c r="G235" i="3"/>
  <c r="D158" i="3"/>
  <c r="F209" i="3"/>
  <c r="D71" i="3"/>
  <c r="C181" i="3"/>
  <c r="D222" i="3"/>
  <c r="C134" i="3"/>
  <c r="E66" i="3"/>
  <c r="F49" i="3"/>
  <c r="D90" i="3"/>
  <c r="B52" i="3"/>
  <c r="C14" i="3"/>
  <c r="E173" i="3"/>
  <c r="G173" i="3"/>
  <c r="G126" i="3"/>
  <c r="G164" i="3"/>
  <c r="F130" i="3"/>
  <c r="C167" i="3"/>
  <c r="C115" i="3"/>
  <c r="E188" i="3"/>
  <c r="G227" i="3"/>
  <c r="D142" i="3"/>
  <c r="F201" i="3"/>
  <c r="C238" i="3"/>
  <c r="F167" i="3"/>
  <c r="D214" i="3"/>
  <c r="D108" i="3"/>
  <c r="C186" i="3"/>
  <c r="F11" i="3"/>
  <c r="B128" i="3"/>
  <c r="F53" i="3"/>
  <c r="A12" i="3"/>
  <c r="F69" i="3"/>
  <c r="B154" i="3"/>
  <c r="D154" i="3"/>
  <c r="D112" i="3"/>
  <c r="C29" i="3"/>
  <c r="A102" i="3"/>
  <c r="F64" i="3"/>
  <c r="E103" i="3"/>
  <c r="B70" i="3"/>
  <c r="E71" i="3"/>
  <c r="B38" i="3"/>
  <c r="F139" i="3"/>
  <c r="A53" i="3"/>
  <c r="B142" i="3"/>
  <c r="F178" i="3"/>
  <c r="E144" i="3"/>
  <c r="F202" i="3"/>
  <c r="C239" i="3"/>
  <c r="C165" i="3"/>
  <c r="C15" i="3"/>
  <c r="F45" i="3"/>
  <c r="E201" i="3"/>
  <c r="D231" i="3"/>
  <c r="G225" i="3"/>
  <c r="D195" i="3"/>
  <c r="A139" i="3"/>
  <c r="A200" i="3"/>
  <c r="F222" i="3"/>
  <c r="D267" i="3"/>
  <c r="A130" i="3"/>
  <c r="B239" i="3"/>
  <c r="G277" i="3"/>
  <c r="B183" i="3"/>
  <c r="F251" i="3"/>
  <c r="C288" i="3"/>
  <c r="G214" i="3"/>
  <c r="C263" i="3"/>
  <c r="C98" i="3"/>
  <c r="D234" i="3"/>
  <c r="G274" i="3"/>
  <c r="D175" i="3"/>
  <c r="G249" i="3"/>
  <c r="D286" i="3"/>
  <c r="B69" i="3"/>
  <c r="B60" i="3"/>
  <c r="G203" i="3"/>
  <c r="E232" i="3"/>
  <c r="A227" i="3"/>
  <c r="A197" i="3"/>
  <c r="C141" i="3"/>
  <c r="B201" i="3"/>
  <c r="C224" i="3"/>
  <c r="E268" i="3"/>
  <c r="G136" i="3"/>
  <c r="B241" i="3"/>
  <c r="A279" i="3"/>
  <c r="G186" i="3"/>
  <c r="G252" i="3"/>
  <c r="D289" i="3"/>
  <c r="B217" i="3"/>
  <c r="D264" i="3"/>
  <c r="E113" i="3"/>
  <c r="D236" i="3"/>
  <c r="A276" i="3"/>
  <c r="E180" i="3"/>
  <c r="A251" i="3"/>
  <c r="E287" i="3"/>
  <c r="F215" i="3"/>
  <c r="A183" i="3"/>
  <c r="C68" i="3"/>
  <c r="D179" i="3"/>
  <c r="G185" i="3"/>
  <c r="C150" i="3"/>
  <c r="F41" i="3"/>
  <c r="E178" i="3"/>
  <c r="B182" i="3"/>
  <c r="D251" i="3"/>
  <c r="A288" i="3"/>
  <c r="F211" i="3"/>
  <c r="G261" i="3"/>
  <c r="D298" i="3"/>
  <c r="C45" i="3"/>
  <c r="E80" i="3"/>
  <c r="E182" i="3"/>
  <c r="D187" i="3"/>
  <c r="B157" i="3"/>
  <c r="B62" i="3"/>
  <c r="C180" i="3"/>
  <c r="A186" i="3"/>
  <c r="E252" i="3"/>
  <c r="B289" i="3"/>
  <c r="A214" i="3"/>
  <c r="A263" i="3"/>
  <c r="E43" i="3"/>
  <c r="B232" i="3"/>
  <c r="D273" i="3"/>
  <c r="G168" i="3"/>
  <c r="D248" i="3"/>
  <c r="A285" i="3"/>
  <c r="B208" i="3"/>
  <c r="A260" i="3"/>
  <c r="E296" i="3"/>
  <c r="B109" i="3"/>
  <c r="D117" i="3"/>
  <c r="G219" i="3"/>
  <c r="F241" i="3"/>
  <c r="A235" i="3"/>
  <c r="B202" i="3"/>
  <c r="B148" i="3"/>
  <c r="E204" i="3"/>
  <c r="G229" i="3"/>
  <c r="A272" i="3"/>
  <c r="B155" i="3"/>
  <c r="G245" i="3"/>
  <c r="D282" i="3"/>
  <c r="A199" i="3"/>
  <c r="C256" i="3"/>
  <c r="G292" i="3"/>
  <c r="B223" i="3"/>
  <c r="G267" i="3"/>
  <c r="B139" i="3"/>
  <c r="A242" i="3"/>
  <c r="D279" i="3"/>
  <c r="F192" i="3"/>
  <c r="D254" i="3"/>
  <c r="A291" i="3"/>
  <c r="A15" i="3"/>
  <c r="B159" i="3"/>
  <c r="A181" i="3"/>
  <c r="C222" i="3"/>
  <c r="G217" i="3"/>
  <c r="G187" i="3"/>
  <c r="B132" i="3"/>
  <c r="F195" i="3"/>
  <c r="B216" i="3"/>
  <c r="A264" i="3"/>
  <c r="D70" i="3"/>
  <c r="A166" i="3"/>
  <c r="B190" i="3"/>
  <c r="D223" i="3"/>
  <c r="C221" i="3"/>
  <c r="C189" i="3"/>
  <c r="D134" i="3"/>
  <c r="B197" i="3"/>
  <c r="D218" i="3"/>
  <c r="B265" i="3"/>
  <c r="A109" i="3"/>
  <c r="E235" i="3"/>
  <c r="E275" i="3"/>
  <c r="D173" i="3"/>
  <c r="D249" i="3"/>
  <c r="A286" i="3"/>
  <c r="C210" i="3"/>
  <c r="A261" i="3"/>
  <c r="E297" i="3"/>
  <c r="G230" i="3"/>
  <c r="E272" i="3"/>
  <c r="C164" i="3"/>
  <c r="F136" i="3"/>
  <c r="D274" i="3"/>
  <c r="D281" i="3"/>
  <c r="D280" i="3"/>
  <c r="E280" i="3"/>
  <c r="E255" i="3"/>
  <c r="B185" i="3"/>
  <c r="F255" i="3"/>
  <c r="C292" i="3"/>
  <c r="B224" i="3"/>
  <c r="D268" i="3"/>
  <c r="A305" i="3"/>
  <c r="C314" i="3"/>
  <c r="D314" i="3"/>
  <c r="A302" i="3"/>
  <c r="E311" i="3"/>
  <c r="C231" i="3"/>
  <c r="A121" i="3"/>
  <c r="E230" i="3"/>
  <c r="F228" i="3"/>
  <c r="G228" i="3"/>
  <c r="D217" i="3"/>
  <c r="C285" i="3"/>
  <c r="B235" i="3"/>
  <c r="B275" i="3"/>
  <c r="D181" i="3"/>
  <c r="C251" i="3"/>
  <c r="G287" i="3"/>
  <c r="D319" i="3"/>
  <c r="A314" i="3"/>
  <c r="E312" i="3"/>
  <c r="C303" i="3"/>
  <c r="G304" i="3"/>
  <c r="B173" i="3"/>
  <c r="E283" i="3"/>
  <c r="B287" i="3"/>
  <c r="C287" i="3"/>
  <c r="C286" i="3"/>
  <c r="G257" i="3"/>
  <c r="C197" i="3"/>
  <c r="A258" i="3"/>
  <c r="E294" i="3"/>
  <c r="F227" i="3"/>
  <c r="F270" i="3"/>
  <c r="C307" i="3"/>
  <c r="E316" i="3"/>
  <c r="F316" i="3"/>
  <c r="C304" i="3"/>
  <c r="C300" i="3"/>
  <c r="A306" i="3"/>
  <c r="C248" i="3"/>
  <c r="D229" i="3"/>
  <c r="F159" i="3"/>
  <c r="A315" i="3"/>
  <c r="G170" i="3"/>
  <c r="C249" i="3"/>
  <c r="E266" i="3"/>
  <c r="E265" i="3"/>
  <c r="E264" i="3"/>
  <c r="D246" i="3"/>
  <c r="E140" i="3"/>
  <c r="A250" i="3"/>
  <c r="E286" i="3"/>
  <c r="F213" i="3"/>
  <c r="F262" i="3"/>
  <c r="C299" i="3"/>
  <c r="E308" i="3"/>
  <c r="F308" i="3"/>
  <c r="D305" i="3"/>
  <c r="C316" i="3"/>
  <c r="C272" i="3"/>
  <c r="F264" i="3"/>
  <c r="G288" i="3"/>
  <c r="B274" i="3"/>
  <c r="G301" i="3"/>
  <c r="C230" i="3"/>
  <c r="G198" i="3"/>
  <c r="F244" i="3"/>
  <c r="D243" i="3"/>
  <c r="E243" i="3"/>
  <c r="D227" i="3"/>
  <c r="B292" i="3"/>
  <c r="C240" i="3"/>
  <c r="E278" i="3"/>
  <c r="F193" i="3"/>
  <c r="F254" i="3"/>
  <c r="C291" i="3"/>
  <c r="E300" i="3"/>
  <c r="F300" i="3"/>
  <c r="E303" i="3"/>
  <c r="B310" i="3"/>
  <c r="C111" i="3"/>
  <c r="C271" i="3"/>
  <c r="E279" i="3"/>
  <c r="D197" i="3"/>
  <c r="F310" i="3"/>
  <c r="G316" i="3"/>
  <c r="E166" i="3"/>
  <c r="E109" i="3"/>
  <c r="E95" i="3"/>
  <c r="D56" i="3"/>
  <c r="E63" i="3"/>
  <c r="G265" i="3"/>
  <c r="B211" i="3"/>
  <c r="D106" i="3"/>
  <c r="G2" i="3"/>
  <c r="B44" i="3"/>
  <c r="F70" i="3"/>
  <c r="C187" i="3"/>
  <c r="B83" i="3"/>
  <c r="G101" i="3"/>
  <c r="C206" i="3"/>
  <c r="F154" i="3"/>
  <c r="A145" i="3"/>
  <c r="D46" i="3"/>
  <c r="G112" i="3"/>
  <c r="E101" i="3"/>
  <c r="E217" i="3"/>
  <c r="G188" i="3"/>
  <c r="B147" i="3"/>
  <c r="F240" i="3"/>
  <c r="A84" i="3"/>
  <c r="F97" i="3"/>
  <c r="D124" i="3"/>
  <c r="A79" i="3"/>
  <c r="D91" i="3"/>
  <c r="G61" i="3"/>
  <c r="E209" i="3"/>
  <c r="F177" i="3"/>
  <c r="B131" i="3"/>
  <c r="F232" i="3"/>
  <c r="G207" i="3"/>
  <c r="F99" i="3"/>
  <c r="C101" i="3"/>
  <c r="B29" i="3"/>
  <c r="A22" i="3"/>
  <c r="D55" i="3"/>
  <c r="G81" i="3"/>
  <c r="E155" i="3"/>
  <c r="A158" i="3"/>
  <c r="D160" i="3"/>
  <c r="B179" i="3"/>
  <c r="F127" i="3"/>
  <c r="B136" i="3"/>
  <c r="A163" i="3"/>
  <c r="B141" i="3"/>
  <c r="G174" i="3"/>
  <c r="B249" i="3"/>
  <c r="B207" i="3"/>
  <c r="B296" i="3"/>
  <c r="A270" i="3"/>
  <c r="G244" i="3"/>
  <c r="B200" i="3"/>
  <c r="B293" i="3"/>
  <c r="B268" i="3"/>
  <c r="F156" i="3"/>
  <c r="E167" i="3"/>
  <c r="D143" i="3"/>
  <c r="F176" i="3"/>
  <c r="C250" i="3"/>
  <c r="D209" i="3"/>
  <c r="C297" i="3"/>
  <c r="B271" i="3"/>
  <c r="B246" i="3"/>
  <c r="B203" i="3"/>
  <c r="C294" i="3"/>
  <c r="C269" i="3"/>
  <c r="G9" i="3"/>
  <c r="F210" i="3"/>
  <c r="D230" i="3"/>
  <c r="E143" i="3"/>
  <c r="C226" i="3"/>
  <c r="G142" i="3"/>
  <c r="B280" i="3"/>
  <c r="F103" i="3"/>
  <c r="E240" i="3"/>
  <c r="A201" i="3"/>
  <c r="D203" i="3"/>
  <c r="G270" i="3"/>
  <c r="E244" i="3"/>
  <c r="B195" i="3"/>
  <c r="F291" i="3"/>
  <c r="F266" i="3"/>
  <c r="A240" i="3"/>
  <c r="C188" i="3"/>
  <c r="A29" i="3"/>
  <c r="E196" i="3"/>
  <c r="D77" i="3"/>
  <c r="A190" i="3"/>
  <c r="C290" i="3"/>
  <c r="B264" i="3"/>
  <c r="B234" i="3"/>
  <c r="D174" i="3"/>
  <c r="B286" i="3"/>
  <c r="B261" i="3"/>
  <c r="A231" i="3"/>
  <c r="B171" i="3"/>
  <c r="E161" i="3"/>
  <c r="C156" i="3"/>
  <c r="G215" i="3"/>
  <c r="C154" i="3"/>
  <c r="C282" i="3"/>
  <c r="D168" i="3"/>
  <c r="A170" i="3"/>
  <c r="A217" i="3"/>
  <c r="A160" i="3"/>
  <c r="D283" i="3"/>
  <c r="C257" i="3"/>
  <c r="A223" i="3"/>
  <c r="C138" i="3"/>
  <c r="C279" i="3"/>
  <c r="C254" i="3"/>
  <c r="B193" i="3"/>
  <c r="A225" i="3"/>
  <c r="F223" i="3"/>
  <c r="B284" i="3"/>
  <c r="A274" i="3"/>
  <c r="B250" i="3"/>
  <c r="C302" i="3"/>
  <c r="C310" i="3"/>
  <c r="B308" i="3"/>
  <c r="F276" i="3"/>
  <c r="G283" i="3"/>
  <c r="F256" i="3"/>
  <c r="G256" i="3"/>
  <c r="B226" i="3"/>
  <c r="B306" i="3"/>
  <c r="E315" i="3"/>
  <c r="C317" i="3"/>
  <c r="B161" i="3"/>
  <c r="C234" i="3"/>
  <c r="F219" i="3"/>
  <c r="F236" i="3"/>
  <c r="D185" i="3"/>
  <c r="A289" i="3"/>
  <c r="B298" i="3"/>
  <c r="E305" i="3"/>
  <c r="C107" i="3"/>
  <c r="C242" i="3"/>
  <c r="F131" i="3"/>
  <c r="C191" i="3"/>
  <c r="B188" i="3"/>
  <c r="A275" i="3"/>
  <c r="C268" i="3"/>
  <c r="C244" i="3"/>
  <c r="E317" i="3"/>
  <c r="F314" i="3"/>
  <c r="D275" i="3"/>
  <c r="E227" i="3"/>
  <c r="G319" i="3"/>
  <c r="E198" i="3"/>
  <c r="A294" i="3"/>
  <c r="A292" i="3"/>
  <c r="E206" i="3"/>
  <c r="G296" i="3"/>
  <c r="A273" i="3"/>
  <c r="G318" i="3"/>
  <c r="E306" i="3"/>
  <c r="F207" i="3"/>
  <c r="C252" i="3"/>
  <c r="A311" i="3"/>
  <c r="E218" i="3"/>
  <c r="F250" i="3"/>
  <c r="A233" i="3"/>
  <c r="A244" i="3"/>
  <c r="G280" i="3"/>
  <c r="C201" i="3"/>
  <c r="A257" i="3"/>
  <c r="E293" i="3"/>
  <c r="G302" i="3"/>
  <c r="A303" i="3"/>
  <c r="F312" i="3"/>
  <c r="G315" i="3"/>
  <c r="C132" i="3"/>
  <c r="C51" i="3"/>
  <c r="A114" i="3"/>
  <c r="F90" i="3"/>
  <c r="G109" i="3"/>
  <c r="E62" i="3"/>
  <c r="F142" i="3"/>
  <c r="E72" i="3"/>
  <c r="E125" i="3"/>
  <c r="C106" i="3"/>
  <c r="E110" i="3"/>
  <c r="C193" i="3"/>
  <c r="G147" i="3"/>
  <c r="A156" i="3"/>
  <c r="A245" i="3"/>
  <c r="G218" i="3"/>
  <c r="E193" i="3"/>
  <c r="E152" i="3"/>
  <c r="F88" i="3"/>
  <c r="A99" i="3"/>
  <c r="G199" i="3"/>
  <c r="D137" i="3"/>
  <c r="G139" i="3"/>
  <c r="A140" i="3"/>
  <c r="A237" i="3"/>
  <c r="G210" i="3"/>
  <c r="G182" i="3"/>
  <c r="E136" i="3"/>
  <c r="G68" i="3"/>
  <c r="C5" i="3"/>
  <c r="B16" i="3"/>
  <c r="A175" i="3"/>
  <c r="F100" i="3"/>
  <c r="A100" i="3"/>
  <c r="F134" i="3"/>
  <c r="B91" i="3"/>
  <c r="A101" i="3"/>
  <c r="D74" i="3"/>
  <c r="G211" i="3"/>
  <c r="B181" i="3"/>
  <c r="A141" i="3"/>
  <c r="D133" i="3"/>
  <c r="A209" i="3"/>
  <c r="F118" i="3"/>
  <c r="E276" i="3"/>
  <c r="D250" i="3"/>
  <c r="A210" i="3"/>
  <c r="D297" i="3"/>
  <c r="D272" i="3"/>
  <c r="D247" i="3"/>
  <c r="A206" i="3"/>
  <c r="E295" i="3"/>
  <c r="C143" i="3"/>
  <c r="F135" i="3"/>
  <c r="B210" i="3"/>
  <c r="F129" i="3"/>
  <c r="F277" i="3"/>
  <c r="E251" i="3"/>
  <c r="C212" i="3"/>
  <c r="D47" i="3"/>
  <c r="E273" i="3"/>
  <c r="E248" i="3"/>
  <c r="C208" i="3"/>
  <c r="F296" i="3"/>
  <c r="F147" i="3"/>
  <c r="B213" i="3"/>
  <c r="C178" i="3"/>
  <c r="B191" i="3"/>
  <c r="E260" i="3"/>
  <c r="D228" i="3"/>
  <c r="F36" i="3"/>
  <c r="B165" i="3"/>
  <c r="E215" i="3"/>
  <c r="F125" i="3"/>
  <c r="E211" i="3"/>
  <c r="C298" i="3"/>
  <c r="B272" i="3"/>
  <c r="A246" i="3"/>
  <c r="E202" i="3"/>
  <c r="B294" i="3"/>
  <c r="B269" i="3"/>
  <c r="G135" i="3"/>
  <c r="B124" i="3"/>
  <c r="E117" i="3"/>
  <c r="D166" i="3"/>
  <c r="D244" i="3"/>
  <c r="E194" i="3"/>
  <c r="E291" i="3"/>
  <c r="D265" i="3"/>
  <c r="G237" i="3"/>
  <c r="F183" i="3"/>
  <c r="E288" i="3"/>
  <c r="E263" i="3"/>
  <c r="E15" i="3"/>
  <c r="B222" i="3"/>
  <c r="B236" i="3"/>
  <c r="D150" i="3"/>
  <c r="G231" i="3"/>
  <c r="A71" i="3"/>
  <c r="A229" i="3"/>
  <c r="E239" i="3"/>
  <c r="F152" i="3"/>
  <c r="D233" i="3"/>
  <c r="G166" i="3"/>
  <c r="F284" i="3"/>
  <c r="E258" i="3"/>
  <c r="B227" i="3"/>
  <c r="G150" i="3"/>
  <c r="F281" i="3"/>
  <c r="F220" i="3"/>
  <c r="A144" i="3"/>
  <c r="D139" i="3"/>
  <c r="A218" i="3"/>
  <c r="D128" i="3"/>
  <c r="E277" i="3"/>
  <c r="G314" i="3"/>
  <c r="B311" i="3"/>
  <c r="A243" i="3"/>
  <c r="F259" i="3"/>
  <c r="G258" i="3"/>
  <c r="E126" i="3"/>
  <c r="C284" i="3"/>
  <c r="D260" i="3"/>
  <c r="C306" i="3"/>
  <c r="B299" i="3"/>
  <c r="F77" i="3"/>
  <c r="G178" i="3"/>
  <c r="B175" i="3"/>
  <c r="G273" i="3"/>
  <c r="B267" i="3"/>
  <c r="D242" i="3"/>
  <c r="D316" i="3"/>
  <c r="D312" i="3"/>
  <c r="D309" i="3"/>
  <c r="A208" i="3"/>
  <c r="F246" i="3"/>
  <c r="E186" i="3"/>
  <c r="E290" i="3"/>
  <c r="F289" i="3"/>
  <c r="G200" i="3"/>
  <c r="F295" i="3"/>
  <c r="G271" i="3"/>
  <c r="F317" i="3"/>
  <c r="E314" i="3"/>
  <c r="C247" i="3"/>
  <c r="F74" i="3"/>
  <c r="A300" i="3"/>
  <c r="B256" i="3"/>
  <c r="A269" i="3"/>
  <c r="E247" i="3"/>
  <c r="B251" i="3"/>
  <c r="A216" i="3"/>
  <c r="D300" i="3"/>
  <c r="G309" i="3"/>
  <c r="F313" i="3"/>
  <c r="C246" i="3"/>
  <c r="C233" i="3"/>
  <c r="F170" i="3"/>
  <c r="E214" i="3"/>
  <c r="F212" i="3"/>
  <c r="F280" i="3"/>
  <c r="D253" i="3"/>
  <c r="A290" i="3"/>
  <c r="E220" i="3"/>
  <c r="B266" i="3"/>
  <c r="F302" i="3"/>
  <c r="A312" i="3"/>
  <c r="B312" i="3"/>
  <c r="F299" i="3"/>
  <c r="A299" i="3"/>
  <c r="C217" i="3"/>
  <c r="E108" i="3"/>
  <c r="E267" i="3"/>
  <c r="A278" i="3"/>
  <c r="E124" i="3"/>
  <c r="B118" i="3"/>
  <c r="D302" i="3"/>
  <c r="E285" i="3"/>
  <c r="E234" i="3"/>
  <c r="B304" i="3"/>
  <c r="E254" i="3"/>
  <c r="A267" i="3"/>
  <c r="D304" i="3"/>
  <c r="A249" i="3"/>
  <c r="A282" i="3"/>
  <c r="C267" i="3"/>
  <c r="A317" i="3"/>
  <c r="G180" i="3"/>
  <c r="B319" i="3"/>
  <c r="F263" i="3"/>
  <c r="G306" i="3"/>
  <c r="B313" i="3"/>
  <c r="A16" i="3"/>
  <c r="E41" i="3"/>
  <c r="E61" i="3"/>
  <c r="D138" i="3"/>
  <c r="C85" i="3"/>
  <c r="D208" i="3"/>
  <c r="E231" i="3"/>
  <c r="D48" i="3"/>
  <c r="C38" i="3"/>
  <c r="D200" i="3"/>
  <c r="B88" i="3"/>
  <c r="D198" i="3"/>
  <c r="A56" i="3"/>
  <c r="F46" i="3"/>
  <c r="D30" i="3"/>
  <c r="G148" i="3"/>
  <c r="G162" i="3"/>
  <c r="C34" i="3"/>
  <c r="B244" i="3"/>
  <c r="D237" i="3"/>
  <c r="A287" i="3"/>
  <c r="F230" i="3"/>
  <c r="A284" i="3"/>
  <c r="A85" i="3"/>
  <c r="B40" i="3"/>
  <c r="A239" i="3"/>
  <c r="B288" i="3"/>
  <c r="C232" i="3"/>
  <c r="B285" i="3"/>
  <c r="C80" i="3"/>
  <c r="B212" i="3"/>
  <c r="C209" i="3"/>
  <c r="A271" i="3"/>
  <c r="C214" i="3"/>
  <c r="E192" i="3"/>
  <c r="A230" i="3"/>
  <c r="E282" i="3"/>
  <c r="C225" i="3"/>
  <c r="C159" i="3"/>
  <c r="F214" i="3"/>
  <c r="B281" i="3"/>
  <c r="B219" i="3"/>
  <c r="A277" i="3"/>
  <c r="B215" i="3"/>
  <c r="G121" i="3"/>
  <c r="D204" i="3"/>
  <c r="B273" i="3"/>
  <c r="F106" i="3"/>
  <c r="F80" i="3"/>
  <c r="B248" i="3"/>
  <c r="B295" i="3"/>
  <c r="B245" i="3"/>
  <c r="F149" i="3"/>
  <c r="D270" i="3"/>
  <c r="G238" i="3"/>
  <c r="F306" i="3"/>
  <c r="E111" i="3"/>
  <c r="B168" i="3"/>
  <c r="E8" i="3"/>
  <c r="A21" i="3"/>
  <c r="E27" i="3"/>
  <c r="G189" i="3"/>
  <c r="G132" i="3"/>
  <c r="E33" i="3"/>
  <c r="G201" i="3"/>
  <c r="D216" i="3"/>
  <c r="C136" i="3"/>
  <c r="A157" i="3"/>
  <c r="F173" i="3"/>
  <c r="D115" i="3"/>
  <c r="A228" i="3"/>
  <c r="B204" i="3"/>
  <c r="B18" i="3"/>
  <c r="A126" i="3"/>
  <c r="B12" i="3"/>
  <c r="A125" i="3"/>
  <c r="E146" i="3"/>
  <c r="A149" i="3"/>
  <c r="C158" i="3"/>
  <c r="F32" i="3"/>
  <c r="A220" i="3"/>
  <c r="A195" i="3"/>
  <c r="G154" i="3"/>
  <c r="G14" i="3"/>
  <c r="C50" i="3"/>
  <c r="A64" i="3"/>
  <c r="G30" i="3"/>
  <c r="B13" i="3"/>
  <c r="G13" i="3"/>
  <c r="C155" i="3"/>
  <c r="F114" i="3"/>
  <c r="F119" i="3"/>
  <c r="B49" i="3"/>
  <c r="A221" i="3"/>
  <c r="D193" i="3"/>
  <c r="E177" i="3"/>
  <c r="C174" i="3"/>
  <c r="C219" i="3"/>
  <c r="E172" i="3"/>
  <c r="F285" i="3"/>
  <c r="E259" i="3"/>
  <c r="E226" i="3"/>
  <c r="E150" i="3"/>
  <c r="E281" i="3"/>
  <c r="E256" i="3"/>
  <c r="G223" i="3"/>
  <c r="C146" i="3"/>
  <c r="G179" i="3"/>
  <c r="D184" i="3"/>
  <c r="D220" i="3"/>
  <c r="B177" i="3"/>
  <c r="G286" i="3"/>
  <c r="F260" i="3"/>
  <c r="E228" i="3"/>
  <c r="E156" i="3"/>
  <c r="F282" i="3"/>
  <c r="F257" i="3"/>
  <c r="D225" i="3"/>
  <c r="G152" i="3"/>
  <c r="A97" i="3"/>
  <c r="D239" i="3"/>
  <c r="F199" i="3"/>
  <c r="C202" i="3"/>
  <c r="F269" i="3"/>
  <c r="B243" i="3"/>
  <c r="C66" i="3"/>
  <c r="A213" i="3"/>
  <c r="G233" i="3"/>
  <c r="G145" i="3"/>
  <c r="C228" i="3"/>
  <c r="E148" i="3"/>
  <c r="C281" i="3"/>
  <c r="B255" i="3"/>
  <c r="E221" i="3"/>
  <c r="E132" i="3"/>
  <c r="C278" i="3"/>
  <c r="G96" i="3"/>
  <c r="F191" i="3"/>
  <c r="D159" i="3"/>
  <c r="A182" i="3"/>
  <c r="F253" i="3"/>
  <c r="C216" i="3"/>
  <c r="F89" i="3"/>
  <c r="E274" i="3"/>
  <c r="E249" i="3"/>
  <c r="D210" i="3"/>
  <c r="F297" i="3"/>
  <c r="F272" i="3"/>
  <c r="B162" i="3"/>
  <c r="A131" i="3"/>
  <c r="A122" i="3"/>
  <c r="F168" i="3"/>
  <c r="F245" i="3"/>
  <c r="F182" i="3"/>
  <c r="F144" i="3"/>
  <c r="A132" i="3"/>
  <c r="A171" i="3"/>
  <c r="G246" i="3"/>
  <c r="A202" i="3"/>
  <c r="G293" i="3"/>
  <c r="F267" i="3"/>
  <c r="D241" i="3"/>
  <c r="C192" i="3"/>
  <c r="G290" i="3"/>
  <c r="A82" i="3"/>
  <c r="B225" i="3"/>
  <c r="G212" i="3"/>
  <c r="B233" i="3"/>
  <c r="G176" i="3"/>
  <c r="F286" i="3"/>
  <c r="C308" i="3"/>
  <c r="F298" i="3"/>
  <c r="A155" i="3"/>
  <c r="G284" i="3"/>
  <c r="G282" i="3"/>
  <c r="B189" i="3"/>
  <c r="D293" i="3"/>
  <c r="E269" i="3"/>
  <c r="D315" i="3"/>
  <c r="B303" i="3"/>
  <c r="C149" i="3"/>
  <c r="F235" i="3"/>
  <c r="G232" i="3"/>
  <c r="F288" i="3"/>
  <c r="C276" i="3"/>
  <c r="D252" i="3"/>
  <c r="A298" i="3"/>
  <c r="A316" i="3"/>
  <c r="B315" i="3"/>
  <c r="D296" i="3"/>
  <c r="D292" i="3"/>
  <c r="B257" i="3"/>
  <c r="F187" i="3"/>
  <c r="E184" i="3"/>
  <c r="A224" i="3"/>
  <c r="D147" i="3"/>
  <c r="A281" i="3"/>
  <c r="F304" i="3"/>
  <c r="G307" i="3"/>
  <c r="G205" i="3"/>
  <c r="C218" i="3"/>
  <c r="F307" i="3"/>
  <c r="F292" i="3"/>
  <c r="A293" i="3"/>
  <c r="D262" i="3"/>
  <c r="C260" i="3"/>
  <c r="F231" i="3"/>
  <c r="E309" i="3"/>
  <c r="A319" i="3"/>
  <c r="F311" i="3"/>
  <c r="D295" i="3"/>
  <c r="A265" i="3"/>
  <c r="C172" i="3"/>
  <c r="E250" i="3"/>
  <c r="F249" i="3"/>
  <c r="D294" i="3"/>
  <c r="E262" i="3"/>
  <c r="A105" i="3"/>
  <c r="C235" i="3"/>
  <c r="C275" i="3"/>
  <c r="G311" i="3"/>
  <c r="A308" i="3"/>
  <c r="B302" i="3"/>
  <c r="G308" i="3"/>
  <c r="C311" i="3"/>
  <c r="B277" i="3"/>
  <c r="D201" i="3"/>
  <c r="D131" i="3"/>
  <c r="D219" i="3"/>
  <c r="B253" i="3"/>
  <c r="D276" i="3"/>
  <c r="E210" i="3"/>
  <c r="D301" i="3"/>
  <c r="D245" i="3"/>
  <c r="G303" i="3"/>
  <c r="B318" i="3"/>
  <c r="B316" i="3"/>
  <c r="B258" i="3"/>
  <c r="B31" i="3"/>
  <c r="G118" i="3"/>
  <c r="G29" i="3"/>
  <c r="G130" i="3"/>
  <c r="D114" i="3"/>
  <c r="G144" i="3"/>
  <c r="D54" i="3"/>
  <c r="F175" i="3"/>
  <c r="G127" i="3"/>
  <c r="A11" i="3"/>
  <c r="D27" i="3"/>
  <c r="F196" i="3"/>
  <c r="D176" i="3"/>
  <c r="F160" i="3"/>
  <c r="E223" i="3"/>
  <c r="C53" i="3"/>
  <c r="D180" i="3"/>
  <c r="E11" i="3"/>
  <c r="F128" i="3"/>
  <c r="C151" i="3"/>
  <c r="G69" i="3"/>
  <c r="B238" i="3"/>
  <c r="C157" i="3"/>
  <c r="A178" i="3"/>
  <c r="G260" i="3"/>
  <c r="D163" i="3"/>
  <c r="A259" i="3"/>
  <c r="D240" i="3"/>
  <c r="E159" i="3"/>
  <c r="C182" i="3"/>
  <c r="A262" i="3"/>
  <c r="B169" i="3"/>
  <c r="B260" i="3"/>
  <c r="E160" i="3"/>
  <c r="B122" i="3"/>
  <c r="B297" i="3"/>
  <c r="A150" i="3"/>
  <c r="C183" i="3"/>
  <c r="F261" i="3"/>
  <c r="D155" i="3"/>
  <c r="E257" i="3"/>
  <c r="A146" i="3"/>
  <c r="A154" i="3"/>
  <c r="C148" i="3"/>
  <c r="A255" i="3"/>
  <c r="A123" i="3"/>
  <c r="A252" i="3"/>
  <c r="D116" i="3"/>
  <c r="F101" i="3"/>
  <c r="C25" i="3"/>
  <c r="G131" i="3"/>
  <c r="E205" i="3"/>
  <c r="C274" i="3"/>
  <c r="D205" i="3"/>
  <c r="B270" i="3"/>
  <c r="C104" i="3"/>
  <c r="B145" i="3"/>
  <c r="G264" i="3"/>
  <c r="B314" i="3"/>
  <c r="G313" i="3"/>
  <c r="E237" i="3"/>
  <c r="B209" i="3"/>
  <c r="A248" i="3"/>
  <c r="D141" i="3"/>
  <c r="B134" i="3"/>
  <c r="E289" i="3"/>
  <c r="D308" i="3"/>
  <c r="E301" i="3"/>
  <c r="G158" i="3"/>
  <c r="F319" i="3"/>
  <c r="E284" i="3"/>
  <c r="F271" i="3"/>
  <c r="A301" i="3"/>
  <c r="E310" i="3"/>
  <c r="G222" i="3"/>
  <c r="B278" i="3"/>
  <c r="G300" i="3"/>
  <c r="F303" i="3"/>
  <c r="C253" i="3"/>
  <c r="A313" i="3"/>
  <c r="C65" i="3"/>
  <c r="E222" i="3"/>
  <c r="D206" i="3"/>
  <c r="E313" i="3"/>
  <c r="A304" i="3"/>
  <c r="A222" i="3"/>
  <c r="F229" i="3"/>
  <c r="F309" i="3"/>
  <c r="D284" i="3"/>
  <c r="A253" i="3"/>
  <c r="D317" i="3"/>
  <c r="E318" i="3"/>
  <c r="G259" i="3"/>
  <c r="A297" i="3"/>
  <c r="A179" i="3"/>
  <c r="G279" i="3"/>
  <c r="E164" i="3"/>
  <c r="C261" i="3"/>
  <c r="G317" i="3"/>
  <c r="G190" i="3"/>
  <c r="F287" i="3"/>
  <c r="G204" i="3"/>
  <c r="E212" i="3"/>
  <c r="F165" i="3"/>
  <c r="D318" i="3"/>
  <c r="E127" i="3"/>
  <c r="D221" i="3"/>
  <c r="B114" i="3"/>
  <c r="B231" i="3"/>
  <c r="C204" i="3"/>
  <c r="C313" i="3"/>
  <c r="A283" i="3"/>
  <c r="G305" i="3"/>
  <c r="E298" i="3"/>
  <c r="C301" i="3"/>
  <c r="F206" i="3"/>
  <c r="G263" i="3"/>
  <c r="E203" i="3"/>
  <c r="E304" i="3"/>
  <c r="D213" i="3"/>
  <c r="F294" i="3"/>
  <c r="G272" i="3"/>
  <c r="F247" i="3"/>
  <c r="D313" i="3"/>
  <c r="C293" i="3"/>
  <c r="G310" i="3"/>
  <c r="F293" i="3"/>
  <c r="A310" i="3"/>
  <c r="B317" i="3"/>
  <c r="B242" i="3"/>
  <c r="D306" i="3"/>
  <c r="C170" i="3"/>
  <c r="G299" i="3"/>
  <c r="B259" i="3"/>
  <c r="G268" i="3"/>
  <c r="G208" i="3"/>
  <c r="G247" i="3"/>
  <c r="A254" i="3"/>
  <c r="D171" i="3"/>
  <c r="B291" i="3"/>
  <c r="D303" i="3"/>
  <c r="G285" i="3"/>
  <c r="A268" i="3"/>
  <c r="E229" i="3"/>
  <c r="A318" i="3"/>
  <c r="D311" i="3"/>
  <c r="G236" i="3"/>
</calcChain>
</file>

<file path=xl/sharedStrings.xml><?xml version="1.0" encoding="utf-8"?>
<sst xmlns="http://schemas.openxmlformats.org/spreadsheetml/2006/main" count="38534" uniqueCount="1845">
  <si>
    <t>Interpreter</t>
  </si>
  <si>
    <t>PYTHONPATH</t>
  </si>
  <si>
    <t>UDF Modules</t>
  </si>
  <si>
    <t>Use UDF Server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</si>
  <si>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</si>
  <si>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</si>
  <si>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</si>
  <si>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</si>
  <si>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xlwings addin install</t>
  </si>
  <si>
    <t>#N/A can be used as None. Run in a cell = test_data(#N/A)</t>
  </si>
  <si>
    <t>{"value1"; 2; #N/A} can be used as a list. Running "=test_data({"value1";2;#N/A})" as an array returns ['value1', 2.0, None]</t>
  </si>
  <si>
    <t>TIPO</t>
  </si>
  <si>
    <t>DOCUMENTO</t>
  </si>
  <si>
    <t>PREFIJO</t>
  </si>
  <si>
    <t>NUMERO</t>
  </si>
  <si>
    <t>FECHA</t>
  </si>
  <si>
    <t>CUENTA</t>
  </si>
  <si>
    <t>FORMATO</t>
  </si>
  <si>
    <t>CONCEPTO</t>
  </si>
  <si>
    <t>SALDO INICIAL</t>
  </si>
  <si>
    <t>DEBITO</t>
  </si>
  <si>
    <t>CREDITO</t>
  </si>
  <si>
    <t>BASE</t>
  </si>
  <si>
    <t>SALDO FINAL</t>
  </si>
  <si>
    <t>MODULO</t>
  </si>
  <si>
    <t>NOTA</t>
  </si>
  <si>
    <t>CE1</t>
  </si>
  <si>
    <t>COMPROBANTE DE EGRESO</t>
  </si>
  <si>
    <t>00119</t>
  </si>
  <si>
    <t>ENERGIA</t>
  </si>
  <si>
    <t>CONTABLE</t>
  </si>
  <si>
    <t>SERVICIOS PÚBLICOS</t>
  </si>
  <si>
    <t>00219</t>
  </si>
  <si>
    <t>SERVICIOS PÚBLICO</t>
  </si>
  <si>
    <t>00419</t>
  </si>
  <si>
    <t>00519</t>
  </si>
  <si>
    <t>00619</t>
  </si>
  <si>
    <t>00719</t>
  </si>
  <si>
    <t>00819</t>
  </si>
  <si>
    <t>00919</t>
  </si>
  <si>
    <t>01019</t>
  </si>
  <si>
    <t>01119</t>
  </si>
  <si>
    <t>SERVICIOS</t>
  </si>
  <si>
    <t>ENVÍO DE MERCANCÍA</t>
  </si>
  <si>
    <t>ALIN EACIÓN</t>
  </si>
  <si>
    <t>LAVADO TRACKER</t>
  </si>
  <si>
    <t>DROGUERÍA</t>
  </si>
  <si>
    <t>AGUA DE COCO</t>
  </si>
  <si>
    <t>VARILLA DE ACERO</t>
  </si>
  <si>
    <t>ANGULO DE ACERO</t>
  </si>
  <si>
    <t>KILO CEMENTO</t>
  </si>
  <si>
    <t>BABERO TRACKER</t>
  </si>
  <si>
    <t>SERVICIO DE RESTAURANTE</t>
  </si>
  <si>
    <t>QUIMICOS</t>
  </si>
  <si>
    <t>PUNTILLAS</t>
  </si>
  <si>
    <t>ABRAZADERAS</t>
  </si>
  <si>
    <t>PIPA DE GAS</t>
  </si>
  <si>
    <t>ICA PERIODO 6</t>
  </si>
  <si>
    <t>SERVICIO DE ENVÍO DE MERCANCÍA</t>
  </si>
  <si>
    <t>PANADERÍA</t>
  </si>
  <si>
    <t>GAUNTES NITRILO</t>
  </si>
  <si>
    <t>MANTENIMIENTO NEVERA</t>
  </si>
  <si>
    <t>SERVICIO DE ENVÍO</t>
  </si>
  <si>
    <t>THINER</t>
  </si>
  <si>
    <t>RECTIFICADO</t>
  </si>
  <si>
    <t>LÁMINA LATÓN</t>
  </si>
  <si>
    <t>ENVÍO DE MERCANCIAA</t>
  </si>
  <si>
    <t>MATENIMIENTO NEVERA</t>
  </si>
  <si>
    <t>PARQUEADERO</t>
  </si>
  <si>
    <t>ABONO SERVICIOS RODELFI</t>
  </si>
  <si>
    <t>RESTAURANTE</t>
  </si>
  <si>
    <t>EMBLEMA TRACKER</t>
  </si>
  <si>
    <t>PERÓXIDO</t>
  </si>
  <si>
    <t>ÁCIDO ACÉTICO</t>
  </si>
  <si>
    <t>JUGO</t>
  </si>
  <si>
    <t>FERRETERÍA</t>
  </si>
  <si>
    <t>PALETAS</t>
  </si>
  <si>
    <t>ENVÍO MERCANCÍA</t>
  </si>
  <si>
    <t>IMPLEMENTOS ELECTRICOS</t>
  </si>
  <si>
    <t>OXIGENO</t>
  </si>
  <si>
    <t>SERVICIO TÉCNICO ELÉCTRICO</t>
  </si>
  <si>
    <t>CORREA</t>
  </si>
  <si>
    <t>VARILLA LATÓN</t>
  </si>
  <si>
    <t>MEDICAMENTO</t>
  </si>
  <si>
    <t>SINCRONIZACIÓN</t>
  </si>
  <si>
    <t>MAQUINADO</t>
  </si>
  <si>
    <t>ARRENDO</t>
  </si>
  <si>
    <t>PRENSA BASE</t>
  </si>
  <si>
    <t>MATERIAL PLATA</t>
  </si>
  <si>
    <t>RECARGA EXTINTORES</t>
  </si>
  <si>
    <t>ALAMBRE LATÓN</t>
  </si>
  <si>
    <t>00319</t>
  </si>
  <si>
    <t>SOLDADURA PLATA</t>
  </si>
  <si>
    <t>PINZA</t>
  </si>
  <si>
    <t>BOMBILLO</t>
  </si>
  <si>
    <t>COLADORES</t>
  </si>
  <si>
    <t>LIJAS</t>
  </si>
  <si>
    <t>Restaurante</t>
  </si>
  <si>
    <t>KL Eje inox</t>
  </si>
  <si>
    <t>Combustible</t>
  </si>
  <si>
    <t>Tornillos</t>
  </si>
  <si>
    <t>Varios</t>
  </si>
  <si>
    <t>Prqueadero</t>
  </si>
  <si>
    <t>Elementos aseo</t>
  </si>
  <si>
    <t>Restaunte</t>
  </si>
  <si>
    <t>Parqueaderos</t>
  </si>
  <si>
    <t>Llantas</t>
  </si>
  <si>
    <t>Cinta</t>
  </si>
  <si>
    <t>Alambre bronce</t>
  </si>
  <si>
    <t>ICA PERIODO 1 2019</t>
  </si>
  <si>
    <t>Plata</t>
  </si>
  <si>
    <t>Terlefonia movistar</t>
  </si>
  <si>
    <t>Parqueadero</t>
  </si>
  <si>
    <t>CIANURO</t>
  </si>
  <si>
    <t>RIZADORA</t>
  </si>
  <si>
    <t>PASTEL</t>
  </si>
  <si>
    <t>PIZZA</t>
  </si>
  <si>
    <t>HERRAMIENTA</t>
  </si>
  <si>
    <t>PAPELERÍA</t>
  </si>
  <si>
    <t>SOAT TRACKER</t>
  </si>
  <si>
    <t>ALAMBRE BRONCE</t>
  </si>
  <si>
    <t>GUANTES</t>
  </si>
  <si>
    <t>HILO BRONCE</t>
  </si>
  <si>
    <t>INDUSTRIA Y COMERCIO 2018</t>
  </si>
  <si>
    <t>RESTARANTE</t>
  </si>
  <si>
    <t>PANADERIA</t>
  </si>
  <si>
    <t>PLATINA BRONCE</t>
  </si>
  <si>
    <t>TUBO LED</t>
  </si>
  <si>
    <t>PERÓXIDO DE HIDRÓGENO</t>
  </si>
  <si>
    <t>HILO DE BRONCE</t>
  </si>
  <si>
    <t>ICA 2019 B 2</t>
  </si>
  <si>
    <t>IMPUESTOS TRACKER 2018</t>
  </si>
  <si>
    <t>TUBO COBRE</t>
  </si>
  <si>
    <t>ESCOBAS</t>
  </si>
  <si>
    <t>RIZADORES</t>
  </si>
  <si>
    <t>PEGANTE</t>
  </si>
  <si>
    <t>ALCOHOL ETILICO</t>
  </si>
  <si>
    <t>PIÑON TALADRO</t>
  </si>
  <si>
    <t>CABLE RJ12</t>
  </si>
  <si>
    <t>EMULSION</t>
  </si>
  <si>
    <t>CLAVOS ACERO</t>
  </si>
  <si>
    <t>BULTO CEMENTO</t>
  </si>
  <si>
    <t>_</t>
  </si>
  <si>
    <t>REMOVEDOR</t>
  </si>
  <si>
    <t>RESTAURATE</t>
  </si>
  <si>
    <t>SEGUETAS</t>
  </si>
  <si>
    <t>PROTECTOR DE VOLTAJE</t>
  </si>
  <si>
    <t>SERVICIOS SEBASTIAN</t>
  </si>
  <si>
    <t>DEPOSITOS FINANCIEROS</t>
  </si>
  <si>
    <t>CAFETERÍA</t>
  </si>
  <si>
    <t>PARQUEADEROP</t>
  </si>
  <si>
    <t>JUGOS</t>
  </si>
  <si>
    <t>CAFETERIA</t>
  </si>
  <si>
    <t>ICA P3 2019</t>
  </si>
  <si>
    <t>EXAMEN MÉDICO DE INGRESO</t>
  </si>
  <si>
    <t>PINTURA</t>
  </si>
  <si>
    <t>ÁCIDO CÍTRICO</t>
  </si>
  <si>
    <t>JABÓN</t>
  </si>
  <si>
    <t>GASOLINA</t>
  </si>
  <si>
    <t>LÁMINA DE LATÓN</t>
  </si>
  <si>
    <t>RASTAURANTE</t>
  </si>
  <si>
    <t>TUBO BRONCE</t>
  </si>
  <si>
    <t>FACTURERO</t>
  </si>
  <si>
    <t>PEROXIDO</t>
  </si>
  <si>
    <t>DOLEX</t>
  </si>
  <si>
    <t>BANDA DORADA ROLLO</t>
  </si>
  <si>
    <t>CORDÓN METÁLICO</t>
  </si>
  <si>
    <t>HILO METALIZADO</t>
  </si>
  <si>
    <t>SNACK</t>
  </si>
  <si>
    <t>SOLDADURA</t>
  </si>
  <si>
    <t>GAS</t>
  </si>
  <si>
    <t>RESINA</t>
  </si>
  <si>
    <t>TORNILLOS ESTRIA</t>
  </si>
  <si>
    <t>SERVICIO DE GRUA</t>
  </si>
  <si>
    <t>ICA P 5 2019</t>
  </si>
  <si>
    <t>GRATA</t>
  </si>
  <si>
    <t>LLAVE GRIVAL</t>
  </si>
  <si>
    <t>CIANURO DE SODIO</t>
  </si>
  <si>
    <t>ENVIÓ DE MERCANCÍA</t>
  </si>
  <si>
    <t>GRÚA</t>
  </si>
  <si>
    <t>01219</t>
  </si>
  <si>
    <t>MECANIZADO</t>
  </si>
  <si>
    <t>CAJA PLÁSTICA PVC</t>
  </si>
  <si>
    <t>TABLE TQ</t>
  </si>
  <si>
    <t>BEBIDA</t>
  </si>
  <si>
    <t>CADENA</t>
  </si>
  <si>
    <t>TORNILLOS</t>
  </si>
  <si>
    <t>SIERRA COPA</t>
  </si>
  <si>
    <t>CONECTOR PVC</t>
  </si>
  <si>
    <t>CURVA PVC</t>
  </si>
  <si>
    <t>SERVICIOS CAMILO</t>
  </si>
  <si>
    <t>PEAJE</t>
  </si>
  <si>
    <t>HOSPEDAJE</t>
  </si>
  <si>
    <t>VIATICO</t>
  </si>
  <si>
    <t>VIATICOS</t>
  </si>
  <si>
    <t>BANCOS</t>
  </si>
  <si>
    <t>ABONO + FACT FINESA</t>
  </si>
  <si>
    <t>RETE FTE PERIODO 12</t>
  </si>
  <si>
    <t>IVA PERIODO 6</t>
  </si>
  <si>
    <t>RC1</t>
  </si>
  <si>
    <t>RECIBO DE CAJA</t>
  </si>
  <si>
    <t>SENDA FACT 330</t>
  </si>
  <si>
    <t>PAGO NÓMINA ENERO 2019 - 01</t>
  </si>
  <si>
    <t>G4S</t>
  </si>
  <si>
    <t>MOVISTAR</t>
  </si>
  <si>
    <t>TROQUELES</t>
  </si>
  <si>
    <t>DEVOLUCIÓN PAGOS</t>
  </si>
  <si>
    <t>HONORARIOS CONTADORES</t>
  </si>
  <si>
    <t>TUZZI ABONO</t>
  </si>
  <si>
    <t>PROMOTORA FACT 336 338</t>
  </si>
  <si>
    <t>SOLINCAUCA</t>
  </si>
  <si>
    <t>REEMBOLSO ROSA</t>
  </si>
  <si>
    <t>DEVOLUCIÓN NÓMINA MARTHA</t>
  </si>
  <si>
    <t>HILO ACERO</t>
  </si>
  <si>
    <t>PROMOTORA FACT 344</t>
  </si>
  <si>
    <t>NÓMINA FEBRERO 2019 / 1RA QUINCENA</t>
  </si>
  <si>
    <t>TALLER OR FACT 354</t>
  </si>
  <si>
    <t>RETE FTE PERIODO 1</t>
  </si>
  <si>
    <t>VALVULA TRACKER</t>
  </si>
  <si>
    <t>NC</t>
  </si>
  <si>
    <t>NOTA CONTABLE</t>
  </si>
  <si>
    <t>002</t>
  </si>
  <si>
    <t>PRESTAMO FINESA}</t>
  </si>
  <si>
    <t>TALLER OR SALDO 2018</t>
  </si>
  <si>
    <t>TUZZI</t>
  </si>
  <si>
    <t>TELEFONÍA</t>
  </si>
  <si>
    <t>NÓMINA FEBRERO 2019 / 2DA QUINCENA</t>
  </si>
  <si>
    <t>IL ARTIGIANO</t>
  </si>
  <si>
    <t>ABONO TUZZI</t>
  </si>
  <si>
    <t>PROMOTORA</t>
  </si>
  <si>
    <t>Honorarios COV</t>
  </si>
  <si>
    <t>PRESTAMO VELOSTER</t>
  </si>
  <si>
    <t>003</t>
  </si>
  <si>
    <t>ABONO MONICA</t>
  </si>
  <si>
    <t>TALLER OR</t>
  </si>
  <si>
    <t>TECNICOMECÁNICA</t>
  </si>
  <si>
    <t>NÓMINA MARZO 2019 / 1RA QUINCENA</t>
  </si>
  <si>
    <t>Tiras Rollo</t>
  </si>
  <si>
    <t>Laton</t>
  </si>
  <si>
    <t>Servicio tecnico</t>
  </si>
  <si>
    <t>Servicios</t>
  </si>
  <si>
    <t>FINESA</t>
  </si>
  <si>
    <t>Felpa</t>
  </si>
  <si>
    <t>Servicio Rodelfi</t>
  </si>
  <si>
    <t>NÓMINA MARZO 2019 / 2DA QUINCENA</t>
  </si>
  <si>
    <t>Arriendo</t>
  </si>
  <si>
    <t>ABONO FINESA</t>
  </si>
  <si>
    <t>Asesoria Contable</t>
  </si>
  <si>
    <t>004</t>
  </si>
  <si>
    <t>HONORARIOS COV</t>
  </si>
  <si>
    <t>Vigilancia</t>
  </si>
  <si>
    <t>APERTURA CAJA FUERTE</t>
  </si>
  <si>
    <t>RETE FTE PERIODO 3</t>
  </si>
  <si>
    <t>CENA CUMPLEAÑOS ROSA</t>
  </si>
  <si>
    <t>NÓMINA ABRIL 2019 / 2DA QUINCENA</t>
  </si>
  <si>
    <t>BATERÍA</t>
  </si>
  <si>
    <t>NÓMINA MAYO 2019 / 1RA QUINCENA</t>
  </si>
  <si>
    <t>COV</t>
  </si>
  <si>
    <t>DECLARACIÓN DE RENTA 2018</t>
  </si>
  <si>
    <t>IVA BIMESTRE 2 2019</t>
  </si>
  <si>
    <t>RETE FTE PERIODO 4 2019</t>
  </si>
  <si>
    <t>NÓMINA MAYO 2019 / 2DA QUINCENA</t>
  </si>
  <si>
    <t>SERVICIO TECNICO LECTOR BIO</t>
  </si>
  <si>
    <t>SERVICIOS RODELFI</t>
  </si>
  <si>
    <t>NÓMINA JUNIO 2019 / 1RA QUINCENA</t>
  </si>
  <si>
    <t>LÁMINA ALUMINIO</t>
  </si>
  <si>
    <t>PASTA BRILLAR</t>
  </si>
  <si>
    <t>MOTOR PARABRISAS</t>
  </si>
  <si>
    <t>LÁMINA DE ALUMINIO</t>
  </si>
  <si>
    <t>RETE FTE PERIODO 5 2019</t>
  </si>
  <si>
    <t>NÓMINA JUNIO 2019 / 2DA QUINCENA</t>
  </si>
  <si>
    <t>TROQUEL</t>
  </si>
  <si>
    <t>RELOJ</t>
  </si>
  <si>
    <t>PRIMA 2019 / 1ER PERIODO</t>
  </si>
  <si>
    <t>NÓMINA JUNIO 2019 / 3RA QUINCENA</t>
  </si>
  <si>
    <t>PRESTAMO MONICA</t>
  </si>
  <si>
    <t>SERVICIO RODELFI</t>
  </si>
  <si>
    <t>Honorarios junio</t>
  </si>
  <si>
    <t>HONORARIO CONTADOR</t>
  </si>
  <si>
    <t>NÓMINA JULIO 2019 / 1RA QUINCENA</t>
  </si>
  <si>
    <t>DEVOLUCIÓN GASOLINA</t>
  </si>
  <si>
    <t>ABONO SERVICIO RODELFI</t>
  </si>
  <si>
    <t>NÓMINA JULIO 2019 / 2DA QUINCENA</t>
  </si>
  <si>
    <t>HONORARIOS CONTADOR</t>
  </si>
  <si>
    <t>NÓMINA AGOSTO 2019 / 1RA QUINCENA</t>
  </si>
  <si>
    <t>RETE FTE</t>
  </si>
  <si>
    <t>PAGO A FINESA</t>
  </si>
  <si>
    <t>NÓMINA AGOSTO 2019 / 2DA QUINCENA</t>
  </si>
  <si>
    <t>NÓMINA SEPTIEMBRE 2019 / 1RA QUINCENA</t>
  </si>
  <si>
    <t>IVA CUATRIMESTRE 2 2019</t>
  </si>
  <si>
    <t>RETE FTE P 8 2019</t>
  </si>
  <si>
    <t>NÓMINA SEPTIEMBRE 2019 / 2DA QUINCENA</t>
  </si>
  <si>
    <t>ABONO RODELFI</t>
  </si>
  <si>
    <t>NÓMINA OCTUBRE 2019 / 1RA QUINCENA</t>
  </si>
  <si>
    <t>RETE FTE P 9 2019</t>
  </si>
  <si>
    <t>LAMINADOR</t>
  </si>
  <si>
    <t>SERVICIOS SEBASTÍAN</t>
  </si>
  <si>
    <t>LICENCIA MEKANO</t>
  </si>
  <si>
    <t>SOAT MOTO</t>
  </si>
  <si>
    <t>NÓMINA OCTUBRE 2019 / 2DA QUINCENA</t>
  </si>
  <si>
    <t>DORADO</t>
  </si>
  <si>
    <t>NÓMINA NOVIEMBRE 2019 / 1RA QUINCENA</t>
  </si>
  <si>
    <t>DEV PAGOS ROD</t>
  </si>
  <si>
    <t>RENOV SUSC</t>
  </si>
  <si>
    <t>RETE FTE P 10 2019</t>
  </si>
  <si>
    <t>NÓMINA NOVIEMBRE 2019 / 2DA QUINCENA</t>
  </si>
  <si>
    <t>MAQUINARIA</t>
  </si>
  <si>
    <t>POLIZA TRACKER</t>
  </si>
  <si>
    <t>Honorarios Contables</t>
  </si>
  <si>
    <t>NÓMINA NOVIEMBRE 2019 / 3RA QUINCENA</t>
  </si>
  <si>
    <t>CUOTA CRÉDITO RODELFI</t>
  </si>
  <si>
    <t>SERVICIOS CONTADOR</t>
  </si>
  <si>
    <t>ESTIBADORA HIDRAULICA</t>
  </si>
  <si>
    <t>BATERIA</t>
  </si>
  <si>
    <t>CABLE COBRE</t>
  </si>
  <si>
    <t>RETE FTE P 11 2019</t>
  </si>
  <si>
    <t>NÓMINA DICIEMBRE 2019 / 1RA QUINCENA</t>
  </si>
  <si>
    <t>BREAKER</t>
  </si>
  <si>
    <t>HONORARIOS CONTADOR DIC</t>
  </si>
  <si>
    <t>Compra moto</t>
  </si>
  <si>
    <t>FV</t>
  </si>
  <si>
    <t>FACTURA DE VENTA CONTABLE</t>
  </si>
  <si>
    <t>CXC FACT 334</t>
  </si>
  <si>
    <t>CXC FACT 335</t>
  </si>
  <si>
    <t>CXC FACT 336</t>
  </si>
  <si>
    <t>CXC FACT 337</t>
  </si>
  <si>
    <t>CXC FACT 338</t>
  </si>
  <si>
    <t>CXC FACT 339</t>
  </si>
  <si>
    <t>CXC FACT 340</t>
  </si>
  <si>
    <t>CXC FACT 341</t>
  </si>
  <si>
    <t>CXC FACT 342</t>
  </si>
  <si>
    <t>CXC</t>
  </si>
  <si>
    <t>CXC FACT 344</t>
  </si>
  <si>
    <t>CXC FACT 345</t>
  </si>
  <si>
    <t>CXC FACT 346</t>
  </si>
  <si>
    <t>CXC FACT 347</t>
  </si>
  <si>
    <t>TUZZI FACT 260</t>
  </si>
  <si>
    <t>TUZZI FACT 262</t>
  </si>
  <si>
    <t>TUZZI FACT 276</t>
  </si>
  <si>
    <t>TUZZI FACT 267</t>
  </si>
  <si>
    <t>TUZZI FACT 269</t>
  </si>
  <si>
    <t>TUZZI ABONO FACT 281</t>
  </si>
  <si>
    <t>PROMOTORA FACT 336</t>
  </si>
  <si>
    <t>PROMOTORA FACT 338</t>
  </si>
  <si>
    <t>CXC FACT 350</t>
  </si>
  <si>
    <t>CXC FACT 351</t>
  </si>
  <si>
    <t>ANTICIPO RENTA FACT 353</t>
  </si>
  <si>
    <t>CXC FACT 354</t>
  </si>
  <si>
    <t>CXC FACT 355</t>
  </si>
  <si>
    <t>CXC FACT 356</t>
  </si>
  <si>
    <t>CXC FACT 357</t>
  </si>
  <si>
    <t>CXC FACT 358</t>
  </si>
  <si>
    <t>CXC FACT 361</t>
  </si>
  <si>
    <t>CXC FACT 360</t>
  </si>
  <si>
    <t>CXC FACT 362</t>
  </si>
  <si>
    <t>CXC FACT 363</t>
  </si>
  <si>
    <t>CXC FACT 364</t>
  </si>
  <si>
    <t>CXC FACT 365</t>
  </si>
  <si>
    <t>CXC FACT 366</t>
  </si>
  <si>
    <t>CXC FACT 367</t>
  </si>
  <si>
    <t>CXC FACT 368</t>
  </si>
  <si>
    <t>CXC FACT 369</t>
  </si>
  <si>
    <t>FACT 371</t>
  </si>
  <si>
    <t>FACT 372</t>
  </si>
  <si>
    <t>TUZZI CANCELADO SALDO FACT 281</t>
  </si>
  <si>
    <t>TUZZI FACT 282</t>
  </si>
  <si>
    <t>TUZZI FACT 283</t>
  </si>
  <si>
    <t>TUZZI ABONO FACT 285</t>
  </si>
  <si>
    <t>FACT 374</t>
  </si>
  <si>
    <t>IL ARTIGIANO FACT 335</t>
  </si>
  <si>
    <t>IL ARTIGIANO FACT 337</t>
  </si>
  <si>
    <t>IL ARTIGIANO FACT 340</t>
  </si>
  <si>
    <t>IL ARTIGIANO FACT 342</t>
  </si>
  <si>
    <t>IL ARTIGIANO FACT 343</t>
  </si>
  <si>
    <t>IL ARTIGIANO FACT 345</t>
  </si>
  <si>
    <t>IL ARTIGIANO FACT 346</t>
  </si>
  <si>
    <t>IL ARTIGIANO FACT 347</t>
  </si>
  <si>
    <t>IL ARTIGIANO FACT 350</t>
  </si>
  <si>
    <t>IL ARTIGIANO FACT 355</t>
  </si>
  <si>
    <t>IL ARTIGIANO FACT 356</t>
  </si>
  <si>
    <t>TUZZI CANCELA SALDO FACT 285</t>
  </si>
  <si>
    <t>TUZZI FACT 287</t>
  </si>
  <si>
    <t>TUZZI FACT 289</t>
  </si>
  <si>
    <t>TUZZI FACT 300</t>
  </si>
  <si>
    <t>TUZZI FACT 302</t>
  </si>
  <si>
    <t>TUZZI FACT 306</t>
  </si>
  <si>
    <t>TUZZI FACT 317</t>
  </si>
  <si>
    <t>TUZZI FACT 318</t>
  </si>
  <si>
    <t>TUZZI ABONO FACT 321</t>
  </si>
  <si>
    <t>PROMOTORA FACT 364</t>
  </si>
  <si>
    <t>FACT 375</t>
  </si>
  <si>
    <t>CXC FACT 376</t>
  </si>
  <si>
    <t>FACT 377</t>
  </si>
  <si>
    <t>TALLER OR FACT 376</t>
  </si>
  <si>
    <t>FACT 378</t>
  </si>
  <si>
    <t>FACT 379</t>
  </si>
  <si>
    <t>PROMOTORA FACT 360</t>
  </si>
  <si>
    <t>PROMOTORA FACT 363</t>
  </si>
  <si>
    <t>00212g ANILLO SETIN</t>
  </si>
  <si>
    <t>FACT 381</t>
  </si>
  <si>
    <t>FACT 382</t>
  </si>
  <si>
    <t>TUZZI FACT 321</t>
  </si>
  <si>
    <t>TUZZI FACT 323</t>
  </si>
  <si>
    <t>TUZZI FACT 325</t>
  </si>
  <si>
    <t>TUZZI ABONO FACT 326</t>
  </si>
  <si>
    <t>FACT 383</t>
  </si>
  <si>
    <t>FACT 384</t>
  </si>
  <si>
    <t>FACT 385</t>
  </si>
  <si>
    <t>FACT 388</t>
  </si>
  <si>
    <t>FACT 389</t>
  </si>
  <si>
    <t>FACT 390</t>
  </si>
  <si>
    <t>TUZZI CANCELA SALDO FACT 326</t>
  </si>
  <si>
    <t>TUZZI FACT 329</t>
  </si>
  <si>
    <t>TUZZI FACT 334</t>
  </si>
  <si>
    <t>IL ARTIGIANO FACT 365</t>
  </si>
  <si>
    <t>IL ARTIGIANO FACT 366</t>
  </si>
  <si>
    <t>IL ARTIGIANO FACT 372</t>
  </si>
  <si>
    <t>IL ARTIGIANO ABONO FACT 384</t>
  </si>
  <si>
    <t>FACT 392</t>
  </si>
  <si>
    <t>FACT 393</t>
  </si>
  <si>
    <t>FACT 394</t>
  </si>
  <si>
    <t>FACT 396</t>
  </si>
  <si>
    <t>FACT 398</t>
  </si>
  <si>
    <t>FACT 399</t>
  </si>
  <si>
    <t>FACT 401</t>
  </si>
  <si>
    <t>FACT 402</t>
  </si>
  <si>
    <t>FACT 404</t>
  </si>
  <si>
    <t>FACT 406</t>
  </si>
  <si>
    <t>ANILLOS PLATA</t>
  </si>
  <si>
    <t>FACT 409</t>
  </si>
  <si>
    <t>FACT 410</t>
  </si>
  <si>
    <t>FACT 411</t>
  </si>
  <si>
    <t>FACT 413</t>
  </si>
  <si>
    <t>FACT 414</t>
  </si>
  <si>
    <t>FACT 415</t>
  </si>
  <si>
    <t>FACT 416</t>
  </si>
  <si>
    <t>FACT 417</t>
  </si>
  <si>
    <t>FACT 418</t>
  </si>
  <si>
    <t>FACT 419</t>
  </si>
  <si>
    <t>FACT 420</t>
  </si>
  <si>
    <t>FACT 421</t>
  </si>
  <si>
    <t>FACT 424</t>
  </si>
  <si>
    <t>FACT 425</t>
  </si>
  <si>
    <t>FACT 426</t>
  </si>
  <si>
    <t>FACT 428</t>
  </si>
  <si>
    <t>FACT 434</t>
  </si>
  <si>
    <t>FACT 429</t>
  </si>
  <si>
    <t>FACT 430</t>
  </si>
  <si>
    <t>FACT 431</t>
  </si>
  <si>
    <t>FACT 432</t>
  </si>
  <si>
    <t>FACT 433</t>
  </si>
  <si>
    <t>FACT 437</t>
  </si>
  <si>
    <t>048.4g 2 ANILLOS PLATA</t>
  </si>
  <si>
    <t>FACT 439</t>
  </si>
  <si>
    <t>FACT 441</t>
  </si>
  <si>
    <t>FACT 442</t>
  </si>
  <si>
    <t>FACT 445</t>
  </si>
  <si>
    <t>FACT 446</t>
  </si>
  <si>
    <t>FACT 447</t>
  </si>
  <si>
    <t>FACT 450</t>
  </si>
  <si>
    <t>FACT 455</t>
  </si>
  <si>
    <t>FACT 456</t>
  </si>
  <si>
    <t>FACT 457</t>
  </si>
  <si>
    <t>FACT 458</t>
  </si>
  <si>
    <t>FACT 459</t>
  </si>
  <si>
    <t>00016 CANDONGA TILA 3.5CM</t>
  </si>
  <si>
    <t>FACT 460</t>
  </si>
  <si>
    <t>FACT 464</t>
  </si>
  <si>
    <t>FACT 465</t>
  </si>
  <si>
    <t>FACT 467</t>
  </si>
  <si>
    <t>FACT 468</t>
  </si>
  <si>
    <t>FACT 469</t>
  </si>
  <si>
    <t>FACT 472</t>
  </si>
  <si>
    <t>FACT 473</t>
  </si>
  <si>
    <t>FACT 487</t>
  </si>
  <si>
    <t>FACT 489</t>
  </si>
  <si>
    <t>FACT 490</t>
  </si>
  <si>
    <t>FACT 491</t>
  </si>
  <si>
    <t>FACT 4092</t>
  </si>
  <si>
    <t>FACT 494</t>
  </si>
  <si>
    <t>FACT 495</t>
  </si>
  <si>
    <t>FACT 496</t>
  </si>
  <si>
    <t>FACT 497</t>
  </si>
  <si>
    <t>FACT 498</t>
  </si>
  <si>
    <t>FACT 499</t>
  </si>
  <si>
    <t>FACT 500</t>
  </si>
  <si>
    <t>FACT 501</t>
  </si>
  <si>
    <t>FACT 502</t>
  </si>
  <si>
    <t>FACT 503</t>
  </si>
  <si>
    <t>05200 MARIPOSAS BRONCE MISHKY</t>
  </si>
  <si>
    <t>FACT 505</t>
  </si>
  <si>
    <t>20000 LOGO GUANÁBANA 8mm</t>
  </si>
  <si>
    <t>Candongas y aretes</t>
  </si>
  <si>
    <t>FACT 508</t>
  </si>
  <si>
    <t>FACT 509</t>
  </si>
  <si>
    <t>FACT 510</t>
  </si>
  <si>
    <t>FACT 511</t>
  </si>
  <si>
    <t>FACT 512</t>
  </si>
  <si>
    <t>Herrajes</t>
  </si>
  <si>
    <t>FACT 514</t>
  </si>
  <si>
    <t>FACT 516</t>
  </si>
  <si>
    <t>FACT 517</t>
  </si>
  <si>
    <t>FACT 518</t>
  </si>
  <si>
    <t>FACT 519</t>
  </si>
  <si>
    <t>FACT 522</t>
  </si>
  <si>
    <t>FACT 523</t>
  </si>
  <si>
    <t>FACT 524</t>
  </si>
  <si>
    <t>FACT 525</t>
  </si>
  <si>
    <t>FACT 526</t>
  </si>
  <si>
    <t>FACT 527</t>
  </si>
  <si>
    <t>FACT 528</t>
  </si>
  <si>
    <t>FACT 529</t>
  </si>
  <si>
    <t>Logos terrotorio</t>
  </si>
  <si>
    <t>FACT 331</t>
  </si>
  <si>
    <t>FACT 332</t>
  </si>
  <si>
    <t>FACT 533</t>
  </si>
  <si>
    <t>FACT 534</t>
  </si>
  <si>
    <t>FACT 535</t>
  </si>
  <si>
    <t>FVE</t>
  </si>
  <si>
    <t>FACTURA DE VENTA ELECTRONICA</t>
  </si>
  <si>
    <t>PA</t>
  </si>
  <si>
    <t>Earcuff y minicandongas</t>
  </si>
  <si>
    <t>Anillos bronce</t>
  </si>
  <si>
    <t>Logo mishky</t>
  </si>
  <si>
    <t>Anillos</t>
  </si>
  <si>
    <t>Anillos setin</t>
  </si>
  <si>
    <t>Candongas y gotas</t>
  </si>
  <si>
    <t>Cuffi earring 3.5</t>
  </si>
  <si>
    <t>FACT 336</t>
  </si>
  <si>
    <t>LÁMINA DE BRONCE</t>
  </si>
  <si>
    <t>VENTILADOR</t>
  </si>
  <si>
    <t>ALOJAMIENTO</t>
  </si>
  <si>
    <t>SERVICIO DE RESTUARANTE</t>
  </si>
  <si>
    <t>PLATINA LATÓN</t>
  </si>
  <si>
    <t>GAFAS DANILO</t>
  </si>
  <si>
    <t>PAPEL SEDA</t>
  </si>
  <si>
    <t>LLANTA</t>
  </si>
  <si>
    <t>DOTACIÓN</t>
  </si>
  <si>
    <t>MANÍ</t>
  </si>
  <si>
    <t>LÁMINA BRONCE</t>
  </si>
  <si>
    <t>GASOLINA VELOSTER</t>
  </si>
  <si>
    <t>SELLO</t>
  </si>
  <si>
    <t>HELADO</t>
  </si>
  <si>
    <t>ACEITE</t>
  </si>
  <si>
    <t>RSTAURANTE</t>
  </si>
  <si>
    <t>MEDICAMENTOS</t>
  </si>
  <si>
    <t>CUERO, BOTONES</t>
  </si>
  <si>
    <t>BATIDO</t>
  </si>
  <si>
    <t>GAFAS</t>
  </si>
  <si>
    <t>PANAERÍA</t>
  </si>
  <si>
    <t>ALGODÓN</t>
  </si>
  <si>
    <t>PARLANTE</t>
  </si>
  <si>
    <t>DROGAS</t>
  </si>
  <si>
    <t>SELLO NUMERACIÓN</t>
  </si>
  <si>
    <t>ADITIVO GASOLINA</t>
  </si>
  <si>
    <t>PANADE´RIA</t>
  </si>
  <si>
    <t>HERRAJES</t>
  </si>
  <si>
    <t>PAGO DORADO</t>
  </si>
  <si>
    <t>PRESTAMO</t>
  </si>
  <si>
    <t>WS HERRAMIENTAS</t>
  </si>
  <si>
    <t>VARIEDADES CAROL</t>
  </si>
  <si>
    <t>SIERRA</t>
  </si>
  <si>
    <t>LÁMINAS MADERA</t>
  </si>
  <si>
    <t>RESTURANTE</t>
  </si>
  <si>
    <t>ALFILERES</t>
  </si>
  <si>
    <t>FILIGRANA BRONCE</t>
  </si>
  <si>
    <t>RECIPIENTES</t>
  </si>
  <si>
    <t>CANTO PVC</t>
  </si>
  <si>
    <t>CHAQUIRAS</t>
  </si>
  <si>
    <t>MARCOS BRONCE</t>
  </si>
  <si>
    <t>FIGURAS FILIGRANA</t>
  </si>
  <si>
    <t>BOLSAS PP</t>
  </si>
  <si>
    <t>TORTA</t>
  </si>
  <si>
    <t>SULFATO DE COBRE</t>
  </si>
  <si>
    <t>TUBO Y TAPANTE</t>
  </si>
  <si>
    <t>STOP AGUA</t>
  </si>
  <si>
    <t>PANADDERÍA</t>
  </si>
  <si>
    <t>LÁMINA COBRE</t>
  </si>
  <si>
    <t>ANTICIPO RENTA</t>
  </si>
  <si>
    <t>ANTICIPO RENTA FACT 335</t>
  </si>
  <si>
    <t>ANTICIPO RENTA FACT 336</t>
  </si>
  <si>
    <t>ANTICIPO RENTA FACT 337</t>
  </si>
  <si>
    <t>ANTICIPO RENTA FACT 338</t>
  </si>
  <si>
    <t>ANTICIPO RENTA FACT 339</t>
  </si>
  <si>
    <t>ANTICIPO RENTA FACT 340</t>
  </si>
  <si>
    <t>ANTICIPO RENTA FACT 341</t>
  </si>
  <si>
    <t>ANTICIPO RENTA FACT 342</t>
  </si>
  <si>
    <t>ANTICIPO RENTA FACT 343</t>
  </si>
  <si>
    <t>ANTICIPO RENTA FACT 344</t>
  </si>
  <si>
    <t>ANTICIPO RENTA FACT 345</t>
  </si>
  <si>
    <t>ANTICIPO RENTA FACT 346</t>
  </si>
  <si>
    <t>ANTICIPO RENTA FACT 347</t>
  </si>
  <si>
    <t>ANTICIPO RENTA FACT 351</t>
  </si>
  <si>
    <t>ANTICIPO RENTA FACT 354</t>
  </si>
  <si>
    <t>ANTICIPO RENTA FACT 355</t>
  </si>
  <si>
    <t>ANTICIPO RENTA FACT 356</t>
  </si>
  <si>
    <t>ANTICIPO RENTA FACT 357</t>
  </si>
  <si>
    <t>ANTICIPO RENTA FACT 358</t>
  </si>
  <si>
    <t>ANTICIPO RENTA FACT 361</t>
  </si>
  <si>
    <t>ANTICIPO RENTA FACT 360</t>
  </si>
  <si>
    <t>ANTICIPO RENTA FACT 362</t>
  </si>
  <si>
    <t>ANTICIPO RENTA FACT 363</t>
  </si>
  <si>
    <t>ANTICIPO RENTA FACT 364</t>
  </si>
  <si>
    <t>ANTICIPO RENTA FACT 365</t>
  </si>
  <si>
    <t>ANTICIPO RENTA FACT 366</t>
  </si>
  <si>
    <t>RENTA FACT 367</t>
  </si>
  <si>
    <t>ANTICIPO RENTA FACT 368</t>
  </si>
  <si>
    <t>ANTICIPO RENTA FACT 369</t>
  </si>
  <si>
    <t>Autorretencion renta 0.4%</t>
  </si>
  <si>
    <t>ICA FACT 334</t>
  </si>
  <si>
    <t>ICA FACT 353</t>
  </si>
  <si>
    <t>ICA FACT 355</t>
  </si>
  <si>
    <t>ICA FACT 356</t>
  </si>
  <si>
    <t>ICA FACT 358</t>
  </si>
  <si>
    <t>ICA FACT 360</t>
  </si>
  <si>
    <t>ICA FACT 362</t>
  </si>
  <si>
    <t>ICA FACT 365</t>
  </si>
  <si>
    <t>FACT 380</t>
  </si>
  <si>
    <t>FACT 492</t>
  </si>
  <si>
    <t>FACT 504</t>
  </si>
  <si>
    <t>RETE FTE FACT 334</t>
  </si>
  <si>
    <t>RETE FTE FACT 336</t>
  </si>
  <si>
    <t>RENTA FACT 338</t>
  </si>
  <si>
    <t>RETE FTE FACT 353</t>
  </si>
  <si>
    <t>RETE FTE FACT 354</t>
  </si>
  <si>
    <t>RETE FTE FACT 358</t>
  </si>
  <si>
    <t>RETE FTE FACT 361</t>
  </si>
  <si>
    <t>RETE FTE FACT 360</t>
  </si>
  <si>
    <t>RETE FTE FACT 363</t>
  </si>
  <si>
    <t>RETE FTE FACT 364</t>
  </si>
  <si>
    <t>RETE FTE FACT 365</t>
  </si>
  <si>
    <t>FTE FACT 376</t>
  </si>
  <si>
    <t>LOGO GUANÁBANA 8mm</t>
  </si>
  <si>
    <t>Retefuente por compras en general declarante 2.5%</t>
  </si>
  <si>
    <t>Reteica por compras 0.7% (impuesto municipal)</t>
  </si>
  <si>
    <t>ABONO A CAPITAL</t>
  </si>
  <si>
    <t>PAGO SOCIOS</t>
  </si>
  <si>
    <t>HERRAMIENTAS</t>
  </si>
  <si>
    <t>ICA P 4 2019</t>
  </si>
  <si>
    <t>CUCHARAS</t>
  </si>
  <si>
    <t>BOLAS DE ORO</t>
  </si>
  <si>
    <t>LLAVE ALLEN</t>
  </si>
  <si>
    <t>TOMA TRIPLE</t>
  </si>
  <si>
    <t>ALMUERZOS</t>
  </si>
  <si>
    <t>CUERO</t>
  </si>
  <si>
    <t>MATERIAL DE PLATA</t>
  </si>
  <si>
    <t>ANCHETAS</t>
  </si>
  <si>
    <t>RENTA</t>
  </si>
  <si>
    <t>RETE FTE HONORARIOS</t>
  </si>
  <si>
    <t>RETE FTE HONORARIOS 11%</t>
  </si>
  <si>
    <t>RETE FTE SERVICIOS DEC</t>
  </si>
  <si>
    <t>RETE FTE SERVICIOS NO DEC</t>
  </si>
  <si>
    <t>RETE FTE COMPRAS</t>
  </si>
  <si>
    <t>RETE FTE ARRENDO</t>
  </si>
  <si>
    <t>RENTA FACT 334</t>
  </si>
  <si>
    <t>RENTA FACT 335</t>
  </si>
  <si>
    <t>RENTA FACT 336</t>
  </si>
  <si>
    <t>RENTA FACT 337</t>
  </si>
  <si>
    <t>RENTA FACT 339</t>
  </si>
  <si>
    <t>RENTA FACT 340</t>
  </si>
  <si>
    <t>RENTA FACT 341</t>
  </si>
  <si>
    <t>RENTA FACT 342</t>
  </si>
  <si>
    <t>RENTA FACT 343</t>
  </si>
  <si>
    <t>RENTA FACT 344</t>
  </si>
  <si>
    <t>RENTA FACT 345</t>
  </si>
  <si>
    <t>RENTA FACT 346</t>
  </si>
  <si>
    <t>RENTA FACT 347</t>
  </si>
  <si>
    <t>RENTA FACT 350</t>
  </si>
  <si>
    <t>RENTA FACT 351</t>
  </si>
  <si>
    <t>RENTA FACT 353</t>
  </si>
  <si>
    <t>RENTA FACT 354</t>
  </si>
  <si>
    <t>RENTA FACT 355</t>
  </si>
  <si>
    <t>RENTA FACT 356</t>
  </si>
  <si>
    <t>RENTA FACT 357</t>
  </si>
  <si>
    <t>RENTA FACT 358</t>
  </si>
  <si>
    <t>RENTA FACT 361</t>
  </si>
  <si>
    <t>RENTA FACT 360</t>
  </si>
  <si>
    <t>RENTA FACT 362</t>
  </si>
  <si>
    <t>RENTA FACT 363</t>
  </si>
  <si>
    <t>RENTA FACT 364</t>
  </si>
  <si>
    <t>RENTA FACT 365</t>
  </si>
  <si>
    <t>RENTA FACT 366</t>
  </si>
  <si>
    <t>RENTA FACT 368</t>
  </si>
  <si>
    <t>RENTA FACT 369</t>
  </si>
  <si>
    <t>RENTA FACT 376</t>
  </si>
  <si>
    <t>FACT 438</t>
  </si>
  <si>
    <t>FACT 461</t>
  </si>
  <si>
    <t>FACT 531</t>
  </si>
  <si>
    <t>ICA EN COMPRAS</t>
  </si>
  <si>
    <t>ICA SERVICIOS 7X1000</t>
  </si>
  <si>
    <t>SALUD</t>
  </si>
  <si>
    <t>PENSION</t>
  </si>
  <si>
    <t>IVA GENERADO</t>
  </si>
  <si>
    <t>NA</t>
  </si>
  <si>
    <t>IVA FACT 334</t>
  </si>
  <si>
    <t>IVA FACT 335</t>
  </si>
  <si>
    <t>IVA FACT 336</t>
  </si>
  <si>
    <t>IVA FACT 337</t>
  </si>
  <si>
    <t>IVA FACT 338</t>
  </si>
  <si>
    <t>IVA FACT 339</t>
  </si>
  <si>
    <t>IVA FACT 340</t>
  </si>
  <si>
    <t>IVA FACT 341</t>
  </si>
  <si>
    <t>IVA FACT 342</t>
  </si>
  <si>
    <t>IVA FACT 343</t>
  </si>
  <si>
    <t>IVA FACT 344</t>
  </si>
  <si>
    <t>IVA FACT 345</t>
  </si>
  <si>
    <t>IVA FACT 346</t>
  </si>
  <si>
    <t>IVA FACT 347</t>
  </si>
  <si>
    <t>IVA FACT 350</t>
  </si>
  <si>
    <t>IVA FACT 351</t>
  </si>
  <si>
    <t>IVA FACT 353</t>
  </si>
  <si>
    <t>IVA FACT 354</t>
  </si>
  <si>
    <t>IVA FACT 355</t>
  </si>
  <si>
    <t>IVA FACT 356</t>
  </si>
  <si>
    <t>IVA FACT 357</t>
  </si>
  <si>
    <t>IVA FACT 358</t>
  </si>
  <si>
    <t>IVA FACT 361</t>
  </si>
  <si>
    <t>IVA FACT 360</t>
  </si>
  <si>
    <t>IVA FACT 362</t>
  </si>
  <si>
    <t>IVA FACT 363</t>
  </si>
  <si>
    <t>IVA FACT 364</t>
  </si>
  <si>
    <t>IVA FACT 365</t>
  </si>
  <si>
    <t>IVA FACT 366</t>
  </si>
  <si>
    <t>IVA FACT 367</t>
  </si>
  <si>
    <t>IVA FACT 368</t>
  </si>
  <si>
    <t>IVA FACT 369</t>
  </si>
  <si>
    <t>IVA FACT 376</t>
  </si>
  <si>
    <t>044.4g 2 ANILLO PLATA</t>
  </si>
  <si>
    <t>Iva tarifa general para productos</t>
  </si>
  <si>
    <t>IVA DESCONTABLE COMPRAS</t>
  </si>
  <si>
    <t>IVA DESCONTABLE SERVICIOS</t>
  </si>
  <si>
    <t>IVA DESCONTABLE HONORARIOS</t>
  </si>
  <si>
    <t>DEVOLUCIÓN</t>
  </si>
  <si>
    <t>INGRESOS</t>
  </si>
  <si>
    <t>06600 MARIPOSAS MISHKY</t>
  </si>
  <si>
    <t>00186 ARO 11mm</t>
  </si>
  <si>
    <t>00212 CANDONGAS CUFFY EARRING</t>
  </si>
  <si>
    <t>00025 EXHIBIDOR T ALTO ACERO</t>
  </si>
  <si>
    <t>00025 EXHIBIDOR T BAJO ACERO</t>
  </si>
  <si>
    <t>00025 EXHIBIDOR T BAJO BRONCE</t>
  </si>
  <si>
    <t>00025 EXHIBIDOR T ALTO BRONCE</t>
  </si>
  <si>
    <t>00025 EXHIBIDOR BASTON ALTO BRONCE</t>
  </si>
  <si>
    <t>00025 EXHIBIDOR BASTON BAJO BRONCE</t>
  </si>
  <si>
    <t>00025 EXHIBIDOR BASTON BAJO ACERO</t>
  </si>
  <si>
    <t>00025 EXHIBIDOR BASTON ALTO ACERO</t>
  </si>
  <si>
    <t>00010 JUEGO EXHIBIDOR MULTIPLE ACERO</t>
  </si>
  <si>
    <t>00015 JUEGO EXHIBIDOR MULTIPLE BRONCE</t>
  </si>
  <si>
    <t>00044 g 2 ANILLOS PLATA</t>
  </si>
  <si>
    <t>02000 BOTONES GRANDES</t>
  </si>
  <si>
    <t>02000 BOTONES PEQUEÑOS</t>
  </si>
  <si>
    <t>069.6g MARQUILLAS</t>
  </si>
  <si>
    <t>02000 LOGO GUANÁBANA 1 CM 2 PERFORACIONES</t>
  </si>
  <si>
    <t>02000 LOGO GUANÁBANA 1 CM</t>
  </si>
  <si>
    <t>00799 LOGO GUANÁBANA 2 CM</t>
  </si>
  <si>
    <t>00210 CANDONGAS 3.5 CM ACERO</t>
  </si>
  <si>
    <t>044.8g 2 ANILLOS PLATA</t>
  </si>
  <si>
    <t>00008 BASE PIN 1.15 MM</t>
  </si>
  <si>
    <t>00008 BASE TOPO 8 MM</t>
  </si>
  <si>
    <t>00002 ANILLO BRONCE 1.5 MM</t>
  </si>
  <si>
    <t>00002 ANILLO BRONCE 1 MM</t>
  </si>
  <si>
    <t>00006 ANILLOS CUADRADOS</t>
  </si>
  <si>
    <t>00006 ANILLOS REDONDOS</t>
  </si>
  <si>
    <t>00002 ARGOLLAS</t>
  </si>
  <si>
    <t>046.2g 2 ANILLOS PLATA</t>
  </si>
  <si>
    <t>031.1g BRAZALETE PANAL ABEJA</t>
  </si>
  <si>
    <t>020.0g BRAZALETE PIEDRAS</t>
  </si>
  <si>
    <t>012.9g DIJE MARIPOSA</t>
  </si>
  <si>
    <t>00001 SOLDAR PALO TOPO</t>
  </si>
  <si>
    <t>00601 LOGO GUANÁBANA</t>
  </si>
  <si>
    <t>032.4g 3 PULSERAS</t>
  </si>
  <si>
    <t>034.4 PULSERA PERA</t>
  </si>
  <si>
    <t>031.3g 2 PARES DE ARETES FILIGRANA</t>
  </si>
  <si>
    <t>00010 FIGURAS ARMADAS</t>
  </si>
  <si>
    <t>009.6g ANILLO FLOR</t>
  </si>
  <si>
    <t>00001 ARREGLO ANILLO FLOR</t>
  </si>
  <si>
    <t>053.8g BRAZALETE FILIGRANA</t>
  </si>
  <si>
    <t>013.6g ANILLO CON CAJAS</t>
  </si>
  <si>
    <t>00001 PAR CANDONGA HILO</t>
  </si>
  <si>
    <t>00003 ANILLOS HILO FIGURAS</t>
  </si>
  <si>
    <t>00001 ANILLO PLANO 3 PERFORACIONES</t>
  </si>
  <si>
    <t>00001 ANILLO PLANO CANAL</t>
  </si>
  <si>
    <t>00132 ARO 11 mm</t>
  </si>
  <si>
    <t>00218 TOPO CONO PERFORACIÓN</t>
  </si>
  <si>
    <t>00200 CORAZÓN HILO</t>
  </si>
  <si>
    <t>07113 LOGO MISHKY BRONCE</t>
  </si>
  <si>
    <t>07000 LOGO MISHKY ALUMINIO</t>
  </si>
  <si>
    <t>00614 LOGO MISHKY CON ARGOLLA</t>
  </si>
  <si>
    <t>00500 ABRAZADERAS</t>
  </si>
  <si>
    <t>00050 PARES TOPOS</t>
  </si>
  <si>
    <t>00050 PARES ARETES RECTANGULO</t>
  </si>
  <si>
    <t>00042 g 2 ANILLOS PLATA</t>
  </si>
  <si>
    <t>00004 BRAZALETES</t>
  </si>
  <si>
    <t>00002 ARETES G</t>
  </si>
  <si>
    <t>00014 ARETES M</t>
  </si>
  <si>
    <t>00001 PAR ARETE G</t>
  </si>
  <si>
    <t>00013 PARES ARETE M</t>
  </si>
  <si>
    <t>030.1 g 3 ANILLOS SETIN</t>
  </si>
  <si>
    <t>00002 ANILLO HILO 1,5 mm</t>
  </si>
  <si>
    <t>00001 ANILLO LÁMINA PERFORACIONES</t>
  </si>
  <si>
    <t>03200 MARIPOSA MISHKY BRONCE</t>
  </si>
  <si>
    <t>00800 LOGO GUANÁBANA PATO 8MM</t>
  </si>
  <si>
    <t>19000 LOGO GUANÁBANA 8MM</t>
  </si>
  <si>
    <t>02000 MARIPOSAS MISHKY BRONCE</t>
  </si>
  <si>
    <t>00321 CRUCES CON ARGOLLA</t>
  </si>
  <si>
    <t>01772 LOGO GUANÁBANA 8MM</t>
  </si>
  <si>
    <t>02000 LOGO GUANÁBANA 1CM 2 PERFORACIONES</t>
  </si>
  <si>
    <t>357.4g 5 BRAZALETES FILIGRANA</t>
  </si>
  <si>
    <t>067.2g 3 ANILLOS PLATA</t>
  </si>
  <si>
    <t>006.1g 5 PARES MARIPOSAS PLATA</t>
  </si>
  <si>
    <t>010.6g 3 ANILLOS FILIGRANA</t>
  </si>
  <si>
    <t>022.9g 3 PARES CANDONGA FILIGRANA P</t>
  </si>
  <si>
    <t>024.8g 1 PAR CANDONGA FILIGRANA G</t>
  </si>
  <si>
    <t>026.7g 3 PARES ARETES GUELL</t>
  </si>
  <si>
    <t>002.7g 3 PARES MARIPOSAS PLATA</t>
  </si>
  <si>
    <t>029.2g 2 M CADENA PLATA</t>
  </si>
  <si>
    <t>044.9g 2M CADENA DOBLE PLATA</t>
  </si>
  <si>
    <t>029.4g 3 PARES CANGONGA FILIGRANA MD</t>
  </si>
  <si>
    <t>037.8g 4 BRAZALETES FILIGRANA</t>
  </si>
  <si>
    <t>023.9g ANILLO PLATA</t>
  </si>
  <si>
    <t>00628 CORAZÓN HILO</t>
  </si>
  <si>
    <t>0247 DIJE HAMSA HAND</t>
  </si>
  <si>
    <t>00830 CANDONGAS ACERO 3.5CM</t>
  </si>
  <si>
    <t>00019g CAMBIO PLACA</t>
  </si>
  <si>
    <t>003.5g 3 PARES MARIPOSAS PLATA</t>
  </si>
  <si>
    <t>011.5g CHATARRA PLATA</t>
  </si>
  <si>
    <t>00300 PARES HERRAJE TRIANGULAR G</t>
  </si>
  <si>
    <t>00200 PARES HERRAJE TRIANGULAR P</t>
  </si>
  <si>
    <t>00250 PARES TOPOS</t>
  </si>
  <si>
    <t>00030 PARES ARETES CAJA RECTANGULAR</t>
  </si>
  <si>
    <t>242.9g 23 ANILLOS PLATA</t>
  </si>
  <si>
    <t>00000 FACT 379</t>
  </si>
  <si>
    <t>023.4g ANILLO PLATA</t>
  </si>
  <si>
    <t>00009 PARES ARETES SETIN</t>
  </si>
  <si>
    <t>00023g ANILLO</t>
  </si>
  <si>
    <t>011.8g ANILLO SETIN</t>
  </si>
  <si>
    <t>00777 LOGOS ESTAMPADOS COOMEVA</t>
  </si>
  <si>
    <t>00001 PAR CANDONGA TILA 3.5 CM</t>
  </si>
  <si>
    <t>00765 LOGOS ESTAMPADOS COOMEVA</t>
  </si>
  <si>
    <t>00042 EARCUFF LÁMINA 4 MM</t>
  </si>
  <si>
    <t>00550 FLOR HILO BRONCE</t>
  </si>
  <si>
    <t>00001 PAR CANDONGA</t>
  </si>
  <si>
    <t>00200 LOGO GUANÁBANA PAUW 2CM</t>
  </si>
  <si>
    <t>08100 LOGO MISHKY BRONCE</t>
  </si>
  <si>
    <t>00480 LOGO MISHKY PEQUEÑO</t>
  </si>
  <si>
    <t>00304 CANDONA ACERO 3,5 Cm</t>
  </si>
  <si>
    <t>00300 LOGO GUANÁBANA PAUW 8mm</t>
  </si>
  <si>
    <t>042.4 ANILLOS PLATA</t>
  </si>
  <si>
    <t xml:space="preserve"> 00330 CUFFY EARRING 5Cm</t>
  </si>
  <si>
    <t>00220 TOPO BASE 10X10 DOBLE PERFORACIÓN</t>
  </si>
  <si>
    <t>00214 CANDONGA HILO TALLA M</t>
  </si>
  <si>
    <t>00398 CANDONGAS HILO TALLA L</t>
  </si>
  <si>
    <t>00086 CANDONGA HILO TALLA L</t>
  </si>
  <si>
    <t>00231 CORAZÓN HILO</t>
  </si>
  <si>
    <t>00330 CANDONGA HILO TALLA M</t>
  </si>
  <si>
    <t>021.7g 2 ANILLOS SETIN</t>
  </si>
  <si>
    <t>230.3g 10 ANILLOS PLATA</t>
  </si>
  <si>
    <t>00001 TROQUEL DIJE CRUZ</t>
  </si>
  <si>
    <t>00220 LOGO CRUZ</t>
  </si>
  <si>
    <t>02000 DIJE GUANABANA 1CM 2 PERFOR</t>
  </si>
  <si>
    <t>00250 DIJE GUANABANA PAUW 1CM 2PERFORAICONES</t>
  </si>
  <si>
    <t>00850 DIJE GUANÁBANA PAUW 1Cm 2 PERFORACIONES</t>
  </si>
  <si>
    <t>00100 DIJE GUANÁBANA PAUW 1Cm</t>
  </si>
  <si>
    <t>124.6g BRAZALETE FILIGRANA</t>
  </si>
  <si>
    <t>00004 PROTOTIPO DIJE MISHKY</t>
  </si>
  <si>
    <t>00024 RAYOS MELTED</t>
  </si>
  <si>
    <t>00001 CORAZON HILO CON BROCHE</t>
  </si>
  <si>
    <t>00002 GANCHO CON BASE 2mm Y 3mm</t>
  </si>
  <si>
    <t>00103 CANDONGAS TILA 5Cm</t>
  </si>
  <si>
    <t>00100 CANDONGAS TILA 3Cm</t>
  </si>
  <si>
    <t>00003 PINZAS</t>
  </si>
  <si>
    <t>022.2g 1 ANILLO PLATA</t>
  </si>
  <si>
    <t>057.8g 279 MARQUILLAS</t>
  </si>
  <si>
    <t>041.7g 2 ANILLOS PLATA</t>
  </si>
  <si>
    <t>00001 GANCHO CORAZÓN</t>
  </si>
  <si>
    <t>20000 LÓGO GUANÁBANA 8 MM</t>
  </si>
  <si>
    <t>00108 CANDONGAS 4CM ACERO</t>
  </si>
  <si>
    <t>021.9g ANILLO PLATA</t>
  </si>
  <si>
    <t>00009 PARES CANDONGAS</t>
  </si>
  <si>
    <t>043.6g 2 ANILLOS PLATA</t>
  </si>
  <si>
    <t>00001 TROQUEL LOGO TERRITORIO</t>
  </si>
  <si>
    <t>02000 LÓGO GUANÁBANA 1 CM 2 PERFORACIONES</t>
  </si>
  <si>
    <t>02000 LÓGO GUANÁBANA 1CM 2 PERF</t>
  </si>
  <si>
    <t>02000 LÓGO GUANÁBANA 1CM</t>
  </si>
  <si>
    <t>04100 LÓGO GUANÁBANA PATO 8MM</t>
  </si>
  <si>
    <t>00001 PROTOTIPO ESTRELLA</t>
  </si>
  <si>
    <t>02500 LOGOS TERRITORIO</t>
  </si>
  <si>
    <t>00202 ANILLO HILO BASE</t>
  </si>
  <si>
    <t>00202 ANILLO TROQUEL</t>
  </si>
  <si>
    <t>00160 CANDONGA TILA 5CM</t>
  </si>
  <si>
    <t>00208 CANDONGA TILA 3.5CM</t>
  </si>
  <si>
    <t>00001 PROTOTIPO TILA 5CM</t>
  </si>
  <si>
    <t>016.3g 5 ARGOLLAS FILIGRANA</t>
  </si>
  <si>
    <t>016.6 3g PARES CANDONGA FILIGRANA P</t>
  </si>
  <si>
    <t>028.8g 3 PARES CANDONGA FILIGRANA M</t>
  </si>
  <si>
    <t>007.1g MARIPOSA PLATA</t>
  </si>
  <si>
    <t>00100 PARES HERRAJE TRIANGULAR G</t>
  </si>
  <si>
    <t>00080 PARES TOPO HERRAJE TRIANGULAR P</t>
  </si>
  <si>
    <t>00206 PARES TOPO 1CM PERF</t>
  </si>
  <si>
    <t>00060 PERF PINZAS</t>
  </si>
  <si>
    <t>00096 PERF Y SOLD PINZAS</t>
  </si>
  <si>
    <t>00001 PROTOTIPO DIJE ROMBO</t>
  </si>
  <si>
    <t>00001 PROTOTIPO DIJE X 11MM</t>
  </si>
  <si>
    <t>00001 PROTOTIPO DIJE REDONDE</t>
  </si>
  <si>
    <t>00001 PROTOTIPO MEDALLA MOSTASILLA 14 MM</t>
  </si>
  <si>
    <t>00001 PROTOTIPO QLT 17MM</t>
  </si>
  <si>
    <t>00001 CANAL CUFF HILITO</t>
  </si>
  <si>
    <t>00001 ANILLO CANAL HILITO</t>
  </si>
  <si>
    <t>00001 DIJE HILITOS 1 ARGOLLA</t>
  </si>
  <si>
    <t>00001 DIJE HILITOS 2 ARGOLLAS</t>
  </si>
  <si>
    <t>00016 CANDONGA TILA 5CM</t>
  </si>
  <si>
    <t>023.3g ANILLO PLATA</t>
  </si>
  <si>
    <t>00472 DIJE HAMSA</t>
  </si>
  <si>
    <t>00100 FRECKLE L</t>
  </si>
  <si>
    <t>00104 FRECKLE M</t>
  </si>
  <si>
    <t>00100 ARETE U</t>
  </si>
  <si>
    <t>01500 DIJE MISHKY PEQUEÑO CON ARGOLLA</t>
  </si>
  <si>
    <t>00228 CRUZ DOBLE ARGOLLA</t>
  </si>
  <si>
    <t>00105 GOTA HILO 20X30mm</t>
  </si>
  <si>
    <t>01239 DIJE 4.8mm CON ARGOLLA</t>
  </si>
  <si>
    <t>00005 PROTOTIPOS MODIFICADOS</t>
  </si>
  <si>
    <t>187.2g 400 MARIPOSAS PLATA</t>
  </si>
  <si>
    <t>00078 PERFORACION PINZA</t>
  </si>
  <si>
    <t>00081 SOLDAR TAPAS EN PINZA</t>
  </si>
  <si>
    <t>00003g HILO CAL 0.25mm</t>
  </si>
  <si>
    <t>00034 ARO OJO 37mm HILO</t>
  </si>
  <si>
    <t>00048 ARO 10mm SOLDADO</t>
  </si>
  <si>
    <t>00050 ARO 5mm ABIERTO</t>
  </si>
  <si>
    <t>05346 MARIPOSAS MISHKY BRONCE</t>
  </si>
  <si>
    <t>10000 LOGO MISHKY BRONCE</t>
  </si>
  <si>
    <t>00020 EXHIBIDOR T ALTO</t>
  </si>
  <si>
    <t>00020 EXHIBIDOR T BAJO</t>
  </si>
  <si>
    <t>032.7g MARQUILAAS PLATA</t>
  </si>
  <si>
    <t>00011 PROTOTIPOS ENGROSAR LA ARGOLLE</t>
  </si>
  <si>
    <t>021.6g 3 PARES ARETE GUELL</t>
  </si>
  <si>
    <t>003.4g 3 PARES MARIPOSA PLATA</t>
  </si>
  <si>
    <t>20000 LÓGO GUANÁBANA 8mm</t>
  </si>
  <si>
    <t>00072 CANDONGA 4 cm ACERO</t>
  </si>
  <si>
    <t>00138 CRUZ DOBLE ARGOLLA</t>
  </si>
  <si>
    <t>00303 TOPO 11 mm DOBLE PERFORACIÓN</t>
  </si>
  <si>
    <t>00114 CUFFY EARRING 3.5 cm</t>
  </si>
  <si>
    <t>164.8 Kg RETAL LATÓN</t>
  </si>
  <si>
    <t>00444 LÓGO MISHKY 7 mm</t>
  </si>
  <si>
    <t>00213 MARCO OJO 37 mm HILO</t>
  </si>
  <si>
    <t>00204 CUFFY EARRING 3.5 cm</t>
  </si>
  <si>
    <t>00519 CORAZÓN HILO 1 mm 28X31</t>
  </si>
  <si>
    <t>00110 CANDONGA 4 cm BRONCE</t>
  </si>
  <si>
    <t>00021 EXHIBIDORES T BAJO BRONCE</t>
  </si>
  <si>
    <t>00021 EXHIBIDORES T ALTO BRONCE</t>
  </si>
  <si>
    <t>022.5 g ANILLO PLATA</t>
  </si>
  <si>
    <t>00002 ARETE CHERRIES 37X31 cm</t>
  </si>
  <si>
    <t>00002 ARETE CHERRIES 55X46 cm</t>
  </si>
  <si>
    <t>00002 ARETE BANNANA 55X46 cm</t>
  </si>
  <si>
    <t>00002 ARETE BANNANA 37X31 cm</t>
  </si>
  <si>
    <t>00002 ARETE GRAPES 37X317 cm</t>
  </si>
  <si>
    <t>00002 ARETE GRAPES 55X39 cm</t>
  </si>
  <si>
    <t>00002 ARETE FRESA 44X33 cm</t>
  </si>
  <si>
    <t>00001 PROTOTIPO CORAZÓN SUBLÍME</t>
  </si>
  <si>
    <t>014.5 g PAR CANDONGA FILIGRANA</t>
  </si>
  <si>
    <t>00002 AJUSTE DISEÑOS</t>
  </si>
  <si>
    <t>004.7g ARGOLLA FILIGRANA</t>
  </si>
  <si>
    <t>002.0 g 2 PARES MARIPOSA PLATA</t>
  </si>
  <si>
    <t>12000 LÓGO MISHKY 7mm</t>
  </si>
  <si>
    <t>00143 PARES HERRAJES GRANDE</t>
  </si>
  <si>
    <t>00120 HERRAJES TOPO PEQUEÑO</t>
  </si>
  <si>
    <t>00100 PARES TOPO CON PERFORACIÓN</t>
  </si>
  <si>
    <t>00002 PAR PROTOTIPO HERRAJE PEQUEÑO</t>
  </si>
  <si>
    <t>046.5g MARQUILLAS</t>
  </si>
  <si>
    <t>02500 LÓGOS TERRITORIO</t>
  </si>
  <si>
    <t>00204 CANDONGA 4 CM ACERO</t>
  </si>
  <si>
    <t>00090 CANDONGA MD 17</t>
  </si>
  <si>
    <t>00309 CORAZON HILO 1 MM}</t>
  </si>
  <si>
    <t>00108 CANDONGA 3.5 CM</t>
  </si>
  <si>
    <t>00100 CANDONGA ACERO 4 CM</t>
  </si>
  <si>
    <t>00623 LOGO MISHKY PEQUEÑO CON ARGOLLA</t>
  </si>
  <si>
    <t>00008 CANDONGA HILO S</t>
  </si>
  <si>
    <t>00008 CANDONGA HILO XS</t>
  </si>
  <si>
    <t>00032 CANDONGA MD+17</t>
  </si>
  <si>
    <t>185.4 g 8 ANILLOS PLATA</t>
  </si>
  <si>
    <t>100.0 g 11 ANILLOS SET IN</t>
  </si>
  <si>
    <t>Base ventas con iva tarifa general</t>
  </si>
  <si>
    <t>05299 MARIPOSA MISHKY BRONCE</t>
  </si>
  <si>
    <t>00334 ARO 11mm</t>
  </si>
  <si>
    <t>00216 ARO 32mm</t>
  </si>
  <si>
    <t>00003 PARES CANDONGA EXÁGONO</t>
  </si>
  <si>
    <t>00003 PARES CANDONGA EXÁGONO LÁMINA</t>
  </si>
  <si>
    <t>00012 CORAZÓN HILO</t>
  </si>
  <si>
    <t>00071 PERFORACIÓN BASE DE PINZA</t>
  </si>
  <si>
    <t>042.3 2 ANILLOS PLATA</t>
  </si>
  <si>
    <t>00052 ANILLO HILO BASE</t>
  </si>
  <si>
    <t>000143 ANILLO HILO BASE</t>
  </si>
  <si>
    <t>00006 PARES CANDONGA HILO</t>
  </si>
  <si>
    <t>00001 PAR MARCO CORAZÓN 4cm</t>
  </si>
  <si>
    <t>00001 PAR MARCO ESTRELLA 4cm</t>
  </si>
  <si>
    <t>00001 PAR MINI CANDONGA CHAQUIRAS</t>
  </si>
  <si>
    <t>00002 PAR CANDONGA BALIN</t>
  </si>
  <si>
    <t>00022g ANILLO PLATA</t>
  </si>
  <si>
    <t>00001 PAR ARO OVALADO PEQUEÑO</t>
  </si>
  <si>
    <t>00001 PAR ARO OVALADO GRANDE</t>
  </si>
  <si>
    <t>00001 PAR CANDONGA OVALADO GRANDE</t>
  </si>
  <si>
    <t>00001 PAR CANDONGA OVALADO PEQUEÑO</t>
  </si>
  <si>
    <t>037.1g BRAZALETE FILIGRANA DOBLE</t>
  </si>
  <si>
    <t>034.5g 2 PARES CANDONGAS FILIGRANA</t>
  </si>
  <si>
    <t>007.7g HEBILLA FILIGRANA</t>
  </si>
  <si>
    <t>018.6g BRAZALETE FILIGRANA SENCILLO</t>
  </si>
  <si>
    <t>0008.6g 3 ANILLOS FILIGRANA</t>
  </si>
  <si>
    <t>021.0g ANILLO PLATA</t>
  </si>
  <si>
    <t>093.4g 10 ANILLOS BRONCE</t>
  </si>
  <si>
    <t>093.4g 4 ANILLOS PLATA</t>
  </si>
  <si>
    <t>00108 CANDONGA 4cm BRONCE</t>
  </si>
  <si>
    <t>00413 ARO 10mm</t>
  </si>
  <si>
    <t>00400 LOGOS MISHKY PEQUEÑO CON ARGOLLA</t>
  </si>
  <si>
    <t>00006 MINI CANDONGA HILO</t>
  </si>
  <si>
    <t>00002 BASE CHERRIES</t>
  </si>
  <si>
    <t>00004 BASE CHERRIES TOPO</t>
  </si>
  <si>
    <t>00006 BASE FRESA</t>
  </si>
  <si>
    <t>00008 CANDONGA OVALADA</t>
  </si>
  <si>
    <t>00002 BRAZALETE AFRICA</t>
  </si>
  <si>
    <t>00010 EXHIBIDOR T BAJO BRONCE</t>
  </si>
  <si>
    <t>00040 EXHIBIDOR T ALTO BRONCE</t>
  </si>
  <si>
    <t>07000 MEDALLA GUANÁBANA 1cm 2 PERFORACIONES</t>
  </si>
  <si>
    <t>01000 MEDALLA GUANÁBANA 1cm</t>
  </si>
  <si>
    <t>01500 MEDALLA GUANÁBANA 2cm</t>
  </si>
  <si>
    <t>087.5g MARQUILLAS PLATA</t>
  </si>
  <si>
    <t>00001 CAMBIO DE ARGOLLA PROTOTIPO</t>
  </si>
  <si>
    <t>00006 TOPO OVALADO CON PERFORACIONES 1</t>
  </si>
  <si>
    <t>00006 TOPO OVALADO CON PERFORACIONES 2</t>
  </si>
  <si>
    <t>00006 BARRA SMILE 1</t>
  </si>
  <si>
    <t>00006 BARRA SMILE 2</t>
  </si>
  <si>
    <t>021.7g ANILLO PLATA</t>
  </si>
  <si>
    <t>00003 CAMBIO ARGOLLAS PROTOTIPOS</t>
  </si>
  <si>
    <t>00009 SOLDADA ARGOLLAS</t>
  </si>
  <si>
    <t>00001 CORAZON HILO</t>
  </si>
  <si>
    <t>00001 ESTRELLA HILO</t>
  </si>
  <si>
    <t>00045 CANDONGA HILO S</t>
  </si>
  <si>
    <t>00155 CANDONGA HILO XS</t>
  </si>
  <si>
    <t>031.7g BRAZALETE ÁFRICA</t>
  </si>
  <si>
    <t>00006 CORAZÓN HILO 4 cm</t>
  </si>
  <si>
    <t>00006 BASE PARA LIMÓN</t>
  </si>
  <si>
    <t>00010 BARRA SMILE 2</t>
  </si>
  <si>
    <t>00004 EARCUFF MINI 12mm</t>
  </si>
  <si>
    <t>00006 GOTA PARA BASE REEF</t>
  </si>
  <si>
    <t>00056 PARES CANDONGA CORAZÓN HILO</t>
  </si>
  <si>
    <t>241.7g BRAZALETE ÁFRICA</t>
  </si>
  <si>
    <t>00110 CONDONGA OVALADA 4.7</t>
  </si>
  <si>
    <t>00508 DIJE MISHKY 7mm</t>
  </si>
  <si>
    <t>00141 BARRA SMILE 2</t>
  </si>
  <si>
    <t>00143 ANILLO HILO BASE</t>
  </si>
  <si>
    <t>DESCUENTOS COMERCIALES</t>
  </si>
  <si>
    <t>OTROS HONORARIOS</t>
  </si>
  <si>
    <t>SEGURO</t>
  </si>
  <si>
    <t>SEGUROS</t>
  </si>
  <si>
    <t>SERVICIO TECNICO</t>
  </si>
  <si>
    <t>GASTOS LEGALES</t>
  </si>
  <si>
    <t>MANTENIMIENTO Y REPARACIONES</t>
  </si>
  <si>
    <t>ALOJAMIENTO Y MANUTENCION</t>
  </si>
  <si>
    <t>OTROS GASTOS DE VIAJE</t>
  </si>
  <si>
    <t>CUOTA RECAUDO</t>
  </si>
  <si>
    <t>UTILES Y PAPELERIA</t>
  </si>
  <si>
    <t>COMBUSTIBLE Y LUBRICANTES</t>
  </si>
  <si>
    <t>CASINO Y RESTAURANTE</t>
  </si>
  <si>
    <t>PARQUEDERO DE EMPRESA</t>
  </si>
  <si>
    <t>INTERESES CORRIENTES</t>
  </si>
  <si>
    <t>IMPUESTOS ASUMIDOS</t>
  </si>
  <si>
    <t>FABRICACION DE JOYAS Y ARTICULOS</t>
  </si>
  <si>
    <t>COMPRA DE MATERIA PRIMA</t>
  </si>
  <si>
    <t>MATERIALES INDIRECTOS</t>
  </si>
  <si>
    <t>SUELDO BASICO</t>
  </si>
  <si>
    <t>HORA EXTRA DIURNA</t>
  </si>
  <si>
    <t>HORA EXTRA DIURNA DOMINICAL</t>
  </si>
  <si>
    <t>RECARGO DOMINICAL</t>
  </si>
  <si>
    <t>INCAPACIDADES</t>
  </si>
  <si>
    <t>AUXILIO DE TRANSPORTE</t>
  </si>
  <si>
    <t>PRIMA DE SERVICIOS</t>
  </si>
  <si>
    <t>DOTACIONES Y SUMINISTROS</t>
  </si>
  <si>
    <t>GASTOS MEDICOS Y DROGAS</t>
  </si>
  <si>
    <t>TASA DE SEGURIDAD</t>
  </si>
  <si>
    <t>IMPUESTO TELEFONIA URBANA</t>
  </si>
  <si>
    <t>SOBRE TASA ENERGIA</t>
  </si>
  <si>
    <t>ARRENDAMIENTO CONSTRUC Y EDIF</t>
  </si>
  <si>
    <t>ASEO</t>
  </si>
  <si>
    <t>VIGILANCIA</t>
  </si>
  <si>
    <t>ACUEDUCTO</t>
  </si>
  <si>
    <t>ALCANTARILLADO</t>
  </si>
  <si>
    <t>ALUMBRADO</t>
  </si>
  <si>
    <t>TELEFONIA</t>
  </si>
  <si>
    <t>TELEFONIA CELULAR</t>
  </si>
  <si>
    <t>TRANSPORTE FLETE Y ACARREOS</t>
  </si>
  <si>
    <t>LAVADO</t>
  </si>
  <si>
    <t>LICENCIAS Y PROGRAMAS</t>
  </si>
  <si>
    <t>MAQUINARIA Y EQUIPO</t>
  </si>
  <si>
    <t>ADECUACION E INSTALACION</t>
  </si>
  <si>
    <t>ASEO Y CAFETERIA</t>
  </si>
  <si>
    <t>TELEMATICA Y TELECOMUNICACIONES</t>
  </si>
  <si>
    <t>AIU IMPREVISTOS Y UTILIDADES</t>
  </si>
  <si>
    <t>OTROS GASTOS DIVERSOS</t>
  </si>
  <si>
    <t>INTERNET</t>
  </si>
  <si>
    <t>NOMBRE CUENTA</t>
  </si>
  <si>
    <t>TERCERO</t>
  </si>
  <si>
    <t>890399003</t>
  </si>
  <si>
    <t xml:space="preserve">EMPRESAS MUNICIPALES DE CALI E.I.C.E. E.S.P.   </t>
  </si>
  <si>
    <t>Saldo inicial ...</t>
  </si>
  <si>
    <t>1098657461</t>
  </si>
  <si>
    <t>CARLOS  ORTEGA VALLEJOS</t>
  </si>
  <si>
    <t>890900486</t>
  </si>
  <si>
    <t xml:space="preserve">LAMINACION DE COLOMBIA S.A.S   </t>
  </si>
  <si>
    <t>901068507</t>
  </si>
  <si>
    <t xml:space="preserve">PLATERIA ALEJANDRA SAS   </t>
  </si>
  <si>
    <t>800197268</t>
  </si>
  <si>
    <t xml:space="preserve">U.A.E. DIRECCION DE IMPUESTOS Y ADUANAS NACIONALES   </t>
  </si>
  <si>
    <t>800185306</t>
  </si>
  <si>
    <t xml:space="preserve">COLVANES SAS   </t>
  </si>
  <si>
    <t>800134371</t>
  </si>
  <si>
    <t xml:space="preserve">CORTEACEROS S.A   </t>
  </si>
  <si>
    <t>900448255</t>
  </si>
  <si>
    <t xml:space="preserve">HERRAMIENTAS WS S.A.S.   </t>
  </si>
  <si>
    <t>16719200</t>
  </si>
  <si>
    <t>RODELFY  VARGAS ARCE</t>
  </si>
  <si>
    <t>890328637</t>
  </si>
  <si>
    <t xml:space="preserve">BRONCES DUQUE LTDA   </t>
  </si>
  <si>
    <t>31928720</t>
  </si>
  <si>
    <t>ADRIANA  VALENCIA SOTO</t>
  </si>
  <si>
    <t>900510079</t>
  </si>
  <si>
    <t xml:space="preserve">SOLUCIONES INTEGRALES DEL CAUCA SOCIEDAD POR ACCIONES SIMPLIFICADA   </t>
  </si>
  <si>
    <t>890309116</t>
  </si>
  <si>
    <t xml:space="preserve">DEQUIMICOS LTDA   </t>
  </si>
  <si>
    <t>900323755</t>
  </si>
  <si>
    <t xml:space="preserve">COMERCIALIZADORA INTERNACIONAL TUZZI S.A.S   </t>
  </si>
  <si>
    <t>805020926</t>
  </si>
  <si>
    <t xml:space="preserve">IL ARTIGIANO   </t>
  </si>
  <si>
    <t>890985438</t>
  </si>
  <si>
    <t xml:space="preserve">PROMOTORA DE COMERCIO SOCIAL   </t>
  </si>
  <si>
    <t>900913772</t>
  </si>
  <si>
    <t xml:space="preserve">TALLER OSCAR RIOS S.A.S.   </t>
  </si>
  <si>
    <t>900934504</t>
  </si>
  <si>
    <t xml:space="preserve">M2 DESIGN GROUP SAS   </t>
  </si>
  <si>
    <t>890320417</t>
  </si>
  <si>
    <t xml:space="preserve">YANGUAS JOYEROS S.A.   </t>
  </si>
  <si>
    <t>901075966</t>
  </si>
  <si>
    <t xml:space="preserve">GRUPO SANVAL SAS   </t>
  </si>
  <si>
    <t>900051065</t>
  </si>
  <si>
    <t xml:space="preserve">SND INTERNACIONAL S.A.S.   </t>
  </si>
  <si>
    <t>1143862294</t>
  </si>
  <si>
    <t>DANILO  VARGAS PEÑA</t>
  </si>
  <si>
    <t>1143862296</t>
  </si>
  <si>
    <t>MONICA  VARGAS PEÑA</t>
  </si>
  <si>
    <t>800138541</t>
  </si>
  <si>
    <t xml:space="preserve">MICROCOM COMUNICACION Y SEGURIDAD LTDA   </t>
  </si>
  <si>
    <t>1107064834</t>
  </si>
  <si>
    <t>JHOAN DAVID LOZANO MENDOZA</t>
  </si>
  <si>
    <t>1144053800</t>
  </si>
  <si>
    <t>JHON ALEJANDRO LOZANO MENDOZA</t>
  </si>
  <si>
    <t>1107526039</t>
  </si>
  <si>
    <t>DARWING ANTONIO ZAMBRANO FALLA</t>
  </si>
  <si>
    <t>94506247</t>
  </si>
  <si>
    <t>JERSON GUSTAVO ZAMBRANO FALLA</t>
  </si>
  <si>
    <t>16285515</t>
  </si>
  <si>
    <t xml:space="preserve">EDWIN  GRANADOS </t>
  </si>
  <si>
    <t>1144052002</t>
  </si>
  <si>
    <t>FELIPE  GARCIA ALZATE</t>
  </si>
  <si>
    <t>800004800</t>
  </si>
  <si>
    <t xml:space="preserve">IMPORTADORA CELESTE S.A.   </t>
  </si>
  <si>
    <t>805012610</t>
  </si>
  <si>
    <t xml:space="preserve">FINESA SA   </t>
  </si>
  <si>
    <t>900749690</t>
  </si>
  <si>
    <t xml:space="preserve">MOTORED DE COLOMBIA SAS   </t>
  </si>
  <si>
    <t>890399001</t>
  </si>
  <si>
    <t xml:space="preserve">CAMARA DE COMERCIO DE CALI   </t>
  </si>
  <si>
    <t>830122566</t>
  </si>
  <si>
    <t xml:space="preserve">COLOMBIA TELECOMUNICACIONES S.A. E.S.P.   </t>
  </si>
  <si>
    <t>31968309</t>
  </si>
  <si>
    <t>CLARA ROSA PEÑA COLLAZOS</t>
  </si>
  <si>
    <t>29707594</t>
  </si>
  <si>
    <t xml:space="preserve">ESMILDA  IBARGUEN </t>
  </si>
  <si>
    <t>1127212443</t>
  </si>
  <si>
    <t>SEBASTIAN  PEREZ GUERRERO</t>
  </si>
  <si>
    <t>16623071</t>
  </si>
  <si>
    <t>HECTOR DANIEL VICTORIA MUÑOZ</t>
  </si>
  <si>
    <t>900665567</t>
  </si>
  <si>
    <t xml:space="preserve">GRUAS ZURITA SAS   </t>
  </si>
  <si>
    <t>16711436</t>
  </si>
  <si>
    <t>JUAN ANTONIO ANGULO BARRIOS</t>
  </si>
  <si>
    <t>1130673927</t>
  </si>
  <si>
    <t>Melani s s s</t>
  </si>
  <si>
    <t>830506235</t>
  </si>
  <si>
    <t xml:space="preserve">BOSCH CENTER LIMITADA   </t>
  </si>
  <si>
    <t>1143840099</t>
  </si>
  <si>
    <t xml:space="preserve">CRISTIAN CAMILO ORTIZ </t>
  </si>
  <si>
    <t>800088702</t>
  </si>
  <si>
    <t xml:space="preserve">EPS Y MEDICINA PREPAGADA SURAMERICANA SA   </t>
  </si>
  <si>
    <t>800138188</t>
  </si>
  <si>
    <t xml:space="preserve">ADMINISTRADORA DE FONDOS DE PENSIONES PROTECCION S.A.   </t>
  </si>
  <si>
    <t>860011153</t>
  </si>
  <si>
    <t xml:space="preserve">POSITIVA COMPAÑÍA DE SEGUROS S.A.   </t>
  </si>
  <si>
    <t>890303093</t>
  </si>
  <si>
    <t xml:space="preserve">CAJA DE COMPENSACIÓN FAMILIAR COMFENALCO VALLE   </t>
  </si>
  <si>
    <t>6095099</t>
  </si>
  <si>
    <t>JESUS ANTONIO APARICIO MEDINA</t>
  </si>
  <si>
    <t>21873426</t>
  </si>
  <si>
    <t>MAGNOLIA DE JESUS GARCIA GIRALDO</t>
  </si>
  <si>
    <t>67010081</t>
  </si>
  <si>
    <t xml:space="preserve">MARIA ISABEL FLOREZ </t>
  </si>
  <si>
    <t>890323635</t>
  </si>
  <si>
    <t xml:space="preserve">EL COMERCIO ELÉCTRICO SAS   </t>
  </si>
  <si>
    <t>1045018926</t>
  </si>
  <si>
    <t xml:space="preserve">DIEGO ANDRES ESTRADA </t>
  </si>
  <si>
    <t>1151934840</t>
  </si>
  <si>
    <t>LUIS CARLOS VALENCIA PLAZAS</t>
  </si>
  <si>
    <t>66978975</t>
  </si>
  <si>
    <t xml:space="preserve">LADY  RODRIGUEZ </t>
  </si>
  <si>
    <t>16697336</t>
  </si>
  <si>
    <t>DANILO  CARDENAS BRAVO</t>
  </si>
  <si>
    <t>805013047</t>
  </si>
  <si>
    <t xml:space="preserve">SOCIEDAD DISTRIBUIDORA DE CALZADO SAS   </t>
  </si>
  <si>
    <t>16796766</t>
  </si>
  <si>
    <t xml:space="preserve">J PINEDA LARGO </t>
  </si>
  <si>
    <t>2401484</t>
  </si>
  <si>
    <t>CARLOS ALONSO GUZMAN VARONA</t>
  </si>
  <si>
    <t>16640937</t>
  </si>
  <si>
    <t xml:space="preserve">PANADERIA LINA   </t>
  </si>
  <si>
    <t>15912254</t>
  </si>
  <si>
    <t xml:space="preserve">GERMAN DE JESUS ESCOBAR </t>
  </si>
  <si>
    <t>805025863</t>
  </si>
  <si>
    <t xml:space="preserve">VARIEDADES Y FANTASIAS CAROL COMPAÑIA S.A.S.   </t>
  </si>
  <si>
    <t>900126972</t>
  </si>
  <si>
    <t xml:space="preserve">SOLO-SIERRA LTDA   </t>
  </si>
  <si>
    <t>805018722</t>
  </si>
  <si>
    <t xml:space="preserve">FRIOMASTER SAS   </t>
  </si>
  <si>
    <t>29055828</t>
  </si>
  <si>
    <t>NOHEMI  ARANGO DE CAICEDO</t>
  </si>
  <si>
    <t>900423667</t>
  </si>
  <si>
    <t xml:space="preserve">PRODUCTOS LA ROCA VASQUES ZULUAGA SAS   </t>
  </si>
  <si>
    <t>31917089</t>
  </si>
  <si>
    <t>MARY LUZ DIAZ ZAPE</t>
  </si>
  <si>
    <t>835000779</t>
  </si>
  <si>
    <t xml:space="preserve">DARSALUD Y BIENESTAR SAS   </t>
  </si>
  <si>
    <t>901045634</t>
  </si>
  <si>
    <t xml:space="preserve">FERRE &amp; MAX S.A.S.   </t>
  </si>
  <si>
    <t>800215227</t>
  </si>
  <si>
    <t xml:space="preserve">G4S TECHNOLOGY COLOMBIA S.A.   </t>
  </si>
  <si>
    <t>890900281</t>
  </si>
  <si>
    <t xml:space="preserve">INDUSTRIAS HACEB SA   </t>
  </si>
  <si>
    <t>805022446</t>
  </si>
  <si>
    <t xml:space="preserve">AMERICAN PRODUCTS DE COLOMBIA Y COMPAÑIA SAS   </t>
  </si>
  <si>
    <t>900186322</t>
  </si>
  <si>
    <t xml:space="preserve">CDA DIAGNOSTICAR SAS   </t>
  </si>
  <si>
    <t>860037707</t>
  </si>
  <si>
    <t xml:space="preserve">SBS SEGUROS COLOMBIA SA   </t>
  </si>
  <si>
    <t>890330338</t>
  </si>
  <si>
    <t xml:space="preserve">COLLAZOS LOZANO Y CIA .SCS   </t>
  </si>
  <si>
    <t>900878178</t>
  </si>
  <si>
    <t xml:space="preserve">FULL SAFE SAS   </t>
  </si>
  <si>
    <t>890320980</t>
  </si>
  <si>
    <t xml:space="preserve">COSMOCENTRO CIUDADELA COMERCIAL PH   </t>
  </si>
  <si>
    <t>830087099</t>
  </si>
  <si>
    <t xml:space="preserve">CANTRAL PARKING SYSTEM COLOMBIA S.A.S.   </t>
  </si>
  <si>
    <t>900821910</t>
  </si>
  <si>
    <t xml:space="preserve">MECANIZADOS E INGENIERIA DEL VALLE S.A.S.   </t>
  </si>
  <si>
    <t>805000949</t>
  </si>
  <si>
    <t xml:space="preserve">CENTRO COMERCIAL PETECUY   </t>
  </si>
  <si>
    <t>900849868</t>
  </si>
  <si>
    <t xml:space="preserve">FOLHEADOS &amp; FOLHEADOS SAS   </t>
  </si>
  <si>
    <t>900393834</t>
  </si>
  <si>
    <t xml:space="preserve">INVERSIONES OB SAS   </t>
  </si>
  <si>
    <t>31920384</t>
  </si>
  <si>
    <t>MARTHA LUCÍA PEÑA MEJÍA</t>
  </si>
  <si>
    <t>ASESORIA FINANCIERA</t>
  </si>
  <si>
    <t>860037013</t>
  </si>
  <si>
    <t xml:space="preserve">SEGUROS MUNDIAL   </t>
  </si>
  <si>
    <t>860002400</t>
  </si>
  <si>
    <t xml:space="preserve">PREVISORA SA   </t>
  </si>
  <si>
    <t>IMPUESTO</t>
  </si>
  <si>
    <t>890399029</t>
  </si>
  <si>
    <t xml:space="preserve">GOBERNACIÓN DEL VALLE DEL CAUCA   </t>
  </si>
  <si>
    <t>860002964</t>
  </si>
  <si>
    <t xml:space="preserve">BANCO DE BOGOTA   </t>
  </si>
  <si>
    <t>EQUIPO DE OFICINA</t>
  </si>
  <si>
    <t>87246269</t>
  </si>
  <si>
    <t xml:space="preserve">WILLIAM  CASANOVA </t>
  </si>
  <si>
    <t>830054539</t>
  </si>
  <si>
    <t xml:space="preserve">CONCESIONARIO VIA PACIFICO SAS   </t>
  </si>
  <si>
    <t>900941602</t>
  </si>
  <si>
    <t xml:space="preserve">LLANTAS LA LUNA CALI SAS   </t>
  </si>
  <si>
    <t>901091579</t>
  </si>
  <si>
    <t xml:space="preserve">INVIAS   </t>
  </si>
  <si>
    <t>800256769</t>
  </si>
  <si>
    <t xml:space="preserve">VIPSA   </t>
  </si>
  <si>
    <t>890300346</t>
  </si>
  <si>
    <t xml:space="preserve">ALMACENES LA 14   </t>
  </si>
  <si>
    <t>1130638393</t>
  </si>
  <si>
    <t>JENYFFER  RODRIGUEZ PEÑA</t>
  </si>
  <si>
    <t>31321667</t>
  </si>
  <si>
    <t xml:space="preserve">YULY  RANGEL </t>
  </si>
  <si>
    <t>GASTOS DE REPRESENTACION</t>
  </si>
  <si>
    <t>66886311</t>
  </si>
  <si>
    <t xml:space="preserve">ESTANCO LOS CRISTALES   </t>
  </si>
  <si>
    <t>2461850</t>
  </si>
  <si>
    <t xml:space="preserve">MIGUEL E LIBREROS </t>
  </si>
  <si>
    <t>890301752</t>
  </si>
  <si>
    <t xml:space="preserve">EL PAIS SA   </t>
  </si>
  <si>
    <t>900072847</t>
  </si>
  <si>
    <t xml:space="preserve">GNE SOLUCIONES S.A.S.   </t>
  </si>
  <si>
    <t>800244387</t>
  </si>
  <si>
    <t xml:space="preserve">ARCOS DORADOS COLOMBIA SAS   </t>
  </si>
  <si>
    <t>805000474</t>
  </si>
  <si>
    <t xml:space="preserve">INVERSIONES Y TRANSPORTES CREMA Y ROJO S.A.   </t>
  </si>
  <si>
    <t>900336508</t>
  </si>
  <si>
    <t xml:space="preserve">ESTACION DE SERVICIO AUTO 15   </t>
  </si>
  <si>
    <t>31298923</t>
  </si>
  <si>
    <t>MARIA LIGIA LASSO URRESTE</t>
  </si>
  <si>
    <t>1010112682</t>
  </si>
  <si>
    <t>DAVID  OTERO ERAZO</t>
  </si>
  <si>
    <t>31200296</t>
  </si>
  <si>
    <t>MARIA DOLORES RUIZ NARANJO</t>
  </si>
  <si>
    <t>860025461</t>
  </si>
  <si>
    <t xml:space="preserve">KOKORICO   </t>
  </si>
  <si>
    <t>811034562</t>
  </si>
  <si>
    <t xml:space="preserve">LA RECETA Y CIA S.A.S   </t>
  </si>
  <si>
    <t>31205240</t>
  </si>
  <si>
    <t>MARIA MARTINA LOPEZ RIVERA</t>
  </si>
  <si>
    <t>800070655</t>
  </si>
  <si>
    <t xml:space="preserve">MAQUITE S.A.   </t>
  </si>
  <si>
    <t>94527210</t>
  </si>
  <si>
    <t>DIEGO ALEJANDRO VELEZ GUZMAN</t>
  </si>
  <si>
    <t>890325037</t>
  </si>
  <si>
    <t xml:space="preserve">MORDISCO SAS   </t>
  </si>
  <si>
    <t>1130602069</t>
  </si>
  <si>
    <t>ALEJANDRO  OREJUELA REYES</t>
  </si>
  <si>
    <t>900735388</t>
  </si>
  <si>
    <t xml:space="preserve">SUBGRUPO S.A.S.   </t>
  </si>
  <si>
    <t>901223797</t>
  </si>
  <si>
    <t xml:space="preserve">WF FOODS SAS   </t>
  </si>
  <si>
    <t>900664669</t>
  </si>
  <si>
    <t xml:space="preserve">EJ FOOD SAS   </t>
  </si>
  <si>
    <t>900495511</t>
  </si>
  <si>
    <t xml:space="preserve">AKITA ICHI BAN SAS   </t>
  </si>
  <si>
    <t>700053519</t>
  </si>
  <si>
    <t xml:space="preserve">RESTAURANTE VEGETARIANO KUAN YIN   </t>
  </si>
  <si>
    <t>700074454</t>
  </si>
  <si>
    <t xml:space="preserve">VEGETARIANO KUAN SHI YIN   </t>
  </si>
  <si>
    <t>860058760</t>
  </si>
  <si>
    <t xml:space="preserve">PARKING INTERNATIONAL SAS   </t>
  </si>
  <si>
    <t>1352834</t>
  </si>
  <si>
    <t>GILDARDO  ROMERO MONTES</t>
  </si>
  <si>
    <t>GASTOS DEPORTIVOS Y RECREACION</t>
  </si>
  <si>
    <t>815005117</t>
  </si>
  <si>
    <t xml:space="preserve">RECREACIONES MONTOYA QUINTERO SAS   </t>
  </si>
  <si>
    <t>890903407</t>
  </si>
  <si>
    <t xml:space="preserve">SEGUROS GENERALES SURAMERICANA SA   </t>
  </si>
  <si>
    <t>890901672</t>
  </si>
  <si>
    <t xml:space="preserve">CRYSTAL SAS   </t>
  </si>
  <si>
    <t>GASTOS BANCARIOS</t>
  </si>
  <si>
    <t>GMF</t>
  </si>
  <si>
    <t>900777113</t>
  </si>
  <si>
    <t xml:space="preserve">SERVIMETALES DEL VALLE SAS   </t>
  </si>
  <si>
    <t xml:space="preserve">OTROS   </t>
  </si>
  <si>
    <t>MULTAS Y SANCIONES</t>
  </si>
  <si>
    <t>890311425</t>
  </si>
  <si>
    <t xml:space="preserve">CDAV LTDA   </t>
  </si>
  <si>
    <t>1107507918</t>
  </si>
  <si>
    <t>ISABELLA  VARGAS DAMIAN</t>
  </si>
  <si>
    <t>1130638435</t>
  </si>
  <si>
    <t xml:space="preserve">EL  FUTURO </t>
  </si>
  <si>
    <t>66861782</t>
  </si>
  <si>
    <t>LILIANA  AGREDO MAMIAN</t>
  </si>
  <si>
    <t>800198467</t>
  </si>
  <si>
    <t xml:space="preserve">ROMULO MONTES SAS   </t>
  </si>
  <si>
    <t>901063806</t>
  </si>
  <si>
    <t xml:space="preserve">INVERSIONES GIRALDO PALECHOR S.A.S   </t>
  </si>
  <si>
    <t>805012368</t>
  </si>
  <si>
    <t xml:space="preserve">IMPORINOX   </t>
  </si>
  <si>
    <t>890310953</t>
  </si>
  <si>
    <t xml:space="preserve">DISTRIBUIDORA DE ALUMINIO SOCIEDAD POR ACCIONES SIMPLIFICADA S.A.S.   </t>
  </si>
  <si>
    <t>14974772</t>
  </si>
  <si>
    <t>CARLOS AUGUSTO FLOREZ VERA</t>
  </si>
  <si>
    <t>1130641550</t>
  </si>
  <si>
    <t>JHON JAIRO SANZ HERNÁNDEZ</t>
  </si>
  <si>
    <t>2411822</t>
  </si>
  <si>
    <t xml:space="preserve">ABELARDO  MORA </t>
  </si>
  <si>
    <t>901146938</t>
  </si>
  <si>
    <t xml:space="preserve">EL ZAPATERO DEL VALLE SAS   </t>
  </si>
  <si>
    <t>34372955</t>
  </si>
  <si>
    <t>DIANA IVONE CABRERA MARÍN</t>
  </si>
  <si>
    <t>800254012</t>
  </si>
  <si>
    <t xml:space="preserve">LEVALLEJO AZ S.A.   </t>
  </si>
  <si>
    <t>1144034352</t>
  </si>
  <si>
    <t>LINA MARCELA SIERRA NAVARRO</t>
  </si>
  <si>
    <t>16451416</t>
  </si>
  <si>
    <t>FREDDY  ESCOBAR GONZALEZ</t>
  </si>
  <si>
    <t>1107510371</t>
  </si>
  <si>
    <t>SANTIAGO  HERRERA CABRERA</t>
  </si>
  <si>
    <t>PRIMA PRODUCTIVIDAD</t>
  </si>
  <si>
    <t>16718548</t>
  </si>
  <si>
    <t>EDGAR ANTONIO BURBANO HOYOS</t>
  </si>
  <si>
    <t>900540381</t>
  </si>
  <si>
    <t xml:space="preserve">TECNIOPTICA PRINCIPAL SAS   </t>
  </si>
  <si>
    <t>VACACIONES</t>
  </si>
  <si>
    <t>BONIFICACIONES</t>
  </si>
  <si>
    <t>80903900</t>
  </si>
  <si>
    <t>JULIAN ANDRES GALLO SIERRA</t>
  </si>
  <si>
    <t>900091175</t>
  </si>
  <si>
    <t xml:space="preserve">GRUPO MAYORISTA SA   </t>
  </si>
  <si>
    <t>805008095</t>
  </si>
  <si>
    <t xml:space="preserve">DUAL SAS   </t>
  </si>
  <si>
    <t>900388292</t>
  </si>
  <si>
    <t xml:space="preserve">MODYMARCA SAS   </t>
  </si>
  <si>
    <t>860503159</t>
  </si>
  <si>
    <t xml:space="preserve">PASH SAS   </t>
  </si>
  <si>
    <t>805003626</t>
  </si>
  <si>
    <t xml:space="preserve">STF GROUP SAS   </t>
  </si>
  <si>
    <t>900007995</t>
  </si>
  <si>
    <t xml:space="preserve">MANUFACTURAS ECONOMICAS SAS   </t>
  </si>
  <si>
    <t>830011670</t>
  </si>
  <si>
    <t xml:space="preserve">COOPERATIVA MULTIACTIVA DE SERVICIOS SOLIDARIOS COPSERVIR LTDA   </t>
  </si>
  <si>
    <t>890107487</t>
  </si>
  <si>
    <t xml:space="preserve">SUPERTIENDAS Y DROGUERIAS OLIMPICA S.A.   </t>
  </si>
  <si>
    <t>APORTES ARL</t>
  </si>
  <si>
    <t>CAJA DE COMPENSACION</t>
  </si>
  <si>
    <t>10300617</t>
  </si>
  <si>
    <t>CESAR DANIEL ZUÑIGA CERON</t>
  </si>
  <si>
    <t>900377905</t>
  </si>
  <si>
    <t xml:space="preserve">OUTSOURCING FARMACEUTICO INTEGRAL SAS   </t>
  </si>
  <si>
    <t>900482963</t>
  </si>
  <si>
    <t xml:space="preserve">CLINICA DE SALUD OCUPACIONAL DE OCCIDENTE SAS   </t>
  </si>
  <si>
    <t>66724075</t>
  </si>
  <si>
    <t>ADRIANA  ALVAREZ MARTINEZ</t>
  </si>
  <si>
    <t>811028650</t>
  </si>
  <si>
    <t xml:space="preserve">MADECENTRO COLOMBIA SAS   </t>
  </si>
  <si>
    <t>860512330</t>
  </si>
  <si>
    <t xml:space="preserve">SERVIENTREGA S.A.   </t>
  </si>
  <si>
    <t>890920990</t>
  </si>
  <si>
    <t xml:space="preserve">TRANSPORTES SAFERBO S.A.   </t>
  </si>
  <si>
    <t>860016640</t>
  </si>
  <si>
    <t xml:space="preserve">GLOBAL MENSAJERIA SAS   </t>
  </si>
  <si>
    <t>890904713</t>
  </si>
  <si>
    <t xml:space="preserve">COORDINADORA MERCANTIL S.A   </t>
  </si>
  <si>
    <t>10557542</t>
  </si>
  <si>
    <t xml:space="preserve">JAIME  BARONA </t>
  </si>
  <si>
    <t>71595508</t>
  </si>
  <si>
    <t xml:space="preserve">DIEGO ALBERTO GALEANO OSPINA   </t>
  </si>
  <si>
    <t>900627524</t>
  </si>
  <si>
    <t xml:space="preserve">SEGURIDAD Y EQUIPOS DE ALTA TECNOLOGÍA SAS   </t>
  </si>
  <si>
    <t>1130671105</t>
  </si>
  <si>
    <t>JUAN GABRIEL HERRERA CIFUENTES</t>
  </si>
  <si>
    <t>1089906953</t>
  </si>
  <si>
    <t>GIOVANNY  ERAZO SANCHEZ</t>
  </si>
  <si>
    <t>30311638</t>
  </si>
  <si>
    <t>BLANCA CIELO ACOSTA CASTAÑO</t>
  </si>
  <si>
    <t>1130664918</t>
  </si>
  <si>
    <t xml:space="preserve">DANIEL VARELA MALDONADO </t>
  </si>
  <si>
    <t>91234902</t>
  </si>
  <si>
    <t>MIGUEL ANGEL ROSAS MUÑOZ</t>
  </si>
  <si>
    <t>31924998</t>
  </si>
  <si>
    <t>ALMA MARINA LOPEZ VILLARREAL</t>
  </si>
  <si>
    <t>14447469</t>
  </si>
  <si>
    <t>RAUL DE LA CRUZ GAVIRIA URUMENDIS</t>
  </si>
  <si>
    <t>1113668646</t>
  </si>
  <si>
    <t xml:space="preserve">MARIA LUISA LEAL </t>
  </si>
  <si>
    <t>16917860</t>
  </si>
  <si>
    <t xml:space="preserve">MIGUEL VICENTE ESTUPIÑAN </t>
  </si>
  <si>
    <t>31589005</t>
  </si>
  <si>
    <t>SANDRA PATRICIA ARCILA HURTADO</t>
  </si>
  <si>
    <t>900271023</t>
  </si>
  <si>
    <t xml:space="preserve">DUQUE RAMIREZ SAS   </t>
  </si>
  <si>
    <t>3528650</t>
  </si>
  <si>
    <t>JAIRO DE JESUS RAMIREZ SERNA</t>
  </si>
  <si>
    <t>1130598374</t>
  </si>
  <si>
    <t>KATHERINE  SANCHEZ MELLIZO</t>
  </si>
  <si>
    <t>890308111</t>
  </si>
  <si>
    <t xml:space="preserve">EL MOLINO EDUARDO MOLINARI PALACIN &amp; CIA S. EN C.   </t>
  </si>
  <si>
    <t>860053831</t>
  </si>
  <si>
    <t xml:space="preserve">COMERCIAL ALLAN SAS   </t>
  </si>
  <si>
    <t>900306805</t>
  </si>
  <si>
    <t xml:space="preserve">TOSCANA ALIMENTOS S.A.S   </t>
  </si>
  <si>
    <t>1130641103</t>
  </si>
  <si>
    <t xml:space="preserve">JULY CECILIA MANRIQUE </t>
  </si>
  <si>
    <t>890900943</t>
  </si>
  <si>
    <t xml:space="preserve">COLOMBIANA DE COMERCIO SA   </t>
  </si>
  <si>
    <t>1115062460</t>
  </si>
  <si>
    <t>JORGE ANDRES HENAO ZAMUDIO</t>
  </si>
  <si>
    <t>NOMBRE TERCERO</t>
  </si>
  <si>
    <t>TDOC</t>
  </si>
  <si>
    <t>NIT</t>
  </si>
  <si>
    <t>NOMBRES</t>
  </si>
  <si>
    <t>SUM VALORES</t>
  </si>
  <si>
    <t>NOMBRE 1</t>
  </si>
  <si>
    <t>NOMBRE 5</t>
  </si>
  <si>
    <t>NOMBRE 7</t>
  </si>
  <si>
    <t>NOMBRE 44</t>
  </si>
  <si>
    <t>NOMBRE 19</t>
  </si>
  <si>
    <t>NOMBRE 14</t>
  </si>
  <si>
    <t>NOMBRE 67</t>
  </si>
  <si>
    <t>NOMBRE 24</t>
  </si>
  <si>
    <t>nombre 22</t>
  </si>
  <si>
    <t>nombre 211</t>
  </si>
  <si>
    <t>nombre 222</t>
  </si>
  <si>
    <t>ss</t>
  </si>
  <si>
    <t>=xl_select_by(xl_group_by(Sheet1!A1:R4255;{"FORMATO";"CONCEPTO";"TERCERO";"NOMBRE TERCERO";"CUENTA";"NOMBRE CUENTA"};"DEBITO";"sum";1);"CUENTA")</t>
  </si>
  <si>
    <t>sss</t>
  </si>
  <si>
    <t>TRUE</t>
  </si>
  <si>
    <t>31996591</t>
  </si>
  <si>
    <t xml:space="preserve">FIDELINA  BURBANO </t>
  </si>
  <si>
    <t>890399011</t>
  </si>
  <si>
    <t xml:space="preserve">MUNICIPIO DE SANTIAGO DE CALI   </t>
  </si>
  <si>
    <t>NÓMINA DICIEMBRE 2019 / 2DA QUINCENA</t>
  </si>
  <si>
    <t>PRIMA 2 2019</t>
  </si>
  <si>
    <t>14948726</t>
  </si>
  <si>
    <t>OSCAR  FRANCO HURTADO</t>
  </si>
  <si>
    <t>16737681</t>
  </si>
  <si>
    <t>JOSE EMILIO LOPEZ ARIAS</t>
  </si>
  <si>
    <t>805028294</t>
  </si>
  <si>
    <t xml:space="preserve">PARQUADERO CALLE 12 EU   </t>
  </si>
  <si>
    <t>890308587</t>
  </si>
  <si>
    <t xml:space="preserve">FERRETERIA BARBOSA SAS   </t>
  </si>
  <si>
    <t>890900608</t>
  </si>
  <si>
    <t xml:space="preserve">ALMACENES EXITO SA   </t>
  </si>
  <si>
    <t>900276962</t>
  </si>
  <si>
    <t xml:space="preserve">koba colombia sas   </t>
  </si>
  <si>
    <t>900511017</t>
  </si>
  <si>
    <t xml:space="preserve">RAMSER GP SAS   </t>
  </si>
  <si>
    <t>94449386</t>
  </si>
  <si>
    <t>CARLOS ALQUIVER OCAMPO LOPEZ</t>
  </si>
  <si>
    <t>1115093083</t>
  </si>
  <si>
    <t>STIVEN  MARTINEZ VALENZUELA</t>
  </si>
  <si>
    <t>19456882</t>
  </si>
  <si>
    <t>ARMANDO  GOMEZ ZULUAGA</t>
  </si>
  <si>
    <t>900235218</t>
  </si>
  <si>
    <t xml:space="preserve">REPRESENTACIONES MARINA BORJA S.A.S   </t>
  </si>
  <si>
    <t>1130613808</t>
  </si>
  <si>
    <t>ALEJANDRA  VARGAS PEýA</t>
  </si>
  <si>
    <t>29277645</t>
  </si>
  <si>
    <t xml:space="preserve">ADALGIZA  ARBOLEDA </t>
  </si>
  <si>
    <t>805009741</t>
  </si>
  <si>
    <t xml:space="preserve">COOMEVA MEDICINA PREPAGADA   </t>
  </si>
  <si>
    <t>814000337</t>
  </si>
  <si>
    <t xml:space="preserve">ASOCIACION MUTUAL EMPRESA SOLIDARIA DE SALUD EMSSANAR E S S   </t>
  </si>
  <si>
    <t>800144331</t>
  </si>
  <si>
    <t xml:space="preserve">SOCIEDAD ADMINISTRADORA DE FONDO DE PENSIONES Y CESANTIAS PORVENIR SA   </t>
  </si>
  <si>
    <t>800227940</t>
  </si>
  <si>
    <t xml:space="preserve">COLFONDOS S.A. PENSIONES Y CESANTIAS   </t>
  </si>
  <si>
    <t>900336004</t>
  </si>
  <si>
    <t xml:space="preserve">ADMINISTRADORA COLOMBIANA DE PENSIONES COLPENSIONES   </t>
  </si>
  <si>
    <t>1144129626</t>
  </si>
  <si>
    <t>JUAN CARLOS QUINTERO ARBELAEZ</t>
  </si>
  <si>
    <t>14465429</t>
  </si>
  <si>
    <t>DUBIAN ALBERTO HERRERA SALAZAR</t>
  </si>
  <si>
    <t>14836652</t>
  </si>
  <si>
    <t>DIEGO FERNANDO TREJOS GUERRERO</t>
  </si>
  <si>
    <t>16355703</t>
  </si>
  <si>
    <t>MARIO  GUARNIZO MARTINEZ</t>
  </si>
  <si>
    <t>16711782</t>
  </si>
  <si>
    <t xml:space="preserve">NUMA GREGORIO PACHECO </t>
  </si>
  <si>
    <t>16720489</t>
  </si>
  <si>
    <t>ERNESTO  POSADA LOPEZ</t>
  </si>
  <si>
    <t>16740143</t>
  </si>
  <si>
    <t xml:space="preserve">HECTOR HUGO CHACUA </t>
  </si>
  <si>
    <t>21787805</t>
  </si>
  <si>
    <t>ROSA  GIRALDO FRANCO</t>
  </si>
  <si>
    <t>31230047</t>
  </si>
  <si>
    <t>MARTHA TERESA GUERRA DE RAMIREZ</t>
  </si>
  <si>
    <t>31851297</t>
  </si>
  <si>
    <t>CECILIA  MEJIA DE ESCOBAR</t>
  </si>
  <si>
    <t>31923328</t>
  </si>
  <si>
    <t xml:space="preserve">MARIA EUGENIA MURILLO </t>
  </si>
  <si>
    <t>6056606</t>
  </si>
  <si>
    <t>JOSE OMAR PALACIOS CARDONA</t>
  </si>
  <si>
    <t>6064013</t>
  </si>
  <si>
    <t xml:space="preserve">LUIS A CAICEDO </t>
  </si>
  <si>
    <t>6211900</t>
  </si>
  <si>
    <t>GONZALO DE JESUS HOYOS GIRALDO</t>
  </si>
  <si>
    <t>66978872</t>
  </si>
  <si>
    <t>MAYURY  SUAREZ VALENCIA</t>
  </si>
  <si>
    <t>800010972</t>
  </si>
  <si>
    <t xml:space="preserve">FOTOS DEL ORIENTE LTDA   </t>
  </si>
  <si>
    <t>800192138</t>
  </si>
  <si>
    <t xml:space="preserve">DISTRIBUIDORA DE CORRES Y MANGUERAS SAS   </t>
  </si>
  <si>
    <t>800207695</t>
  </si>
  <si>
    <t xml:space="preserve">FERROELECTRICOS LTDA   </t>
  </si>
  <si>
    <t>805011074</t>
  </si>
  <si>
    <t xml:space="preserve">ADIDAS COLOMBIA LTDA   </t>
  </si>
  <si>
    <t>805015151</t>
  </si>
  <si>
    <t xml:space="preserve">QUICENO Y CIA   </t>
  </si>
  <si>
    <t>805028004</t>
  </si>
  <si>
    <t xml:space="preserve">GAMAQUIM   </t>
  </si>
  <si>
    <t>805030111</t>
  </si>
  <si>
    <t xml:space="preserve">FERRE EXPRESS S.A.S.   </t>
  </si>
  <si>
    <t>860050544</t>
  </si>
  <si>
    <t xml:space="preserve">DISTRIBUIDORA VELEZ SAS   </t>
  </si>
  <si>
    <t>890208788</t>
  </si>
  <si>
    <t xml:space="preserve">UNIDROGAS SA   </t>
  </si>
  <si>
    <t>890300896</t>
  </si>
  <si>
    <t xml:space="preserve">REYDIN S.A.S   </t>
  </si>
  <si>
    <t>890301884</t>
  </si>
  <si>
    <t xml:space="preserve">COLOMBINA SA   </t>
  </si>
  <si>
    <t>890303208</t>
  </si>
  <si>
    <t xml:space="preserve">CAJA DE COMPENSACIÓN FAMILAR COMFANDI   </t>
  </si>
  <si>
    <t>890314978</t>
  </si>
  <si>
    <t xml:space="preserve">SOINTEC SAS   </t>
  </si>
  <si>
    <t>890316699</t>
  </si>
  <si>
    <t xml:space="preserve">FERRETERIA ARAL LTDA   </t>
  </si>
  <si>
    <t>890922365</t>
  </si>
  <si>
    <t xml:space="preserve">HERRAMIENTAS TECNICAS  S.A.S.   </t>
  </si>
  <si>
    <t>891500090</t>
  </si>
  <si>
    <t xml:space="preserve">HOTELES LTDA   </t>
  </si>
  <si>
    <t>900073391</t>
  </si>
  <si>
    <t xml:space="preserve">KIMAUTOS   </t>
  </si>
  <si>
    <t>900263400</t>
  </si>
  <si>
    <t xml:space="preserve">COOKER KING S.A.S.   </t>
  </si>
  <si>
    <t>900284205</t>
  </si>
  <si>
    <t xml:space="preserve">PRONTO Y SEGUROS   </t>
  </si>
  <si>
    <t>900310573</t>
  </si>
  <si>
    <t xml:space="preserve">ANNCHERY N 18   </t>
  </si>
  <si>
    <t>900342297</t>
  </si>
  <si>
    <t xml:space="preserve">COMERCIALIZADORA ARTURO CALLE SAS   </t>
  </si>
  <si>
    <t>900373677</t>
  </si>
  <si>
    <t xml:space="preserve">CENTRO HERRAMIENTAS   </t>
  </si>
  <si>
    <t>900374172</t>
  </si>
  <si>
    <t xml:space="preserve">PROQUIM INDUSTRIAL SAS   </t>
  </si>
  <si>
    <t>900430130</t>
  </si>
  <si>
    <t xml:space="preserve">COMERCIALIZADORA CARDONA ASOCIADOS   </t>
  </si>
  <si>
    <t>900480569</t>
  </si>
  <si>
    <t xml:space="preserve">JERONIMO MARTINS COLOMBIA SAS   </t>
  </si>
  <si>
    <t>900589992</t>
  </si>
  <si>
    <t xml:space="preserve">LLAVERÍA RAMIREZ Y PAZ EL PAISA SAS   </t>
  </si>
  <si>
    <t>900592007</t>
  </si>
  <si>
    <t xml:space="preserve">SUBWAY PACIFICO S.A.S.   </t>
  </si>
  <si>
    <t>900630186</t>
  </si>
  <si>
    <t xml:space="preserve">LORPINTEC S.A.S.   </t>
  </si>
  <si>
    <t>900760859</t>
  </si>
  <si>
    <t xml:space="preserve">GUSTAVO CHAVARRIAGA SAS   </t>
  </si>
  <si>
    <t>900810274</t>
  </si>
  <si>
    <t xml:space="preserve">TOYS MARKET   </t>
  </si>
  <si>
    <t>900823395</t>
  </si>
  <si>
    <t xml:space="preserve">ELECTRICOS EL PAISA S.A.S.   </t>
  </si>
  <si>
    <t>900923291</t>
  </si>
  <si>
    <t xml:space="preserve">MANZUR DESIGN SAS   </t>
  </si>
  <si>
    <t>900925316</t>
  </si>
  <si>
    <t xml:space="preserve">FARINATA SAS   </t>
  </si>
  <si>
    <t>900943243</t>
  </si>
  <si>
    <t xml:space="preserve">SURAMERICANA COMERCIAL SAS   </t>
  </si>
  <si>
    <t>901059791</t>
  </si>
  <si>
    <t xml:space="preserve">DISTRIBUCIONES ELECTRICAS DEL VALLE SAS   </t>
  </si>
  <si>
    <t>901098733</t>
  </si>
  <si>
    <t xml:space="preserve">ELECTROGAS EL BUCARO S.A.S.   </t>
  </si>
  <si>
    <t>901160842</t>
  </si>
  <si>
    <t xml:space="preserve">PAPELERIA UNIVERSAL   </t>
  </si>
  <si>
    <t>93371475</t>
  </si>
  <si>
    <t xml:space="preserve">GUSTAVO ALFONSO ESTEFEN </t>
  </si>
  <si>
    <t>94433666</t>
  </si>
  <si>
    <t>WILLIAM  CALVACHE GUACA</t>
  </si>
  <si>
    <t>94491228</t>
  </si>
  <si>
    <t>LUIS ENRIQUE RAMIREZ PADILLA</t>
  </si>
  <si>
    <t>94531893</t>
  </si>
  <si>
    <t>WILLIAM  HOYOS RAMIREZ</t>
  </si>
  <si>
    <t>9892520</t>
  </si>
  <si>
    <t>JAIRO DE JESUS CASTAÑO BERNAL</t>
  </si>
  <si>
    <t>5286388</t>
  </si>
  <si>
    <t>DIEGO MARIA ROMERO PANTOJA</t>
  </si>
  <si>
    <t>800244815</t>
  </si>
  <si>
    <t xml:space="preserve">SERVICIOS EJECUTIVOS EMPRESARIALES LTDA   </t>
  </si>
  <si>
    <t>890321156</t>
  </si>
  <si>
    <t xml:space="preserve">CIUDADELA COMERCIAL UNICENTRO CALI   </t>
  </si>
  <si>
    <t>900188914</t>
  </si>
  <si>
    <t xml:space="preserve">PRICO SA   </t>
  </si>
  <si>
    <t>6597424</t>
  </si>
  <si>
    <t xml:space="preserve">LUIS ALBERTO ABAUNZA </t>
  </si>
  <si>
    <t>19364249</t>
  </si>
  <si>
    <t>HOTEL  BELLO HORIZONTE</t>
  </si>
  <si>
    <t>800140887</t>
  </si>
  <si>
    <t xml:space="preserve">CORFICOLOMBIANA   </t>
  </si>
  <si>
    <t>800215807</t>
  </si>
  <si>
    <t xml:space="preserve">PEAJE ESTAMBUL   </t>
  </si>
  <si>
    <t>830052998</t>
  </si>
  <si>
    <t xml:space="preserve">FIDEICOMISO BBVA FIDU CONC STA MARTA   </t>
  </si>
  <si>
    <t>830053700</t>
  </si>
  <si>
    <t xml:space="preserve">FIDU IBAGUE HONDA   </t>
  </si>
  <si>
    <t>830053812</t>
  </si>
  <si>
    <t xml:space="preserve">FIDE PA CONSORCIO RQS   </t>
  </si>
  <si>
    <t>830054060</t>
  </si>
  <si>
    <t xml:space="preserve">AUTOPISTA DEL CAFÉ   </t>
  </si>
  <si>
    <t>830055897</t>
  </si>
  <si>
    <t xml:space="preserve">PATRIMONIOS AUTONOMOS FIDUCIARIA BOGOTÁ   </t>
  </si>
  <si>
    <t>830059605</t>
  </si>
  <si>
    <t xml:space="preserve">UTDVVCC   </t>
  </si>
  <si>
    <t>900373092</t>
  </si>
  <si>
    <t xml:space="preserve">YUMA CONCESIONARIA   </t>
  </si>
  <si>
    <t>1144049671</t>
  </si>
  <si>
    <t xml:space="preserve">RICARDO ANDRES LIZCANO </t>
  </si>
  <si>
    <t>222222222</t>
  </si>
  <si>
    <t xml:space="preserve">CUANTIAS MENORES   </t>
  </si>
  <si>
    <t>94430001</t>
  </si>
  <si>
    <t>JOHN CESAR MEDINA MENESES</t>
  </si>
  <si>
    <t>80275610</t>
  </si>
  <si>
    <t>JOSE  ALVAREZ TINOCO</t>
  </si>
  <si>
    <t>900059238</t>
  </si>
  <si>
    <t xml:space="preserve">EDS MAKRO   </t>
  </si>
  <si>
    <t>900156095</t>
  </si>
  <si>
    <t xml:space="preserve">OPES LTDA   </t>
  </si>
  <si>
    <t>13436094</t>
  </si>
  <si>
    <t xml:space="preserve">WILFREDO  ALSINA GRANDOS </t>
  </si>
  <si>
    <t>16780898</t>
  </si>
  <si>
    <t>JUAN CARLOS VERA CARDONA</t>
  </si>
  <si>
    <t>21481158</t>
  </si>
  <si>
    <t xml:space="preserve">CARLOS  RENGIFO </t>
  </si>
  <si>
    <t>29399518</t>
  </si>
  <si>
    <t>DORIS  ZAMORA ORTIZ</t>
  </si>
  <si>
    <t>31293957</t>
  </si>
  <si>
    <t>MARTHA  GONZALEZ BETANCOURTH</t>
  </si>
  <si>
    <t>31301870</t>
  </si>
  <si>
    <t xml:space="preserve">GLORIA ELENA GARCIA </t>
  </si>
  <si>
    <t>31882108</t>
  </si>
  <si>
    <t xml:space="preserve">NOHEMI  BLANCA </t>
  </si>
  <si>
    <t>805019702</t>
  </si>
  <si>
    <t xml:space="preserve">SUBWAY DE OCCIDENTE SAS   </t>
  </si>
  <si>
    <t>860533413</t>
  </si>
  <si>
    <t xml:space="preserve">IRCC SAS   </t>
  </si>
  <si>
    <t>900013167</t>
  </si>
  <si>
    <t xml:space="preserve">SR WOK ORIENTAL BUFFET DIAZ Y RES   </t>
  </si>
  <si>
    <t>900220925</t>
  </si>
  <si>
    <t xml:space="preserve">RESTAURANTES AMADO BOCADO   </t>
  </si>
  <si>
    <t>900321063</t>
  </si>
  <si>
    <t xml:space="preserve">REXICO S.A.S.   </t>
  </si>
  <si>
    <t>900343654</t>
  </si>
  <si>
    <t xml:space="preserve">AVILA GOMEZ SAS   </t>
  </si>
  <si>
    <t>900470082</t>
  </si>
  <si>
    <t xml:space="preserve">ARFENIX SAS   </t>
  </si>
  <si>
    <t>900478797</t>
  </si>
  <si>
    <t xml:space="preserve">SUBVALLE S.A.S.   </t>
  </si>
  <si>
    <t>900527622</t>
  </si>
  <si>
    <t xml:space="preserve">FARO GOURMET SAS   </t>
  </si>
  <si>
    <t>900530387</t>
  </si>
  <si>
    <t xml:space="preserve">SUBURBANO S.A.S.   </t>
  </si>
  <si>
    <t>900598527</t>
  </si>
  <si>
    <t xml:space="preserve">PORTI SAS   </t>
  </si>
  <si>
    <t>900746048</t>
  </si>
  <si>
    <t xml:space="preserve">INVERSIONES RESTAURANTE DIMAR COLOMBIA S   </t>
  </si>
  <si>
    <t>900747475</t>
  </si>
  <si>
    <t xml:space="preserve">PARRITIPICOS SAS   </t>
  </si>
  <si>
    <t>900824251</t>
  </si>
  <si>
    <t xml:space="preserve">CALIMAIZ S.A.S.   </t>
  </si>
  <si>
    <t>900950942</t>
  </si>
  <si>
    <t xml:space="preserve">ARBECAL SAS   </t>
  </si>
  <si>
    <t>29274934</t>
  </si>
  <si>
    <t xml:space="preserve">MARIA  CAJAS </t>
  </si>
  <si>
    <t>93368728</t>
  </si>
  <si>
    <t xml:space="preserve">ALBEIRO  QUINTERO </t>
  </si>
  <si>
    <t>700035788</t>
  </si>
  <si>
    <t xml:space="preserve">FRUTAS Y VERDURAS LA 25   </t>
  </si>
  <si>
    <t>1143843835</t>
  </si>
  <si>
    <t xml:space="preserve">JORGE  SUAREZ </t>
  </si>
  <si>
    <t>31958632</t>
  </si>
  <si>
    <t xml:space="preserve">FANNY STELLA PIZARRO </t>
  </si>
  <si>
    <t>79304195</t>
  </si>
  <si>
    <t xml:space="preserve">JAIRO  CAÑON </t>
  </si>
  <si>
    <t>890310688</t>
  </si>
  <si>
    <t xml:space="preserve">COLGAS DE OCCIDENTE S.A. E.S.P.   </t>
  </si>
  <si>
    <t>14942661</t>
  </si>
  <si>
    <t>RAUL  CASAÑAS PALACIOS</t>
  </si>
  <si>
    <t>16635487</t>
  </si>
  <si>
    <t xml:space="preserve">JAVIER ARMANDO LAVERDE </t>
  </si>
  <si>
    <t>900708869</t>
  </si>
  <si>
    <t xml:space="preserve">DROG LUZ ANGEL   </t>
  </si>
  <si>
    <t>891400343</t>
  </si>
  <si>
    <t xml:space="preserve">TAXCENTRA   </t>
  </si>
  <si>
    <t>900317901</t>
  </si>
  <si>
    <t xml:space="preserve">A TIEMPO CARGO INC   </t>
  </si>
  <si>
    <t>90042481</t>
  </si>
  <si>
    <t xml:space="preserve">ESM LOGISTICA SAS   </t>
  </si>
  <si>
    <t>810000494</t>
  </si>
  <si>
    <t xml:space="preserve">APOLO INGENIERIA S.A.   </t>
  </si>
  <si>
    <t>10250834</t>
  </si>
  <si>
    <t xml:space="preserve">ROGELIO  HINCAPIE </t>
  </si>
  <si>
    <t>1143932873</t>
  </si>
  <si>
    <t>CARLOS ANDRES GORDILLO MORALES</t>
  </si>
  <si>
    <t>15924092</t>
  </si>
  <si>
    <t>HECTOR FABIO BECERRA BECERRA</t>
  </si>
  <si>
    <t>29125360</t>
  </si>
  <si>
    <t xml:space="preserve">TANIA  HURTADO </t>
  </si>
  <si>
    <t>31940554</t>
  </si>
  <si>
    <t xml:space="preserve">LUISA  MUÑOZ </t>
  </si>
  <si>
    <t>39552749</t>
  </si>
  <si>
    <t xml:space="preserve">MARÍA RUTH SEPULVEDA </t>
  </si>
  <si>
    <t>94371850</t>
  </si>
  <si>
    <t>JOHNNY  ESCOBAR TORRES</t>
  </si>
  <si>
    <t>94543282</t>
  </si>
  <si>
    <t>HARBY ARLEX PEDROZA CASTILLO</t>
  </si>
  <si>
    <t>2408135</t>
  </si>
  <si>
    <t xml:space="preserve">TIBERIO ALDANA MONJE </t>
  </si>
  <si>
    <t>21872939</t>
  </si>
  <si>
    <t>GILMA SOLEDAD SERNA GOMEZ</t>
  </si>
  <si>
    <t>650440390</t>
  </si>
  <si>
    <t xml:space="preserve">JOSE MIGUEL BARRIENTOS </t>
  </si>
  <si>
    <t>70900204</t>
  </si>
  <si>
    <t>LUIS GUILLERMO RAMIREZ SERNA</t>
  </si>
  <si>
    <t>805005901</t>
  </si>
  <si>
    <t xml:space="preserve">FUNDACIÓN REMAR   </t>
  </si>
  <si>
    <t>890912221</t>
  </si>
  <si>
    <t xml:space="preserve">PCA SAS   </t>
  </si>
  <si>
    <t>900061224</t>
  </si>
  <si>
    <t xml:space="preserve">MERCAMIO SA   </t>
  </si>
  <si>
    <t>900492862</t>
  </si>
  <si>
    <t xml:space="preserve">COMERCIALIZADORA RUIZ GIL SAS   </t>
  </si>
  <si>
    <t>900882422</t>
  </si>
  <si>
    <t xml:space="preserve">MERCADERIA SAS   </t>
  </si>
  <si>
    <t>900985954</t>
  </si>
  <si>
    <t xml:space="preserve">LE GRAND FRANCES SAS   </t>
  </si>
  <si>
    <t>94424033</t>
  </si>
  <si>
    <t xml:space="preserve">A MILTON DÍAS </t>
  </si>
  <si>
    <t>9817401</t>
  </si>
  <si>
    <t>EZEQUIEL  BEDOYA HENAO</t>
  </si>
  <si>
    <t>1130643938</t>
  </si>
  <si>
    <t xml:space="preserve">ANDY  BORGES </t>
  </si>
  <si>
    <t>1143833066</t>
  </si>
  <si>
    <t xml:space="preserve">YIZETH  CARDONA </t>
  </si>
  <si>
    <t>25683656</t>
  </si>
  <si>
    <t xml:space="preserve">FABIOLA  VELASCO </t>
  </si>
  <si>
    <t>900367275</t>
  </si>
  <si>
    <t xml:space="preserve">ARTESANIAS Y VIVERO SAN JOAQUIN S.A.S.   </t>
  </si>
  <si>
    <t>16735539</t>
  </si>
  <si>
    <t xml:space="preserve">ALEJANDRO  ANGARITA </t>
  </si>
  <si>
    <t>EMPRESAS MUNICIPALES DE CALI</t>
  </si>
  <si>
    <t>nombre de persona</t>
  </si>
  <si>
    <t>empresa</t>
  </si>
  <si>
    <t>=xl_group_by(xl_filter_by(Sheet1!A:R,"FORMATO",1001),{"FORMATO";"CONCEPTO";"TERCERO";"NOMBRE TERCERO";"CUENTA";"NOMBRE CUENTA"},"DEBITO","sum",1)</t>
  </si>
  <si>
    <t>xl_group_by</t>
  </si>
  <si>
    <t>SUM DEBITO</t>
  </si>
  <si>
    <t>ddddd 2</t>
  </si>
  <si>
    <t>s</t>
  </si>
  <si>
    <t>fitting the whole table even though there are spaces</t>
  </si>
  <si>
    <t>Expanding to the end of values of the table. If data is not connected the table ends there</t>
  </si>
  <si>
    <t>A:B internally is converted using xf_fit_table if it is infinite</t>
  </si>
  <si>
    <t>Any used function will convert None values to empty strings ""</t>
  </si>
  <si>
    <t>FILTER FORMATO BY</t>
  </si>
  <si>
    <t>IGUALES</t>
  </si>
  <si>
    <t>Permute considering there are no headers</t>
  </si>
  <si>
    <t>Permute considering that there are headers</t>
  </si>
  <si>
    <t>Permute considering that there are headers and ignore empty cells</t>
  </si>
  <si>
    <t>Permutation of a singlo columns has no permutations</t>
  </si>
  <si>
    <t>Create permutations form data</t>
  </si>
  <si>
    <t>=xf_make_array(xf_make_array(A1;B1);xf_make_array(A1;B1))</t>
  </si>
  <si>
    <t>excel_enhancer</t>
  </si>
  <si>
    <t>Conda Path</t>
  </si>
  <si>
    <t>Conda Env</t>
  </si>
  <si>
    <t>Debug UDFs</t>
  </si>
  <si>
    <t>C:\ProgramData\Anaconda3</t>
  </si>
  <si>
    <t>C:/Users/User/Documents/MEGAsync/python_projects/PRODUCTS/excel_enhancer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</si>
</sst>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5" formatCode="&quot;$&quot;#,##0;\-&quot;$&quot;#,##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7030A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Fill="1"/>
    <xf numFmtId="5" fontId="0" fillId="0" borderId="0" xfId="0" applyNumberFormat="1"/>
    <xf numFmtId="14" fontId="0" fillId="0" borderId="0" xfId="0" applyNumberFormat="1"/>
    <xf numFmtId="0" fontId="2" fillId="0" borderId="0" xfId="0" applyFont="1"/>
    <xf numFmtId="49" fontId="2" fillId="0" borderId="3" xfId="0" applyNumberFormat="1" applyFont="1" applyFill="1" applyBorder="1"/>
    <xf numFmtId="49" fontId="2" fillId="0" borderId="4" xfId="0" applyNumberFormat="1" applyFont="1" applyFill="1" applyBorder="1"/>
    <xf numFmtId="49" fontId="4" fillId="0" borderId="4" xfId="0" applyNumberFormat="1" applyFont="1" applyFill="1" applyBorder="1"/>
    <xf numFmtId="0" fontId="0" fillId="0" borderId="0" xfId="0" applyBorder="1"/>
    <xf numFmtId="5" fontId="0" fillId="0" borderId="0" xfId="0" quotePrefix="1" applyNumberFormat="1"/>
    <xf numFmtId="0" fontId="3" fillId="0" borderId="1" xfId="0" applyFont="1" applyBorder="1" applyAlignment="1">
      <alignment horizontal="center" vertical="center"/>
    </xf>
    <xf numFmtId="0" fontId="0" fillId="0" borderId="0" xfId="0" applyNumberFormat="1"/>
    <xf numFmtId="0" fontId="0" fillId="0" borderId="0" xfId="0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quotePrefix="1" applyAlignment="1">
      <alignment horizontal="center" wrapText="1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088"/>
  <sheetViews>
    <sheetView tabSelected="1" topLeftCell="M1" workbookViewId="0">
      <selection activeCell="T2" sqref="T2"/>
    </sheetView>
  </sheetViews>
  <sheetFormatPr baseColWidth="10" defaultColWidth="11" defaultRowHeight="15.75" x14ac:dyDescent="0.25"/>
  <cols>
    <col min="5" max="5" width="11" style="5"/>
    <col min="12" max="12" width="11" style="3"/>
    <col min="13" max="13" width="35.625" style="3" customWidth="1"/>
  </cols>
  <sheetData>
    <row r="1" spans="1:22" x14ac:dyDescent="0.25">
      <c r="A1" t="s">
        <v>11</v>
      </c>
      <c r="B1" t="s">
        <v>12</v>
      </c>
      <c r="C1" t="s">
        <v>13</v>
      </c>
      <c r="D1" t="s">
        <v>14</v>
      </c>
      <c r="E1" s="5" t="s">
        <v>15</v>
      </c>
      <c r="F1" t="s">
        <v>16</v>
      </c>
      <c r="G1" t="s">
        <v>1096</v>
      </c>
      <c r="H1" t="s">
        <v>1097</v>
      </c>
      <c r="I1" t="s">
        <v>1479</v>
      </c>
      <c r="J1" t="s">
        <v>17</v>
      </c>
      <c r="K1" t="s">
        <v>18</v>
      </c>
      <c r="L1" s="3" t="s">
        <v>19</v>
      </c>
      <c r="M1" s="3" t="s">
        <v>20</v>
      </c>
      <c r="N1" t="s">
        <v>21</v>
      </c>
      <c r="O1" t="s">
        <v>22</v>
      </c>
      <c r="P1" t="s">
        <v>23</v>
      </c>
      <c r="Q1" t="s">
        <v>24</v>
      </c>
      <c r="R1" t="s">
        <v>25</v>
      </c>
      <c r="S1" t="str">
        <f t="array" ref="S1:S5087">xl_rename(xlv_map_by(Sheet1!H:H,map_by!B:B,map_by!A:A),0,"TDOC")</f>
        <v>TDOC</v>
      </c>
      <c r="T1" t="str">
        <f t="array" ref="T1:T5087">_xlfn.IFNA(xlv_map_by(Sheet1!H:H,xv_normalize_to_string(map_by!B:B),xv_normalize_to_string(map_by!A:A),TRUE),"")</f>
        <v>TERCERO</v>
      </c>
    </row>
    <row r="2" spans="1:22" ht="13.7" customHeight="1" x14ac:dyDescent="0.25">
      <c r="E2" s="5">
        <v>43465</v>
      </c>
      <c r="F2">
        <v>11050501</v>
      </c>
      <c r="G2" t="s">
        <v>195</v>
      </c>
      <c r="J2">
        <v>0</v>
      </c>
      <c r="K2">
        <v>0</v>
      </c>
      <c r="L2" s="3">
        <v>-9102478.9499999993</v>
      </c>
      <c r="M2" s="3">
        <v>0</v>
      </c>
      <c r="N2">
        <v>0</v>
      </c>
      <c r="O2">
        <v>0</v>
      </c>
      <c r="P2">
        <v>-9102478.9499999993</v>
      </c>
      <c r="R2" t="s">
        <v>1100</v>
      </c>
      <c r="S2" t="str">
        <v/>
      </c>
      <c r="T2" t="str">
        <v>#N/A</v>
      </c>
      <c r="U2" t="str">
        <f>_xlfn.IFNA(#N/A,"")</f>
        <v/>
      </c>
      <c r="V2" t="e">
        <v>#N/A</v>
      </c>
    </row>
    <row r="3" spans="1:22" ht="13.7" customHeight="1" x14ac:dyDescent="0.25">
      <c r="A3" t="s">
        <v>26</v>
      </c>
      <c r="B3" t="s">
        <v>27</v>
      </c>
      <c r="C3" t="s">
        <v>28</v>
      </c>
      <c r="D3">
        <v>1</v>
      </c>
      <c r="E3" s="5">
        <v>43467</v>
      </c>
      <c r="F3">
        <v>11050501</v>
      </c>
      <c r="G3" t="s">
        <v>195</v>
      </c>
      <c r="J3">
        <v>1012</v>
      </c>
      <c r="K3">
        <v>1110</v>
      </c>
      <c r="L3" s="3">
        <v>-9102478.9499999993</v>
      </c>
      <c r="M3" s="3">
        <v>0</v>
      </c>
      <c r="N3">
        <v>15600</v>
      </c>
      <c r="O3">
        <v>0</v>
      </c>
      <c r="P3">
        <v>-9118078.9499999993</v>
      </c>
      <c r="Q3" t="s">
        <v>30</v>
      </c>
      <c r="R3" t="s">
        <v>43</v>
      </c>
      <c r="S3" t="str">
        <v/>
      </c>
      <c r="T3" t="str">
        <v>#N/A</v>
      </c>
      <c r="U3" t="str">
        <f>IFERROR("#NUM!","shit")</f>
        <v>#NUM!</v>
      </c>
      <c r="V3" t="str">
        <f>_xlfn.IFNA(V2,"")</f>
        <v/>
      </c>
    </row>
    <row r="4" spans="1:22" ht="13.7" customHeight="1" x14ac:dyDescent="0.25">
      <c r="A4" t="s">
        <v>26</v>
      </c>
      <c r="B4" t="s">
        <v>27</v>
      </c>
      <c r="C4" t="s">
        <v>28</v>
      </c>
      <c r="D4">
        <v>10</v>
      </c>
      <c r="E4" s="5">
        <v>43469</v>
      </c>
      <c r="F4">
        <v>11050501</v>
      </c>
      <c r="G4" t="s">
        <v>195</v>
      </c>
      <c r="J4">
        <v>1012</v>
      </c>
      <c r="K4">
        <v>1110</v>
      </c>
      <c r="L4" s="3">
        <v>-9118078.9499999993</v>
      </c>
      <c r="M4" s="3">
        <v>0</v>
      </c>
      <c r="N4">
        <v>40000</v>
      </c>
      <c r="O4">
        <v>0</v>
      </c>
      <c r="P4">
        <v>-9158078.9499999993</v>
      </c>
      <c r="Q4" t="s">
        <v>30</v>
      </c>
      <c r="R4" t="s">
        <v>44</v>
      </c>
      <c r="S4" t="str">
        <v/>
      </c>
      <c r="T4" t="str">
        <v>#N/A</v>
      </c>
      <c r="U4" t="str">
        <f t="array" ref="U4">xf_show_formula(U2)</f>
        <v>=SI.ND(#N/A;"")</v>
      </c>
    </row>
    <row r="5" spans="1:22" ht="13.7" customHeight="1" x14ac:dyDescent="0.25">
      <c r="A5" t="s">
        <v>26</v>
      </c>
      <c r="B5" t="s">
        <v>27</v>
      </c>
      <c r="C5" t="s">
        <v>28</v>
      </c>
      <c r="D5">
        <v>17</v>
      </c>
      <c r="E5" s="5">
        <v>43473</v>
      </c>
      <c r="F5">
        <v>11050501</v>
      </c>
      <c r="G5" t="s">
        <v>195</v>
      </c>
      <c r="J5">
        <v>1012</v>
      </c>
      <c r="K5">
        <v>1110</v>
      </c>
      <c r="L5" s="3">
        <v>-9158078.9499999993</v>
      </c>
      <c r="M5" s="3">
        <v>0</v>
      </c>
      <c r="N5">
        <v>18000</v>
      </c>
      <c r="O5">
        <v>0</v>
      </c>
      <c r="P5">
        <v>-9176078.9499999993</v>
      </c>
      <c r="Q5" t="s">
        <v>30</v>
      </c>
      <c r="R5" t="s">
        <v>45</v>
      </c>
      <c r="S5" t="str">
        <v/>
      </c>
      <c r="T5" t="str">
        <v>#N/A</v>
      </c>
    </row>
    <row r="6" spans="1:22" ht="13.7" customHeight="1" x14ac:dyDescent="0.25">
      <c r="A6" t="s">
        <v>26</v>
      </c>
      <c r="B6" t="s">
        <v>27</v>
      </c>
      <c r="C6" t="s">
        <v>28</v>
      </c>
      <c r="D6">
        <v>18</v>
      </c>
      <c r="E6" s="5">
        <v>43474</v>
      </c>
      <c r="F6">
        <v>11050501</v>
      </c>
      <c r="G6" t="s">
        <v>195</v>
      </c>
      <c r="J6">
        <v>1012</v>
      </c>
      <c r="K6">
        <v>1110</v>
      </c>
      <c r="L6" s="3">
        <v>-9176078.9499999993</v>
      </c>
      <c r="M6" s="3">
        <v>0</v>
      </c>
      <c r="N6">
        <v>24500</v>
      </c>
      <c r="O6">
        <v>0</v>
      </c>
      <c r="P6">
        <v>-9200578.9499999993</v>
      </c>
      <c r="Q6" t="s">
        <v>30</v>
      </c>
      <c r="R6" t="s">
        <v>46</v>
      </c>
      <c r="S6" t="str">
        <v/>
      </c>
      <c r="T6" t="str">
        <v>#N/A</v>
      </c>
    </row>
    <row r="7" spans="1:22" ht="13.7" customHeight="1" x14ac:dyDescent="0.25">
      <c r="A7" t="s">
        <v>26</v>
      </c>
      <c r="B7" t="s">
        <v>27</v>
      </c>
      <c r="C7" t="s">
        <v>28</v>
      </c>
      <c r="D7">
        <v>20</v>
      </c>
      <c r="E7" s="5">
        <v>43476</v>
      </c>
      <c r="F7">
        <v>11050501</v>
      </c>
      <c r="G7" t="s">
        <v>195</v>
      </c>
      <c r="J7">
        <v>1012</v>
      </c>
      <c r="K7">
        <v>1110</v>
      </c>
      <c r="L7" s="3">
        <v>-9200578.9499999993</v>
      </c>
      <c r="M7" s="3">
        <v>0</v>
      </c>
      <c r="N7">
        <v>10000</v>
      </c>
      <c r="O7">
        <v>0</v>
      </c>
      <c r="P7">
        <v>-9210578.9499999993</v>
      </c>
      <c r="Q7" t="s">
        <v>30</v>
      </c>
      <c r="R7" t="s">
        <v>47</v>
      </c>
      <c r="S7" t="str">
        <v/>
      </c>
      <c r="T7" t="str">
        <v>#N/A</v>
      </c>
    </row>
    <row r="8" spans="1:22" ht="13.7" customHeight="1" x14ac:dyDescent="0.25">
      <c r="A8" t="s">
        <v>26</v>
      </c>
      <c r="B8" t="s">
        <v>27</v>
      </c>
      <c r="C8" t="s">
        <v>28</v>
      </c>
      <c r="D8">
        <v>21</v>
      </c>
      <c r="E8" s="5">
        <v>43476</v>
      </c>
      <c r="F8">
        <v>11050501</v>
      </c>
      <c r="G8" t="s">
        <v>195</v>
      </c>
      <c r="J8">
        <v>1012</v>
      </c>
      <c r="K8">
        <v>1110</v>
      </c>
      <c r="L8" s="3">
        <v>-9210578.9499999993</v>
      </c>
      <c r="M8" s="3">
        <v>0</v>
      </c>
      <c r="N8">
        <v>8400</v>
      </c>
      <c r="O8">
        <v>0</v>
      </c>
      <c r="P8">
        <v>-9218978.9499999993</v>
      </c>
      <c r="Q8" t="s">
        <v>30</v>
      </c>
      <c r="R8" t="s">
        <v>48</v>
      </c>
      <c r="S8" t="str">
        <v/>
      </c>
      <c r="T8" t="str">
        <v>#N/A</v>
      </c>
    </row>
    <row r="9" spans="1:22" ht="13.7" customHeight="1" x14ac:dyDescent="0.25">
      <c r="A9" t="s">
        <v>26</v>
      </c>
      <c r="B9" t="s">
        <v>27</v>
      </c>
      <c r="C9" t="s">
        <v>28</v>
      </c>
      <c r="D9">
        <v>22</v>
      </c>
      <c r="E9" s="5">
        <v>43476</v>
      </c>
      <c r="F9">
        <v>11050501</v>
      </c>
      <c r="G9" t="s">
        <v>195</v>
      </c>
      <c r="J9">
        <v>1012</v>
      </c>
      <c r="K9">
        <v>1110</v>
      </c>
      <c r="L9" s="3">
        <v>-9218978.9499999993</v>
      </c>
      <c r="M9" s="3">
        <v>0</v>
      </c>
      <c r="N9">
        <v>50575</v>
      </c>
      <c r="O9">
        <v>0</v>
      </c>
      <c r="P9">
        <v>-9269553.9499999993</v>
      </c>
      <c r="Q9" t="s">
        <v>30</v>
      </c>
      <c r="R9" t="s">
        <v>49</v>
      </c>
      <c r="S9" t="str">
        <v/>
      </c>
      <c r="T9" t="str">
        <v>#N/A</v>
      </c>
    </row>
    <row r="10" spans="1:22" ht="13.7" customHeight="1" x14ac:dyDescent="0.25">
      <c r="A10" t="s">
        <v>26</v>
      </c>
      <c r="B10" t="s">
        <v>27</v>
      </c>
      <c r="C10" t="s">
        <v>28</v>
      </c>
      <c r="D10">
        <v>23</v>
      </c>
      <c r="E10" s="5">
        <v>43476</v>
      </c>
      <c r="F10">
        <v>11050501</v>
      </c>
      <c r="G10" t="s">
        <v>195</v>
      </c>
      <c r="J10">
        <v>1012</v>
      </c>
      <c r="K10">
        <v>1110</v>
      </c>
      <c r="L10" s="3">
        <v>-9269553.9499999993</v>
      </c>
      <c r="M10" s="3">
        <v>0</v>
      </c>
      <c r="N10">
        <v>1799</v>
      </c>
      <c r="O10">
        <v>0</v>
      </c>
      <c r="P10">
        <v>-9271352.9499999993</v>
      </c>
      <c r="Q10" t="s">
        <v>30</v>
      </c>
      <c r="R10" t="s">
        <v>50</v>
      </c>
      <c r="S10" t="str">
        <v/>
      </c>
      <c r="T10" t="str">
        <v>#N/A</v>
      </c>
    </row>
    <row r="11" spans="1:22" ht="13.7" customHeight="1" x14ac:dyDescent="0.25">
      <c r="A11" t="s">
        <v>26</v>
      </c>
      <c r="B11" t="s">
        <v>27</v>
      </c>
      <c r="C11" t="s">
        <v>28</v>
      </c>
      <c r="D11">
        <v>24</v>
      </c>
      <c r="E11" s="5">
        <v>43476</v>
      </c>
      <c r="F11">
        <v>11050501</v>
      </c>
      <c r="G11" t="s">
        <v>195</v>
      </c>
      <c r="J11">
        <v>1012</v>
      </c>
      <c r="K11">
        <v>1110</v>
      </c>
      <c r="L11" s="3">
        <v>-9271352.9499999993</v>
      </c>
      <c r="M11" s="3">
        <v>0</v>
      </c>
      <c r="N11">
        <v>6497</v>
      </c>
      <c r="O11">
        <v>0</v>
      </c>
      <c r="P11">
        <v>-9277849.9499999993</v>
      </c>
      <c r="Q11" t="s">
        <v>30</v>
      </c>
      <c r="R11" t="s">
        <v>50</v>
      </c>
      <c r="S11" t="str">
        <v/>
      </c>
      <c r="T11" t="str">
        <v>#N/A</v>
      </c>
    </row>
    <row r="12" spans="1:22" ht="13.7" customHeight="1" x14ac:dyDescent="0.25">
      <c r="A12" t="s">
        <v>26</v>
      </c>
      <c r="B12" t="s">
        <v>27</v>
      </c>
      <c r="C12" t="s">
        <v>28</v>
      </c>
      <c r="D12">
        <v>26</v>
      </c>
      <c r="E12" s="5">
        <v>43477</v>
      </c>
      <c r="F12">
        <v>11050501</v>
      </c>
      <c r="G12" t="s">
        <v>195</v>
      </c>
      <c r="J12">
        <v>1012</v>
      </c>
      <c r="K12">
        <v>1110</v>
      </c>
      <c r="L12" s="3">
        <v>-9277849.9499999993</v>
      </c>
      <c r="M12" s="3">
        <v>0</v>
      </c>
      <c r="N12">
        <v>176725</v>
      </c>
      <c r="O12">
        <v>0</v>
      </c>
      <c r="P12">
        <v>-9454574.9499999993</v>
      </c>
      <c r="Q12" t="s">
        <v>30</v>
      </c>
      <c r="R12" t="s">
        <v>51</v>
      </c>
      <c r="S12" t="str">
        <v/>
      </c>
      <c r="T12" t="str">
        <v>#N/A</v>
      </c>
    </row>
    <row r="13" spans="1:22" ht="13.7" customHeight="1" x14ac:dyDescent="0.25">
      <c r="A13" t="s">
        <v>26</v>
      </c>
      <c r="B13" t="s">
        <v>27</v>
      </c>
      <c r="C13" t="s">
        <v>28</v>
      </c>
      <c r="D13">
        <v>27</v>
      </c>
      <c r="E13" s="5">
        <v>43477</v>
      </c>
      <c r="F13">
        <v>11050501</v>
      </c>
      <c r="G13" t="s">
        <v>195</v>
      </c>
      <c r="J13">
        <v>1012</v>
      </c>
      <c r="K13">
        <v>1110</v>
      </c>
      <c r="L13" s="3">
        <v>-9454574.9499999993</v>
      </c>
      <c r="M13" s="3">
        <v>0</v>
      </c>
      <c r="N13">
        <v>37000</v>
      </c>
      <c r="O13">
        <v>0</v>
      </c>
      <c r="P13">
        <v>-9491574.9499999993</v>
      </c>
      <c r="Q13" t="s">
        <v>30</v>
      </c>
      <c r="R13" t="s">
        <v>52</v>
      </c>
      <c r="S13" t="str">
        <v/>
      </c>
      <c r="T13" t="str">
        <v>#N/A</v>
      </c>
    </row>
    <row r="14" spans="1:22" ht="13.7" customHeight="1" x14ac:dyDescent="0.25">
      <c r="A14" t="s">
        <v>26</v>
      </c>
      <c r="B14" t="s">
        <v>27</v>
      </c>
      <c r="C14" t="s">
        <v>28</v>
      </c>
      <c r="D14">
        <v>28</v>
      </c>
      <c r="E14" s="5">
        <v>43479</v>
      </c>
      <c r="F14">
        <v>11050501</v>
      </c>
      <c r="G14" t="s">
        <v>195</v>
      </c>
      <c r="J14">
        <v>1012</v>
      </c>
      <c r="K14">
        <v>1110</v>
      </c>
      <c r="L14" s="3">
        <v>-9491574.9499999993</v>
      </c>
      <c r="M14" s="3">
        <v>0</v>
      </c>
      <c r="N14">
        <v>8823</v>
      </c>
      <c r="O14">
        <v>0</v>
      </c>
      <c r="P14">
        <v>-9500397.9499999993</v>
      </c>
      <c r="Q14" t="s">
        <v>30</v>
      </c>
      <c r="R14" t="s">
        <v>53</v>
      </c>
      <c r="S14" t="str">
        <v/>
      </c>
      <c r="T14" t="str">
        <v>#N/A</v>
      </c>
    </row>
    <row r="15" spans="1:22" ht="13.7" customHeight="1" x14ac:dyDescent="0.25">
      <c r="A15" t="s">
        <v>26</v>
      </c>
      <c r="B15" t="s">
        <v>27</v>
      </c>
      <c r="C15" t="s">
        <v>28</v>
      </c>
      <c r="D15">
        <v>29</v>
      </c>
      <c r="E15" s="5">
        <v>43479</v>
      </c>
      <c r="F15">
        <v>11050501</v>
      </c>
      <c r="G15" t="s">
        <v>195</v>
      </c>
      <c r="J15">
        <v>1012</v>
      </c>
      <c r="K15">
        <v>1110</v>
      </c>
      <c r="L15" s="3">
        <v>-9500397.9499999993</v>
      </c>
      <c r="M15" s="3">
        <v>0</v>
      </c>
      <c r="N15">
        <v>5042</v>
      </c>
      <c r="O15">
        <v>0</v>
      </c>
      <c r="P15">
        <v>-9505439.9499999993</v>
      </c>
      <c r="Q15" t="s">
        <v>30</v>
      </c>
      <c r="R15" t="s">
        <v>54</v>
      </c>
      <c r="S15" t="str">
        <v/>
      </c>
      <c r="T15" t="str">
        <v>#N/A</v>
      </c>
    </row>
    <row r="16" spans="1:22" ht="13.7" customHeight="1" x14ac:dyDescent="0.25">
      <c r="A16" t="s">
        <v>26</v>
      </c>
      <c r="B16" t="s">
        <v>27</v>
      </c>
      <c r="C16" t="s">
        <v>28</v>
      </c>
      <c r="D16">
        <v>32</v>
      </c>
      <c r="E16" s="5">
        <v>43479</v>
      </c>
      <c r="F16">
        <v>11050501</v>
      </c>
      <c r="G16" t="s">
        <v>195</v>
      </c>
      <c r="J16">
        <v>1012</v>
      </c>
      <c r="K16">
        <v>1110</v>
      </c>
      <c r="L16" s="3">
        <v>-9505439.9499999993</v>
      </c>
      <c r="M16" s="3">
        <v>0</v>
      </c>
      <c r="N16">
        <v>28000</v>
      </c>
      <c r="O16">
        <v>0</v>
      </c>
      <c r="P16">
        <v>-9533439.9499999993</v>
      </c>
      <c r="Q16" t="s">
        <v>30</v>
      </c>
      <c r="R16" t="s">
        <v>55</v>
      </c>
      <c r="S16" t="str">
        <v/>
      </c>
      <c r="T16" t="str">
        <v>#N/A</v>
      </c>
    </row>
    <row r="17" spans="1:20" ht="13.7" customHeight="1" x14ac:dyDescent="0.25">
      <c r="A17" t="s">
        <v>26</v>
      </c>
      <c r="B17" t="s">
        <v>27</v>
      </c>
      <c r="C17" t="s">
        <v>28</v>
      </c>
      <c r="D17">
        <v>36</v>
      </c>
      <c r="E17" s="5">
        <v>43480</v>
      </c>
      <c r="F17">
        <v>11050501</v>
      </c>
      <c r="G17" t="s">
        <v>195</v>
      </c>
      <c r="J17">
        <v>1012</v>
      </c>
      <c r="K17">
        <v>1110</v>
      </c>
      <c r="L17" s="3">
        <v>-9533439.9499999993</v>
      </c>
      <c r="M17" s="3">
        <v>0</v>
      </c>
      <c r="N17">
        <v>207000</v>
      </c>
      <c r="O17">
        <v>0</v>
      </c>
      <c r="P17">
        <v>-9740439.9499999993</v>
      </c>
      <c r="Q17" t="s">
        <v>30</v>
      </c>
      <c r="R17" t="s">
        <v>56</v>
      </c>
      <c r="S17" t="str">
        <v/>
      </c>
      <c r="T17" t="str">
        <v>#N/A</v>
      </c>
    </row>
    <row r="18" spans="1:20" ht="13.7" customHeight="1" x14ac:dyDescent="0.25">
      <c r="A18" t="s">
        <v>26</v>
      </c>
      <c r="B18" t="s">
        <v>27</v>
      </c>
      <c r="C18" t="s">
        <v>28</v>
      </c>
      <c r="D18">
        <v>40</v>
      </c>
      <c r="E18" s="5">
        <v>43482</v>
      </c>
      <c r="F18">
        <v>11050501</v>
      </c>
      <c r="G18" t="s">
        <v>195</v>
      </c>
      <c r="J18">
        <v>1012</v>
      </c>
      <c r="K18">
        <v>1110</v>
      </c>
      <c r="L18" s="3">
        <v>-9740439.9499999993</v>
      </c>
      <c r="M18" s="3">
        <v>0</v>
      </c>
      <c r="N18">
        <v>268000</v>
      </c>
      <c r="O18">
        <v>0</v>
      </c>
      <c r="P18">
        <v>-10008439.949999999</v>
      </c>
      <c r="Q18" t="s">
        <v>30</v>
      </c>
      <c r="R18" t="s">
        <v>57</v>
      </c>
      <c r="S18" t="str">
        <v/>
      </c>
      <c r="T18" t="str">
        <v>#N/A</v>
      </c>
    </row>
    <row r="19" spans="1:20" ht="13.7" customHeight="1" x14ac:dyDescent="0.25">
      <c r="A19" t="s">
        <v>26</v>
      </c>
      <c r="B19" t="s">
        <v>27</v>
      </c>
      <c r="C19" t="s">
        <v>28</v>
      </c>
      <c r="D19">
        <v>41</v>
      </c>
      <c r="E19" s="5">
        <v>43482</v>
      </c>
      <c r="F19">
        <v>11050501</v>
      </c>
      <c r="G19" t="s">
        <v>195</v>
      </c>
      <c r="J19">
        <v>1012</v>
      </c>
      <c r="K19">
        <v>1110</v>
      </c>
      <c r="L19" s="3">
        <v>-10008439.949999999</v>
      </c>
      <c r="M19" s="3">
        <v>0</v>
      </c>
      <c r="N19">
        <v>13700</v>
      </c>
      <c r="O19">
        <v>0</v>
      </c>
      <c r="P19">
        <v>-10022139.949999999</v>
      </c>
      <c r="Q19" t="s">
        <v>30</v>
      </c>
      <c r="R19" t="s">
        <v>58</v>
      </c>
      <c r="S19" t="str">
        <v/>
      </c>
      <c r="T19" t="str">
        <v>#N/A</v>
      </c>
    </row>
    <row r="20" spans="1:20" ht="13.7" customHeight="1" x14ac:dyDescent="0.25">
      <c r="A20" t="s">
        <v>26</v>
      </c>
      <c r="B20" t="s">
        <v>27</v>
      </c>
      <c r="C20" t="s">
        <v>28</v>
      </c>
      <c r="D20">
        <v>42</v>
      </c>
      <c r="E20" s="5">
        <v>43482</v>
      </c>
      <c r="F20">
        <v>11050501</v>
      </c>
      <c r="G20" t="s">
        <v>195</v>
      </c>
      <c r="J20">
        <v>1012</v>
      </c>
      <c r="K20">
        <v>1110</v>
      </c>
      <c r="L20" s="3">
        <v>-10022139.949999999</v>
      </c>
      <c r="M20" s="3">
        <v>0</v>
      </c>
      <c r="N20">
        <v>7800</v>
      </c>
      <c r="O20">
        <v>0</v>
      </c>
      <c r="P20">
        <v>-10029939.949999999</v>
      </c>
      <c r="Q20" t="s">
        <v>30</v>
      </c>
      <c r="R20" t="s">
        <v>59</v>
      </c>
      <c r="S20" t="str">
        <v/>
      </c>
      <c r="T20" t="str">
        <v>#N/A</v>
      </c>
    </row>
    <row r="21" spans="1:20" ht="13.7" customHeight="1" x14ac:dyDescent="0.25">
      <c r="A21" t="s">
        <v>26</v>
      </c>
      <c r="B21" t="s">
        <v>27</v>
      </c>
      <c r="C21" t="s">
        <v>28</v>
      </c>
      <c r="D21">
        <v>44</v>
      </c>
      <c r="E21" s="5">
        <v>43483</v>
      </c>
      <c r="F21">
        <v>11050501</v>
      </c>
      <c r="G21" t="s">
        <v>195</v>
      </c>
      <c r="J21">
        <v>1012</v>
      </c>
      <c r="K21">
        <v>1110</v>
      </c>
      <c r="L21" s="3">
        <v>-10029939.949999999</v>
      </c>
      <c r="M21" s="3">
        <v>0</v>
      </c>
      <c r="N21">
        <v>7000</v>
      </c>
      <c r="O21">
        <v>0</v>
      </c>
      <c r="P21">
        <v>-10036939.949999999</v>
      </c>
      <c r="Q21" t="s">
        <v>30</v>
      </c>
      <c r="R21" t="s">
        <v>60</v>
      </c>
      <c r="S21" t="str">
        <v/>
      </c>
      <c r="T21" t="str">
        <v>#N/A</v>
      </c>
    </row>
    <row r="22" spans="1:20" ht="13.7" customHeight="1" x14ac:dyDescent="0.25">
      <c r="A22" t="s">
        <v>26</v>
      </c>
      <c r="B22" t="s">
        <v>27</v>
      </c>
      <c r="C22" t="s">
        <v>28</v>
      </c>
      <c r="D22">
        <v>45</v>
      </c>
      <c r="E22" s="5">
        <v>43483</v>
      </c>
      <c r="F22">
        <v>11050501</v>
      </c>
      <c r="G22" t="s">
        <v>195</v>
      </c>
      <c r="J22">
        <v>1012</v>
      </c>
      <c r="K22">
        <v>1110</v>
      </c>
      <c r="L22" s="3">
        <v>-10036939.949999999</v>
      </c>
      <c r="M22" s="3">
        <v>0</v>
      </c>
      <c r="N22">
        <v>7800</v>
      </c>
      <c r="O22">
        <v>0</v>
      </c>
      <c r="P22">
        <v>-10044739.949999999</v>
      </c>
      <c r="Q22" t="s">
        <v>30</v>
      </c>
      <c r="R22" t="s">
        <v>59</v>
      </c>
      <c r="S22" t="str">
        <v/>
      </c>
      <c r="T22" t="str">
        <v>#N/A</v>
      </c>
    </row>
    <row r="23" spans="1:20" ht="13.7" customHeight="1" x14ac:dyDescent="0.25">
      <c r="A23" t="s">
        <v>26</v>
      </c>
      <c r="B23" t="s">
        <v>27</v>
      </c>
      <c r="C23" t="s">
        <v>28</v>
      </c>
      <c r="D23">
        <v>46</v>
      </c>
      <c r="E23" s="5">
        <v>43483</v>
      </c>
      <c r="F23">
        <v>11050501</v>
      </c>
      <c r="G23" t="s">
        <v>195</v>
      </c>
      <c r="J23">
        <v>1012</v>
      </c>
      <c r="K23">
        <v>1110</v>
      </c>
      <c r="L23" s="3">
        <v>-10044739.949999999</v>
      </c>
      <c r="M23" s="3">
        <v>0</v>
      </c>
      <c r="N23">
        <v>165499</v>
      </c>
      <c r="O23">
        <v>0</v>
      </c>
      <c r="P23">
        <v>-10210238.949999999</v>
      </c>
      <c r="Q23" t="s">
        <v>30</v>
      </c>
      <c r="R23" t="s">
        <v>61</v>
      </c>
      <c r="S23" t="str">
        <v/>
      </c>
      <c r="T23" t="str">
        <v>#N/A</v>
      </c>
    </row>
    <row r="24" spans="1:20" ht="13.7" customHeight="1" x14ac:dyDescent="0.25">
      <c r="A24" t="s">
        <v>26</v>
      </c>
      <c r="B24" t="s">
        <v>27</v>
      </c>
      <c r="C24" t="s">
        <v>28</v>
      </c>
      <c r="D24">
        <v>47</v>
      </c>
      <c r="E24" s="5">
        <v>43483</v>
      </c>
      <c r="F24">
        <v>11050501</v>
      </c>
      <c r="G24" t="s">
        <v>195</v>
      </c>
      <c r="J24">
        <v>1012</v>
      </c>
      <c r="K24">
        <v>1110</v>
      </c>
      <c r="L24" s="3">
        <v>-10210238.949999999</v>
      </c>
      <c r="M24" s="3">
        <v>0</v>
      </c>
      <c r="N24">
        <v>25828</v>
      </c>
      <c r="O24">
        <v>0</v>
      </c>
      <c r="P24">
        <v>-10236066.949999999</v>
      </c>
      <c r="Q24" t="s">
        <v>30</v>
      </c>
      <c r="R24" t="s">
        <v>62</v>
      </c>
      <c r="S24" t="str">
        <v/>
      </c>
      <c r="T24" t="str">
        <v>#N/A</v>
      </c>
    </row>
    <row r="25" spans="1:20" ht="13.7" customHeight="1" x14ac:dyDescent="0.25">
      <c r="A25" t="s">
        <v>26</v>
      </c>
      <c r="B25" t="s">
        <v>27</v>
      </c>
      <c r="C25" t="s">
        <v>28</v>
      </c>
      <c r="D25">
        <v>48</v>
      </c>
      <c r="E25" s="5">
        <v>43483</v>
      </c>
      <c r="F25">
        <v>11050501</v>
      </c>
      <c r="G25" t="s">
        <v>195</v>
      </c>
      <c r="J25">
        <v>1012</v>
      </c>
      <c r="K25">
        <v>1110</v>
      </c>
      <c r="L25" s="3">
        <v>-10236066.949999999</v>
      </c>
      <c r="M25" s="3">
        <v>0</v>
      </c>
      <c r="N25">
        <v>15398</v>
      </c>
      <c r="O25">
        <v>0</v>
      </c>
      <c r="P25">
        <v>-10251464.949999999</v>
      </c>
      <c r="Q25" t="s">
        <v>30</v>
      </c>
      <c r="R25" t="s">
        <v>63</v>
      </c>
      <c r="S25" t="str">
        <v/>
      </c>
      <c r="T25" t="str">
        <v>#N/A</v>
      </c>
    </row>
    <row r="26" spans="1:20" ht="13.7" customHeight="1" x14ac:dyDescent="0.25">
      <c r="A26" t="s">
        <v>26</v>
      </c>
      <c r="B26" t="s">
        <v>27</v>
      </c>
      <c r="C26" t="s">
        <v>28</v>
      </c>
      <c r="D26">
        <v>49</v>
      </c>
      <c r="E26" s="5">
        <v>43484</v>
      </c>
      <c r="F26">
        <v>11050501</v>
      </c>
      <c r="G26" t="s">
        <v>195</v>
      </c>
      <c r="J26">
        <v>1012</v>
      </c>
      <c r="K26">
        <v>1110</v>
      </c>
      <c r="L26" s="3">
        <v>-10251464.949999999</v>
      </c>
      <c r="M26" s="3">
        <v>0</v>
      </c>
      <c r="N26">
        <v>19000</v>
      </c>
      <c r="O26">
        <v>0</v>
      </c>
      <c r="P26">
        <v>-10270464.949999999</v>
      </c>
      <c r="Q26" t="s">
        <v>30</v>
      </c>
      <c r="R26" t="s">
        <v>52</v>
      </c>
      <c r="S26" t="str">
        <v/>
      </c>
      <c r="T26" t="str">
        <v>#N/A</v>
      </c>
    </row>
    <row r="27" spans="1:20" ht="13.7" customHeight="1" x14ac:dyDescent="0.25">
      <c r="A27" t="s">
        <v>26</v>
      </c>
      <c r="B27" t="s">
        <v>27</v>
      </c>
      <c r="C27" t="s">
        <v>28</v>
      </c>
      <c r="D27">
        <v>50</v>
      </c>
      <c r="E27" s="5">
        <v>43484</v>
      </c>
      <c r="F27">
        <v>11050501</v>
      </c>
      <c r="G27" t="s">
        <v>195</v>
      </c>
      <c r="J27">
        <v>1012</v>
      </c>
      <c r="K27">
        <v>1110</v>
      </c>
      <c r="L27" s="3">
        <v>-10270464.949999999</v>
      </c>
      <c r="M27" s="3">
        <v>0</v>
      </c>
      <c r="N27">
        <v>19800</v>
      </c>
      <c r="O27">
        <v>0</v>
      </c>
      <c r="P27">
        <v>-10290264.949999999</v>
      </c>
      <c r="Q27" t="s">
        <v>30</v>
      </c>
      <c r="R27" t="s">
        <v>47</v>
      </c>
      <c r="S27" t="str">
        <v/>
      </c>
      <c r="T27" t="str">
        <v>#N/A</v>
      </c>
    </row>
    <row r="28" spans="1:20" ht="13.7" customHeight="1" x14ac:dyDescent="0.25">
      <c r="A28" t="s">
        <v>26</v>
      </c>
      <c r="B28" t="s">
        <v>27</v>
      </c>
      <c r="C28" t="s">
        <v>28</v>
      </c>
      <c r="D28">
        <v>56</v>
      </c>
      <c r="E28" s="5">
        <v>43486</v>
      </c>
      <c r="F28">
        <v>11050501</v>
      </c>
      <c r="G28" t="s">
        <v>195</v>
      </c>
      <c r="J28">
        <v>1012</v>
      </c>
      <c r="K28">
        <v>1110</v>
      </c>
      <c r="L28" s="3">
        <v>-10290264.949999999</v>
      </c>
      <c r="M28" s="3">
        <v>0</v>
      </c>
      <c r="N28">
        <v>30000</v>
      </c>
      <c r="O28">
        <v>0</v>
      </c>
      <c r="P28">
        <v>-10320264.949999999</v>
      </c>
      <c r="Q28" t="s">
        <v>30</v>
      </c>
      <c r="R28" t="s">
        <v>64</v>
      </c>
      <c r="S28" t="str">
        <v/>
      </c>
      <c r="T28" t="str">
        <v>#N/A</v>
      </c>
    </row>
    <row r="29" spans="1:20" ht="13.7" customHeight="1" x14ac:dyDescent="0.25">
      <c r="A29" t="s">
        <v>26</v>
      </c>
      <c r="B29" t="s">
        <v>27</v>
      </c>
      <c r="C29" t="s">
        <v>28</v>
      </c>
      <c r="D29">
        <v>58</v>
      </c>
      <c r="E29" s="5">
        <v>43487</v>
      </c>
      <c r="F29">
        <v>11050501</v>
      </c>
      <c r="G29" t="s">
        <v>195</v>
      </c>
      <c r="J29">
        <v>1012</v>
      </c>
      <c r="K29">
        <v>1110</v>
      </c>
      <c r="L29" s="3">
        <v>-10320264.949999999</v>
      </c>
      <c r="M29" s="3">
        <v>0</v>
      </c>
      <c r="N29">
        <v>110000</v>
      </c>
      <c r="O29">
        <v>0</v>
      </c>
      <c r="P29">
        <v>-10430264.949999999</v>
      </c>
      <c r="Q29" t="s">
        <v>30</v>
      </c>
      <c r="R29" t="s">
        <v>65</v>
      </c>
      <c r="S29" t="str">
        <v/>
      </c>
      <c r="T29" t="str">
        <v>#N/A</v>
      </c>
    </row>
    <row r="30" spans="1:20" ht="13.7" customHeight="1" x14ac:dyDescent="0.25">
      <c r="A30" t="s">
        <v>26</v>
      </c>
      <c r="B30" t="s">
        <v>27</v>
      </c>
      <c r="C30" t="s">
        <v>28</v>
      </c>
      <c r="D30">
        <v>59</v>
      </c>
      <c r="E30" s="5">
        <v>43487</v>
      </c>
      <c r="F30">
        <v>11050501</v>
      </c>
      <c r="G30" t="s">
        <v>195</v>
      </c>
      <c r="J30">
        <v>1012</v>
      </c>
      <c r="K30">
        <v>1110</v>
      </c>
      <c r="L30" s="3">
        <v>-10430264.949999999</v>
      </c>
      <c r="M30" s="3">
        <v>0</v>
      </c>
      <c r="N30">
        <v>9500</v>
      </c>
      <c r="O30">
        <v>0</v>
      </c>
      <c r="P30">
        <v>-10439764.949999999</v>
      </c>
      <c r="Q30" t="s">
        <v>30</v>
      </c>
      <c r="R30" t="s">
        <v>66</v>
      </c>
      <c r="S30" t="str">
        <v/>
      </c>
      <c r="T30" t="str">
        <v>#N/A</v>
      </c>
    </row>
    <row r="31" spans="1:20" ht="13.7" customHeight="1" x14ac:dyDescent="0.25">
      <c r="A31" t="s">
        <v>26</v>
      </c>
      <c r="B31" t="s">
        <v>27</v>
      </c>
      <c r="C31" t="s">
        <v>28</v>
      </c>
      <c r="D31">
        <v>60</v>
      </c>
      <c r="E31" s="5">
        <v>43488</v>
      </c>
      <c r="F31">
        <v>11050501</v>
      </c>
      <c r="G31" t="s">
        <v>195</v>
      </c>
      <c r="J31">
        <v>1012</v>
      </c>
      <c r="K31">
        <v>1110</v>
      </c>
      <c r="L31" s="3">
        <v>-10439764.949999999</v>
      </c>
      <c r="M31" s="3">
        <v>0</v>
      </c>
      <c r="N31">
        <v>310000</v>
      </c>
      <c r="O31">
        <v>0</v>
      </c>
      <c r="P31">
        <v>-10749764.949999999</v>
      </c>
      <c r="Q31" t="s">
        <v>30</v>
      </c>
      <c r="R31" t="s">
        <v>65</v>
      </c>
      <c r="S31" t="str">
        <v/>
      </c>
      <c r="T31" t="str">
        <v>#N/A</v>
      </c>
    </row>
    <row r="32" spans="1:20" ht="13.7" customHeight="1" x14ac:dyDescent="0.25">
      <c r="A32" t="s">
        <v>26</v>
      </c>
      <c r="B32" t="s">
        <v>27</v>
      </c>
      <c r="C32" t="s">
        <v>28</v>
      </c>
      <c r="D32">
        <v>62</v>
      </c>
      <c r="E32" s="5">
        <v>43488</v>
      </c>
      <c r="F32">
        <v>11050501</v>
      </c>
      <c r="G32" t="s">
        <v>195</v>
      </c>
      <c r="J32">
        <v>1012</v>
      </c>
      <c r="K32">
        <v>1110</v>
      </c>
      <c r="L32" s="3">
        <v>-10749764.949999999</v>
      </c>
      <c r="M32" s="3">
        <v>0</v>
      </c>
      <c r="N32">
        <v>7400</v>
      </c>
      <c r="O32">
        <v>0</v>
      </c>
      <c r="P32">
        <v>-10757164.949999999</v>
      </c>
      <c r="Q32" t="s">
        <v>30</v>
      </c>
      <c r="R32" t="s">
        <v>59</v>
      </c>
      <c r="S32" t="str">
        <v/>
      </c>
      <c r="T32" t="str">
        <v>#N/A</v>
      </c>
    </row>
    <row r="33" spans="1:20" ht="13.7" customHeight="1" x14ac:dyDescent="0.25">
      <c r="A33" t="s">
        <v>26</v>
      </c>
      <c r="B33" t="s">
        <v>27</v>
      </c>
      <c r="C33" t="s">
        <v>28</v>
      </c>
      <c r="D33">
        <v>63</v>
      </c>
      <c r="E33" s="5">
        <v>43489</v>
      </c>
      <c r="F33">
        <v>11050501</v>
      </c>
      <c r="G33" t="s">
        <v>195</v>
      </c>
      <c r="J33">
        <v>1012</v>
      </c>
      <c r="K33">
        <v>1110</v>
      </c>
      <c r="L33" s="3">
        <v>-10757164.949999999</v>
      </c>
      <c r="M33" s="3">
        <v>0</v>
      </c>
      <c r="N33">
        <v>135000</v>
      </c>
      <c r="O33">
        <v>0</v>
      </c>
      <c r="P33">
        <v>-10892164.949999999</v>
      </c>
      <c r="Q33" t="s">
        <v>30</v>
      </c>
      <c r="R33" t="s">
        <v>67</v>
      </c>
      <c r="S33" t="str">
        <v/>
      </c>
      <c r="T33" t="str">
        <v>#N/A</v>
      </c>
    </row>
    <row r="34" spans="1:20" ht="13.7" customHeight="1" x14ac:dyDescent="0.25">
      <c r="A34" t="s">
        <v>26</v>
      </c>
      <c r="B34" t="s">
        <v>27</v>
      </c>
      <c r="C34" t="s">
        <v>28</v>
      </c>
      <c r="D34">
        <v>64</v>
      </c>
      <c r="E34" s="5">
        <v>43491</v>
      </c>
      <c r="F34">
        <v>11050501</v>
      </c>
      <c r="G34" t="s">
        <v>195</v>
      </c>
      <c r="J34">
        <v>1012</v>
      </c>
      <c r="K34">
        <v>1110</v>
      </c>
      <c r="L34" s="3">
        <v>-10892164.949999999</v>
      </c>
      <c r="M34" s="3">
        <v>0</v>
      </c>
      <c r="N34">
        <v>28000</v>
      </c>
      <c r="O34">
        <v>0</v>
      </c>
      <c r="P34">
        <v>-10920164.949999999</v>
      </c>
      <c r="Q34" t="s">
        <v>30</v>
      </c>
      <c r="R34" t="s">
        <v>52</v>
      </c>
      <c r="S34" t="str">
        <v/>
      </c>
      <c r="T34" t="str">
        <v>#N/A</v>
      </c>
    </row>
    <row r="35" spans="1:20" ht="13.7" customHeight="1" x14ac:dyDescent="0.25">
      <c r="A35" t="s">
        <v>26</v>
      </c>
      <c r="B35" t="s">
        <v>27</v>
      </c>
      <c r="C35" t="s">
        <v>28</v>
      </c>
      <c r="D35">
        <v>65</v>
      </c>
      <c r="E35" s="5">
        <v>43491</v>
      </c>
      <c r="F35">
        <v>11050501</v>
      </c>
      <c r="G35" t="s">
        <v>195</v>
      </c>
      <c r="J35">
        <v>1012</v>
      </c>
      <c r="K35">
        <v>1110</v>
      </c>
      <c r="L35" s="3">
        <v>-10920164.949999999</v>
      </c>
      <c r="M35" s="3">
        <v>0</v>
      </c>
      <c r="N35">
        <v>18000</v>
      </c>
      <c r="O35">
        <v>0</v>
      </c>
      <c r="P35">
        <v>-10938164.949999999</v>
      </c>
      <c r="Q35" t="s">
        <v>30</v>
      </c>
      <c r="R35" t="s">
        <v>45</v>
      </c>
      <c r="S35" t="str">
        <v/>
      </c>
      <c r="T35" t="str">
        <v>#N/A</v>
      </c>
    </row>
    <row r="36" spans="1:20" ht="13.7" customHeight="1" x14ac:dyDescent="0.25">
      <c r="A36" t="s">
        <v>26</v>
      </c>
      <c r="B36" t="s">
        <v>27</v>
      </c>
      <c r="C36" t="s">
        <v>28</v>
      </c>
      <c r="D36">
        <v>67</v>
      </c>
      <c r="E36" s="5">
        <v>43491</v>
      </c>
      <c r="F36">
        <v>11050501</v>
      </c>
      <c r="G36" t="s">
        <v>195</v>
      </c>
      <c r="J36">
        <v>1012</v>
      </c>
      <c r="K36">
        <v>1110</v>
      </c>
      <c r="L36" s="3">
        <v>-10938164.949999999</v>
      </c>
      <c r="M36" s="3">
        <v>0</v>
      </c>
      <c r="N36">
        <v>6200</v>
      </c>
      <c r="O36">
        <v>0</v>
      </c>
      <c r="P36">
        <v>-10944364.949999999</v>
      </c>
      <c r="Q36" t="s">
        <v>30</v>
      </c>
      <c r="R36" t="s">
        <v>68</v>
      </c>
      <c r="S36" t="str">
        <v/>
      </c>
      <c r="T36" t="str">
        <v>#N/A</v>
      </c>
    </row>
    <row r="37" spans="1:20" ht="13.7" customHeight="1" x14ac:dyDescent="0.25">
      <c r="A37" t="s">
        <v>26</v>
      </c>
      <c r="B37" t="s">
        <v>27</v>
      </c>
      <c r="C37" t="s">
        <v>32</v>
      </c>
      <c r="D37">
        <v>2</v>
      </c>
      <c r="E37" s="5">
        <v>43497</v>
      </c>
      <c r="F37">
        <v>11050501</v>
      </c>
      <c r="G37" t="s">
        <v>195</v>
      </c>
      <c r="J37">
        <v>1012</v>
      </c>
      <c r="K37">
        <v>1110</v>
      </c>
      <c r="L37" s="3">
        <v>-10944364.949999999</v>
      </c>
      <c r="M37" s="3">
        <v>0</v>
      </c>
      <c r="N37">
        <v>1500000</v>
      </c>
      <c r="O37">
        <v>0</v>
      </c>
      <c r="P37">
        <v>-12444364.949999999</v>
      </c>
      <c r="Q37" t="s">
        <v>30</v>
      </c>
      <c r="R37" t="s">
        <v>69</v>
      </c>
      <c r="S37" t="str">
        <v/>
      </c>
      <c r="T37" t="str">
        <v>#N/A</v>
      </c>
    </row>
    <row r="38" spans="1:20" ht="13.7" customHeight="1" x14ac:dyDescent="0.25">
      <c r="A38" t="s">
        <v>26</v>
      </c>
      <c r="B38" t="s">
        <v>27</v>
      </c>
      <c r="C38" t="s">
        <v>32</v>
      </c>
      <c r="D38">
        <v>3</v>
      </c>
      <c r="E38" s="5">
        <v>43497</v>
      </c>
      <c r="F38">
        <v>11050501</v>
      </c>
      <c r="G38" t="s">
        <v>195</v>
      </c>
      <c r="J38">
        <v>1012</v>
      </c>
      <c r="K38">
        <v>1110</v>
      </c>
      <c r="L38" s="3">
        <v>-12444364.949999999</v>
      </c>
      <c r="M38" s="3">
        <v>0</v>
      </c>
      <c r="N38">
        <v>6300</v>
      </c>
      <c r="O38">
        <v>0</v>
      </c>
      <c r="P38">
        <v>-12450664.949999999</v>
      </c>
      <c r="Q38" t="s">
        <v>30</v>
      </c>
      <c r="R38" t="s">
        <v>59</v>
      </c>
      <c r="S38" t="str">
        <v/>
      </c>
      <c r="T38" t="str">
        <v>#N/A</v>
      </c>
    </row>
    <row r="39" spans="1:20" ht="13.7" customHeight="1" x14ac:dyDescent="0.25">
      <c r="A39" t="s">
        <v>26</v>
      </c>
      <c r="B39" t="s">
        <v>27</v>
      </c>
      <c r="C39" t="s">
        <v>32</v>
      </c>
      <c r="D39">
        <v>5</v>
      </c>
      <c r="E39" s="5">
        <v>43498</v>
      </c>
      <c r="F39">
        <v>11050501</v>
      </c>
      <c r="G39" t="s">
        <v>195</v>
      </c>
      <c r="J39">
        <v>1012</v>
      </c>
      <c r="K39">
        <v>1110</v>
      </c>
      <c r="L39" s="3">
        <v>-12450664.949999999</v>
      </c>
      <c r="M39" s="3">
        <v>0</v>
      </c>
      <c r="N39">
        <v>19000</v>
      </c>
      <c r="O39">
        <v>0</v>
      </c>
      <c r="P39">
        <v>-12469664.949999999</v>
      </c>
      <c r="Q39" t="s">
        <v>30</v>
      </c>
      <c r="R39" t="s">
        <v>70</v>
      </c>
      <c r="S39" t="str">
        <v/>
      </c>
      <c r="T39" t="str">
        <v>#N/A</v>
      </c>
    </row>
    <row r="40" spans="1:20" ht="13.7" customHeight="1" x14ac:dyDescent="0.25">
      <c r="A40" t="s">
        <v>26</v>
      </c>
      <c r="B40" t="s">
        <v>27</v>
      </c>
      <c r="C40" t="s">
        <v>28</v>
      </c>
      <c r="D40">
        <v>25</v>
      </c>
      <c r="E40" s="5">
        <v>43500</v>
      </c>
      <c r="F40">
        <v>11050501</v>
      </c>
      <c r="G40" t="s">
        <v>195</v>
      </c>
      <c r="J40">
        <v>1012</v>
      </c>
      <c r="K40">
        <v>1110</v>
      </c>
      <c r="L40" s="3">
        <v>-12469664.949999999</v>
      </c>
      <c r="M40" s="3">
        <v>0</v>
      </c>
      <c r="N40">
        <v>115636</v>
      </c>
      <c r="O40">
        <v>0</v>
      </c>
      <c r="P40">
        <v>-12585300.949999999</v>
      </c>
      <c r="Q40" t="s">
        <v>30</v>
      </c>
      <c r="R40" t="s">
        <v>71</v>
      </c>
      <c r="S40" t="str">
        <v/>
      </c>
      <c r="T40" t="str">
        <v>#N/A</v>
      </c>
    </row>
    <row r="41" spans="1:20" ht="13.7" customHeight="1" x14ac:dyDescent="0.25">
      <c r="A41" t="s">
        <v>26</v>
      </c>
      <c r="B41" t="s">
        <v>27</v>
      </c>
      <c r="C41" t="s">
        <v>32</v>
      </c>
      <c r="D41">
        <v>10</v>
      </c>
      <c r="E41" s="5">
        <v>43501</v>
      </c>
      <c r="F41">
        <v>11050501</v>
      </c>
      <c r="G41" t="s">
        <v>195</v>
      </c>
      <c r="J41">
        <v>1012</v>
      </c>
      <c r="K41">
        <v>1110</v>
      </c>
      <c r="L41" s="3">
        <v>-12585300.949999999</v>
      </c>
      <c r="M41" s="3">
        <v>0</v>
      </c>
      <c r="N41">
        <v>22000</v>
      </c>
      <c r="O41">
        <v>0</v>
      </c>
      <c r="P41">
        <v>-12607300.949999999</v>
      </c>
      <c r="Q41" t="s">
        <v>30</v>
      </c>
      <c r="R41" t="s">
        <v>72</v>
      </c>
      <c r="S41" t="str">
        <v/>
      </c>
      <c r="T41" t="str">
        <v>#N/A</v>
      </c>
    </row>
    <row r="42" spans="1:20" ht="13.7" customHeight="1" x14ac:dyDescent="0.25">
      <c r="A42" t="s">
        <v>26</v>
      </c>
      <c r="B42" t="s">
        <v>27</v>
      </c>
      <c r="C42" t="s">
        <v>32</v>
      </c>
      <c r="D42">
        <v>11</v>
      </c>
      <c r="E42" s="5">
        <v>43501</v>
      </c>
      <c r="F42">
        <v>11050501</v>
      </c>
      <c r="G42" t="s">
        <v>195</v>
      </c>
      <c r="J42">
        <v>1012</v>
      </c>
      <c r="K42">
        <v>1110</v>
      </c>
      <c r="L42" s="3">
        <v>-12607300.949999999</v>
      </c>
      <c r="M42" s="3">
        <v>0</v>
      </c>
      <c r="N42">
        <v>9500</v>
      </c>
      <c r="O42">
        <v>0</v>
      </c>
      <c r="P42">
        <v>-12616800.949999999</v>
      </c>
      <c r="Q42" t="s">
        <v>30</v>
      </c>
      <c r="R42" t="s">
        <v>43</v>
      </c>
      <c r="S42" t="str">
        <v/>
      </c>
      <c r="T42" t="str">
        <v>#N/A</v>
      </c>
    </row>
    <row r="43" spans="1:20" ht="13.7" customHeight="1" x14ac:dyDescent="0.25">
      <c r="A43" t="s">
        <v>26</v>
      </c>
      <c r="B43" t="s">
        <v>27</v>
      </c>
      <c r="C43" t="s">
        <v>32</v>
      </c>
      <c r="D43">
        <v>9</v>
      </c>
      <c r="E43" s="5">
        <v>43501</v>
      </c>
      <c r="F43">
        <v>11050501</v>
      </c>
      <c r="G43" t="s">
        <v>195</v>
      </c>
      <c r="J43">
        <v>1012</v>
      </c>
      <c r="K43">
        <v>1110</v>
      </c>
      <c r="L43" s="3">
        <v>-12616800.949999999</v>
      </c>
      <c r="M43" s="3">
        <v>0</v>
      </c>
      <c r="N43">
        <v>11000</v>
      </c>
      <c r="O43">
        <v>0</v>
      </c>
      <c r="P43">
        <v>-12627800.949999999</v>
      </c>
      <c r="Q43" t="s">
        <v>30</v>
      </c>
      <c r="R43" t="s">
        <v>73</v>
      </c>
      <c r="S43" t="str">
        <v/>
      </c>
      <c r="T43" t="str">
        <v>#N/A</v>
      </c>
    </row>
    <row r="44" spans="1:20" ht="13.7" customHeight="1" x14ac:dyDescent="0.25">
      <c r="A44" t="s">
        <v>26</v>
      </c>
      <c r="B44" t="s">
        <v>27</v>
      </c>
      <c r="C44" t="s">
        <v>32</v>
      </c>
      <c r="D44">
        <v>12</v>
      </c>
      <c r="E44" s="5">
        <v>43502</v>
      </c>
      <c r="F44">
        <v>11050501</v>
      </c>
      <c r="G44" t="s">
        <v>195</v>
      </c>
      <c r="J44">
        <v>1012</v>
      </c>
      <c r="K44">
        <v>1110</v>
      </c>
      <c r="L44" s="3">
        <v>-12627800.949999999</v>
      </c>
      <c r="M44" s="3">
        <v>0</v>
      </c>
      <c r="N44">
        <v>19100</v>
      </c>
      <c r="O44">
        <v>0</v>
      </c>
      <c r="P44">
        <v>-12646900.949999999</v>
      </c>
      <c r="Q44" t="s">
        <v>30</v>
      </c>
      <c r="R44" t="s">
        <v>47</v>
      </c>
      <c r="S44" t="str">
        <v/>
      </c>
      <c r="T44" t="str">
        <v>#N/A</v>
      </c>
    </row>
    <row r="45" spans="1:20" ht="13.7" customHeight="1" x14ac:dyDescent="0.25">
      <c r="A45" t="s">
        <v>26</v>
      </c>
      <c r="B45" t="s">
        <v>27</v>
      </c>
      <c r="C45" t="s">
        <v>32</v>
      </c>
      <c r="D45">
        <v>13</v>
      </c>
      <c r="E45" s="5">
        <v>43502</v>
      </c>
      <c r="F45">
        <v>11050501</v>
      </c>
      <c r="G45" t="s">
        <v>195</v>
      </c>
      <c r="J45">
        <v>1012</v>
      </c>
      <c r="K45">
        <v>1110</v>
      </c>
      <c r="L45" s="3">
        <v>-12646900.949999999</v>
      </c>
      <c r="M45" s="3">
        <v>0</v>
      </c>
      <c r="N45">
        <v>7900</v>
      </c>
      <c r="O45">
        <v>0</v>
      </c>
      <c r="P45">
        <v>-12654800.949999999</v>
      </c>
      <c r="Q45" t="s">
        <v>30</v>
      </c>
      <c r="R45" t="s">
        <v>74</v>
      </c>
      <c r="S45" t="str">
        <v/>
      </c>
      <c r="T45" t="str">
        <v>#N/A</v>
      </c>
    </row>
    <row r="46" spans="1:20" ht="13.7" customHeight="1" x14ac:dyDescent="0.25">
      <c r="A46" t="s">
        <v>26</v>
      </c>
      <c r="B46" t="s">
        <v>27</v>
      </c>
      <c r="C46" t="s">
        <v>32</v>
      </c>
      <c r="D46">
        <v>14</v>
      </c>
      <c r="E46" s="5">
        <v>43503</v>
      </c>
      <c r="F46">
        <v>11050501</v>
      </c>
      <c r="G46" t="s">
        <v>195</v>
      </c>
      <c r="J46">
        <v>1012</v>
      </c>
      <c r="K46">
        <v>1110</v>
      </c>
      <c r="L46" s="3">
        <v>-12654800.949999999</v>
      </c>
      <c r="M46" s="3">
        <v>0</v>
      </c>
      <c r="N46">
        <v>8800</v>
      </c>
      <c r="O46">
        <v>0</v>
      </c>
      <c r="P46">
        <v>-12663600.949999999</v>
      </c>
      <c r="Q46" t="s">
        <v>30</v>
      </c>
      <c r="R46" t="s">
        <v>75</v>
      </c>
      <c r="S46" t="str">
        <v/>
      </c>
      <c r="T46" t="str">
        <v>#N/A</v>
      </c>
    </row>
    <row r="47" spans="1:20" ht="13.7" customHeight="1" x14ac:dyDescent="0.25">
      <c r="A47" t="s">
        <v>26</v>
      </c>
      <c r="B47" t="s">
        <v>27</v>
      </c>
      <c r="C47" t="s">
        <v>32</v>
      </c>
      <c r="D47">
        <v>15</v>
      </c>
      <c r="E47" s="5">
        <v>43505</v>
      </c>
      <c r="F47">
        <v>11050501</v>
      </c>
      <c r="G47" t="s">
        <v>195</v>
      </c>
      <c r="J47">
        <v>1012</v>
      </c>
      <c r="K47">
        <v>1110</v>
      </c>
      <c r="L47" s="3">
        <v>-12663600.949999999</v>
      </c>
      <c r="M47" s="3">
        <v>0</v>
      </c>
      <c r="N47">
        <v>15000</v>
      </c>
      <c r="O47">
        <v>0</v>
      </c>
      <c r="P47">
        <v>-12678600.949999999</v>
      </c>
      <c r="Q47" t="s">
        <v>30</v>
      </c>
      <c r="R47" t="s">
        <v>73</v>
      </c>
      <c r="S47" t="str">
        <v/>
      </c>
      <c r="T47" t="str">
        <v>#N/A</v>
      </c>
    </row>
    <row r="48" spans="1:20" ht="13.7" customHeight="1" x14ac:dyDescent="0.25">
      <c r="A48" t="s">
        <v>26</v>
      </c>
      <c r="B48" t="s">
        <v>27</v>
      </c>
      <c r="C48" t="s">
        <v>32</v>
      </c>
      <c r="D48">
        <v>16</v>
      </c>
      <c r="E48" s="5">
        <v>43505</v>
      </c>
      <c r="F48">
        <v>11050501</v>
      </c>
      <c r="G48" t="s">
        <v>195</v>
      </c>
      <c r="J48">
        <v>1012</v>
      </c>
      <c r="K48">
        <v>1110</v>
      </c>
      <c r="L48" s="3">
        <v>-12678600.949999999</v>
      </c>
      <c r="M48" s="3">
        <v>0</v>
      </c>
      <c r="N48">
        <v>37000</v>
      </c>
      <c r="O48">
        <v>0</v>
      </c>
      <c r="P48">
        <v>-12715600.949999999</v>
      </c>
      <c r="Q48" t="s">
        <v>30</v>
      </c>
      <c r="R48" t="s">
        <v>70</v>
      </c>
      <c r="S48" t="str">
        <v/>
      </c>
      <c r="T48" t="str">
        <v>#N/A</v>
      </c>
    </row>
    <row r="49" spans="1:20" ht="13.7" customHeight="1" x14ac:dyDescent="0.25">
      <c r="A49" t="s">
        <v>26</v>
      </c>
      <c r="B49" t="s">
        <v>27</v>
      </c>
      <c r="C49" t="s">
        <v>32</v>
      </c>
      <c r="D49">
        <v>27</v>
      </c>
      <c r="E49" s="5">
        <v>43505</v>
      </c>
      <c r="F49">
        <v>11050501</v>
      </c>
      <c r="G49" t="s">
        <v>195</v>
      </c>
      <c r="J49">
        <v>1012</v>
      </c>
      <c r="K49">
        <v>1110</v>
      </c>
      <c r="L49" s="3">
        <v>-12715600.949999999</v>
      </c>
      <c r="M49" s="3">
        <v>0</v>
      </c>
      <c r="N49">
        <v>24000</v>
      </c>
      <c r="O49">
        <v>0</v>
      </c>
      <c r="P49">
        <v>-12739600.949999999</v>
      </c>
      <c r="Q49" t="s">
        <v>30</v>
      </c>
      <c r="R49" t="s">
        <v>76</v>
      </c>
      <c r="S49" t="str">
        <v/>
      </c>
      <c r="T49" t="str">
        <v>#N/A</v>
      </c>
    </row>
    <row r="50" spans="1:20" ht="13.7" customHeight="1" x14ac:dyDescent="0.25">
      <c r="A50" t="s">
        <v>26</v>
      </c>
      <c r="B50" t="s">
        <v>27</v>
      </c>
      <c r="C50" t="s">
        <v>32</v>
      </c>
      <c r="D50">
        <v>18</v>
      </c>
      <c r="E50" s="5">
        <v>43507</v>
      </c>
      <c r="F50">
        <v>11050501</v>
      </c>
      <c r="G50" t="s">
        <v>195</v>
      </c>
      <c r="J50">
        <v>1012</v>
      </c>
      <c r="K50">
        <v>1110</v>
      </c>
      <c r="L50" s="3">
        <v>-12739600.949999999</v>
      </c>
      <c r="M50" s="3">
        <v>0</v>
      </c>
      <c r="N50">
        <v>7900</v>
      </c>
      <c r="O50">
        <v>0</v>
      </c>
      <c r="P50">
        <v>-12747500.949999999</v>
      </c>
      <c r="Q50" t="s">
        <v>30</v>
      </c>
      <c r="R50" t="s">
        <v>74</v>
      </c>
      <c r="S50" t="str">
        <v/>
      </c>
      <c r="T50" t="str">
        <v>#N/A</v>
      </c>
    </row>
    <row r="51" spans="1:20" ht="13.7" customHeight="1" x14ac:dyDescent="0.25">
      <c r="A51" t="s">
        <v>26</v>
      </c>
      <c r="B51" t="s">
        <v>27</v>
      </c>
      <c r="C51" t="s">
        <v>32</v>
      </c>
      <c r="D51">
        <v>20</v>
      </c>
      <c r="E51" s="5">
        <v>43507</v>
      </c>
      <c r="F51">
        <v>11050501</v>
      </c>
      <c r="G51" t="s">
        <v>195</v>
      </c>
      <c r="J51">
        <v>1012</v>
      </c>
      <c r="K51">
        <v>1110</v>
      </c>
      <c r="L51" s="3">
        <v>-12747500.949999999</v>
      </c>
      <c r="M51" s="3">
        <v>0</v>
      </c>
      <c r="N51">
        <v>16900</v>
      </c>
      <c r="O51">
        <v>0</v>
      </c>
      <c r="P51">
        <v>-12764400.949999999</v>
      </c>
      <c r="Q51" t="s">
        <v>30</v>
      </c>
      <c r="R51" t="s">
        <v>77</v>
      </c>
      <c r="S51" t="str">
        <v/>
      </c>
      <c r="T51" t="str">
        <v>#N/A</v>
      </c>
    </row>
    <row r="52" spans="1:20" ht="13.7" customHeight="1" x14ac:dyDescent="0.25">
      <c r="A52" t="s">
        <v>26</v>
      </c>
      <c r="B52" t="s">
        <v>27</v>
      </c>
      <c r="C52" t="s">
        <v>32</v>
      </c>
      <c r="D52">
        <v>21</v>
      </c>
      <c r="E52" s="5">
        <v>43509</v>
      </c>
      <c r="F52">
        <v>11050501</v>
      </c>
      <c r="G52" t="s">
        <v>195</v>
      </c>
      <c r="J52">
        <v>1012</v>
      </c>
      <c r="K52">
        <v>1110</v>
      </c>
      <c r="L52" s="3">
        <v>-12764400.949999999</v>
      </c>
      <c r="M52" s="3">
        <v>0</v>
      </c>
      <c r="N52">
        <v>170913</v>
      </c>
      <c r="O52">
        <v>0</v>
      </c>
      <c r="P52">
        <v>-12935313.949999999</v>
      </c>
      <c r="Q52" t="s">
        <v>30</v>
      </c>
      <c r="R52" t="s">
        <v>78</v>
      </c>
      <c r="S52" t="str">
        <v/>
      </c>
      <c r="T52" t="str">
        <v>#N/A</v>
      </c>
    </row>
    <row r="53" spans="1:20" ht="13.7" customHeight="1" x14ac:dyDescent="0.25">
      <c r="A53" t="s">
        <v>26</v>
      </c>
      <c r="B53" t="s">
        <v>27</v>
      </c>
      <c r="C53" t="s">
        <v>32</v>
      </c>
      <c r="D53">
        <v>22</v>
      </c>
      <c r="E53" s="5">
        <v>43509</v>
      </c>
      <c r="F53">
        <v>11050501</v>
      </c>
      <c r="G53" t="s">
        <v>195</v>
      </c>
      <c r="J53">
        <v>1012</v>
      </c>
      <c r="K53">
        <v>1110</v>
      </c>
      <c r="L53" s="3">
        <v>-12935313.949999999</v>
      </c>
      <c r="M53" s="3">
        <v>0</v>
      </c>
      <c r="N53">
        <v>85000</v>
      </c>
      <c r="O53">
        <v>0</v>
      </c>
      <c r="P53">
        <v>-13020313.949999999</v>
      </c>
      <c r="Q53" t="s">
        <v>30</v>
      </c>
      <c r="R53" t="s">
        <v>79</v>
      </c>
      <c r="S53" t="str">
        <v/>
      </c>
      <c r="T53" t="str">
        <v>#N/A</v>
      </c>
    </row>
    <row r="54" spans="1:20" ht="13.7" customHeight="1" x14ac:dyDescent="0.25">
      <c r="A54" t="s">
        <v>26</v>
      </c>
      <c r="B54" t="s">
        <v>27</v>
      </c>
      <c r="C54" t="s">
        <v>32</v>
      </c>
      <c r="D54">
        <v>23</v>
      </c>
      <c r="E54" s="5">
        <v>43509</v>
      </c>
      <c r="F54">
        <v>11050501</v>
      </c>
      <c r="G54" t="s">
        <v>195</v>
      </c>
      <c r="J54">
        <v>1012</v>
      </c>
      <c r="K54">
        <v>1110</v>
      </c>
      <c r="L54" s="3">
        <v>-13020313.949999999</v>
      </c>
      <c r="M54" s="3">
        <v>0</v>
      </c>
      <c r="N54">
        <v>30000</v>
      </c>
      <c r="O54">
        <v>0</v>
      </c>
      <c r="P54">
        <v>-13050313.949999999</v>
      </c>
      <c r="Q54" t="s">
        <v>30</v>
      </c>
      <c r="R54" t="s">
        <v>79</v>
      </c>
      <c r="S54" t="str">
        <v/>
      </c>
      <c r="T54" t="str">
        <v>#N/A</v>
      </c>
    </row>
    <row r="55" spans="1:20" ht="13.7" customHeight="1" x14ac:dyDescent="0.25">
      <c r="A55" t="s">
        <v>26</v>
      </c>
      <c r="B55" t="s">
        <v>27</v>
      </c>
      <c r="C55" t="s">
        <v>32</v>
      </c>
      <c r="D55">
        <v>25</v>
      </c>
      <c r="E55" s="5">
        <v>43509</v>
      </c>
      <c r="F55">
        <v>11050501</v>
      </c>
      <c r="G55" t="s">
        <v>195</v>
      </c>
      <c r="J55">
        <v>1012</v>
      </c>
      <c r="K55">
        <v>1110</v>
      </c>
      <c r="L55" s="3">
        <v>-13050313.949999999</v>
      </c>
      <c r="M55" s="3">
        <v>0</v>
      </c>
      <c r="N55">
        <v>10200</v>
      </c>
      <c r="O55">
        <v>0</v>
      </c>
      <c r="P55">
        <v>-13060513.949999999</v>
      </c>
      <c r="Q55" t="s">
        <v>30</v>
      </c>
      <c r="R55" t="s">
        <v>59</v>
      </c>
      <c r="S55" t="str">
        <v/>
      </c>
      <c r="T55" t="str">
        <v>#N/A</v>
      </c>
    </row>
    <row r="56" spans="1:20" ht="13.7" customHeight="1" x14ac:dyDescent="0.25">
      <c r="A56" t="s">
        <v>26</v>
      </c>
      <c r="B56" t="s">
        <v>27</v>
      </c>
      <c r="C56" t="s">
        <v>32</v>
      </c>
      <c r="D56">
        <v>26</v>
      </c>
      <c r="E56" s="5">
        <v>43509</v>
      </c>
      <c r="F56">
        <v>11050501</v>
      </c>
      <c r="G56" t="s">
        <v>195</v>
      </c>
      <c r="J56">
        <v>1012</v>
      </c>
      <c r="K56">
        <v>1110</v>
      </c>
      <c r="L56" s="3">
        <v>-13060513.949999999</v>
      </c>
      <c r="M56" s="3">
        <v>0</v>
      </c>
      <c r="N56">
        <v>160000</v>
      </c>
      <c r="O56">
        <v>0</v>
      </c>
      <c r="P56">
        <v>-13220513.949999999</v>
      </c>
      <c r="Q56" t="s">
        <v>30</v>
      </c>
      <c r="R56" t="s">
        <v>80</v>
      </c>
      <c r="S56" t="str">
        <v/>
      </c>
      <c r="T56" t="str">
        <v>#N/A</v>
      </c>
    </row>
    <row r="57" spans="1:20" ht="13.7" customHeight="1" x14ac:dyDescent="0.25">
      <c r="A57" t="s">
        <v>26</v>
      </c>
      <c r="B57" t="s">
        <v>27</v>
      </c>
      <c r="C57" t="s">
        <v>32</v>
      </c>
      <c r="D57">
        <v>28</v>
      </c>
      <c r="E57" s="5">
        <v>43510</v>
      </c>
      <c r="F57">
        <v>11050501</v>
      </c>
      <c r="G57" t="s">
        <v>195</v>
      </c>
      <c r="J57">
        <v>1012</v>
      </c>
      <c r="K57">
        <v>1110</v>
      </c>
      <c r="L57" s="3">
        <v>-13220513.949999999</v>
      </c>
      <c r="M57" s="3">
        <v>0</v>
      </c>
      <c r="N57">
        <v>5000</v>
      </c>
      <c r="O57">
        <v>0</v>
      </c>
      <c r="P57">
        <v>-13225513.949999999</v>
      </c>
      <c r="Q57" t="s">
        <v>30</v>
      </c>
      <c r="R57" t="s">
        <v>59</v>
      </c>
      <c r="S57" t="str">
        <v/>
      </c>
      <c r="T57" t="str">
        <v>#N/A</v>
      </c>
    </row>
    <row r="58" spans="1:20" ht="13.7" customHeight="1" x14ac:dyDescent="0.25">
      <c r="A58" t="s">
        <v>26</v>
      </c>
      <c r="B58" t="s">
        <v>27</v>
      </c>
      <c r="C58" t="s">
        <v>32</v>
      </c>
      <c r="D58">
        <v>29</v>
      </c>
      <c r="E58" s="5">
        <v>43510</v>
      </c>
      <c r="F58">
        <v>11050501</v>
      </c>
      <c r="G58" t="s">
        <v>195</v>
      </c>
      <c r="J58">
        <v>1012</v>
      </c>
      <c r="K58">
        <v>1110</v>
      </c>
      <c r="L58" s="3">
        <v>-13225513.949999999</v>
      </c>
      <c r="M58" s="3">
        <v>0</v>
      </c>
      <c r="N58">
        <v>30000</v>
      </c>
      <c r="O58">
        <v>0</v>
      </c>
      <c r="P58">
        <v>-13255513.949999999</v>
      </c>
      <c r="Q58" t="s">
        <v>30</v>
      </c>
      <c r="R58" t="s">
        <v>81</v>
      </c>
      <c r="S58" t="str">
        <v/>
      </c>
      <c r="T58" t="str">
        <v>#N/A</v>
      </c>
    </row>
    <row r="59" spans="1:20" ht="13.7" customHeight="1" x14ac:dyDescent="0.25">
      <c r="A59" t="s">
        <v>26</v>
      </c>
      <c r="B59" t="s">
        <v>27</v>
      </c>
      <c r="C59" t="s">
        <v>32</v>
      </c>
      <c r="D59">
        <v>30</v>
      </c>
      <c r="E59" s="5">
        <v>43510</v>
      </c>
      <c r="F59">
        <v>11050501</v>
      </c>
      <c r="G59" t="s">
        <v>195</v>
      </c>
      <c r="J59">
        <v>1012</v>
      </c>
      <c r="K59">
        <v>1110</v>
      </c>
      <c r="L59" s="3">
        <v>-13255513.949999999</v>
      </c>
      <c r="M59" s="3">
        <v>0</v>
      </c>
      <c r="N59">
        <v>90000</v>
      </c>
      <c r="O59">
        <v>0</v>
      </c>
      <c r="P59">
        <v>-13345513.949999999</v>
      </c>
      <c r="Q59" t="s">
        <v>30</v>
      </c>
      <c r="R59" t="s">
        <v>81</v>
      </c>
      <c r="S59" t="str">
        <v/>
      </c>
      <c r="T59" t="str">
        <v>#N/A</v>
      </c>
    </row>
    <row r="60" spans="1:20" ht="13.7" customHeight="1" x14ac:dyDescent="0.25">
      <c r="A60" t="s">
        <v>26</v>
      </c>
      <c r="B60" t="s">
        <v>27</v>
      </c>
      <c r="C60" t="s">
        <v>32</v>
      </c>
      <c r="D60">
        <v>31</v>
      </c>
      <c r="E60" s="5">
        <v>43511</v>
      </c>
      <c r="F60">
        <v>11050501</v>
      </c>
      <c r="G60" t="s">
        <v>195</v>
      </c>
      <c r="J60">
        <v>1012</v>
      </c>
      <c r="K60">
        <v>1110</v>
      </c>
      <c r="L60" s="3">
        <v>-13345513.949999999</v>
      </c>
      <c r="M60" s="3">
        <v>0</v>
      </c>
      <c r="N60">
        <v>1425000</v>
      </c>
      <c r="O60">
        <v>0</v>
      </c>
      <c r="P60">
        <v>-14770513.949999999</v>
      </c>
      <c r="Q60" t="s">
        <v>30</v>
      </c>
      <c r="R60" t="s">
        <v>69</v>
      </c>
      <c r="S60" t="str">
        <v/>
      </c>
      <c r="T60" t="str">
        <v>#N/A</v>
      </c>
    </row>
    <row r="61" spans="1:20" ht="13.7" customHeight="1" x14ac:dyDescent="0.25">
      <c r="A61" t="s">
        <v>26</v>
      </c>
      <c r="B61" t="s">
        <v>27</v>
      </c>
      <c r="C61" t="s">
        <v>32</v>
      </c>
      <c r="D61">
        <v>32</v>
      </c>
      <c r="E61" s="5">
        <v>43511</v>
      </c>
      <c r="F61">
        <v>11050501</v>
      </c>
      <c r="G61" t="s">
        <v>195</v>
      </c>
      <c r="J61">
        <v>1012</v>
      </c>
      <c r="K61">
        <v>1110</v>
      </c>
      <c r="L61" s="3">
        <v>-14770513.949999999</v>
      </c>
      <c r="M61" s="3">
        <v>0</v>
      </c>
      <c r="N61">
        <v>22500</v>
      </c>
      <c r="O61">
        <v>0</v>
      </c>
      <c r="P61">
        <v>-14793013.949999999</v>
      </c>
      <c r="Q61" t="s">
        <v>30</v>
      </c>
      <c r="R61" t="s">
        <v>47</v>
      </c>
      <c r="S61" t="str">
        <v/>
      </c>
      <c r="T61" t="str">
        <v>#N/A</v>
      </c>
    </row>
    <row r="62" spans="1:20" ht="13.7" customHeight="1" x14ac:dyDescent="0.25">
      <c r="A62" t="s">
        <v>26</v>
      </c>
      <c r="B62" t="s">
        <v>27</v>
      </c>
      <c r="C62" t="s">
        <v>32</v>
      </c>
      <c r="D62">
        <v>35</v>
      </c>
      <c r="E62" s="5">
        <v>43512</v>
      </c>
      <c r="F62">
        <v>11050501</v>
      </c>
      <c r="G62" t="s">
        <v>195</v>
      </c>
      <c r="J62">
        <v>1012</v>
      </c>
      <c r="K62">
        <v>1110</v>
      </c>
      <c r="L62" s="3">
        <v>-14793013.949999999</v>
      </c>
      <c r="M62" s="3">
        <v>0</v>
      </c>
      <c r="N62">
        <v>12500</v>
      </c>
      <c r="O62">
        <v>0</v>
      </c>
      <c r="P62">
        <v>-14805513.949999999</v>
      </c>
      <c r="Q62" t="s">
        <v>30</v>
      </c>
      <c r="R62" t="s">
        <v>82</v>
      </c>
      <c r="S62" t="str">
        <v/>
      </c>
      <c r="T62" t="str">
        <v>#N/A</v>
      </c>
    </row>
    <row r="63" spans="1:20" ht="13.7" customHeight="1" x14ac:dyDescent="0.25">
      <c r="A63" t="s">
        <v>26</v>
      </c>
      <c r="B63" t="s">
        <v>27</v>
      </c>
      <c r="C63" t="s">
        <v>32</v>
      </c>
      <c r="D63">
        <v>36</v>
      </c>
      <c r="E63" s="5">
        <v>43512</v>
      </c>
      <c r="F63">
        <v>11050501</v>
      </c>
      <c r="G63" t="s">
        <v>195</v>
      </c>
      <c r="J63">
        <v>1012</v>
      </c>
      <c r="K63">
        <v>1110</v>
      </c>
      <c r="L63" s="3">
        <v>-14805513.949999999</v>
      </c>
      <c r="M63" s="3">
        <v>0</v>
      </c>
      <c r="N63">
        <v>9500</v>
      </c>
      <c r="O63">
        <v>0</v>
      </c>
      <c r="P63">
        <v>-14815013.949999999</v>
      </c>
      <c r="Q63" t="s">
        <v>30</v>
      </c>
      <c r="R63" t="s">
        <v>43</v>
      </c>
      <c r="S63" t="str">
        <v/>
      </c>
      <c r="T63" t="str">
        <v>#N/A</v>
      </c>
    </row>
    <row r="64" spans="1:20" ht="13.7" customHeight="1" x14ac:dyDescent="0.25">
      <c r="A64" t="s">
        <v>26</v>
      </c>
      <c r="B64" t="s">
        <v>27</v>
      </c>
      <c r="C64" t="s">
        <v>32</v>
      </c>
      <c r="D64">
        <v>37</v>
      </c>
      <c r="E64" s="5">
        <v>43514</v>
      </c>
      <c r="F64">
        <v>11050501</v>
      </c>
      <c r="G64" t="s">
        <v>195</v>
      </c>
      <c r="J64">
        <v>1012</v>
      </c>
      <c r="K64">
        <v>1110</v>
      </c>
      <c r="L64" s="3">
        <v>-14815013.949999999</v>
      </c>
      <c r="M64" s="3">
        <v>0</v>
      </c>
      <c r="N64">
        <v>3400</v>
      </c>
      <c r="O64">
        <v>0</v>
      </c>
      <c r="P64">
        <v>-14818413.949999999</v>
      </c>
      <c r="Q64" t="s">
        <v>30</v>
      </c>
      <c r="R64" t="s">
        <v>59</v>
      </c>
      <c r="S64" t="str">
        <v/>
      </c>
      <c r="T64" t="str">
        <v>#N/A</v>
      </c>
    </row>
    <row r="65" spans="1:20" ht="13.7" customHeight="1" x14ac:dyDescent="0.25">
      <c r="A65" t="s">
        <v>26</v>
      </c>
      <c r="B65" t="s">
        <v>27</v>
      </c>
      <c r="C65" t="s">
        <v>32</v>
      </c>
      <c r="D65">
        <v>38</v>
      </c>
      <c r="E65" s="5">
        <v>43515</v>
      </c>
      <c r="F65">
        <v>11050501</v>
      </c>
      <c r="G65" t="s">
        <v>195</v>
      </c>
      <c r="J65">
        <v>1012</v>
      </c>
      <c r="K65">
        <v>1110</v>
      </c>
      <c r="L65" s="3">
        <v>-14818413.949999999</v>
      </c>
      <c r="M65" s="3">
        <v>0</v>
      </c>
      <c r="N65">
        <v>12600</v>
      </c>
      <c r="O65">
        <v>0</v>
      </c>
      <c r="P65">
        <v>-14831013.949999999</v>
      </c>
      <c r="Q65" t="s">
        <v>30</v>
      </c>
      <c r="R65" t="s">
        <v>83</v>
      </c>
      <c r="S65" t="str">
        <v/>
      </c>
      <c r="T65" t="str">
        <v>#N/A</v>
      </c>
    </row>
    <row r="66" spans="1:20" ht="13.7" customHeight="1" x14ac:dyDescent="0.25">
      <c r="A66" t="s">
        <v>26</v>
      </c>
      <c r="B66" t="s">
        <v>27</v>
      </c>
      <c r="C66" t="s">
        <v>32</v>
      </c>
      <c r="D66">
        <v>39</v>
      </c>
      <c r="E66" s="5">
        <v>43515</v>
      </c>
      <c r="F66">
        <v>11050501</v>
      </c>
      <c r="G66" t="s">
        <v>195</v>
      </c>
      <c r="J66">
        <v>1012</v>
      </c>
      <c r="K66">
        <v>1110</v>
      </c>
      <c r="L66" s="3">
        <v>-14831013.949999999</v>
      </c>
      <c r="M66" s="3">
        <v>0</v>
      </c>
      <c r="N66">
        <v>270000</v>
      </c>
      <c r="O66">
        <v>0</v>
      </c>
      <c r="P66">
        <v>-15101013.949999999</v>
      </c>
      <c r="Q66" t="s">
        <v>30</v>
      </c>
      <c r="R66" t="s">
        <v>84</v>
      </c>
      <c r="S66" t="str">
        <v/>
      </c>
      <c r="T66" t="str">
        <v>#N/A</v>
      </c>
    </row>
    <row r="67" spans="1:20" ht="13.7" customHeight="1" x14ac:dyDescent="0.25">
      <c r="A67" t="s">
        <v>26</v>
      </c>
      <c r="B67" t="s">
        <v>27</v>
      </c>
      <c r="C67" t="s">
        <v>32</v>
      </c>
      <c r="D67">
        <v>41</v>
      </c>
      <c r="E67" s="5">
        <v>43515</v>
      </c>
      <c r="F67">
        <v>11050501</v>
      </c>
      <c r="G67" t="s">
        <v>195</v>
      </c>
      <c r="J67">
        <v>1012</v>
      </c>
      <c r="K67">
        <v>1110</v>
      </c>
      <c r="L67" s="3">
        <v>-15101013.949999999</v>
      </c>
      <c r="M67" s="3">
        <v>0</v>
      </c>
      <c r="N67">
        <v>60000</v>
      </c>
      <c r="O67">
        <v>0</v>
      </c>
      <c r="P67">
        <v>-15161013.949999999</v>
      </c>
      <c r="Q67" t="s">
        <v>30</v>
      </c>
      <c r="R67" t="s">
        <v>85</v>
      </c>
      <c r="S67" t="str">
        <v/>
      </c>
      <c r="T67" t="str">
        <v>#N/A</v>
      </c>
    </row>
    <row r="68" spans="1:20" ht="13.7" customHeight="1" x14ac:dyDescent="0.25">
      <c r="A68" t="s">
        <v>26</v>
      </c>
      <c r="B68" t="s">
        <v>27</v>
      </c>
      <c r="C68" t="s">
        <v>32</v>
      </c>
      <c r="D68">
        <v>42</v>
      </c>
      <c r="E68" s="5">
        <v>43519</v>
      </c>
      <c r="F68">
        <v>11050501</v>
      </c>
      <c r="G68" t="s">
        <v>195</v>
      </c>
      <c r="J68">
        <v>1012</v>
      </c>
      <c r="K68">
        <v>1110</v>
      </c>
      <c r="L68" s="3">
        <v>-15161013.949999999</v>
      </c>
      <c r="M68" s="3">
        <v>0</v>
      </c>
      <c r="N68">
        <v>28000</v>
      </c>
      <c r="O68">
        <v>0</v>
      </c>
      <c r="P68">
        <v>-15189013.949999999</v>
      </c>
      <c r="Q68" t="s">
        <v>30</v>
      </c>
      <c r="R68" t="s">
        <v>70</v>
      </c>
      <c r="S68" t="str">
        <v/>
      </c>
      <c r="T68" t="str">
        <v>#N/A</v>
      </c>
    </row>
    <row r="69" spans="1:20" ht="13.7" customHeight="1" x14ac:dyDescent="0.25">
      <c r="A69" t="s">
        <v>26</v>
      </c>
      <c r="B69" t="s">
        <v>27</v>
      </c>
      <c r="C69" t="s">
        <v>32</v>
      </c>
      <c r="D69">
        <v>48</v>
      </c>
      <c r="E69" s="5">
        <v>43519</v>
      </c>
      <c r="F69">
        <v>11050501</v>
      </c>
      <c r="G69" t="s">
        <v>195</v>
      </c>
      <c r="J69">
        <v>1012</v>
      </c>
      <c r="K69">
        <v>1110</v>
      </c>
      <c r="L69" s="3">
        <v>-15189013.949999999</v>
      </c>
      <c r="M69" s="3">
        <v>0</v>
      </c>
      <c r="N69">
        <v>24000</v>
      </c>
      <c r="O69">
        <v>0</v>
      </c>
      <c r="P69">
        <v>-15213013.949999999</v>
      </c>
      <c r="Q69" t="s">
        <v>30</v>
      </c>
      <c r="R69" t="s">
        <v>76</v>
      </c>
      <c r="S69" t="str">
        <v/>
      </c>
      <c r="T69" t="str">
        <v>#N/A</v>
      </c>
    </row>
    <row r="70" spans="1:20" ht="13.7" customHeight="1" x14ac:dyDescent="0.25">
      <c r="A70" t="s">
        <v>26</v>
      </c>
      <c r="B70" t="s">
        <v>27</v>
      </c>
      <c r="C70" t="s">
        <v>32</v>
      </c>
      <c r="D70">
        <v>51</v>
      </c>
      <c r="E70" s="5">
        <v>43521</v>
      </c>
      <c r="F70">
        <v>11050501</v>
      </c>
      <c r="G70" t="s">
        <v>195</v>
      </c>
      <c r="J70">
        <v>1012</v>
      </c>
      <c r="K70">
        <v>1110</v>
      </c>
      <c r="L70" s="3">
        <v>-15213013.949999999</v>
      </c>
      <c r="M70" s="3">
        <v>0</v>
      </c>
      <c r="N70">
        <v>840000</v>
      </c>
      <c r="O70">
        <v>0</v>
      </c>
      <c r="P70">
        <v>-16053013.949999999</v>
      </c>
      <c r="Q70" t="s">
        <v>30</v>
      </c>
      <c r="R70" t="s">
        <v>86</v>
      </c>
      <c r="S70" t="str">
        <v/>
      </c>
      <c r="T70" t="str">
        <v>#N/A</v>
      </c>
    </row>
    <row r="71" spans="1:20" ht="13.7" customHeight="1" x14ac:dyDescent="0.25">
      <c r="A71" t="s">
        <v>26</v>
      </c>
      <c r="B71" t="s">
        <v>27</v>
      </c>
      <c r="C71" t="s">
        <v>32</v>
      </c>
      <c r="D71">
        <v>52</v>
      </c>
      <c r="E71" s="5">
        <v>43521</v>
      </c>
      <c r="F71">
        <v>11050501</v>
      </c>
      <c r="G71" t="s">
        <v>195</v>
      </c>
      <c r="J71">
        <v>1012</v>
      </c>
      <c r="K71">
        <v>1110</v>
      </c>
      <c r="L71" s="3">
        <v>-16053013.949999999</v>
      </c>
      <c r="M71" s="3">
        <v>0</v>
      </c>
      <c r="N71">
        <v>50900</v>
      </c>
      <c r="O71">
        <v>0</v>
      </c>
      <c r="P71">
        <v>-16103913.949999999</v>
      </c>
      <c r="Q71" t="s">
        <v>30</v>
      </c>
      <c r="R71" t="s">
        <v>87</v>
      </c>
      <c r="S71" t="str">
        <v/>
      </c>
      <c r="T71" t="str">
        <v>#N/A</v>
      </c>
    </row>
    <row r="72" spans="1:20" ht="13.7" customHeight="1" x14ac:dyDescent="0.25">
      <c r="A72" t="s">
        <v>26</v>
      </c>
      <c r="B72" t="s">
        <v>27</v>
      </c>
      <c r="C72" t="s">
        <v>32</v>
      </c>
      <c r="D72">
        <v>53</v>
      </c>
      <c r="E72" s="5">
        <v>43522</v>
      </c>
      <c r="F72">
        <v>11050501</v>
      </c>
      <c r="G72" t="s">
        <v>195</v>
      </c>
      <c r="J72">
        <v>1012</v>
      </c>
      <c r="K72">
        <v>1110</v>
      </c>
      <c r="L72" s="3">
        <v>-16103913.949999999</v>
      </c>
      <c r="M72" s="3">
        <v>0</v>
      </c>
      <c r="N72">
        <v>910420</v>
      </c>
      <c r="O72">
        <v>0</v>
      </c>
      <c r="P72">
        <v>-17014333.949999999</v>
      </c>
      <c r="Q72" t="s">
        <v>30</v>
      </c>
      <c r="R72" t="s">
        <v>88</v>
      </c>
      <c r="S72" t="str">
        <v/>
      </c>
      <c r="T72" t="str">
        <v>#N/A</v>
      </c>
    </row>
    <row r="73" spans="1:20" ht="13.7" customHeight="1" x14ac:dyDescent="0.25">
      <c r="A73" t="s">
        <v>26</v>
      </c>
      <c r="B73" t="s">
        <v>27</v>
      </c>
      <c r="C73" t="s">
        <v>32</v>
      </c>
      <c r="D73">
        <v>54</v>
      </c>
      <c r="E73" s="5">
        <v>43523</v>
      </c>
      <c r="F73">
        <v>11050501</v>
      </c>
      <c r="G73" t="s">
        <v>195</v>
      </c>
      <c r="J73">
        <v>1012</v>
      </c>
      <c r="K73">
        <v>1110</v>
      </c>
      <c r="L73" s="3">
        <v>-17014333.949999999</v>
      </c>
      <c r="M73" s="3">
        <v>0</v>
      </c>
      <c r="N73">
        <v>29000</v>
      </c>
      <c r="O73">
        <v>0</v>
      </c>
      <c r="P73">
        <v>-17043333.949999999</v>
      </c>
      <c r="Q73" t="s">
        <v>30</v>
      </c>
      <c r="R73" t="s">
        <v>89</v>
      </c>
      <c r="S73" t="str">
        <v/>
      </c>
      <c r="T73" t="str">
        <v>#N/A</v>
      </c>
    </row>
    <row r="74" spans="1:20" ht="13.7" customHeight="1" x14ac:dyDescent="0.25">
      <c r="A74" t="s">
        <v>26</v>
      </c>
      <c r="B74" t="s">
        <v>27</v>
      </c>
      <c r="C74" t="s">
        <v>32</v>
      </c>
      <c r="D74">
        <v>55</v>
      </c>
      <c r="E74" s="5">
        <v>43524</v>
      </c>
      <c r="F74">
        <v>11050501</v>
      </c>
      <c r="G74" t="s">
        <v>195</v>
      </c>
      <c r="J74">
        <v>1012</v>
      </c>
      <c r="K74">
        <v>1110</v>
      </c>
      <c r="L74" s="3">
        <v>-17043333.949999999</v>
      </c>
      <c r="M74" s="3">
        <v>0</v>
      </c>
      <c r="N74">
        <v>17500</v>
      </c>
      <c r="O74">
        <v>0</v>
      </c>
      <c r="P74">
        <v>-17060833.949999999</v>
      </c>
      <c r="Q74" t="s">
        <v>30</v>
      </c>
      <c r="R74" t="s">
        <v>47</v>
      </c>
      <c r="S74" t="str">
        <v/>
      </c>
      <c r="T74" t="str">
        <v>#N/A</v>
      </c>
    </row>
    <row r="75" spans="1:20" ht="13.7" customHeight="1" x14ac:dyDescent="0.25">
      <c r="A75" t="s">
        <v>26</v>
      </c>
      <c r="B75" t="s">
        <v>27</v>
      </c>
      <c r="C75" t="s">
        <v>32</v>
      </c>
      <c r="D75">
        <v>56</v>
      </c>
      <c r="E75" s="5">
        <v>43524</v>
      </c>
      <c r="F75">
        <v>11050501</v>
      </c>
      <c r="G75" t="s">
        <v>195</v>
      </c>
      <c r="J75">
        <v>1012</v>
      </c>
      <c r="K75">
        <v>1110</v>
      </c>
      <c r="L75" s="3">
        <v>-17060833.949999999</v>
      </c>
      <c r="M75" s="3">
        <v>0</v>
      </c>
      <c r="N75">
        <v>73000</v>
      </c>
      <c r="O75">
        <v>0</v>
      </c>
      <c r="P75">
        <v>-17133833.949999999</v>
      </c>
      <c r="Q75" t="s">
        <v>30</v>
      </c>
      <c r="R75" t="s">
        <v>70</v>
      </c>
      <c r="S75" t="str">
        <v/>
      </c>
      <c r="T75" t="str">
        <v>#N/A</v>
      </c>
    </row>
    <row r="76" spans="1:20" ht="13.7" customHeight="1" x14ac:dyDescent="0.25">
      <c r="A76" t="s">
        <v>26</v>
      </c>
      <c r="B76" t="s">
        <v>27</v>
      </c>
      <c r="C76" t="s">
        <v>32</v>
      </c>
      <c r="D76">
        <v>57</v>
      </c>
      <c r="E76" s="5">
        <v>43524</v>
      </c>
      <c r="F76">
        <v>11050501</v>
      </c>
      <c r="G76" t="s">
        <v>195</v>
      </c>
      <c r="J76">
        <v>1012</v>
      </c>
      <c r="K76">
        <v>1110</v>
      </c>
      <c r="L76" s="3">
        <v>-17133833.949999999</v>
      </c>
      <c r="M76" s="3">
        <v>0</v>
      </c>
      <c r="N76">
        <v>48000</v>
      </c>
      <c r="O76">
        <v>0</v>
      </c>
      <c r="P76">
        <v>-17181833.949999999</v>
      </c>
      <c r="Q76" t="s">
        <v>30</v>
      </c>
      <c r="R76" t="s">
        <v>90</v>
      </c>
      <c r="S76" t="str">
        <v/>
      </c>
      <c r="T76" t="str">
        <v>#N/A</v>
      </c>
    </row>
    <row r="77" spans="1:20" ht="13.7" customHeight="1" x14ac:dyDescent="0.25">
      <c r="A77" t="s">
        <v>26</v>
      </c>
      <c r="B77" t="s">
        <v>27</v>
      </c>
      <c r="C77" t="s">
        <v>91</v>
      </c>
      <c r="D77">
        <v>5</v>
      </c>
      <c r="E77" s="5">
        <v>43525</v>
      </c>
      <c r="F77">
        <v>11050501</v>
      </c>
      <c r="G77" t="s">
        <v>195</v>
      </c>
      <c r="J77">
        <v>1012</v>
      </c>
      <c r="K77">
        <v>1110</v>
      </c>
      <c r="L77" s="3">
        <v>-17181833.949999999</v>
      </c>
      <c r="M77" s="3">
        <v>0</v>
      </c>
      <c r="N77">
        <v>9500</v>
      </c>
      <c r="O77">
        <v>0</v>
      </c>
      <c r="P77">
        <v>-17191333.949999999</v>
      </c>
      <c r="Q77" t="s">
        <v>30</v>
      </c>
      <c r="R77" t="s">
        <v>43</v>
      </c>
      <c r="S77" t="str">
        <v/>
      </c>
      <c r="T77" t="str">
        <v>#N/A</v>
      </c>
    </row>
    <row r="78" spans="1:20" ht="13.7" customHeight="1" x14ac:dyDescent="0.25">
      <c r="A78" t="s">
        <v>26</v>
      </c>
      <c r="B78" t="s">
        <v>27</v>
      </c>
      <c r="C78" t="s">
        <v>91</v>
      </c>
      <c r="D78">
        <v>7</v>
      </c>
      <c r="E78" s="5">
        <v>43526</v>
      </c>
      <c r="F78">
        <v>11050501</v>
      </c>
      <c r="G78" t="s">
        <v>195</v>
      </c>
      <c r="J78">
        <v>1012</v>
      </c>
      <c r="K78">
        <v>1110</v>
      </c>
      <c r="L78" s="3">
        <v>-17191333.949999999</v>
      </c>
      <c r="M78" s="3">
        <v>0</v>
      </c>
      <c r="N78">
        <v>18000</v>
      </c>
      <c r="O78">
        <v>0</v>
      </c>
      <c r="P78">
        <v>-17209333.949999999</v>
      </c>
      <c r="Q78" t="s">
        <v>30</v>
      </c>
      <c r="R78" t="s">
        <v>70</v>
      </c>
      <c r="S78" t="str">
        <v/>
      </c>
      <c r="T78" t="str">
        <v>#N/A</v>
      </c>
    </row>
    <row r="79" spans="1:20" ht="13.7" customHeight="1" x14ac:dyDescent="0.25">
      <c r="A79" t="s">
        <v>26</v>
      </c>
      <c r="B79" t="s">
        <v>27</v>
      </c>
      <c r="C79" t="s">
        <v>91</v>
      </c>
      <c r="D79">
        <v>13</v>
      </c>
      <c r="E79" s="5">
        <v>43528</v>
      </c>
      <c r="F79">
        <v>11050501</v>
      </c>
      <c r="G79" t="s">
        <v>195</v>
      </c>
      <c r="J79">
        <v>1012</v>
      </c>
      <c r="K79">
        <v>1110</v>
      </c>
      <c r="L79" s="3">
        <v>-17209333.949999999</v>
      </c>
      <c r="M79" s="3">
        <v>0</v>
      </c>
      <c r="N79">
        <v>13779</v>
      </c>
      <c r="O79">
        <v>0</v>
      </c>
      <c r="P79">
        <v>-17223112.949999999</v>
      </c>
      <c r="Q79" t="s">
        <v>30</v>
      </c>
      <c r="R79" t="s">
        <v>74</v>
      </c>
      <c r="S79" t="str">
        <v/>
      </c>
      <c r="T79" t="str">
        <v>#N/A</v>
      </c>
    </row>
    <row r="80" spans="1:20" ht="13.7" customHeight="1" x14ac:dyDescent="0.25">
      <c r="A80" t="s">
        <v>26</v>
      </c>
      <c r="B80" t="s">
        <v>27</v>
      </c>
      <c r="C80" t="s">
        <v>91</v>
      </c>
      <c r="D80">
        <v>15</v>
      </c>
      <c r="E80" s="5">
        <v>43528</v>
      </c>
      <c r="F80">
        <v>11050501</v>
      </c>
      <c r="G80" t="s">
        <v>195</v>
      </c>
      <c r="J80">
        <v>1012</v>
      </c>
      <c r="K80">
        <v>1110</v>
      </c>
      <c r="L80" s="3">
        <v>-17223112.949999999</v>
      </c>
      <c r="M80" s="3">
        <v>0</v>
      </c>
      <c r="N80">
        <v>19000</v>
      </c>
      <c r="O80">
        <v>0</v>
      </c>
      <c r="P80">
        <v>-17242112.949999999</v>
      </c>
      <c r="Q80" t="s">
        <v>30</v>
      </c>
      <c r="R80" t="s">
        <v>70</v>
      </c>
      <c r="S80" t="str">
        <v/>
      </c>
      <c r="T80" t="str">
        <v>#N/A</v>
      </c>
    </row>
    <row r="81" spans="1:20" ht="13.7" customHeight="1" x14ac:dyDescent="0.25">
      <c r="A81" t="s">
        <v>26</v>
      </c>
      <c r="B81" t="s">
        <v>27</v>
      </c>
      <c r="C81" t="s">
        <v>91</v>
      </c>
      <c r="D81">
        <v>17</v>
      </c>
      <c r="E81" s="5">
        <v>43529</v>
      </c>
      <c r="F81">
        <v>11050501</v>
      </c>
      <c r="G81" t="s">
        <v>195</v>
      </c>
      <c r="J81">
        <v>1012</v>
      </c>
      <c r="K81">
        <v>1110</v>
      </c>
      <c r="L81" s="3">
        <v>-17242112.949999999</v>
      </c>
      <c r="M81" s="3">
        <v>0</v>
      </c>
      <c r="N81">
        <v>677667</v>
      </c>
      <c r="O81">
        <v>0</v>
      </c>
      <c r="P81">
        <v>-17919779.949999999</v>
      </c>
      <c r="Q81" t="s">
        <v>30</v>
      </c>
      <c r="R81" t="s">
        <v>92</v>
      </c>
      <c r="S81" t="str">
        <v/>
      </c>
      <c r="T81" t="str">
        <v>#N/A</v>
      </c>
    </row>
    <row r="82" spans="1:20" ht="13.7" customHeight="1" x14ac:dyDescent="0.25">
      <c r="A82" t="s">
        <v>26</v>
      </c>
      <c r="B82" t="s">
        <v>27</v>
      </c>
      <c r="C82" t="s">
        <v>91</v>
      </c>
      <c r="D82">
        <v>21</v>
      </c>
      <c r="E82" s="5">
        <v>43529</v>
      </c>
      <c r="F82">
        <v>11050501</v>
      </c>
      <c r="G82" t="s">
        <v>195</v>
      </c>
      <c r="J82">
        <v>1012</v>
      </c>
      <c r="K82">
        <v>1110</v>
      </c>
      <c r="L82" s="3">
        <v>-17919779.949999999</v>
      </c>
      <c r="M82" s="3">
        <v>0</v>
      </c>
      <c r="N82">
        <v>5400</v>
      </c>
      <c r="O82">
        <v>0</v>
      </c>
      <c r="P82">
        <v>-17925179.949999999</v>
      </c>
      <c r="Q82" t="s">
        <v>30</v>
      </c>
      <c r="R82" t="s">
        <v>59</v>
      </c>
      <c r="S82" t="str">
        <v/>
      </c>
      <c r="T82" t="str">
        <v>#N/A</v>
      </c>
    </row>
    <row r="83" spans="1:20" ht="13.7" customHeight="1" x14ac:dyDescent="0.25">
      <c r="A83" t="s">
        <v>26</v>
      </c>
      <c r="B83" t="s">
        <v>27</v>
      </c>
      <c r="C83" t="s">
        <v>91</v>
      </c>
      <c r="D83">
        <v>20</v>
      </c>
      <c r="E83" s="5">
        <v>43530</v>
      </c>
      <c r="F83">
        <v>11050501</v>
      </c>
      <c r="G83" t="s">
        <v>195</v>
      </c>
      <c r="J83">
        <v>1012</v>
      </c>
      <c r="K83">
        <v>1110</v>
      </c>
      <c r="L83" s="3">
        <v>-17925179.949999999</v>
      </c>
      <c r="M83" s="3">
        <v>0</v>
      </c>
      <c r="N83">
        <v>8800</v>
      </c>
      <c r="O83">
        <v>0</v>
      </c>
      <c r="P83">
        <v>-17933979.949999999</v>
      </c>
      <c r="Q83" t="s">
        <v>30</v>
      </c>
      <c r="R83" t="s">
        <v>93</v>
      </c>
      <c r="S83" t="str">
        <v/>
      </c>
      <c r="T83" t="str">
        <v>#N/A</v>
      </c>
    </row>
    <row r="84" spans="1:20" ht="13.7" customHeight="1" x14ac:dyDescent="0.25">
      <c r="A84" t="s">
        <v>26</v>
      </c>
      <c r="B84" t="s">
        <v>27</v>
      </c>
      <c r="C84" t="s">
        <v>91</v>
      </c>
      <c r="D84">
        <v>22</v>
      </c>
      <c r="E84" s="5">
        <v>43530</v>
      </c>
      <c r="F84">
        <v>11050501</v>
      </c>
      <c r="G84" t="s">
        <v>195</v>
      </c>
      <c r="J84">
        <v>1012</v>
      </c>
      <c r="K84">
        <v>1110</v>
      </c>
      <c r="L84" s="3">
        <v>-17933979.949999999</v>
      </c>
      <c r="M84" s="3">
        <v>0</v>
      </c>
      <c r="N84">
        <v>13599</v>
      </c>
      <c r="O84">
        <v>0</v>
      </c>
      <c r="P84">
        <v>-17947578.949999999</v>
      </c>
      <c r="Q84" t="s">
        <v>30</v>
      </c>
      <c r="R84" t="s">
        <v>94</v>
      </c>
      <c r="S84" t="str">
        <v/>
      </c>
      <c r="T84" t="str">
        <v>#N/A</v>
      </c>
    </row>
    <row r="85" spans="1:20" ht="13.7" customHeight="1" x14ac:dyDescent="0.25">
      <c r="A85" t="s">
        <v>26</v>
      </c>
      <c r="B85" t="s">
        <v>27</v>
      </c>
      <c r="C85" t="s">
        <v>91</v>
      </c>
      <c r="D85">
        <v>25</v>
      </c>
      <c r="E85" s="5">
        <v>43532</v>
      </c>
      <c r="F85">
        <v>11050501</v>
      </c>
      <c r="G85" t="s">
        <v>195</v>
      </c>
      <c r="J85">
        <v>1012</v>
      </c>
      <c r="K85">
        <v>1110</v>
      </c>
      <c r="L85" s="3">
        <v>-17947578.949999999</v>
      </c>
      <c r="M85" s="3">
        <v>0</v>
      </c>
      <c r="N85">
        <v>9000</v>
      </c>
      <c r="O85">
        <v>0</v>
      </c>
      <c r="P85">
        <v>-17956578.949999999</v>
      </c>
      <c r="Q85" t="s">
        <v>30</v>
      </c>
      <c r="R85" t="s">
        <v>59</v>
      </c>
      <c r="S85" t="str">
        <v/>
      </c>
      <c r="T85" t="str">
        <v>#N/A</v>
      </c>
    </row>
    <row r="86" spans="1:20" ht="13.7" customHeight="1" x14ac:dyDescent="0.25">
      <c r="A86" t="s">
        <v>26</v>
      </c>
      <c r="B86" t="s">
        <v>27</v>
      </c>
      <c r="C86" t="s">
        <v>91</v>
      </c>
      <c r="D86">
        <v>26</v>
      </c>
      <c r="E86" s="5">
        <v>43532</v>
      </c>
      <c r="F86">
        <v>11050501</v>
      </c>
      <c r="G86" t="s">
        <v>195</v>
      </c>
      <c r="J86">
        <v>1012</v>
      </c>
      <c r="K86">
        <v>1110</v>
      </c>
      <c r="L86" s="3">
        <v>-17956578.949999999</v>
      </c>
      <c r="M86" s="3">
        <v>0</v>
      </c>
      <c r="N86">
        <v>43799</v>
      </c>
      <c r="O86">
        <v>0</v>
      </c>
      <c r="P86">
        <v>-18000377.949999999</v>
      </c>
      <c r="Q86" t="s">
        <v>30</v>
      </c>
      <c r="R86" t="s">
        <v>95</v>
      </c>
      <c r="S86" t="str">
        <v/>
      </c>
      <c r="T86" t="str">
        <v>#N/A</v>
      </c>
    </row>
    <row r="87" spans="1:20" ht="13.7" customHeight="1" x14ac:dyDescent="0.25">
      <c r="A87" t="s">
        <v>26</v>
      </c>
      <c r="B87" t="s">
        <v>27</v>
      </c>
      <c r="C87" t="s">
        <v>91</v>
      </c>
      <c r="D87">
        <v>27</v>
      </c>
      <c r="E87" s="5">
        <v>43533</v>
      </c>
      <c r="F87">
        <v>11050501</v>
      </c>
      <c r="G87" t="s">
        <v>195</v>
      </c>
      <c r="J87">
        <v>1012</v>
      </c>
      <c r="K87">
        <v>1110</v>
      </c>
      <c r="L87" s="3">
        <v>-18000377.949999999</v>
      </c>
      <c r="M87" s="3">
        <v>0</v>
      </c>
      <c r="N87">
        <v>15000</v>
      </c>
      <c r="O87">
        <v>0</v>
      </c>
      <c r="P87">
        <v>-18015377.949999999</v>
      </c>
      <c r="Q87" t="s">
        <v>30</v>
      </c>
      <c r="R87" t="s">
        <v>96</v>
      </c>
      <c r="S87" t="str">
        <v/>
      </c>
      <c r="T87" t="str">
        <v>#N/A</v>
      </c>
    </row>
    <row r="88" spans="1:20" ht="13.7" customHeight="1" x14ac:dyDescent="0.25">
      <c r="A88" t="s">
        <v>26</v>
      </c>
      <c r="B88" t="s">
        <v>27</v>
      </c>
      <c r="C88" t="s">
        <v>91</v>
      </c>
      <c r="D88">
        <v>29</v>
      </c>
      <c r="E88" s="5">
        <v>43535</v>
      </c>
      <c r="F88">
        <v>11050501</v>
      </c>
      <c r="G88" t="s">
        <v>195</v>
      </c>
      <c r="J88">
        <v>1012</v>
      </c>
      <c r="K88">
        <v>1110</v>
      </c>
      <c r="L88" s="3">
        <v>-18015377.949999999</v>
      </c>
      <c r="M88" s="3">
        <v>0</v>
      </c>
      <c r="N88">
        <v>6700</v>
      </c>
      <c r="O88">
        <v>0</v>
      </c>
      <c r="P88">
        <v>-18022077.949999999</v>
      </c>
      <c r="Q88" t="s">
        <v>30</v>
      </c>
      <c r="R88" t="s">
        <v>97</v>
      </c>
      <c r="S88" t="str">
        <v/>
      </c>
      <c r="T88" t="str">
        <v>#N/A</v>
      </c>
    </row>
    <row r="89" spans="1:20" ht="13.7" customHeight="1" x14ac:dyDescent="0.25">
      <c r="A89" t="s">
        <v>26</v>
      </c>
      <c r="B89" t="s">
        <v>27</v>
      </c>
      <c r="C89" t="s">
        <v>91</v>
      </c>
      <c r="D89">
        <v>32</v>
      </c>
      <c r="E89" s="5">
        <v>43536</v>
      </c>
      <c r="F89">
        <v>11050501</v>
      </c>
      <c r="G89" t="s">
        <v>195</v>
      </c>
      <c r="J89">
        <v>1012</v>
      </c>
      <c r="K89">
        <v>1110</v>
      </c>
      <c r="L89" s="3">
        <v>-18022077.949999999</v>
      </c>
      <c r="M89" s="3">
        <v>0</v>
      </c>
      <c r="N89">
        <v>185640</v>
      </c>
      <c r="O89">
        <v>0</v>
      </c>
      <c r="P89">
        <v>-18207717.949999999</v>
      </c>
      <c r="Q89" t="s">
        <v>30</v>
      </c>
      <c r="R89" t="s">
        <v>98</v>
      </c>
      <c r="S89" t="str">
        <v/>
      </c>
      <c r="T89" t="str">
        <v>#N/A</v>
      </c>
    </row>
    <row r="90" spans="1:20" ht="13.7" customHeight="1" x14ac:dyDescent="0.25">
      <c r="A90" t="s">
        <v>26</v>
      </c>
      <c r="B90" t="s">
        <v>27</v>
      </c>
      <c r="C90" t="s">
        <v>91</v>
      </c>
      <c r="D90">
        <v>34</v>
      </c>
      <c r="E90" s="5">
        <v>43536</v>
      </c>
      <c r="F90">
        <v>11050501</v>
      </c>
      <c r="G90" t="s">
        <v>195</v>
      </c>
      <c r="J90">
        <v>1012</v>
      </c>
      <c r="K90">
        <v>1110</v>
      </c>
      <c r="L90" s="3">
        <v>-18207717.949999999</v>
      </c>
      <c r="M90" s="3">
        <v>0</v>
      </c>
      <c r="N90">
        <v>12200</v>
      </c>
      <c r="O90">
        <v>0</v>
      </c>
      <c r="P90">
        <v>-18219917.949999999</v>
      </c>
      <c r="Q90" t="s">
        <v>30</v>
      </c>
      <c r="R90" t="s">
        <v>97</v>
      </c>
      <c r="S90" t="str">
        <v/>
      </c>
      <c r="T90" t="str">
        <v>#N/A</v>
      </c>
    </row>
    <row r="91" spans="1:20" ht="13.7" customHeight="1" x14ac:dyDescent="0.25">
      <c r="A91" t="s">
        <v>26</v>
      </c>
      <c r="B91" t="s">
        <v>27</v>
      </c>
      <c r="C91" t="s">
        <v>91</v>
      </c>
      <c r="D91">
        <v>33</v>
      </c>
      <c r="E91" s="5">
        <v>43537</v>
      </c>
      <c r="F91">
        <v>11050501</v>
      </c>
      <c r="G91" t="s">
        <v>195</v>
      </c>
      <c r="J91">
        <v>1012</v>
      </c>
      <c r="K91">
        <v>1110</v>
      </c>
      <c r="L91" s="3">
        <v>-18219917.949999999</v>
      </c>
      <c r="M91" s="3">
        <v>0</v>
      </c>
      <c r="N91">
        <v>5200</v>
      </c>
      <c r="O91">
        <v>0</v>
      </c>
      <c r="P91">
        <v>-18225117.949999999</v>
      </c>
      <c r="Q91" t="s">
        <v>30</v>
      </c>
      <c r="R91" t="s">
        <v>98</v>
      </c>
      <c r="S91" t="str">
        <v/>
      </c>
      <c r="T91" t="str">
        <v>#N/A</v>
      </c>
    </row>
    <row r="92" spans="1:20" ht="13.7" customHeight="1" x14ac:dyDescent="0.25">
      <c r="A92" t="s">
        <v>26</v>
      </c>
      <c r="B92" t="s">
        <v>27</v>
      </c>
      <c r="C92" t="s">
        <v>91</v>
      </c>
      <c r="D92">
        <v>35</v>
      </c>
      <c r="E92" s="5">
        <v>43538</v>
      </c>
      <c r="F92">
        <v>11050501</v>
      </c>
      <c r="G92" t="s">
        <v>195</v>
      </c>
      <c r="J92">
        <v>1012</v>
      </c>
      <c r="K92">
        <v>1110</v>
      </c>
      <c r="L92" s="3">
        <v>-18225117.949999999</v>
      </c>
      <c r="M92" s="3">
        <v>0</v>
      </c>
      <c r="N92">
        <v>13700</v>
      </c>
      <c r="O92">
        <v>0</v>
      </c>
      <c r="P92">
        <v>-18238817.949999999</v>
      </c>
      <c r="Q92" t="s">
        <v>30</v>
      </c>
      <c r="R92" t="s">
        <v>97</v>
      </c>
      <c r="S92" t="str">
        <v/>
      </c>
      <c r="T92" t="str">
        <v>#N/A</v>
      </c>
    </row>
    <row r="93" spans="1:20" ht="13.7" customHeight="1" x14ac:dyDescent="0.25">
      <c r="A93" t="s">
        <v>26</v>
      </c>
      <c r="B93" t="s">
        <v>27</v>
      </c>
      <c r="C93" t="s">
        <v>91</v>
      </c>
      <c r="D93">
        <v>36</v>
      </c>
      <c r="E93" s="5">
        <v>43538</v>
      </c>
      <c r="F93">
        <v>11050501</v>
      </c>
      <c r="G93" t="s">
        <v>195</v>
      </c>
      <c r="J93">
        <v>1012</v>
      </c>
      <c r="K93">
        <v>1110</v>
      </c>
      <c r="L93" s="3">
        <v>-18238817.949999999</v>
      </c>
      <c r="M93" s="3">
        <v>0</v>
      </c>
      <c r="N93">
        <v>20000</v>
      </c>
      <c r="O93">
        <v>0</v>
      </c>
      <c r="P93">
        <v>-18258817.949999999</v>
      </c>
      <c r="Q93" t="s">
        <v>30</v>
      </c>
      <c r="R93" t="s">
        <v>99</v>
      </c>
      <c r="S93" t="str">
        <v/>
      </c>
      <c r="T93" t="str">
        <v>#N/A</v>
      </c>
    </row>
    <row r="94" spans="1:20" ht="13.7" customHeight="1" x14ac:dyDescent="0.25">
      <c r="A94" t="s">
        <v>26</v>
      </c>
      <c r="B94" t="s">
        <v>27</v>
      </c>
      <c r="C94" t="s">
        <v>91</v>
      </c>
      <c r="D94">
        <v>39</v>
      </c>
      <c r="E94" s="5">
        <v>43539</v>
      </c>
      <c r="F94">
        <v>11050501</v>
      </c>
      <c r="G94" t="s">
        <v>195</v>
      </c>
      <c r="J94">
        <v>1012</v>
      </c>
      <c r="K94">
        <v>1110</v>
      </c>
      <c r="L94" s="3">
        <v>-18258817.949999999</v>
      </c>
      <c r="M94" s="3">
        <v>0</v>
      </c>
      <c r="N94">
        <v>21000</v>
      </c>
      <c r="O94">
        <v>0</v>
      </c>
      <c r="P94">
        <v>-18279817.949999999</v>
      </c>
      <c r="Q94" t="s">
        <v>30</v>
      </c>
      <c r="R94" t="s">
        <v>100</v>
      </c>
      <c r="S94" t="str">
        <v/>
      </c>
      <c r="T94" t="str">
        <v>#N/A</v>
      </c>
    </row>
    <row r="95" spans="1:20" ht="13.7" customHeight="1" x14ac:dyDescent="0.25">
      <c r="A95" t="s">
        <v>26</v>
      </c>
      <c r="B95" t="s">
        <v>27</v>
      </c>
      <c r="C95" t="s">
        <v>91</v>
      </c>
      <c r="D95">
        <v>40</v>
      </c>
      <c r="E95" s="5">
        <v>43540</v>
      </c>
      <c r="F95">
        <v>11050501</v>
      </c>
      <c r="G95" t="s">
        <v>195</v>
      </c>
      <c r="J95">
        <v>1012</v>
      </c>
      <c r="K95">
        <v>1110</v>
      </c>
      <c r="L95" s="3">
        <v>-18279817.949999999</v>
      </c>
      <c r="M95" s="3">
        <v>0</v>
      </c>
      <c r="N95">
        <v>124441</v>
      </c>
      <c r="O95">
        <v>0</v>
      </c>
      <c r="P95">
        <v>-18404258.949999999</v>
      </c>
      <c r="Q95" t="s">
        <v>30</v>
      </c>
      <c r="R95" t="s">
        <v>99</v>
      </c>
      <c r="S95" t="str">
        <v/>
      </c>
      <c r="T95" t="str">
        <v>#N/A</v>
      </c>
    </row>
    <row r="96" spans="1:20" ht="13.7" customHeight="1" x14ac:dyDescent="0.25">
      <c r="A96" t="s">
        <v>26</v>
      </c>
      <c r="B96" t="s">
        <v>27</v>
      </c>
      <c r="C96" t="s">
        <v>91</v>
      </c>
      <c r="D96">
        <v>41</v>
      </c>
      <c r="E96" s="5">
        <v>43540</v>
      </c>
      <c r="F96">
        <v>11050501</v>
      </c>
      <c r="G96" t="s">
        <v>195</v>
      </c>
      <c r="J96">
        <v>1012</v>
      </c>
      <c r="K96">
        <v>1110</v>
      </c>
      <c r="L96" s="3">
        <v>-18404258.949999999</v>
      </c>
      <c r="M96" s="3">
        <v>0</v>
      </c>
      <c r="N96">
        <v>12850</v>
      </c>
      <c r="O96">
        <v>0</v>
      </c>
      <c r="P96">
        <v>-18417108.949999999</v>
      </c>
      <c r="Q96" t="s">
        <v>30</v>
      </c>
      <c r="R96" t="s">
        <v>101</v>
      </c>
      <c r="S96" t="str">
        <v/>
      </c>
      <c r="T96" t="str">
        <v>#N/A</v>
      </c>
    </row>
    <row r="97" spans="1:20" ht="13.7" customHeight="1" x14ac:dyDescent="0.25">
      <c r="A97" t="s">
        <v>26</v>
      </c>
      <c r="B97" t="s">
        <v>27</v>
      </c>
      <c r="C97" t="s">
        <v>91</v>
      </c>
      <c r="D97">
        <v>69</v>
      </c>
      <c r="E97" s="5">
        <v>43540</v>
      </c>
      <c r="F97">
        <v>11050501</v>
      </c>
      <c r="G97" t="s">
        <v>195</v>
      </c>
      <c r="J97">
        <v>1012</v>
      </c>
      <c r="K97">
        <v>1110</v>
      </c>
      <c r="L97" s="3">
        <v>-18417108.949999999</v>
      </c>
      <c r="M97" s="3">
        <v>0</v>
      </c>
      <c r="N97">
        <v>19000</v>
      </c>
      <c r="O97">
        <v>0</v>
      </c>
      <c r="P97">
        <v>-18436108.949999999</v>
      </c>
      <c r="Q97" t="s">
        <v>30</v>
      </c>
      <c r="R97" t="s">
        <v>97</v>
      </c>
      <c r="S97" t="str">
        <v/>
      </c>
      <c r="T97" t="str">
        <v>#N/A</v>
      </c>
    </row>
    <row r="98" spans="1:20" ht="13.7" customHeight="1" x14ac:dyDescent="0.25">
      <c r="A98" t="s">
        <v>26</v>
      </c>
      <c r="B98" t="s">
        <v>27</v>
      </c>
      <c r="C98" t="s">
        <v>91</v>
      </c>
      <c r="D98">
        <v>42</v>
      </c>
      <c r="E98" s="5">
        <v>43542</v>
      </c>
      <c r="F98">
        <v>11050501</v>
      </c>
      <c r="G98" t="s">
        <v>195</v>
      </c>
      <c r="J98">
        <v>1012</v>
      </c>
      <c r="K98">
        <v>1110</v>
      </c>
      <c r="L98" s="3">
        <v>-18436108.949999999</v>
      </c>
      <c r="M98" s="3">
        <v>0</v>
      </c>
      <c r="N98">
        <v>4500</v>
      </c>
      <c r="O98">
        <v>0</v>
      </c>
      <c r="P98">
        <v>-18440608.949999999</v>
      </c>
      <c r="Q98" t="s">
        <v>30</v>
      </c>
      <c r="R98" t="s">
        <v>97</v>
      </c>
      <c r="S98" t="str">
        <v/>
      </c>
      <c r="T98" t="str">
        <v>#N/A</v>
      </c>
    </row>
    <row r="99" spans="1:20" ht="13.7" customHeight="1" x14ac:dyDescent="0.25">
      <c r="A99" t="s">
        <v>26</v>
      </c>
      <c r="B99" t="s">
        <v>27</v>
      </c>
      <c r="C99" t="s">
        <v>91</v>
      </c>
      <c r="D99">
        <v>43</v>
      </c>
      <c r="E99" s="5">
        <v>43542</v>
      </c>
      <c r="F99">
        <v>11050501</v>
      </c>
      <c r="G99" t="s">
        <v>195</v>
      </c>
      <c r="J99">
        <v>1012</v>
      </c>
      <c r="K99">
        <v>1110</v>
      </c>
      <c r="L99" s="3">
        <v>-18440608.949999999</v>
      </c>
      <c r="M99" s="3">
        <v>0</v>
      </c>
      <c r="N99">
        <v>3200</v>
      </c>
      <c r="O99">
        <v>0</v>
      </c>
      <c r="P99">
        <v>-18443808.949999999</v>
      </c>
      <c r="Q99" t="s">
        <v>30</v>
      </c>
      <c r="R99" t="s">
        <v>102</v>
      </c>
      <c r="S99" t="str">
        <v/>
      </c>
      <c r="T99" t="str">
        <v>#N/A</v>
      </c>
    </row>
    <row r="100" spans="1:20" ht="13.7" customHeight="1" x14ac:dyDescent="0.25">
      <c r="A100" t="s">
        <v>26</v>
      </c>
      <c r="B100" t="s">
        <v>27</v>
      </c>
      <c r="C100" t="s">
        <v>91</v>
      </c>
      <c r="D100">
        <v>48</v>
      </c>
      <c r="E100" s="5">
        <v>43543</v>
      </c>
      <c r="F100">
        <v>11050501</v>
      </c>
      <c r="G100" t="s">
        <v>195</v>
      </c>
      <c r="J100">
        <v>1012</v>
      </c>
      <c r="K100">
        <v>1110</v>
      </c>
      <c r="L100" s="3">
        <v>-18443808.949999999</v>
      </c>
      <c r="M100" s="3">
        <v>0</v>
      </c>
      <c r="N100">
        <v>36563</v>
      </c>
      <c r="O100">
        <v>0</v>
      </c>
      <c r="P100">
        <v>-18480371.949999999</v>
      </c>
      <c r="Q100" t="s">
        <v>30</v>
      </c>
      <c r="R100" t="s">
        <v>103</v>
      </c>
      <c r="S100" t="str">
        <v/>
      </c>
      <c r="T100" t="str">
        <v>#N/A</v>
      </c>
    </row>
    <row r="101" spans="1:20" ht="13.7" customHeight="1" x14ac:dyDescent="0.25">
      <c r="A101" t="s">
        <v>26</v>
      </c>
      <c r="B101" t="s">
        <v>27</v>
      </c>
      <c r="C101" t="s">
        <v>91</v>
      </c>
      <c r="D101">
        <v>45</v>
      </c>
      <c r="E101" s="5">
        <v>43544</v>
      </c>
      <c r="F101">
        <v>11050501</v>
      </c>
      <c r="G101" t="s">
        <v>195</v>
      </c>
      <c r="J101">
        <v>1012</v>
      </c>
      <c r="K101">
        <v>1110</v>
      </c>
      <c r="L101" s="3">
        <v>-18480371.949999999</v>
      </c>
      <c r="M101" s="3">
        <v>0</v>
      </c>
      <c r="N101">
        <v>25900</v>
      </c>
      <c r="O101">
        <v>0</v>
      </c>
      <c r="P101">
        <v>-18506271.949999999</v>
      </c>
      <c r="Q101" t="s">
        <v>30</v>
      </c>
      <c r="R101" t="s">
        <v>97</v>
      </c>
      <c r="S101" t="str">
        <v/>
      </c>
      <c r="T101" t="str">
        <v>#N/A</v>
      </c>
    </row>
    <row r="102" spans="1:20" ht="13.7" customHeight="1" x14ac:dyDescent="0.25">
      <c r="A102" t="s">
        <v>26</v>
      </c>
      <c r="B102" t="s">
        <v>27</v>
      </c>
      <c r="C102" t="s">
        <v>91</v>
      </c>
      <c r="D102">
        <v>47</v>
      </c>
      <c r="E102" s="5">
        <v>43546</v>
      </c>
      <c r="F102">
        <v>11050501</v>
      </c>
      <c r="G102" t="s">
        <v>195</v>
      </c>
      <c r="J102">
        <v>1012</v>
      </c>
      <c r="K102">
        <v>1110</v>
      </c>
      <c r="L102" s="3">
        <v>-18506271.949999999</v>
      </c>
      <c r="M102" s="3">
        <v>0</v>
      </c>
      <c r="N102">
        <v>9400</v>
      </c>
      <c r="O102">
        <v>0</v>
      </c>
      <c r="P102">
        <v>-18515671.949999999</v>
      </c>
      <c r="Q102" t="s">
        <v>30</v>
      </c>
      <c r="R102" t="s">
        <v>104</v>
      </c>
      <c r="S102" t="str">
        <v/>
      </c>
      <c r="T102" t="str">
        <v>#N/A</v>
      </c>
    </row>
    <row r="103" spans="1:20" ht="13.7" customHeight="1" x14ac:dyDescent="0.25">
      <c r="A103" t="s">
        <v>26</v>
      </c>
      <c r="B103" t="s">
        <v>27</v>
      </c>
      <c r="C103" t="s">
        <v>91</v>
      </c>
      <c r="D103">
        <v>49</v>
      </c>
      <c r="E103" s="5">
        <v>43546</v>
      </c>
      <c r="F103">
        <v>11050501</v>
      </c>
      <c r="G103" t="s">
        <v>195</v>
      </c>
      <c r="J103">
        <v>1012</v>
      </c>
      <c r="K103">
        <v>1110</v>
      </c>
      <c r="L103" s="3">
        <v>-18515671.949999999</v>
      </c>
      <c r="M103" s="3">
        <v>0</v>
      </c>
      <c r="N103">
        <v>1600</v>
      </c>
      <c r="O103">
        <v>0</v>
      </c>
      <c r="P103">
        <v>-18517271.949999999</v>
      </c>
      <c r="Q103" t="s">
        <v>30</v>
      </c>
      <c r="R103" t="s">
        <v>105</v>
      </c>
      <c r="S103" t="str">
        <v/>
      </c>
      <c r="T103" t="str">
        <v>#N/A</v>
      </c>
    </row>
    <row r="104" spans="1:20" ht="13.7" customHeight="1" x14ac:dyDescent="0.25">
      <c r="A104" t="s">
        <v>26</v>
      </c>
      <c r="B104" t="s">
        <v>27</v>
      </c>
      <c r="C104" t="s">
        <v>91</v>
      </c>
      <c r="D104">
        <v>51</v>
      </c>
      <c r="E104" s="5">
        <v>43547</v>
      </c>
      <c r="F104">
        <v>11050501</v>
      </c>
      <c r="G104" t="s">
        <v>195</v>
      </c>
      <c r="J104">
        <v>1012</v>
      </c>
      <c r="K104">
        <v>1110</v>
      </c>
      <c r="L104" s="3">
        <v>-18517271.949999999</v>
      </c>
      <c r="M104" s="3">
        <v>0</v>
      </c>
      <c r="N104">
        <v>5400</v>
      </c>
      <c r="O104">
        <v>0</v>
      </c>
      <c r="P104">
        <v>-18522671.949999999</v>
      </c>
      <c r="Q104" t="s">
        <v>30</v>
      </c>
      <c r="R104" t="s">
        <v>101</v>
      </c>
      <c r="S104" t="str">
        <v/>
      </c>
      <c r="T104" t="str">
        <v>#N/A</v>
      </c>
    </row>
    <row r="105" spans="1:20" ht="13.7" customHeight="1" x14ac:dyDescent="0.25">
      <c r="A105" t="s">
        <v>26</v>
      </c>
      <c r="B105" t="s">
        <v>27</v>
      </c>
      <c r="C105" t="s">
        <v>91</v>
      </c>
      <c r="D105">
        <v>52</v>
      </c>
      <c r="E105" s="5">
        <v>43547</v>
      </c>
      <c r="F105">
        <v>11050501</v>
      </c>
      <c r="G105" t="s">
        <v>195</v>
      </c>
      <c r="J105">
        <v>1012</v>
      </c>
      <c r="K105">
        <v>1110</v>
      </c>
      <c r="L105" s="3">
        <v>-18522671.949999999</v>
      </c>
      <c r="M105" s="3">
        <v>0</v>
      </c>
      <c r="N105">
        <v>150000</v>
      </c>
      <c r="O105">
        <v>0</v>
      </c>
      <c r="P105">
        <v>-18672671.949999999</v>
      </c>
      <c r="Q105" t="s">
        <v>30</v>
      </c>
      <c r="R105" t="s">
        <v>106</v>
      </c>
      <c r="S105" t="str">
        <v/>
      </c>
      <c r="T105" t="str">
        <v>#N/A</v>
      </c>
    </row>
    <row r="106" spans="1:20" ht="13.7" customHeight="1" x14ac:dyDescent="0.25">
      <c r="A106" t="s">
        <v>26</v>
      </c>
      <c r="B106" t="s">
        <v>27</v>
      </c>
      <c r="C106" t="s">
        <v>91</v>
      </c>
      <c r="D106">
        <v>53</v>
      </c>
      <c r="E106" s="5">
        <v>43547</v>
      </c>
      <c r="F106">
        <v>11050501</v>
      </c>
      <c r="G106" t="s">
        <v>195</v>
      </c>
      <c r="J106">
        <v>1012</v>
      </c>
      <c r="K106">
        <v>1110</v>
      </c>
      <c r="L106" s="3">
        <v>-18672671.949999999</v>
      </c>
      <c r="M106" s="3">
        <v>0</v>
      </c>
      <c r="N106">
        <v>28500</v>
      </c>
      <c r="O106">
        <v>0</v>
      </c>
      <c r="P106">
        <v>-18701171.949999999</v>
      </c>
      <c r="Q106" t="s">
        <v>30</v>
      </c>
      <c r="R106" t="s">
        <v>97</v>
      </c>
      <c r="S106" t="str">
        <v/>
      </c>
      <c r="T106" t="str">
        <v>#N/A</v>
      </c>
    </row>
    <row r="107" spans="1:20" ht="13.7" customHeight="1" x14ac:dyDescent="0.25">
      <c r="A107" t="s">
        <v>26</v>
      </c>
      <c r="B107" t="s">
        <v>27</v>
      </c>
      <c r="C107" t="s">
        <v>91</v>
      </c>
      <c r="D107">
        <v>54</v>
      </c>
      <c r="E107" s="5">
        <v>43547</v>
      </c>
      <c r="F107">
        <v>11050501</v>
      </c>
      <c r="G107" t="s">
        <v>195</v>
      </c>
      <c r="J107">
        <v>1012</v>
      </c>
      <c r="K107">
        <v>1110</v>
      </c>
      <c r="L107" s="3">
        <v>-18701171.949999999</v>
      </c>
      <c r="M107" s="3">
        <v>0</v>
      </c>
      <c r="N107">
        <v>109480</v>
      </c>
      <c r="O107">
        <v>0</v>
      </c>
      <c r="P107">
        <v>-18810651.949999999</v>
      </c>
      <c r="Q107" t="s">
        <v>30</v>
      </c>
      <c r="R107" t="s">
        <v>107</v>
      </c>
      <c r="S107" t="str">
        <v/>
      </c>
      <c r="T107" t="str">
        <v>#N/A</v>
      </c>
    </row>
    <row r="108" spans="1:20" ht="13.7" customHeight="1" x14ac:dyDescent="0.25">
      <c r="A108" t="s">
        <v>26</v>
      </c>
      <c r="B108" t="s">
        <v>27</v>
      </c>
      <c r="C108" t="s">
        <v>91</v>
      </c>
      <c r="D108">
        <v>55</v>
      </c>
      <c r="E108" s="5">
        <v>43547</v>
      </c>
      <c r="F108">
        <v>11050501</v>
      </c>
      <c r="G108" t="s">
        <v>195</v>
      </c>
      <c r="J108">
        <v>1012</v>
      </c>
      <c r="K108">
        <v>1110</v>
      </c>
      <c r="L108" s="3">
        <v>-18810651.949999999</v>
      </c>
      <c r="M108" s="3">
        <v>0</v>
      </c>
      <c r="N108">
        <v>48000</v>
      </c>
      <c r="O108">
        <v>0</v>
      </c>
      <c r="P108">
        <v>-18858651.949999999</v>
      </c>
      <c r="Q108" t="s">
        <v>30</v>
      </c>
      <c r="R108" t="s">
        <v>108</v>
      </c>
      <c r="S108" t="str">
        <v/>
      </c>
      <c r="T108" t="str">
        <v>#N/A</v>
      </c>
    </row>
    <row r="109" spans="1:20" ht="13.7" customHeight="1" x14ac:dyDescent="0.25">
      <c r="A109" t="s">
        <v>26</v>
      </c>
      <c r="B109" t="s">
        <v>27</v>
      </c>
      <c r="C109" t="s">
        <v>91</v>
      </c>
      <c r="D109">
        <v>71</v>
      </c>
      <c r="E109" s="5">
        <v>43547</v>
      </c>
      <c r="F109">
        <v>11050501</v>
      </c>
      <c r="G109" t="s">
        <v>195</v>
      </c>
      <c r="J109">
        <v>1012</v>
      </c>
      <c r="K109">
        <v>1110</v>
      </c>
      <c r="L109" s="3">
        <v>-18858651.949999999</v>
      </c>
      <c r="M109" s="3">
        <v>0</v>
      </c>
      <c r="N109">
        <v>137000</v>
      </c>
      <c r="O109">
        <v>0</v>
      </c>
      <c r="P109">
        <v>-18995651.949999999</v>
      </c>
      <c r="Q109" t="s">
        <v>30</v>
      </c>
      <c r="R109" t="s">
        <v>109</v>
      </c>
      <c r="S109" t="str">
        <v/>
      </c>
      <c r="T109" t="str">
        <v>#N/A</v>
      </c>
    </row>
    <row r="110" spans="1:20" ht="13.7" customHeight="1" x14ac:dyDescent="0.25">
      <c r="A110" t="s">
        <v>26</v>
      </c>
      <c r="B110" t="s">
        <v>27</v>
      </c>
      <c r="C110" t="s">
        <v>91</v>
      </c>
      <c r="D110">
        <v>60</v>
      </c>
      <c r="E110" s="5">
        <v>43551</v>
      </c>
      <c r="F110">
        <v>11050501</v>
      </c>
      <c r="G110" t="s">
        <v>195</v>
      </c>
      <c r="J110">
        <v>1012</v>
      </c>
      <c r="K110">
        <v>1110</v>
      </c>
      <c r="L110" s="3">
        <v>-18995651.949999999</v>
      </c>
      <c r="M110" s="3">
        <v>0</v>
      </c>
      <c r="N110">
        <v>3000</v>
      </c>
      <c r="O110">
        <v>0</v>
      </c>
      <c r="P110">
        <v>-18998651.949999999</v>
      </c>
      <c r="Q110" t="s">
        <v>30</v>
      </c>
      <c r="R110" t="s">
        <v>97</v>
      </c>
      <c r="S110" t="str">
        <v/>
      </c>
      <c r="T110" t="str">
        <v>#N/A</v>
      </c>
    </row>
    <row r="111" spans="1:20" ht="13.7" customHeight="1" x14ac:dyDescent="0.25">
      <c r="A111" t="s">
        <v>26</v>
      </c>
      <c r="B111" t="s">
        <v>27</v>
      </c>
      <c r="C111" t="s">
        <v>91</v>
      </c>
      <c r="D111">
        <v>61</v>
      </c>
      <c r="E111" s="5">
        <v>43552</v>
      </c>
      <c r="F111">
        <v>11050501</v>
      </c>
      <c r="G111" t="s">
        <v>195</v>
      </c>
      <c r="J111">
        <v>1012</v>
      </c>
      <c r="K111">
        <v>1110</v>
      </c>
      <c r="L111" s="3">
        <v>-18998651.949999999</v>
      </c>
      <c r="M111" s="3">
        <v>0</v>
      </c>
      <c r="N111">
        <v>687532</v>
      </c>
      <c r="O111">
        <v>0</v>
      </c>
      <c r="P111">
        <v>-19686183.949999999</v>
      </c>
      <c r="Q111" t="s">
        <v>30</v>
      </c>
      <c r="R111" t="s">
        <v>110</v>
      </c>
      <c r="S111" t="str">
        <v/>
      </c>
      <c r="T111" t="str">
        <v>#N/A</v>
      </c>
    </row>
    <row r="112" spans="1:20" ht="13.7" customHeight="1" x14ac:dyDescent="0.25">
      <c r="A112" t="s">
        <v>26</v>
      </c>
      <c r="B112" t="s">
        <v>27</v>
      </c>
      <c r="C112" t="s">
        <v>91</v>
      </c>
      <c r="D112">
        <v>62</v>
      </c>
      <c r="E112" s="5">
        <v>43552</v>
      </c>
      <c r="F112">
        <v>11050501</v>
      </c>
      <c r="G112" t="s">
        <v>195</v>
      </c>
      <c r="J112">
        <v>1012</v>
      </c>
      <c r="K112">
        <v>1110</v>
      </c>
      <c r="L112" s="3">
        <v>-19686183.949999999</v>
      </c>
      <c r="M112" s="3">
        <v>0</v>
      </c>
      <c r="N112">
        <v>2400</v>
      </c>
      <c r="O112">
        <v>0</v>
      </c>
      <c r="P112">
        <v>-19688583.949999999</v>
      </c>
      <c r="Q112" t="s">
        <v>30</v>
      </c>
      <c r="R112" t="s">
        <v>97</v>
      </c>
      <c r="S112" t="str">
        <v/>
      </c>
      <c r="T112" t="str">
        <v>#N/A</v>
      </c>
    </row>
    <row r="113" spans="1:20" ht="13.7" customHeight="1" x14ac:dyDescent="0.25">
      <c r="A113" t="s">
        <v>26</v>
      </c>
      <c r="B113" t="s">
        <v>27</v>
      </c>
      <c r="C113" t="s">
        <v>91</v>
      </c>
      <c r="D113">
        <v>63</v>
      </c>
      <c r="E113" s="5">
        <v>43552</v>
      </c>
      <c r="F113">
        <v>11050501</v>
      </c>
      <c r="G113" t="s">
        <v>195</v>
      </c>
      <c r="J113">
        <v>1012</v>
      </c>
      <c r="K113">
        <v>1110</v>
      </c>
      <c r="L113" s="3">
        <v>-19688583.949999999</v>
      </c>
      <c r="M113" s="3">
        <v>0</v>
      </c>
      <c r="N113">
        <v>800</v>
      </c>
      <c r="O113">
        <v>0</v>
      </c>
      <c r="P113">
        <v>-19689383.949999999</v>
      </c>
      <c r="Q113" t="s">
        <v>30</v>
      </c>
      <c r="R113" t="s">
        <v>97</v>
      </c>
      <c r="S113" t="str">
        <v/>
      </c>
      <c r="T113" t="str">
        <v>#N/A</v>
      </c>
    </row>
    <row r="114" spans="1:20" ht="13.7" customHeight="1" x14ac:dyDescent="0.25">
      <c r="A114" t="s">
        <v>26</v>
      </c>
      <c r="B114" t="s">
        <v>27</v>
      </c>
      <c r="C114" t="s">
        <v>91</v>
      </c>
      <c r="D114">
        <v>77</v>
      </c>
      <c r="E114" s="5">
        <v>43552</v>
      </c>
      <c r="F114">
        <v>11050501</v>
      </c>
      <c r="G114" t="s">
        <v>195</v>
      </c>
      <c r="J114">
        <v>1012</v>
      </c>
      <c r="K114">
        <v>1110</v>
      </c>
      <c r="L114" s="3">
        <v>-19689383.949999999</v>
      </c>
      <c r="M114" s="3">
        <v>0</v>
      </c>
      <c r="N114">
        <v>21500</v>
      </c>
      <c r="O114">
        <v>0</v>
      </c>
      <c r="P114">
        <v>-19710883.949999999</v>
      </c>
      <c r="Q114" t="s">
        <v>30</v>
      </c>
      <c r="R114" t="s">
        <v>47</v>
      </c>
      <c r="S114" t="str">
        <v/>
      </c>
      <c r="T114" t="str">
        <v>#N/A</v>
      </c>
    </row>
    <row r="115" spans="1:20" ht="13.7" customHeight="1" x14ac:dyDescent="0.25">
      <c r="A115" t="s">
        <v>26</v>
      </c>
      <c r="B115" t="s">
        <v>27</v>
      </c>
      <c r="C115" t="s">
        <v>91</v>
      </c>
      <c r="D115">
        <v>57</v>
      </c>
      <c r="E115" s="5">
        <v>43553</v>
      </c>
      <c r="F115">
        <v>11050501</v>
      </c>
      <c r="G115" t="s">
        <v>195</v>
      </c>
      <c r="J115">
        <v>1012</v>
      </c>
      <c r="K115">
        <v>1110</v>
      </c>
      <c r="L115" s="3">
        <v>-19710883.949999999</v>
      </c>
      <c r="M115" s="3">
        <v>0</v>
      </c>
      <c r="N115">
        <v>77690</v>
      </c>
      <c r="O115">
        <v>0</v>
      </c>
      <c r="P115">
        <v>-19788573.949999999</v>
      </c>
      <c r="Q115" t="s">
        <v>30</v>
      </c>
      <c r="R115" t="s">
        <v>111</v>
      </c>
      <c r="S115" t="str">
        <v/>
      </c>
      <c r="T115" t="str">
        <v>#N/A</v>
      </c>
    </row>
    <row r="116" spans="1:20" ht="13.7" customHeight="1" x14ac:dyDescent="0.25">
      <c r="A116" t="s">
        <v>26</v>
      </c>
      <c r="B116" t="s">
        <v>27</v>
      </c>
      <c r="C116" t="s">
        <v>91</v>
      </c>
      <c r="D116">
        <v>64</v>
      </c>
      <c r="E116" s="5">
        <v>43553</v>
      </c>
      <c r="F116">
        <v>11050501</v>
      </c>
      <c r="G116" t="s">
        <v>195</v>
      </c>
      <c r="J116">
        <v>1012</v>
      </c>
      <c r="K116">
        <v>1110</v>
      </c>
      <c r="L116" s="3">
        <v>-19788573.949999999</v>
      </c>
      <c r="M116" s="3">
        <v>0</v>
      </c>
      <c r="N116">
        <v>8557</v>
      </c>
      <c r="O116">
        <v>0</v>
      </c>
      <c r="P116">
        <v>-19797130.949999999</v>
      </c>
      <c r="Q116" t="s">
        <v>30</v>
      </c>
      <c r="R116" t="s">
        <v>97</v>
      </c>
      <c r="S116" t="str">
        <v/>
      </c>
      <c r="T116" t="str">
        <v>#N/A</v>
      </c>
    </row>
    <row r="117" spans="1:20" ht="13.7" customHeight="1" x14ac:dyDescent="0.25">
      <c r="A117" t="s">
        <v>26</v>
      </c>
      <c r="B117" t="s">
        <v>27</v>
      </c>
      <c r="C117" t="s">
        <v>91</v>
      </c>
      <c r="D117">
        <v>66</v>
      </c>
      <c r="E117" s="5">
        <v>43554</v>
      </c>
      <c r="F117">
        <v>11050501</v>
      </c>
      <c r="G117" t="s">
        <v>195</v>
      </c>
      <c r="J117">
        <v>1012</v>
      </c>
      <c r="K117">
        <v>1110</v>
      </c>
      <c r="L117" s="3">
        <v>-19797130.949999999</v>
      </c>
      <c r="M117" s="3">
        <v>0</v>
      </c>
      <c r="N117">
        <v>86000</v>
      </c>
      <c r="O117">
        <v>0</v>
      </c>
      <c r="P117">
        <v>-19883130.949999999</v>
      </c>
      <c r="Q117" t="s">
        <v>30</v>
      </c>
      <c r="R117" t="s">
        <v>97</v>
      </c>
      <c r="S117" t="str">
        <v/>
      </c>
      <c r="T117" t="str">
        <v>#N/A</v>
      </c>
    </row>
    <row r="118" spans="1:20" ht="13.7" customHeight="1" x14ac:dyDescent="0.25">
      <c r="A118" t="s">
        <v>26</v>
      </c>
      <c r="B118" t="s">
        <v>27</v>
      </c>
      <c r="C118" t="s">
        <v>91</v>
      </c>
      <c r="D118">
        <v>67</v>
      </c>
      <c r="E118" s="5">
        <v>43554</v>
      </c>
      <c r="F118">
        <v>11050501</v>
      </c>
      <c r="G118" t="s">
        <v>195</v>
      </c>
      <c r="J118">
        <v>1012</v>
      </c>
      <c r="K118">
        <v>1110</v>
      </c>
      <c r="L118" s="3">
        <v>-19883130.949999999</v>
      </c>
      <c r="M118" s="3">
        <v>0</v>
      </c>
      <c r="N118">
        <v>2600</v>
      </c>
      <c r="O118">
        <v>0</v>
      </c>
      <c r="P118">
        <v>-19885730.949999999</v>
      </c>
      <c r="Q118" t="s">
        <v>30</v>
      </c>
      <c r="R118" t="s">
        <v>112</v>
      </c>
      <c r="S118" t="str">
        <v/>
      </c>
      <c r="T118" t="str">
        <v>#N/A</v>
      </c>
    </row>
    <row r="119" spans="1:20" ht="13.7" customHeight="1" x14ac:dyDescent="0.25">
      <c r="A119" t="s">
        <v>26</v>
      </c>
      <c r="B119" t="s">
        <v>27</v>
      </c>
      <c r="C119" t="s">
        <v>91</v>
      </c>
      <c r="D119">
        <v>68</v>
      </c>
      <c r="E119" s="5">
        <v>43554</v>
      </c>
      <c r="F119">
        <v>11050501</v>
      </c>
      <c r="G119" t="s">
        <v>195</v>
      </c>
      <c r="J119">
        <v>1012</v>
      </c>
      <c r="K119">
        <v>1110</v>
      </c>
      <c r="L119" s="3">
        <v>-19885730.949999999</v>
      </c>
      <c r="M119" s="3">
        <v>0</v>
      </c>
      <c r="N119">
        <v>110100</v>
      </c>
      <c r="O119">
        <v>0</v>
      </c>
      <c r="P119">
        <v>-19995830.949999999</v>
      </c>
      <c r="Q119" t="s">
        <v>30</v>
      </c>
      <c r="R119" t="s">
        <v>97</v>
      </c>
      <c r="S119" t="str">
        <v/>
      </c>
      <c r="T119" t="str">
        <v>#N/A</v>
      </c>
    </row>
    <row r="120" spans="1:20" ht="13.7" customHeight="1" x14ac:dyDescent="0.25">
      <c r="A120" t="s">
        <v>26</v>
      </c>
      <c r="B120" t="s">
        <v>27</v>
      </c>
      <c r="C120" t="s">
        <v>91</v>
      </c>
      <c r="D120">
        <v>72</v>
      </c>
      <c r="E120" s="5">
        <v>43554</v>
      </c>
      <c r="F120">
        <v>11050501</v>
      </c>
      <c r="G120" t="s">
        <v>195</v>
      </c>
      <c r="J120">
        <v>1012</v>
      </c>
      <c r="K120">
        <v>1110</v>
      </c>
      <c r="L120" s="3">
        <v>-19995830.949999999</v>
      </c>
      <c r="M120" s="3">
        <v>0</v>
      </c>
      <c r="N120">
        <v>26900</v>
      </c>
      <c r="O120">
        <v>0</v>
      </c>
      <c r="P120">
        <v>-20022730.949999999</v>
      </c>
      <c r="Q120" t="s">
        <v>30</v>
      </c>
      <c r="R120" t="s">
        <v>43</v>
      </c>
      <c r="S120" t="str">
        <v/>
      </c>
      <c r="T120" t="str">
        <v>#N/A</v>
      </c>
    </row>
    <row r="121" spans="1:20" ht="13.7" customHeight="1" x14ac:dyDescent="0.25">
      <c r="A121" t="s">
        <v>26</v>
      </c>
      <c r="B121" t="s">
        <v>27</v>
      </c>
      <c r="C121" t="s">
        <v>91</v>
      </c>
      <c r="D121">
        <v>73</v>
      </c>
      <c r="E121" s="5">
        <v>43554</v>
      </c>
      <c r="F121">
        <v>11050501</v>
      </c>
      <c r="G121" t="s">
        <v>195</v>
      </c>
      <c r="J121">
        <v>1012</v>
      </c>
      <c r="K121">
        <v>1110</v>
      </c>
      <c r="L121" s="3">
        <v>-20022730.949999999</v>
      </c>
      <c r="M121" s="3">
        <v>0</v>
      </c>
      <c r="N121">
        <v>11500</v>
      </c>
      <c r="O121">
        <v>0</v>
      </c>
      <c r="P121">
        <v>-20034230.949999999</v>
      </c>
      <c r="Q121" t="s">
        <v>30</v>
      </c>
      <c r="R121" t="s">
        <v>43</v>
      </c>
      <c r="S121" t="str">
        <v/>
      </c>
      <c r="T121" t="str">
        <v>#N/A</v>
      </c>
    </row>
    <row r="122" spans="1:20" ht="13.7" customHeight="1" x14ac:dyDescent="0.25">
      <c r="A122" t="s">
        <v>26</v>
      </c>
      <c r="B122" t="s">
        <v>27</v>
      </c>
      <c r="C122" t="s">
        <v>34</v>
      </c>
      <c r="D122">
        <v>1</v>
      </c>
      <c r="E122" s="5">
        <v>43557</v>
      </c>
      <c r="F122">
        <v>11050501</v>
      </c>
      <c r="G122" t="s">
        <v>195</v>
      </c>
      <c r="J122">
        <v>1012</v>
      </c>
      <c r="K122">
        <v>1110</v>
      </c>
      <c r="L122" s="3">
        <v>-20034230.949999999</v>
      </c>
      <c r="M122" s="3">
        <v>0</v>
      </c>
      <c r="N122">
        <v>9200</v>
      </c>
      <c r="O122">
        <v>0</v>
      </c>
      <c r="P122">
        <v>-20043430.949999999</v>
      </c>
      <c r="Q122" t="s">
        <v>30</v>
      </c>
      <c r="R122" t="s">
        <v>59</v>
      </c>
      <c r="S122" t="str">
        <v/>
      </c>
      <c r="T122" t="str">
        <v>#N/A</v>
      </c>
    </row>
    <row r="123" spans="1:20" ht="13.7" customHeight="1" x14ac:dyDescent="0.25">
      <c r="A123" t="s">
        <v>26</v>
      </c>
      <c r="B123" t="s">
        <v>27</v>
      </c>
      <c r="C123" t="s">
        <v>34</v>
      </c>
      <c r="D123">
        <v>2</v>
      </c>
      <c r="E123" s="5">
        <v>43557</v>
      </c>
      <c r="F123">
        <v>11050501</v>
      </c>
      <c r="G123" t="s">
        <v>195</v>
      </c>
      <c r="J123">
        <v>1012</v>
      </c>
      <c r="K123">
        <v>1110</v>
      </c>
      <c r="L123" s="3">
        <v>-20043430.949999999</v>
      </c>
      <c r="M123" s="3">
        <v>0</v>
      </c>
      <c r="N123">
        <v>78400</v>
      </c>
      <c r="O123">
        <v>0</v>
      </c>
      <c r="P123">
        <v>-20121830.949999999</v>
      </c>
      <c r="Q123" t="s">
        <v>30</v>
      </c>
      <c r="R123" t="s">
        <v>113</v>
      </c>
      <c r="S123" t="str">
        <v/>
      </c>
      <c r="T123" t="str">
        <v>#N/A</v>
      </c>
    </row>
    <row r="124" spans="1:20" ht="13.7" customHeight="1" x14ac:dyDescent="0.25">
      <c r="A124" t="s">
        <v>26</v>
      </c>
      <c r="B124" t="s">
        <v>27</v>
      </c>
      <c r="C124" t="s">
        <v>34</v>
      </c>
      <c r="D124">
        <v>6</v>
      </c>
      <c r="E124" s="5">
        <v>43558</v>
      </c>
      <c r="F124">
        <v>11050501</v>
      </c>
      <c r="G124" t="s">
        <v>195</v>
      </c>
      <c r="J124">
        <v>1012</v>
      </c>
      <c r="K124">
        <v>1110</v>
      </c>
      <c r="L124" s="3">
        <v>-20121830.949999999</v>
      </c>
      <c r="M124" s="3">
        <v>0</v>
      </c>
      <c r="N124">
        <v>12000</v>
      </c>
      <c r="O124">
        <v>0</v>
      </c>
      <c r="P124">
        <v>-20133830.949999999</v>
      </c>
      <c r="Q124" t="s">
        <v>30</v>
      </c>
      <c r="R124" t="s">
        <v>43</v>
      </c>
      <c r="S124" t="str">
        <v/>
      </c>
      <c r="T124" t="str">
        <v>#N/A</v>
      </c>
    </row>
    <row r="125" spans="1:20" ht="13.7" customHeight="1" x14ac:dyDescent="0.25">
      <c r="A125" t="s">
        <v>26</v>
      </c>
      <c r="B125" t="s">
        <v>27</v>
      </c>
      <c r="C125" t="s">
        <v>34</v>
      </c>
      <c r="D125">
        <v>7</v>
      </c>
      <c r="E125" s="5">
        <v>43558</v>
      </c>
      <c r="F125">
        <v>11050501</v>
      </c>
      <c r="G125" t="s">
        <v>195</v>
      </c>
      <c r="J125">
        <v>1012</v>
      </c>
      <c r="K125">
        <v>1110</v>
      </c>
      <c r="L125" s="3">
        <v>-20133830.949999999</v>
      </c>
      <c r="M125" s="3">
        <v>0</v>
      </c>
      <c r="N125">
        <v>14400</v>
      </c>
      <c r="O125">
        <v>0</v>
      </c>
      <c r="P125">
        <v>-20148230.949999999</v>
      </c>
      <c r="Q125" t="s">
        <v>30</v>
      </c>
      <c r="R125" t="s">
        <v>74</v>
      </c>
      <c r="S125" t="str">
        <v/>
      </c>
      <c r="T125" t="str">
        <v>#N/A</v>
      </c>
    </row>
    <row r="126" spans="1:20" ht="13.7" customHeight="1" x14ac:dyDescent="0.25">
      <c r="A126" t="s">
        <v>26</v>
      </c>
      <c r="B126" t="s">
        <v>27</v>
      </c>
      <c r="C126" t="s">
        <v>34</v>
      </c>
      <c r="D126">
        <v>10</v>
      </c>
      <c r="E126" s="5">
        <v>43559</v>
      </c>
      <c r="F126">
        <v>11050501</v>
      </c>
      <c r="G126" t="s">
        <v>195</v>
      </c>
      <c r="J126">
        <v>1012</v>
      </c>
      <c r="K126">
        <v>1110</v>
      </c>
      <c r="L126" s="3">
        <v>-20148230.949999999</v>
      </c>
      <c r="M126" s="3">
        <v>0</v>
      </c>
      <c r="N126">
        <v>8500</v>
      </c>
      <c r="O126">
        <v>0</v>
      </c>
      <c r="P126">
        <v>-20156730.949999999</v>
      </c>
      <c r="Q126" t="s">
        <v>30</v>
      </c>
      <c r="R126" t="s">
        <v>59</v>
      </c>
      <c r="S126" t="str">
        <v/>
      </c>
      <c r="T126" t="str">
        <v>#N/A</v>
      </c>
    </row>
    <row r="127" spans="1:20" ht="13.7" customHeight="1" x14ac:dyDescent="0.25">
      <c r="A127" t="s">
        <v>26</v>
      </c>
      <c r="B127" t="s">
        <v>27</v>
      </c>
      <c r="C127" t="s">
        <v>34</v>
      </c>
      <c r="D127">
        <v>8</v>
      </c>
      <c r="E127" s="5">
        <v>43559</v>
      </c>
      <c r="F127">
        <v>11050501</v>
      </c>
      <c r="G127" t="s">
        <v>195</v>
      </c>
      <c r="J127">
        <v>1012</v>
      </c>
      <c r="K127">
        <v>1110</v>
      </c>
      <c r="L127" s="3">
        <v>-20156730.949999999</v>
      </c>
      <c r="M127" s="3">
        <v>0</v>
      </c>
      <c r="N127">
        <v>9500</v>
      </c>
      <c r="O127">
        <v>0</v>
      </c>
      <c r="P127">
        <v>-20166230.949999999</v>
      </c>
      <c r="Q127" t="s">
        <v>30</v>
      </c>
      <c r="R127" t="s">
        <v>43</v>
      </c>
      <c r="S127" t="str">
        <v/>
      </c>
      <c r="T127" t="str">
        <v>#N/A</v>
      </c>
    </row>
    <row r="128" spans="1:20" ht="13.7" customHeight="1" x14ac:dyDescent="0.25">
      <c r="A128" t="s">
        <v>26</v>
      </c>
      <c r="B128" t="s">
        <v>27</v>
      </c>
      <c r="C128" t="s">
        <v>34</v>
      </c>
      <c r="D128">
        <v>9</v>
      </c>
      <c r="E128" s="5">
        <v>43559</v>
      </c>
      <c r="F128">
        <v>11050501</v>
      </c>
      <c r="G128" t="s">
        <v>195</v>
      </c>
      <c r="J128">
        <v>1012</v>
      </c>
      <c r="K128">
        <v>1110</v>
      </c>
      <c r="L128" s="3">
        <v>-20166230.949999999</v>
      </c>
      <c r="M128" s="3">
        <v>0</v>
      </c>
      <c r="N128">
        <v>9500</v>
      </c>
      <c r="O128">
        <v>0</v>
      </c>
      <c r="P128">
        <v>-20175730.949999999</v>
      </c>
      <c r="Q128" t="s">
        <v>30</v>
      </c>
      <c r="R128" t="s">
        <v>43</v>
      </c>
      <c r="S128" t="str">
        <v/>
      </c>
      <c r="T128" t="str">
        <v>#N/A</v>
      </c>
    </row>
    <row r="129" spans="1:20" ht="13.7" customHeight="1" x14ac:dyDescent="0.25">
      <c r="A129" t="s">
        <v>26</v>
      </c>
      <c r="B129" t="s">
        <v>27</v>
      </c>
      <c r="C129" t="s">
        <v>34</v>
      </c>
      <c r="D129">
        <v>11</v>
      </c>
      <c r="E129" s="5">
        <v>43560</v>
      </c>
      <c r="F129">
        <v>11050501</v>
      </c>
      <c r="G129" t="s">
        <v>195</v>
      </c>
      <c r="J129">
        <v>1012</v>
      </c>
      <c r="K129">
        <v>1110</v>
      </c>
      <c r="L129" s="3">
        <v>-20175730.949999999</v>
      </c>
      <c r="M129" s="3">
        <v>0</v>
      </c>
      <c r="N129">
        <v>12500</v>
      </c>
      <c r="O129">
        <v>0</v>
      </c>
      <c r="P129">
        <v>-20188230.949999999</v>
      </c>
      <c r="Q129" t="s">
        <v>30</v>
      </c>
      <c r="R129" t="s">
        <v>47</v>
      </c>
      <c r="S129" t="str">
        <v/>
      </c>
      <c r="T129" t="str">
        <v>#N/A</v>
      </c>
    </row>
    <row r="130" spans="1:20" ht="13.7" customHeight="1" x14ac:dyDescent="0.25">
      <c r="A130" t="s">
        <v>26</v>
      </c>
      <c r="B130" t="s">
        <v>27</v>
      </c>
      <c r="C130" t="s">
        <v>34</v>
      </c>
      <c r="D130">
        <v>12</v>
      </c>
      <c r="E130" s="5">
        <v>43560</v>
      </c>
      <c r="F130">
        <v>11050501</v>
      </c>
      <c r="G130" t="s">
        <v>195</v>
      </c>
      <c r="J130">
        <v>1012</v>
      </c>
      <c r="K130">
        <v>1110</v>
      </c>
      <c r="L130" s="3">
        <v>-20188230.949999999</v>
      </c>
      <c r="M130" s="3">
        <v>0</v>
      </c>
      <c r="N130">
        <v>30000</v>
      </c>
      <c r="O130">
        <v>0</v>
      </c>
      <c r="P130">
        <v>-20218230.949999999</v>
      </c>
      <c r="Q130" t="s">
        <v>30</v>
      </c>
      <c r="R130" t="s">
        <v>114</v>
      </c>
      <c r="S130" t="str">
        <v/>
      </c>
      <c r="T130" t="str">
        <v>#N/A</v>
      </c>
    </row>
    <row r="131" spans="1:20" ht="13.7" customHeight="1" x14ac:dyDescent="0.25">
      <c r="A131" t="s">
        <v>26</v>
      </c>
      <c r="B131" t="s">
        <v>27</v>
      </c>
      <c r="C131" t="s">
        <v>34</v>
      </c>
      <c r="D131">
        <v>13</v>
      </c>
      <c r="E131" s="5">
        <v>43560</v>
      </c>
      <c r="F131">
        <v>11050501</v>
      </c>
      <c r="G131" t="s">
        <v>195</v>
      </c>
      <c r="J131">
        <v>1012</v>
      </c>
      <c r="K131">
        <v>1110</v>
      </c>
      <c r="L131" s="3">
        <v>-20218230.949999999</v>
      </c>
      <c r="M131" s="3">
        <v>0</v>
      </c>
      <c r="N131">
        <v>35001</v>
      </c>
      <c r="O131">
        <v>0</v>
      </c>
      <c r="P131">
        <v>-20253231.949999999</v>
      </c>
      <c r="Q131" t="s">
        <v>30</v>
      </c>
      <c r="R131" t="s">
        <v>115</v>
      </c>
      <c r="S131" t="str">
        <v/>
      </c>
      <c r="T131" t="str">
        <v>#N/A</v>
      </c>
    </row>
    <row r="132" spans="1:20" ht="13.7" customHeight="1" x14ac:dyDescent="0.25">
      <c r="A132" t="s">
        <v>26</v>
      </c>
      <c r="B132" t="s">
        <v>27</v>
      </c>
      <c r="C132" t="s">
        <v>34</v>
      </c>
      <c r="D132">
        <v>14</v>
      </c>
      <c r="E132" s="5">
        <v>43561</v>
      </c>
      <c r="F132">
        <v>11050501</v>
      </c>
      <c r="G132" t="s">
        <v>195</v>
      </c>
      <c r="J132">
        <v>1012</v>
      </c>
      <c r="K132">
        <v>1110</v>
      </c>
      <c r="L132" s="3">
        <v>-20253231.949999999</v>
      </c>
      <c r="M132" s="3">
        <v>0</v>
      </c>
      <c r="N132">
        <v>29800</v>
      </c>
      <c r="O132">
        <v>0</v>
      </c>
      <c r="P132">
        <v>-20283031.949999999</v>
      </c>
      <c r="Q132" t="s">
        <v>30</v>
      </c>
      <c r="R132" t="s">
        <v>116</v>
      </c>
      <c r="S132" t="str">
        <v/>
      </c>
      <c r="T132" t="str">
        <v>#N/A</v>
      </c>
    </row>
    <row r="133" spans="1:20" ht="13.7" customHeight="1" x14ac:dyDescent="0.25">
      <c r="A133" t="s">
        <v>26</v>
      </c>
      <c r="B133" t="s">
        <v>27</v>
      </c>
      <c r="C133" t="s">
        <v>34</v>
      </c>
      <c r="D133">
        <v>17</v>
      </c>
      <c r="E133" s="5">
        <v>43563</v>
      </c>
      <c r="F133">
        <v>11050501</v>
      </c>
      <c r="G133" t="s">
        <v>195</v>
      </c>
      <c r="J133">
        <v>1012</v>
      </c>
      <c r="K133">
        <v>1110</v>
      </c>
      <c r="L133" s="3">
        <v>-20283031.949999999</v>
      </c>
      <c r="M133" s="3">
        <v>0</v>
      </c>
      <c r="N133">
        <v>34000</v>
      </c>
      <c r="O133">
        <v>0</v>
      </c>
      <c r="P133">
        <v>-20317031.949999999</v>
      </c>
      <c r="Q133" t="s">
        <v>30</v>
      </c>
      <c r="R133" t="s">
        <v>117</v>
      </c>
      <c r="S133" t="str">
        <v/>
      </c>
      <c r="T133" t="str">
        <v>#N/A</v>
      </c>
    </row>
    <row r="134" spans="1:20" ht="13.7" customHeight="1" x14ac:dyDescent="0.25">
      <c r="A134" t="s">
        <v>26</v>
      </c>
      <c r="B134" t="s">
        <v>27</v>
      </c>
      <c r="C134" t="s">
        <v>34</v>
      </c>
      <c r="D134">
        <v>18</v>
      </c>
      <c r="E134" s="5">
        <v>43563</v>
      </c>
      <c r="F134">
        <v>11050501</v>
      </c>
      <c r="G134" t="s">
        <v>195</v>
      </c>
      <c r="J134">
        <v>1012</v>
      </c>
      <c r="K134">
        <v>1110</v>
      </c>
      <c r="L134" s="3">
        <v>-20317031.949999999</v>
      </c>
      <c r="M134" s="3">
        <v>0</v>
      </c>
      <c r="N134">
        <v>53900</v>
      </c>
      <c r="O134">
        <v>0</v>
      </c>
      <c r="P134">
        <v>-20370931.949999999</v>
      </c>
      <c r="Q134" t="s">
        <v>30</v>
      </c>
      <c r="R134" t="s">
        <v>118</v>
      </c>
      <c r="S134" t="str">
        <v/>
      </c>
      <c r="T134" t="str">
        <v>#N/A</v>
      </c>
    </row>
    <row r="135" spans="1:20" ht="13.7" customHeight="1" x14ac:dyDescent="0.25">
      <c r="A135" t="s">
        <v>26</v>
      </c>
      <c r="B135" t="s">
        <v>27</v>
      </c>
      <c r="C135" t="s">
        <v>34</v>
      </c>
      <c r="D135">
        <v>19</v>
      </c>
      <c r="E135" s="5">
        <v>43564</v>
      </c>
      <c r="F135">
        <v>11050501</v>
      </c>
      <c r="G135" t="s">
        <v>195</v>
      </c>
      <c r="J135">
        <v>1012</v>
      </c>
      <c r="K135">
        <v>1110</v>
      </c>
      <c r="L135" s="3">
        <v>-20370931.949999999</v>
      </c>
      <c r="M135" s="3">
        <v>0</v>
      </c>
      <c r="N135">
        <v>14600</v>
      </c>
      <c r="O135">
        <v>0</v>
      </c>
      <c r="P135">
        <v>-20385531.949999999</v>
      </c>
      <c r="Q135" t="s">
        <v>30</v>
      </c>
      <c r="R135" t="s">
        <v>74</v>
      </c>
      <c r="S135" t="str">
        <v/>
      </c>
      <c r="T135" t="str">
        <v>#N/A</v>
      </c>
    </row>
    <row r="136" spans="1:20" ht="13.7" customHeight="1" x14ac:dyDescent="0.25">
      <c r="A136" t="s">
        <v>26</v>
      </c>
      <c r="B136" t="s">
        <v>27</v>
      </c>
      <c r="C136" t="s">
        <v>91</v>
      </c>
      <c r="D136">
        <v>19</v>
      </c>
      <c r="E136" s="5">
        <v>43565</v>
      </c>
      <c r="F136">
        <v>11050501</v>
      </c>
      <c r="G136" t="s">
        <v>195</v>
      </c>
      <c r="J136">
        <v>1012</v>
      </c>
      <c r="K136">
        <v>1110</v>
      </c>
      <c r="L136" s="3">
        <v>-20385531.949999999</v>
      </c>
      <c r="M136" s="3">
        <v>0</v>
      </c>
      <c r="N136">
        <v>673000</v>
      </c>
      <c r="O136">
        <v>0</v>
      </c>
      <c r="P136">
        <v>-21058531.949999999</v>
      </c>
      <c r="Q136" t="s">
        <v>30</v>
      </c>
      <c r="R136" t="s">
        <v>119</v>
      </c>
      <c r="S136" t="str">
        <v/>
      </c>
      <c r="T136" t="str">
        <v>#N/A</v>
      </c>
    </row>
    <row r="137" spans="1:20" ht="13.7" customHeight="1" x14ac:dyDescent="0.25">
      <c r="A137" t="s">
        <v>26</v>
      </c>
      <c r="B137" t="s">
        <v>27</v>
      </c>
      <c r="C137" t="s">
        <v>91</v>
      </c>
      <c r="D137">
        <v>59</v>
      </c>
      <c r="E137" s="5">
        <v>43565</v>
      </c>
      <c r="F137">
        <v>11050501</v>
      </c>
      <c r="G137" t="s">
        <v>195</v>
      </c>
      <c r="J137">
        <v>1012</v>
      </c>
      <c r="K137">
        <v>1110</v>
      </c>
      <c r="L137" s="3">
        <v>-21058531.949999999</v>
      </c>
      <c r="M137" s="3">
        <v>0</v>
      </c>
      <c r="N137">
        <v>3563</v>
      </c>
      <c r="O137">
        <v>0</v>
      </c>
      <c r="P137">
        <v>-21062094.949999999</v>
      </c>
      <c r="Q137" t="s">
        <v>30</v>
      </c>
      <c r="R137" t="s">
        <v>97</v>
      </c>
      <c r="S137" t="str">
        <v/>
      </c>
      <c r="T137" t="str">
        <v>#N/A</v>
      </c>
    </row>
    <row r="138" spans="1:20" ht="13.7" customHeight="1" x14ac:dyDescent="0.25">
      <c r="A138" t="s">
        <v>26</v>
      </c>
      <c r="B138" t="s">
        <v>27</v>
      </c>
      <c r="C138" t="s">
        <v>34</v>
      </c>
      <c r="D138">
        <v>22</v>
      </c>
      <c r="E138" s="5">
        <v>43566</v>
      </c>
      <c r="F138">
        <v>11050501</v>
      </c>
      <c r="G138" t="s">
        <v>195</v>
      </c>
      <c r="J138">
        <v>1012</v>
      </c>
      <c r="K138">
        <v>1110</v>
      </c>
      <c r="L138" s="3">
        <v>-21062094.949999999</v>
      </c>
      <c r="M138" s="3">
        <v>0</v>
      </c>
      <c r="N138">
        <v>9000</v>
      </c>
      <c r="O138">
        <v>0</v>
      </c>
      <c r="P138">
        <v>-21071094.949999999</v>
      </c>
      <c r="Q138" t="s">
        <v>30</v>
      </c>
      <c r="R138" t="s">
        <v>59</v>
      </c>
      <c r="S138" t="str">
        <v/>
      </c>
      <c r="T138" t="str">
        <v>#N/A</v>
      </c>
    </row>
    <row r="139" spans="1:20" ht="13.7" customHeight="1" x14ac:dyDescent="0.25">
      <c r="A139" t="s">
        <v>26</v>
      </c>
      <c r="B139" t="s">
        <v>27</v>
      </c>
      <c r="C139" t="s">
        <v>34</v>
      </c>
      <c r="D139">
        <v>23</v>
      </c>
      <c r="E139" s="5">
        <v>43566</v>
      </c>
      <c r="F139">
        <v>11050501</v>
      </c>
      <c r="G139" t="s">
        <v>195</v>
      </c>
      <c r="J139">
        <v>1012</v>
      </c>
      <c r="K139">
        <v>1110</v>
      </c>
      <c r="L139" s="3">
        <v>-21071094.949999999</v>
      </c>
      <c r="M139" s="3">
        <v>0</v>
      </c>
      <c r="N139">
        <v>48000</v>
      </c>
      <c r="O139">
        <v>0</v>
      </c>
      <c r="P139">
        <v>-21119094.949999999</v>
      </c>
      <c r="Q139" t="s">
        <v>30</v>
      </c>
      <c r="R139" t="s">
        <v>120</v>
      </c>
      <c r="S139" t="str">
        <v/>
      </c>
      <c r="T139" t="str">
        <v>#N/A</v>
      </c>
    </row>
    <row r="140" spans="1:20" ht="13.7" customHeight="1" x14ac:dyDescent="0.25">
      <c r="A140" t="s">
        <v>26</v>
      </c>
      <c r="B140" t="s">
        <v>27</v>
      </c>
      <c r="C140" t="s">
        <v>34</v>
      </c>
      <c r="D140">
        <v>26</v>
      </c>
      <c r="E140" s="5">
        <v>43567</v>
      </c>
      <c r="F140">
        <v>11050501</v>
      </c>
      <c r="G140" t="s">
        <v>195</v>
      </c>
      <c r="J140">
        <v>1012</v>
      </c>
      <c r="K140">
        <v>1110</v>
      </c>
      <c r="L140" s="3">
        <v>-21119094.949999999</v>
      </c>
      <c r="M140" s="3">
        <v>0</v>
      </c>
      <c r="N140">
        <v>15000</v>
      </c>
      <c r="O140">
        <v>0</v>
      </c>
      <c r="P140">
        <v>-21134094.949999999</v>
      </c>
      <c r="Q140" t="s">
        <v>30</v>
      </c>
      <c r="R140" t="s">
        <v>121</v>
      </c>
      <c r="S140" t="str">
        <v/>
      </c>
      <c r="T140" t="str">
        <v>#N/A</v>
      </c>
    </row>
    <row r="141" spans="1:20" ht="13.7" customHeight="1" x14ac:dyDescent="0.25">
      <c r="A141" t="s">
        <v>26</v>
      </c>
      <c r="B141" t="s">
        <v>27</v>
      </c>
      <c r="C141" t="s">
        <v>34</v>
      </c>
      <c r="D141">
        <v>27</v>
      </c>
      <c r="E141" s="5">
        <v>43568</v>
      </c>
      <c r="F141">
        <v>11050501</v>
      </c>
      <c r="G141" t="s">
        <v>195</v>
      </c>
      <c r="J141">
        <v>1012</v>
      </c>
      <c r="K141">
        <v>1110</v>
      </c>
      <c r="L141" s="3">
        <v>-21134094.949999999</v>
      </c>
      <c r="M141" s="3">
        <v>0</v>
      </c>
      <c r="N141">
        <v>19000</v>
      </c>
      <c r="O141">
        <v>0</v>
      </c>
      <c r="P141">
        <v>-21153094.949999999</v>
      </c>
      <c r="Q141" t="s">
        <v>30</v>
      </c>
      <c r="R141" t="s">
        <v>45</v>
      </c>
      <c r="S141" t="str">
        <v/>
      </c>
      <c r="T141" t="str">
        <v>#N/A</v>
      </c>
    </row>
    <row r="142" spans="1:20" ht="13.7" customHeight="1" x14ac:dyDescent="0.25">
      <c r="A142" t="s">
        <v>26</v>
      </c>
      <c r="B142" t="s">
        <v>27</v>
      </c>
      <c r="C142" t="s">
        <v>34</v>
      </c>
      <c r="D142">
        <v>31</v>
      </c>
      <c r="E142" s="5">
        <v>43568</v>
      </c>
      <c r="F142">
        <v>11050501</v>
      </c>
      <c r="G142" t="s">
        <v>195</v>
      </c>
      <c r="J142">
        <v>1012</v>
      </c>
      <c r="K142">
        <v>1110</v>
      </c>
      <c r="L142" s="3">
        <v>-21153094.949999999</v>
      </c>
      <c r="M142" s="3">
        <v>0</v>
      </c>
      <c r="N142">
        <v>27000</v>
      </c>
      <c r="O142">
        <v>0</v>
      </c>
      <c r="P142">
        <v>-21180094.949999999</v>
      </c>
      <c r="Q142" t="s">
        <v>30</v>
      </c>
      <c r="R142" t="s">
        <v>70</v>
      </c>
      <c r="S142" t="str">
        <v/>
      </c>
      <c r="T142" t="str">
        <v>#N/A</v>
      </c>
    </row>
    <row r="143" spans="1:20" ht="13.7" customHeight="1" x14ac:dyDescent="0.25">
      <c r="A143" t="s">
        <v>26</v>
      </c>
      <c r="B143" t="s">
        <v>27</v>
      </c>
      <c r="C143" t="s">
        <v>34</v>
      </c>
      <c r="D143">
        <v>32</v>
      </c>
      <c r="E143" s="5">
        <v>43570</v>
      </c>
      <c r="F143">
        <v>11050501</v>
      </c>
      <c r="G143" t="s">
        <v>195</v>
      </c>
      <c r="J143">
        <v>1012</v>
      </c>
      <c r="K143">
        <v>1110</v>
      </c>
      <c r="L143" s="3">
        <v>-21180094.949999999</v>
      </c>
      <c r="M143" s="3">
        <v>0</v>
      </c>
      <c r="N143">
        <v>48000</v>
      </c>
      <c r="O143">
        <v>0</v>
      </c>
      <c r="P143">
        <v>-21228094.949999999</v>
      </c>
      <c r="Q143" t="s">
        <v>30</v>
      </c>
      <c r="R143" t="s">
        <v>122</v>
      </c>
      <c r="S143" t="str">
        <v/>
      </c>
      <c r="T143" t="str">
        <v>#N/A</v>
      </c>
    </row>
    <row r="144" spans="1:20" ht="13.7" customHeight="1" x14ac:dyDescent="0.25">
      <c r="A144" t="s">
        <v>26</v>
      </c>
      <c r="B144" t="s">
        <v>27</v>
      </c>
      <c r="C144" t="s">
        <v>34</v>
      </c>
      <c r="D144">
        <v>36</v>
      </c>
      <c r="E144" s="5">
        <v>43570</v>
      </c>
      <c r="F144">
        <v>11050501</v>
      </c>
      <c r="G144" t="s">
        <v>195</v>
      </c>
      <c r="J144">
        <v>1012</v>
      </c>
      <c r="K144">
        <v>1110</v>
      </c>
      <c r="L144" s="3">
        <v>-21228094.949999999</v>
      </c>
      <c r="M144" s="3">
        <v>0</v>
      </c>
      <c r="N144">
        <v>9400</v>
      </c>
      <c r="O144">
        <v>0</v>
      </c>
      <c r="P144">
        <v>-21237494.949999999</v>
      </c>
      <c r="Q144" t="s">
        <v>30</v>
      </c>
      <c r="R144" t="s">
        <v>59</v>
      </c>
      <c r="S144" t="str">
        <v/>
      </c>
      <c r="T144" t="str">
        <v>#N/A</v>
      </c>
    </row>
    <row r="145" spans="1:20" ht="13.7" customHeight="1" x14ac:dyDescent="0.25">
      <c r="A145" t="s">
        <v>26</v>
      </c>
      <c r="B145" t="s">
        <v>27</v>
      </c>
      <c r="C145" t="s">
        <v>34</v>
      </c>
      <c r="D145">
        <v>39</v>
      </c>
      <c r="E145" s="5">
        <v>43571</v>
      </c>
      <c r="F145">
        <v>11050501</v>
      </c>
      <c r="G145" t="s">
        <v>195</v>
      </c>
      <c r="J145">
        <v>1012</v>
      </c>
      <c r="K145">
        <v>1110</v>
      </c>
      <c r="L145" s="3">
        <v>-21237494.949999999</v>
      </c>
      <c r="M145" s="3">
        <v>0</v>
      </c>
      <c r="N145">
        <v>9500</v>
      </c>
      <c r="O145">
        <v>0</v>
      </c>
      <c r="P145">
        <v>-21246994.949999999</v>
      </c>
      <c r="Q145" t="s">
        <v>30</v>
      </c>
      <c r="R145" t="s">
        <v>43</v>
      </c>
      <c r="S145" t="str">
        <v/>
      </c>
      <c r="T145" t="str">
        <v>#N/A</v>
      </c>
    </row>
    <row r="146" spans="1:20" ht="13.7" customHeight="1" x14ac:dyDescent="0.25">
      <c r="A146" t="s">
        <v>26</v>
      </c>
      <c r="B146" t="s">
        <v>27</v>
      </c>
      <c r="C146" t="s">
        <v>34</v>
      </c>
      <c r="D146">
        <v>40</v>
      </c>
      <c r="E146" s="5">
        <v>43571</v>
      </c>
      <c r="F146">
        <v>11050501</v>
      </c>
      <c r="G146" t="s">
        <v>195</v>
      </c>
      <c r="J146">
        <v>1012</v>
      </c>
      <c r="K146">
        <v>1110</v>
      </c>
      <c r="L146" s="3">
        <v>-21246994.949999999</v>
      </c>
      <c r="M146" s="3">
        <v>0</v>
      </c>
      <c r="N146">
        <v>38500</v>
      </c>
      <c r="O146">
        <v>0</v>
      </c>
      <c r="P146">
        <v>-21285494.949999999</v>
      </c>
      <c r="Q146" t="s">
        <v>30</v>
      </c>
      <c r="R146" t="s">
        <v>47</v>
      </c>
      <c r="S146" t="str">
        <v/>
      </c>
      <c r="T146" t="str">
        <v>#N/A</v>
      </c>
    </row>
    <row r="147" spans="1:20" ht="13.7" customHeight="1" x14ac:dyDescent="0.25">
      <c r="A147" t="s">
        <v>26</v>
      </c>
      <c r="B147" t="s">
        <v>27</v>
      </c>
      <c r="C147" t="s">
        <v>34</v>
      </c>
      <c r="D147">
        <v>41</v>
      </c>
      <c r="E147" s="5">
        <v>43572</v>
      </c>
      <c r="F147">
        <v>11050501</v>
      </c>
      <c r="G147" t="s">
        <v>195</v>
      </c>
      <c r="J147">
        <v>1012</v>
      </c>
      <c r="K147">
        <v>1110</v>
      </c>
      <c r="L147" s="3">
        <v>-21285494.949999999</v>
      </c>
      <c r="M147" s="3">
        <v>0</v>
      </c>
      <c r="N147">
        <v>31500</v>
      </c>
      <c r="O147">
        <v>0</v>
      </c>
      <c r="P147">
        <v>-21316994.949999999</v>
      </c>
      <c r="Q147" t="s">
        <v>30</v>
      </c>
      <c r="R147" t="s">
        <v>43</v>
      </c>
      <c r="S147" t="str">
        <v/>
      </c>
      <c r="T147" t="str">
        <v>#N/A</v>
      </c>
    </row>
    <row r="148" spans="1:20" ht="13.7" customHeight="1" x14ac:dyDescent="0.25">
      <c r="A148" t="s">
        <v>26</v>
      </c>
      <c r="B148" t="s">
        <v>27</v>
      </c>
      <c r="C148" t="s">
        <v>34</v>
      </c>
      <c r="D148">
        <v>43</v>
      </c>
      <c r="E148" s="5">
        <v>43575</v>
      </c>
      <c r="F148">
        <v>11050501</v>
      </c>
      <c r="G148" t="s">
        <v>195</v>
      </c>
      <c r="J148">
        <v>1012</v>
      </c>
      <c r="K148">
        <v>1110</v>
      </c>
      <c r="L148" s="3">
        <v>-21316994.949999999</v>
      </c>
      <c r="M148" s="3">
        <v>0</v>
      </c>
      <c r="N148">
        <v>19000</v>
      </c>
      <c r="O148">
        <v>0</v>
      </c>
      <c r="P148">
        <v>-21335994.949999999</v>
      </c>
      <c r="Q148" t="s">
        <v>30</v>
      </c>
      <c r="R148" t="s">
        <v>45</v>
      </c>
      <c r="S148" t="str">
        <v/>
      </c>
      <c r="T148" t="str">
        <v>#N/A</v>
      </c>
    </row>
    <row r="149" spans="1:20" ht="13.7" customHeight="1" x14ac:dyDescent="0.25">
      <c r="A149" t="s">
        <v>26</v>
      </c>
      <c r="B149" t="s">
        <v>27</v>
      </c>
      <c r="C149" t="s">
        <v>34</v>
      </c>
      <c r="D149">
        <v>54</v>
      </c>
      <c r="E149" s="5">
        <v>43578</v>
      </c>
      <c r="F149">
        <v>11050501</v>
      </c>
      <c r="G149" t="s">
        <v>195</v>
      </c>
      <c r="J149">
        <v>1012</v>
      </c>
      <c r="K149">
        <v>1110</v>
      </c>
      <c r="L149" s="3">
        <v>-21335994.949999999</v>
      </c>
      <c r="M149" s="3">
        <v>0</v>
      </c>
      <c r="N149">
        <v>9400</v>
      </c>
      <c r="O149">
        <v>0</v>
      </c>
      <c r="P149">
        <v>-21345394.949999999</v>
      </c>
      <c r="Q149" t="s">
        <v>30</v>
      </c>
      <c r="R149" t="s">
        <v>43</v>
      </c>
      <c r="S149" t="str">
        <v/>
      </c>
      <c r="T149" t="str">
        <v>#N/A</v>
      </c>
    </row>
    <row r="150" spans="1:20" ht="13.7" customHeight="1" x14ac:dyDescent="0.25">
      <c r="A150" t="s">
        <v>26</v>
      </c>
      <c r="B150" t="s">
        <v>27</v>
      </c>
      <c r="C150" t="s">
        <v>34</v>
      </c>
      <c r="D150">
        <v>55</v>
      </c>
      <c r="E150" s="5">
        <v>43578</v>
      </c>
      <c r="F150">
        <v>11050501</v>
      </c>
      <c r="G150" t="s">
        <v>195</v>
      </c>
      <c r="J150">
        <v>1012</v>
      </c>
      <c r="K150">
        <v>1110</v>
      </c>
      <c r="L150" s="3">
        <v>-21345394.949999999</v>
      </c>
      <c r="M150" s="3">
        <v>0</v>
      </c>
      <c r="N150">
        <v>8800</v>
      </c>
      <c r="O150">
        <v>0</v>
      </c>
      <c r="P150">
        <v>-21354194.949999999</v>
      </c>
      <c r="Q150" t="s">
        <v>30</v>
      </c>
      <c r="R150" t="s">
        <v>59</v>
      </c>
      <c r="S150" t="str">
        <v/>
      </c>
      <c r="T150" t="str">
        <v>#N/A</v>
      </c>
    </row>
    <row r="151" spans="1:20" ht="13.7" customHeight="1" x14ac:dyDescent="0.25">
      <c r="A151" t="s">
        <v>26</v>
      </c>
      <c r="B151" t="s">
        <v>27</v>
      </c>
      <c r="C151" t="s">
        <v>34</v>
      </c>
      <c r="D151">
        <v>56</v>
      </c>
      <c r="E151" s="5">
        <v>43579</v>
      </c>
      <c r="F151">
        <v>11050501</v>
      </c>
      <c r="G151" t="s">
        <v>195</v>
      </c>
      <c r="J151">
        <v>1012</v>
      </c>
      <c r="K151">
        <v>1110</v>
      </c>
      <c r="L151" s="3">
        <v>-21354194.949999999</v>
      </c>
      <c r="M151" s="3">
        <v>0</v>
      </c>
      <c r="N151">
        <v>12400</v>
      </c>
      <c r="O151">
        <v>0</v>
      </c>
      <c r="P151">
        <v>-21366594.949999999</v>
      </c>
      <c r="Q151" t="s">
        <v>30</v>
      </c>
      <c r="R151" t="s">
        <v>59</v>
      </c>
      <c r="S151" t="str">
        <v/>
      </c>
      <c r="T151" t="str">
        <v>#N/A</v>
      </c>
    </row>
    <row r="152" spans="1:20" ht="13.7" customHeight="1" x14ac:dyDescent="0.25">
      <c r="A152" t="s">
        <v>26</v>
      </c>
      <c r="B152" t="s">
        <v>27</v>
      </c>
      <c r="C152" t="s">
        <v>34</v>
      </c>
      <c r="D152">
        <v>57</v>
      </c>
      <c r="E152" s="5">
        <v>43579</v>
      </c>
      <c r="F152">
        <v>11050501</v>
      </c>
      <c r="G152" t="s">
        <v>195</v>
      </c>
      <c r="J152">
        <v>1012</v>
      </c>
      <c r="K152">
        <v>1110</v>
      </c>
      <c r="L152" s="3">
        <v>-21366594.949999999</v>
      </c>
      <c r="M152" s="3">
        <v>0</v>
      </c>
      <c r="N152">
        <v>636000</v>
      </c>
      <c r="O152">
        <v>0</v>
      </c>
      <c r="P152">
        <v>-22002594.949999999</v>
      </c>
      <c r="Q152" t="s">
        <v>30</v>
      </c>
      <c r="R152" t="s">
        <v>123</v>
      </c>
      <c r="S152" t="str">
        <v/>
      </c>
      <c r="T152" t="str">
        <v>#N/A</v>
      </c>
    </row>
    <row r="153" spans="1:20" ht="13.7" customHeight="1" x14ac:dyDescent="0.25">
      <c r="A153" t="s">
        <v>26</v>
      </c>
      <c r="B153" t="s">
        <v>27</v>
      </c>
      <c r="C153" t="s">
        <v>34</v>
      </c>
      <c r="D153">
        <v>59</v>
      </c>
      <c r="E153" s="5">
        <v>43581</v>
      </c>
      <c r="F153">
        <v>11050501</v>
      </c>
      <c r="G153" t="s">
        <v>195</v>
      </c>
      <c r="J153">
        <v>1012</v>
      </c>
      <c r="K153">
        <v>1110</v>
      </c>
      <c r="L153" s="3">
        <v>-22002594.949999999</v>
      </c>
      <c r="M153" s="3">
        <v>0</v>
      </c>
      <c r="N153">
        <v>5200</v>
      </c>
      <c r="O153">
        <v>0</v>
      </c>
      <c r="P153">
        <v>-22007794.949999999</v>
      </c>
      <c r="Q153" t="s">
        <v>30</v>
      </c>
      <c r="R153" t="s">
        <v>59</v>
      </c>
      <c r="S153" t="str">
        <v/>
      </c>
      <c r="T153" t="str">
        <v>#N/A</v>
      </c>
    </row>
    <row r="154" spans="1:20" ht="13.7" customHeight="1" x14ac:dyDescent="0.25">
      <c r="A154" t="s">
        <v>26</v>
      </c>
      <c r="B154" t="s">
        <v>27</v>
      </c>
      <c r="C154" t="s">
        <v>34</v>
      </c>
      <c r="D154">
        <v>61</v>
      </c>
      <c r="E154" s="5">
        <v>43582</v>
      </c>
      <c r="F154">
        <v>11050501</v>
      </c>
      <c r="G154" t="s">
        <v>195</v>
      </c>
      <c r="J154">
        <v>1012</v>
      </c>
      <c r="K154">
        <v>1110</v>
      </c>
      <c r="L154" s="3">
        <v>-22007794.949999999</v>
      </c>
      <c r="M154" s="3">
        <v>0</v>
      </c>
      <c r="N154">
        <v>24000</v>
      </c>
      <c r="O154">
        <v>0</v>
      </c>
      <c r="P154">
        <v>-22031794.949999999</v>
      </c>
      <c r="Q154" t="s">
        <v>30</v>
      </c>
      <c r="R154" t="s">
        <v>76</v>
      </c>
      <c r="S154" t="str">
        <v/>
      </c>
      <c r="T154" t="str">
        <v>#N/A</v>
      </c>
    </row>
    <row r="155" spans="1:20" ht="13.7" customHeight="1" x14ac:dyDescent="0.25">
      <c r="A155" t="s">
        <v>26</v>
      </c>
      <c r="B155" t="s">
        <v>27</v>
      </c>
      <c r="C155" t="s">
        <v>34</v>
      </c>
      <c r="D155">
        <v>62</v>
      </c>
      <c r="E155" s="5">
        <v>43582</v>
      </c>
      <c r="F155">
        <v>11050501</v>
      </c>
      <c r="G155" t="s">
        <v>195</v>
      </c>
      <c r="J155">
        <v>1012</v>
      </c>
      <c r="K155">
        <v>1110</v>
      </c>
      <c r="L155" s="3">
        <v>-22031794.949999999</v>
      </c>
      <c r="M155" s="3">
        <v>0</v>
      </c>
      <c r="N155">
        <v>40000</v>
      </c>
      <c r="O155">
        <v>0</v>
      </c>
      <c r="P155">
        <v>-22071794.949999999</v>
      </c>
      <c r="Q155" t="s">
        <v>30</v>
      </c>
      <c r="R155" t="s">
        <v>70</v>
      </c>
      <c r="S155" t="str">
        <v/>
      </c>
      <c r="T155" t="str">
        <v>#N/A</v>
      </c>
    </row>
    <row r="156" spans="1:20" ht="13.7" customHeight="1" x14ac:dyDescent="0.25">
      <c r="A156" t="s">
        <v>26</v>
      </c>
      <c r="B156" t="s">
        <v>27</v>
      </c>
      <c r="C156" t="s">
        <v>34</v>
      </c>
      <c r="D156">
        <v>63</v>
      </c>
      <c r="E156" s="5">
        <v>43582</v>
      </c>
      <c r="F156">
        <v>11050501</v>
      </c>
      <c r="G156" t="s">
        <v>195</v>
      </c>
      <c r="J156">
        <v>1012</v>
      </c>
      <c r="K156">
        <v>1110</v>
      </c>
      <c r="L156" s="3">
        <v>-22071794.949999999</v>
      </c>
      <c r="M156" s="3">
        <v>0</v>
      </c>
      <c r="N156">
        <v>21935</v>
      </c>
      <c r="O156">
        <v>0</v>
      </c>
      <c r="P156">
        <v>-22093729.949999999</v>
      </c>
      <c r="Q156" t="s">
        <v>30</v>
      </c>
      <c r="R156" t="s">
        <v>43</v>
      </c>
      <c r="S156" t="str">
        <v/>
      </c>
      <c r="T156" t="str">
        <v>#N/A</v>
      </c>
    </row>
    <row r="157" spans="1:20" ht="13.7" customHeight="1" x14ac:dyDescent="0.25">
      <c r="A157" t="s">
        <v>26</v>
      </c>
      <c r="B157" t="s">
        <v>27</v>
      </c>
      <c r="C157" t="s">
        <v>34</v>
      </c>
      <c r="D157">
        <v>66</v>
      </c>
      <c r="E157" s="5">
        <v>43585</v>
      </c>
      <c r="F157">
        <v>11050501</v>
      </c>
      <c r="G157" t="s">
        <v>195</v>
      </c>
      <c r="J157">
        <v>1012</v>
      </c>
      <c r="K157">
        <v>1110</v>
      </c>
      <c r="L157" s="3">
        <v>-22093729.949999999</v>
      </c>
      <c r="M157" s="3">
        <v>0</v>
      </c>
      <c r="N157">
        <v>3500</v>
      </c>
      <c r="O157">
        <v>0</v>
      </c>
      <c r="P157">
        <v>-22097229.949999999</v>
      </c>
      <c r="Q157" t="s">
        <v>30</v>
      </c>
      <c r="R157" t="s">
        <v>68</v>
      </c>
      <c r="S157" t="str">
        <v/>
      </c>
      <c r="T157" t="str">
        <v>#N/A</v>
      </c>
    </row>
    <row r="158" spans="1:20" ht="13.7" customHeight="1" x14ac:dyDescent="0.25">
      <c r="A158" t="s">
        <v>26</v>
      </c>
      <c r="B158" t="s">
        <v>27</v>
      </c>
      <c r="C158" t="s">
        <v>34</v>
      </c>
      <c r="D158">
        <v>67</v>
      </c>
      <c r="E158" s="5">
        <v>43585</v>
      </c>
      <c r="F158">
        <v>11050501</v>
      </c>
      <c r="G158" t="s">
        <v>195</v>
      </c>
      <c r="J158">
        <v>1012</v>
      </c>
      <c r="K158">
        <v>1110</v>
      </c>
      <c r="L158" s="3">
        <v>-22097229.949999999</v>
      </c>
      <c r="M158" s="3">
        <v>0</v>
      </c>
      <c r="N158">
        <v>5500</v>
      </c>
      <c r="O158">
        <v>0</v>
      </c>
      <c r="P158">
        <v>-22102729.949999999</v>
      </c>
      <c r="Q158" t="s">
        <v>30</v>
      </c>
      <c r="R158" t="s">
        <v>59</v>
      </c>
      <c r="S158" t="str">
        <v/>
      </c>
      <c r="T158" t="str">
        <v>#N/A</v>
      </c>
    </row>
    <row r="159" spans="1:20" ht="13.7" customHeight="1" x14ac:dyDescent="0.25">
      <c r="A159" t="s">
        <v>26</v>
      </c>
      <c r="B159" t="s">
        <v>27</v>
      </c>
      <c r="C159" t="s">
        <v>34</v>
      </c>
      <c r="D159">
        <v>68</v>
      </c>
      <c r="E159" s="5">
        <v>43585</v>
      </c>
      <c r="F159">
        <v>11050501</v>
      </c>
      <c r="G159" t="s">
        <v>195</v>
      </c>
      <c r="J159">
        <v>1012</v>
      </c>
      <c r="K159">
        <v>1110</v>
      </c>
      <c r="L159" s="3">
        <v>-22102729.949999999</v>
      </c>
      <c r="M159" s="3">
        <v>0</v>
      </c>
      <c r="N159">
        <v>12000</v>
      </c>
      <c r="O159">
        <v>0</v>
      </c>
      <c r="P159">
        <v>-22114729.949999999</v>
      </c>
      <c r="Q159" t="s">
        <v>30</v>
      </c>
      <c r="R159" t="s">
        <v>74</v>
      </c>
      <c r="S159" t="str">
        <v/>
      </c>
      <c r="T159" t="str">
        <v>#N/A</v>
      </c>
    </row>
    <row r="160" spans="1:20" ht="13.7" customHeight="1" x14ac:dyDescent="0.25">
      <c r="A160" t="s">
        <v>26</v>
      </c>
      <c r="B160" t="s">
        <v>27</v>
      </c>
      <c r="C160" t="s">
        <v>34</v>
      </c>
      <c r="D160">
        <v>70</v>
      </c>
      <c r="E160" s="5">
        <v>43585</v>
      </c>
      <c r="F160">
        <v>11050501</v>
      </c>
      <c r="G160" t="s">
        <v>195</v>
      </c>
      <c r="J160">
        <v>1012</v>
      </c>
      <c r="K160">
        <v>1110</v>
      </c>
      <c r="L160" s="3">
        <v>-22114729.949999999</v>
      </c>
      <c r="M160" s="3">
        <v>0</v>
      </c>
      <c r="N160">
        <v>136000</v>
      </c>
      <c r="O160">
        <v>0</v>
      </c>
      <c r="P160">
        <v>-22250729.949999999</v>
      </c>
      <c r="Q160" t="s">
        <v>30</v>
      </c>
      <c r="R160" t="s">
        <v>124</v>
      </c>
      <c r="S160" t="str">
        <v/>
      </c>
      <c r="T160" t="str">
        <v>#N/A</v>
      </c>
    </row>
    <row r="161" spans="1:20" ht="13.7" customHeight="1" x14ac:dyDescent="0.25">
      <c r="A161" t="s">
        <v>26</v>
      </c>
      <c r="B161" t="s">
        <v>27</v>
      </c>
      <c r="C161" t="s">
        <v>35</v>
      </c>
      <c r="D161">
        <v>10</v>
      </c>
      <c r="E161" s="5">
        <v>43587</v>
      </c>
      <c r="F161">
        <v>11050501</v>
      </c>
      <c r="G161" t="s">
        <v>195</v>
      </c>
      <c r="J161">
        <v>1012</v>
      </c>
      <c r="K161">
        <v>1110</v>
      </c>
      <c r="L161" s="3">
        <v>-22250729.949999999</v>
      </c>
      <c r="M161" s="3">
        <v>0</v>
      </c>
      <c r="N161">
        <v>6900</v>
      </c>
      <c r="O161">
        <v>0</v>
      </c>
      <c r="P161">
        <v>-22257629.949999999</v>
      </c>
      <c r="Q161" t="s">
        <v>30</v>
      </c>
      <c r="R161" t="s">
        <v>125</v>
      </c>
      <c r="S161" t="str">
        <v/>
      </c>
      <c r="T161" t="str">
        <v>#N/A</v>
      </c>
    </row>
    <row r="162" spans="1:20" ht="13.7" customHeight="1" x14ac:dyDescent="0.25">
      <c r="A162" t="s">
        <v>26</v>
      </c>
      <c r="B162" t="s">
        <v>27</v>
      </c>
      <c r="C162" t="s">
        <v>35</v>
      </c>
      <c r="D162">
        <v>7</v>
      </c>
      <c r="E162" s="5">
        <v>43587</v>
      </c>
      <c r="F162">
        <v>11050501</v>
      </c>
      <c r="G162" t="s">
        <v>195</v>
      </c>
      <c r="J162">
        <v>1012</v>
      </c>
      <c r="K162">
        <v>1110</v>
      </c>
      <c r="L162" s="3">
        <v>-22257629.949999999</v>
      </c>
      <c r="M162" s="3">
        <v>0</v>
      </c>
      <c r="N162">
        <v>92000</v>
      </c>
      <c r="O162">
        <v>0</v>
      </c>
      <c r="P162">
        <v>-22349629.949999999</v>
      </c>
      <c r="Q162" t="s">
        <v>30</v>
      </c>
      <c r="R162" t="s">
        <v>126</v>
      </c>
      <c r="S162" t="str">
        <v/>
      </c>
      <c r="T162" t="str">
        <v>#N/A</v>
      </c>
    </row>
    <row r="163" spans="1:20" ht="13.7" customHeight="1" x14ac:dyDescent="0.25">
      <c r="A163" t="s">
        <v>26</v>
      </c>
      <c r="B163" t="s">
        <v>27</v>
      </c>
      <c r="C163" t="s">
        <v>35</v>
      </c>
      <c r="D163">
        <v>8</v>
      </c>
      <c r="E163" s="5">
        <v>43587</v>
      </c>
      <c r="F163">
        <v>11050501</v>
      </c>
      <c r="G163" t="s">
        <v>195</v>
      </c>
      <c r="J163">
        <v>1012</v>
      </c>
      <c r="K163">
        <v>1110</v>
      </c>
      <c r="L163" s="3">
        <v>-22349629.949999999</v>
      </c>
      <c r="M163" s="3">
        <v>0</v>
      </c>
      <c r="N163">
        <v>138002</v>
      </c>
      <c r="O163">
        <v>0</v>
      </c>
      <c r="P163">
        <v>-22487631.949999999</v>
      </c>
      <c r="Q163" t="s">
        <v>30</v>
      </c>
      <c r="R163" t="s">
        <v>126</v>
      </c>
      <c r="S163" t="str">
        <v/>
      </c>
      <c r="T163" t="str">
        <v>#N/A</v>
      </c>
    </row>
    <row r="164" spans="1:20" ht="13.7" customHeight="1" x14ac:dyDescent="0.25">
      <c r="A164" t="s">
        <v>26</v>
      </c>
      <c r="B164" t="s">
        <v>27</v>
      </c>
      <c r="C164" t="s">
        <v>35</v>
      </c>
      <c r="D164">
        <v>11</v>
      </c>
      <c r="E164" s="5">
        <v>43588</v>
      </c>
      <c r="F164">
        <v>11050501</v>
      </c>
      <c r="G164" t="s">
        <v>195</v>
      </c>
      <c r="J164">
        <v>1012</v>
      </c>
      <c r="K164">
        <v>1110</v>
      </c>
      <c r="L164" s="3">
        <v>-22487631.949999999</v>
      </c>
      <c r="M164" s="3">
        <v>0</v>
      </c>
      <c r="N164">
        <v>11000</v>
      </c>
      <c r="O164">
        <v>0</v>
      </c>
      <c r="P164">
        <v>-22498631.949999999</v>
      </c>
      <c r="Q164" t="s">
        <v>30</v>
      </c>
      <c r="R164" t="s">
        <v>125</v>
      </c>
      <c r="S164" t="str">
        <v/>
      </c>
      <c r="T164" t="str">
        <v>#N/A</v>
      </c>
    </row>
    <row r="165" spans="1:20" ht="13.7" customHeight="1" x14ac:dyDescent="0.25">
      <c r="A165" t="s">
        <v>26</v>
      </c>
      <c r="B165" t="s">
        <v>27</v>
      </c>
      <c r="C165" t="s">
        <v>35</v>
      </c>
      <c r="D165">
        <v>12</v>
      </c>
      <c r="E165" s="5">
        <v>43588</v>
      </c>
      <c r="F165">
        <v>11050501</v>
      </c>
      <c r="G165" t="s">
        <v>195</v>
      </c>
      <c r="J165">
        <v>1012</v>
      </c>
      <c r="K165">
        <v>1110</v>
      </c>
      <c r="L165" s="3">
        <v>-22498631.949999999</v>
      </c>
      <c r="M165" s="3">
        <v>0</v>
      </c>
      <c r="N165">
        <v>13400</v>
      </c>
      <c r="O165">
        <v>0</v>
      </c>
      <c r="P165">
        <v>-22512031.949999999</v>
      </c>
      <c r="Q165" t="s">
        <v>30</v>
      </c>
      <c r="R165" t="s">
        <v>125</v>
      </c>
      <c r="S165" t="str">
        <v/>
      </c>
      <c r="T165" t="str">
        <v>#N/A</v>
      </c>
    </row>
    <row r="166" spans="1:20" ht="13.7" customHeight="1" x14ac:dyDescent="0.25">
      <c r="A166" t="s">
        <v>26</v>
      </c>
      <c r="B166" t="s">
        <v>27</v>
      </c>
      <c r="C166" t="s">
        <v>35</v>
      </c>
      <c r="D166">
        <v>13</v>
      </c>
      <c r="E166" s="5">
        <v>43588</v>
      </c>
      <c r="F166">
        <v>11050501</v>
      </c>
      <c r="G166" t="s">
        <v>195</v>
      </c>
      <c r="J166">
        <v>1012</v>
      </c>
      <c r="K166">
        <v>1110</v>
      </c>
      <c r="L166" s="3">
        <v>-22512031.949999999</v>
      </c>
      <c r="M166" s="3">
        <v>0</v>
      </c>
      <c r="N166">
        <v>10499</v>
      </c>
      <c r="O166">
        <v>0</v>
      </c>
      <c r="P166">
        <v>-22522530.949999999</v>
      </c>
      <c r="Q166" t="s">
        <v>30</v>
      </c>
      <c r="R166" t="s">
        <v>127</v>
      </c>
      <c r="S166" t="str">
        <v/>
      </c>
      <c r="T166" t="str">
        <v>#N/A</v>
      </c>
    </row>
    <row r="167" spans="1:20" ht="13.7" customHeight="1" x14ac:dyDescent="0.25">
      <c r="A167" t="s">
        <v>26</v>
      </c>
      <c r="B167" t="s">
        <v>27</v>
      </c>
      <c r="C167" t="s">
        <v>35</v>
      </c>
      <c r="D167">
        <v>16</v>
      </c>
      <c r="E167" s="5">
        <v>43589</v>
      </c>
      <c r="F167">
        <v>11050501</v>
      </c>
      <c r="G167" t="s">
        <v>195</v>
      </c>
      <c r="J167">
        <v>1012</v>
      </c>
      <c r="K167">
        <v>1110</v>
      </c>
      <c r="L167" s="3">
        <v>-22522530.949999999</v>
      </c>
      <c r="M167" s="3">
        <v>0</v>
      </c>
      <c r="N167">
        <v>40000</v>
      </c>
      <c r="O167">
        <v>0</v>
      </c>
      <c r="P167">
        <v>-22562530.949999999</v>
      </c>
      <c r="Q167" t="s">
        <v>30</v>
      </c>
      <c r="R167" t="s">
        <v>70</v>
      </c>
      <c r="S167" t="str">
        <v/>
      </c>
      <c r="T167" t="str">
        <v>#N/A</v>
      </c>
    </row>
    <row r="168" spans="1:20" ht="13.7" customHeight="1" x14ac:dyDescent="0.25">
      <c r="A168" t="s">
        <v>26</v>
      </c>
      <c r="B168" t="s">
        <v>27</v>
      </c>
      <c r="C168" t="s">
        <v>35</v>
      </c>
      <c r="D168">
        <v>17</v>
      </c>
      <c r="E168" s="5">
        <v>43589</v>
      </c>
      <c r="F168">
        <v>11050501</v>
      </c>
      <c r="G168" t="s">
        <v>195</v>
      </c>
      <c r="J168">
        <v>1012</v>
      </c>
      <c r="K168">
        <v>1110</v>
      </c>
      <c r="L168" s="3">
        <v>-22562530.949999999</v>
      </c>
      <c r="M168" s="3">
        <v>0</v>
      </c>
      <c r="N168">
        <v>19000</v>
      </c>
      <c r="O168">
        <v>0</v>
      </c>
      <c r="P168">
        <v>-22581530.949999999</v>
      </c>
      <c r="Q168" t="s">
        <v>30</v>
      </c>
      <c r="R168" t="s">
        <v>45</v>
      </c>
      <c r="S168" t="str">
        <v/>
      </c>
      <c r="T168" t="str">
        <v>#N/A</v>
      </c>
    </row>
    <row r="169" spans="1:20" ht="13.7" customHeight="1" x14ac:dyDescent="0.25">
      <c r="A169" t="s">
        <v>26</v>
      </c>
      <c r="B169" t="s">
        <v>27</v>
      </c>
      <c r="C169" t="s">
        <v>35</v>
      </c>
      <c r="D169">
        <v>20</v>
      </c>
      <c r="E169" s="5">
        <v>43591</v>
      </c>
      <c r="F169">
        <v>11050501</v>
      </c>
      <c r="G169" t="s">
        <v>195</v>
      </c>
      <c r="J169">
        <v>1012</v>
      </c>
      <c r="K169">
        <v>1110</v>
      </c>
      <c r="L169" s="3">
        <v>-22581530.949999999</v>
      </c>
      <c r="M169" s="3">
        <v>0</v>
      </c>
      <c r="N169">
        <v>5000</v>
      </c>
      <c r="O169">
        <v>0</v>
      </c>
      <c r="P169">
        <v>-22586530.949999999</v>
      </c>
      <c r="Q169" t="s">
        <v>30</v>
      </c>
      <c r="R169" t="s">
        <v>59</v>
      </c>
      <c r="S169" t="str">
        <v/>
      </c>
      <c r="T169" t="str">
        <v>#N/A</v>
      </c>
    </row>
    <row r="170" spans="1:20" ht="13.7" customHeight="1" x14ac:dyDescent="0.25">
      <c r="A170" t="s">
        <v>26</v>
      </c>
      <c r="B170" t="s">
        <v>27</v>
      </c>
      <c r="C170" t="s">
        <v>35</v>
      </c>
      <c r="D170">
        <v>23</v>
      </c>
      <c r="E170" s="5">
        <v>43591</v>
      </c>
      <c r="F170">
        <v>11050501</v>
      </c>
      <c r="G170" t="s">
        <v>195</v>
      </c>
      <c r="J170">
        <v>1012</v>
      </c>
      <c r="K170">
        <v>1110</v>
      </c>
      <c r="L170" s="3">
        <v>-22586530.949999999</v>
      </c>
      <c r="M170" s="3">
        <v>0</v>
      </c>
      <c r="N170">
        <v>29000</v>
      </c>
      <c r="O170">
        <v>0</v>
      </c>
      <c r="P170">
        <v>-22615530.949999999</v>
      </c>
      <c r="Q170" t="s">
        <v>30</v>
      </c>
      <c r="R170" t="s">
        <v>96</v>
      </c>
      <c r="S170" t="str">
        <v/>
      </c>
      <c r="T170" t="str">
        <v>#N/A</v>
      </c>
    </row>
    <row r="171" spans="1:20" ht="13.7" customHeight="1" x14ac:dyDescent="0.25">
      <c r="A171" t="s">
        <v>26</v>
      </c>
      <c r="B171" t="s">
        <v>27</v>
      </c>
      <c r="C171" t="s">
        <v>35</v>
      </c>
      <c r="D171">
        <v>24</v>
      </c>
      <c r="E171" s="5">
        <v>43592</v>
      </c>
      <c r="F171">
        <v>11050501</v>
      </c>
      <c r="G171" t="s">
        <v>195</v>
      </c>
      <c r="J171">
        <v>1012</v>
      </c>
      <c r="K171">
        <v>1110</v>
      </c>
      <c r="L171" s="3">
        <v>-22615530.949999999</v>
      </c>
      <c r="M171" s="3">
        <v>0</v>
      </c>
      <c r="N171">
        <v>7860</v>
      </c>
      <c r="O171">
        <v>0</v>
      </c>
      <c r="P171">
        <v>-22623390.949999999</v>
      </c>
      <c r="Q171" t="s">
        <v>30</v>
      </c>
      <c r="R171" t="s">
        <v>59</v>
      </c>
      <c r="S171" t="str">
        <v/>
      </c>
      <c r="T171" t="str">
        <v>#N/A</v>
      </c>
    </row>
    <row r="172" spans="1:20" ht="13.7" customHeight="1" x14ac:dyDescent="0.25">
      <c r="A172" t="s">
        <v>26</v>
      </c>
      <c r="B172" t="s">
        <v>27</v>
      </c>
      <c r="C172" t="s">
        <v>35</v>
      </c>
      <c r="D172">
        <v>26</v>
      </c>
      <c r="E172" s="5">
        <v>43593</v>
      </c>
      <c r="F172">
        <v>11050501</v>
      </c>
      <c r="G172" t="s">
        <v>195</v>
      </c>
      <c r="J172">
        <v>1012</v>
      </c>
      <c r="K172">
        <v>1110</v>
      </c>
      <c r="L172" s="3">
        <v>-22623390.949999999</v>
      </c>
      <c r="M172" s="3">
        <v>0</v>
      </c>
      <c r="N172">
        <v>9000</v>
      </c>
      <c r="O172">
        <v>0</v>
      </c>
      <c r="P172">
        <v>-22632390.949999999</v>
      </c>
      <c r="Q172" t="s">
        <v>30</v>
      </c>
      <c r="R172" t="s">
        <v>59</v>
      </c>
      <c r="S172" t="str">
        <v/>
      </c>
      <c r="T172" t="str">
        <v>#N/A</v>
      </c>
    </row>
    <row r="173" spans="1:20" ht="13.7" customHeight="1" x14ac:dyDescent="0.25">
      <c r="A173" t="s">
        <v>26</v>
      </c>
      <c r="B173" t="s">
        <v>27</v>
      </c>
      <c r="C173" t="s">
        <v>35</v>
      </c>
      <c r="D173">
        <v>28</v>
      </c>
      <c r="E173" s="5">
        <v>43593</v>
      </c>
      <c r="F173">
        <v>11050501</v>
      </c>
      <c r="G173" t="s">
        <v>195</v>
      </c>
      <c r="J173">
        <v>1012</v>
      </c>
      <c r="K173">
        <v>1110</v>
      </c>
      <c r="L173" s="3">
        <v>-22632390.949999999</v>
      </c>
      <c r="M173" s="3">
        <v>0</v>
      </c>
      <c r="N173">
        <v>36500</v>
      </c>
      <c r="O173">
        <v>0</v>
      </c>
      <c r="P173">
        <v>-22668890.949999999</v>
      </c>
      <c r="Q173" t="s">
        <v>30</v>
      </c>
      <c r="R173" t="s">
        <v>128</v>
      </c>
      <c r="S173" t="str">
        <v/>
      </c>
      <c r="T173" t="str">
        <v>#N/A</v>
      </c>
    </row>
    <row r="174" spans="1:20" ht="13.7" customHeight="1" x14ac:dyDescent="0.25">
      <c r="A174" t="s">
        <v>26</v>
      </c>
      <c r="B174" t="s">
        <v>27</v>
      </c>
      <c r="C174" t="s">
        <v>35</v>
      </c>
      <c r="D174">
        <v>29</v>
      </c>
      <c r="E174" s="5">
        <v>43593</v>
      </c>
      <c r="F174">
        <v>11050501</v>
      </c>
      <c r="G174" t="s">
        <v>195</v>
      </c>
      <c r="J174">
        <v>1012</v>
      </c>
      <c r="K174">
        <v>1110</v>
      </c>
      <c r="L174" s="3">
        <v>-22668890.949999999</v>
      </c>
      <c r="M174" s="3">
        <v>0</v>
      </c>
      <c r="N174">
        <v>96000</v>
      </c>
      <c r="O174">
        <v>0</v>
      </c>
      <c r="P174">
        <v>-22764890.949999999</v>
      </c>
      <c r="Q174" t="s">
        <v>30</v>
      </c>
      <c r="R174" t="s">
        <v>129</v>
      </c>
      <c r="S174" t="str">
        <v/>
      </c>
      <c r="T174" t="str">
        <v>#N/A</v>
      </c>
    </row>
    <row r="175" spans="1:20" ht="13.7" customHeight="1" x14ac:dyDescent="0.25">
      <c r="A175" t="s">
        <v>26</v>
      </c>
      <c r="B175" t="s">
        <v>27</v>
      </c>
      <c r="C175" t="s">
        <v>35</v>
      </c>
      <c r="D175">
        <v>30</v>
      </c>
      <c r="E175" s="5">
        <v>43594</v>
      </c>
      <c r="F175">
        <v>11050501</v>
      </c>
      <c r="G175" t="s">
        <v>195</v>
      </c>
      <c r="J175">
        <v>1012</v>
      </c>
      <c r="K175">
        <v>1110</v>
      </c>
      <c r="L175" s="3">
        <v>-22764890.949999999</v>
      </c>
      <c r="M175" s="3">
        <v>0</v>
      </c>
      <c r="N175">
        <v>11200</v>
      </c>
      <c r="O175">
        <v>0</v>
      </c>
      <c r="P175">
        <v>-22776090.949999999</v>
      </c>
      <c r="Q175" t="s">
        <v>30</v>
      </c>
      <c r="R175" t="s">
        <v>59</v>
      </c>
      <c r="S175" t="str">
        <v/>
      </c>
      <c r="T175" t="str">
        <v>#N/A</v>
      </c>
    </row>
    <row r="176" spans="1:20" ht="13.7" customHeight="1" x14ac:dyDescent="0.25">
      <c r="A176" t="s">
        <v>26</v>
      </c>
      <c r="B176" t="s">
        <v>27</v>
      </c>
      <c r="C176" t="s">
        <v>35</v>
      </c>
      <c r="D176">
        <v>32</v>
      </c>
      <c r="E176" s="5">
        <v>43595</v>
      </c>
      <c r="F176">
        <v>11050501</v>
      </c>
      <c r="G176" t="s">
        <v>195</v>
      </c>
      <c r="J176">
        <v>1012</v>
      </c>
      <c r="K176">
        <v>1110</v>
      </c>
      <c r="L176" s="3">
        <v>-22776090.949999999</v>
      </c>
      <c r="M176" s="3">
        <v>0</v>
      </c>
      <c r="N176">
        <v>2700</v>
      </c>
      <c r="O176">
        <v>0</v>
      </c>
      <c r="P176">
        <v>-22778790.949999999</v>
      </c>
      <c r="Q176" t="s">
        <v>30</v>
      </c>
      <c r="R176" t="s">
        <v>59</v>
      </c>
      <c r="S176" t="str">
        <v/>
      </c>
      <c r="T176" t="str">
        <v>#N/A</v>
      </c>
    </row>
    <row r="177" spans="1:20" ht="13.7" customHeight="1" x14ac:dyDescent="0.25">
      <c r="A177" t="s">
        <v>26</v>
      </c>
      <c r="B177" t="s">
        <v>27</v>
      </c>
      <c r="C177" t="s">
        <v>35</v>
      </c>
      <c r="D177">
        <v>40</v>
      </c>
      <c r="E177" s="5">
        <v>43598</v>
      </c>
      <c r="F177">
        <v>11050501</v>
      </c>
      <c r="G177" t="s">
        <v>195</v>
      </c>
      <c r="J177">
        <v>1012</v>
      </c>
      <c r="K177">
        <v>1110</v>
      </c>
      <c r="L177" s="3">
        <v>-22778790.949999999</v>
      </c>
      <c r="M177" s="3">
        <v>0</v>
      </c>
      <c r="N177">
        <v>216000</v>
      </c>
      <c r="O177">
        <v>0</v>
      </c>
      <c r="P177">
        <v>-22994790.949999999</v>
      </c>
      <c r="Q177" t="s">
        <v>30</v>
      </c>
      <c r="R177" t="s">
        <v>130</v>
      </c>
      <c r="S177" t="str">
        <v/>
      </c>
      <c r="T177" t="str">
        <v>#N/A</v>
      </c>
    </row>
    <row r="178" spans="1:20" ht="13.7" customHeight="1" x14ac:dyDescent="0.25">
      <c r="A178" t="s">
        <v>26</v>
      </c>
      <c r="B178" t="s">
        <v>27</v>
      </c>
      <c r="C178" t="s">
        <v>35</v>
      </c>
      <c r="D178">
        <v>41</v>
      </c>
      <c r="E178" s="5">
        <v>43598</v>
      </c>
      <c r="F178">
        <v>11050501</v>
      </c>
      <c r="G178" t="s">
        <v>195</v>
      </c>
      <c r="J178">
        <v>1012</v>
      </c>
      <c r="K178">
        <v>1110</v>
      </c>
      <c r="L178" s="3">
        <v>-22994790.949999999</v>
      </c>
      <c r="M178" s="3">
        <v>0</v>
      </c>
      <c r="N178">
        <v>9300</v>
      </c>
      <c r="O178">
        <v>0</v>
      </c>
      <c r="P178">
        <v>-23004090.949999999</v>
      </c>
      <c r="Q178" t="s">
        <v>30</v>
      </c>
      <c r="R178" t="s">
        <v>59</v>
      </c>
      <c r="S178" t="str">
        <v/>
      </c>
      <c r="T178" t="str">
        <v>#N/A</v>
      </c>
    </row>
    <row r="179" spans="1:20" ht="13.7" customHeight="1" x14ac:dyDescent="0.25">
      <c r="A179" t="s">
        <v>26</v>
      </c>
      <c r="B179" t="s">
        <v>27</v>
      </c>
      <c r="C179" t="s">
        <v>35</v>
      </c>
      <c r="D179">
        <v>43</v>
      </c>
      <c r="E179" s="5">
        <v>43598</v>
      </c>
      <c r="F179">
        <v>11050501</v>
      </c>
      <c r="G179" t="s">
        <v>195</v>
      </c>
      <c r="J179">
        <v>1012</v>
      </c>
      <c r="K179">
        <v>1110</v>
      </c>
      <c r="L179" s="3">
        <v>-23004090.949999999</v>
      </c>
      <c r="M179" s="3">
        <v>0</v>
      </c>
      <c r="N179">
        <v>369600</v>
      </c>
      <c r="O179">
        <v>0</v>
      </c>
      <c r="P179">
        <v>-23373690.949999999</v>
      </c>
      <c r="Q179" t="s">
        <v>30</v>
      </c>
      <c r="R179" t="s">
        <v>131</v>
      </c>
      <c r="S179" t="str">
        <v/>
      </c>
      <c r="T179" t="str">
        <v>#N/A</v>
      </c>
    </row>
    <row r="180" spans="1:20" ht="13.7" customHeight="1" x14ac:dyDescent="0.25">
      <c r="A180" t="s">
        <v>26</v>
      </c>
      <c r="B180" t="s">
        <v>27</v>
      </c>
      <c r="C180" t="s">
        <v>35</v>
      </c>
      <c r="D180">
        <v>47</v>
      </c>
      <c r="E180" s="5">
        <v>43599</v>
      </c>
      <c r="F180">
        <v>11050501</v>
      </c>
      <c r="G180" t="s">
        <v>195</v>
      </c>
      <c r="J180">
        <v>1012</v>
      </c>
      <c r="K180">
        <v>1110</v>
      </c>
      <c r="L180" s="3">
        <v>-23373690.949999999</v>
      </c>
      <c r="M180" s="3">
        <v>0</v>
      </c>
      <c r="N180">
        <v>22500</v>
      </c>
      <c r="O180">
        <v>0</v>
      </c>
      <c r="P180">
        <v>-23396190.949999999</v>
      </c>
      <c r="Q180" t="s">
        <v>30</v>
      </c>
      <c r="R180" t="s">
        <v>47</v>
      </c>
      <c r="S180" t="str">
        <v/>
      </c>
      <c r="T180" t="str">
        <v>#N/A</v>
      </c>
    </row>
    <row r="181" spans="1:20" ht="13.7" customHeight="1" x14ac:dyDescent="0.25">
      <c r="A181" t="s">
        <v>26</v>
      </c>
      <c r="B181" t="s">
        <v>27</v>
      </c>
      <c r="C181" t="s">
        <v>35</v>
      </c>
      <c r="D181">
        <v>48</v>
      </c>
      <c r="E181" s="5">
        <v>43600</v>
      </c>
      <c r="F181">
        <v>11050501</v>
      </c>
      <c r="G181" t="s">
        <v>195</v>
      </c>
      <c r="J181">
        <v>1012</v>
      </c>
      <c r="K181">
        <v>1110</v>
      </c>
      <c r="L181" s="3">
        <v>-23396190.949999999</v>
      </c>
      <c r="M181" s="3">
        <v>0</v>
      </c>
      <c r="N181">
        <v>1300</v>
      </c>
      <c r="O181">
        <v>0</v>
      </c>
      <c r="P181">
        <v>-23397490.949999999</v>
      </c>
      <c r="Q181" t="s">
        <v>30</v>
      </c>
      <c r="R181" t="s">
        <v>132</v>
      </c>
      <c r="S181" t="str">
        <v/>
      </c>
      <c r="T181" t="str">
        <v>#N/A</v>
      </c>
    </row>
    <row r="182" spans="1:20" ht="13.7" customHeight="1" x14ac:dyDescent="0.25">
      <c r="A182" t="s">
        <v>26</v>
      </c>
      <c r="B182" t="s">
        <v>27</v>
      </c>
      <c r="C182" t="s">
        <v>35</v>
      </c>
      <c r="D182">
        <v>49</v>
      </c>
      <c r="E182" s="5">
        <v>43600</v>
      </c>
      <c r="F182">
        <v>11050501</v>
      </c>
      <c r="G182" t="s">
        <v>195</v>
      </c>
      <c r="J182">
        <v>1012</v>
      </c>
      <c r="K182">
        <v>1110</v>
      </c>
      <c r="L182" s="3">
        <v>-23397490.949999999</v>
      </c>
      <c r="M182" s="3">
        <v>0</v>
      </c>
      <c r="N182">
        <v>4500</v>
      </c>
      <c r="O182">
        <v>0</v>
      </c>
      <c r="P182">
        <v>-23401990.949999999</v>
      </c>
      <c r="Q182" t="s">
        <v>30</v>
      </c>
      <c r="R182" t="s">
        <v>132</v>
      </c>
      <c r="S182" t="str">
        <v/>
      </c>
      <c r="T182" t="str">
        <v>#N/A</v>
      </c>
    </row>
    <row r="183" spans="1:20" ht="13.7" customHeight="1" x14ac:dyDescent="0.25">
      <c r="A183" t="s">
        <v>26</v>
      </c>
      <c r="B183" t="s">
        <v>27</v>
      </c>
      <c r="C183" t="s">
        <v>35</v>
      </c>
      <c r="D183">
        <v>50</v>
      </c>
      <c r="E183" s="5">
        <v>43600</v>
      </c>
      <c r="F183">
        <v>11050501</v>
      </c>
      <c r="G183" t="s">
        <v>195</v>
      </c>
      <c r="J183">
        <v>1012</v>
      </c>
      <c r="K183">
        <v>1110</v>
      </c>
      <c r="L183" s="3">
        <v>-23401990.949999999</v>
      </c>
      <c r="M183" s="3">
        <v>0</v>
      </c>
      <c r="N183">
        <v>10000</v>
      </c>
      <c r="O183">
        <v>0</v>
      </c>
      <c r="P183">
        <v>-23411990.949999999</v>
      </c>
      <c r="Q183" t="s">
        <v>30</v>
      </c>
      <c r="R183" t="s">
        <v>133</v>
      </c>
      <c r="S183" t="str">
        <v/>
      </c>
      <c r="T183" t="str">
        <v>#N/A</v>
      </c>
    </row>
    <row r="184" spans="1:20" ht="13.7" customHeight="1" x14ac:dyDescent="0.25">
      <c r="A184" t="s">
        <v>26</v>
      </c>
      <c r="B184" t="s">
        <v>27</v>
      </c>
      <c r="C184" t="s">
        <v>35</v>
      </c>
      <c r="D184">
        <v>51</v>
      </c>
      <c r="E184" s="5">
        <v>43600</v>
      </c>
      <c r="F184">
        <v>11050501</v>
      </c>
      <c r="G184" t="s">
        <v>195</v>
      </c>
      <c r="J184">
        <v>1012</v>
      </c>
      <c r="K184">
        <v>1110</v>
      </c>
      <c r="L184" s="3">
        <v>-23411990.949999999</v>
      </c>
      <c r="M184" s="3">
        <v>0</v>
      </c>
      <c r="N184">
        <v>60000</v>
      </c>
      <c r="O184">
        <v>0</v>
      </c>
      <c r="P184">
        <v>-23471990.949999999</v>
      </c>
      <c r="Q184" t="s">
        <v>30</v>
      </c>
      <c r="R184" t="s">
        <v>134</v>
      </c>
      <c r="S184" t="str">
        <v/>
      </c>
      <c r="T184" t="str">
        <v>#N/A</v>
      </c>
    </row>
    <row r="185" spans="1:20" ht="13.7" customHeight="1" x14ac:dyDescent="0.25">
      <c r="A185" t="s">
        <v>26</v>
      </c>
      <c r="B185" t="s">
        <v>27</v>
      </c>
      <c r="C185" t="s">
        <v>35</v>
      </c>
      <c r="D185">
        <v>53</v>
      </c>
      <c r="E185" s="5">
        <v>43601</v>
      </c>
      <c r="F185">
        <v>11050501</v>
      </c>
      <c r="G185" t="s">
        <v>195</v>
      </c>
      <c r="J185">
        <v>1012</v>
      </c>
      <c r="K185">
        <v>1110</v>
      </c>
      <c r="L185" s="3">
        <v>-23471990.949999999</v>
      </c>
      <c r="M185" s="3">
        <v>0</v>
      </c>
      <c r="N185">
        <v>8400</v>
      </c>
      <c r="O185">
        <v>0</v>
      </c>
      <c r="P185">
        <v>-23480390.949999999</v>
      </c>
      <c r="Q185" t="s">
        <v>30</v>
      </c>
      <c r="R185" t="s">
        <v>59</v>
      </c>
      <c r="S185" t="str">
        <v/>
      </c>
      <c r="T185" t="str">
        <v>#N/A</v>
      </c>
    </row>
    <row r="186" spans="1:20" ht="13.7" customHeight="1" x14ac:dyDescent="0.25">
      <c r="A186" t="s">
        <v>26</v>
      </c>
      <c r="B186" t="s">
        <v>27</v>
      </c>
      <c r="C186" t="s">
        <v>35</v>
      </c>
      <c r="D186">
        <v>55</v>
      </c>
      <c r="E186" s="5">
        <v>43602</v>
      </c>
      <c r="F186">
        <v>11050501</v>
      </c>
      <c r="G186" t="s">
        <v>195</v>
      </c>
      <c r="J186">
        <v>1012</v>
      </c>
      <c r="K186">
        <v>1110</v>
      </c>
      <c r="L186" s="3">
        <v>-23480390.949999999</v>
      </c>
      <c r="M186" s="3">
        <v>0</v>
      </c>
      <c r="N186">
        <v>8900</v>
      </c>
      <c r="O186">
        <v>0</v>
      </c>
      <c r="P186">
        <v>-23489290.949999999</v>
      </c>
      <c r="Q186" t="s">
        <v>30</v>
      </c>
      <c r="R186" t="s">
        <v>59</v>
      </c>
      <c r="S186" t="str">
        <v/>
      </c>
      <c r="T186" t="str">
        <v>#N/A</v>
      </c>
    </row>
    <row r="187" spans="1:20" ht="13.7" customHeight="1" x14ac:dyDescent="0.25">
      <c r="A187" t="s">
        <v>26</v>
      </c>
      <c r="B187" t="s">
        <v>27</v>
      </c>
      <c r="C187" t="s">
        <v>35</v>
      </c>
      <c r="D187">
        <v>56</v>
      </c>
      <c r="E187" s="5">
        <v>43602</v>
      </c>
      <c r="F187">
        <v>11050501</v>
      </c>
      <c r="G187" t="s">
        <v>195</v>
      </c>
      <c r="J187">
        <v>1012</v>
      </c>
      <c r="K187">
        <v>1110</v>
      </c>
      <c r="L187" s="3">
        <v>-23489290.949999999</v>
      </c>
      <c r="M187" s="3">
        <v>0</v>
      </c>
      <c r="N187">
        <v>40412</v>
      </c>
      <c r="O187">
        <v>0</v>
      </c>
      <c r="P187">
        <v>-23529702.949999999</v>
      </c>
      <c r="Q187" t="s">
        <v>30</v>
      </c>
      <c r="R187" t="s">
        <v>135</v>
      </c>
      <c r="S187" t="str">
        <v/>
      </c>
      <c r="T187" t="str">
        <v>#N/A</v>
      </c>
    </row>
    <row r="188" spans="1:20" ht="13.7" customHeight="1" x14ac:dyDescent="0.25">
      <c r="A188" t="s">
        <v>26</v>
      </c>
      <c r="B188" t="s">
        <v>27</v>
      </c>
      <c r="C188" t="s">
        <v>35</v>
      </c>
      <c r="D188">
        <v>57</v>
      </c>
      <c r="E188" s="5">
        <v>43602</v>
      </c>
      <c r="F188">
        <v>11050501</v>
      </c>
      <c r="G188" t="s">
        <v>195</v>
      </c>
      <c r="J188">
        <v>1012</v>
      </c>
      <c r="K188">
        <v>1110</v>
      </c>
      <c r="L188" s="3">
        <v>-23529702.949999999</v>
      </c>
      <c r="M188" s="3">
        <v>0</v>
      </c>
      <c r="N188">
        <v>8100</v>
      </c>
      <c r="O188">
        <v>0</v>
      </c>
      <c r="P188">
        <v>-23537802.949999999</v>
      </c>
      <c r="Q188" t="s">
        <v>30</v>
      </c>
      <c r="R188" t="s">
        <v>136</v>
      </c>
      <c r="S188" t="str">
        <v/>
      </c>
      <c r="T188" t="str">
        <v>#N/A</v>
      </c>
    </row>
    <row r="189" spans="1:20" ht="13.7" customHeight="1" x14ac:dyDescent="0.25">
      <c r="A189" t="s">
        <v>26</v>
      </c>
      <c r="B189" t="s">
        <v>27</v>
      </c>
      <c r="C189" t="s">
        <v>35</v>
      </c>
      <c r="D189">
        <v>58</v>
      </c>
      <c r="E189" s="5">
        <v>43603</v>
      </c>
      <c r="F189">
        <v>11050501</v>
      </c>
      <c r="G189" t="s">
        <v>195</v>
      </c>
      <c r="J189">
        <v>1012</v>
      </c>
      <c r="K189">
        <v>1110</v>
      </c>
      <c r="L189" s="3">
        <v>-23537802.949999999</v>
      </c>
      <c r="M189" s="3">
        <v>0</v>
      </c>
      <c r="N189">
        <v>20000</v>
      </c>
      <c r="O189">
        <v>0</v>
      </c>
      <c r="P189">
        <v>-23557802.949999999</v>
      </c>
      <c r="Q189" t="s">
        <v>30</v>
      </c>
      <c r="R189" t="s">
        <v>70</v>
      </c>
      <c r="S189" t="str">
        <v/>
      </c>
      <c r="T189" t="str">
        <v>#N/A</v>
      </c>
    </row>
    <row r="190" spans="1:20" ht="13.7" customHeight="1" x14ac:dyDescent="0.25">
      <c r="A190" t="s">
        <v>26</v>
      </c>
      <c r="B190" t="s">
        <v>27</v>
      </c>
      <c r="C190" t="s">
        <v>35</v>
      </c>
      <c r="D190">
        <v>59</v>
      </c>
      <c r="E190" s="5">
        <v>43603</v>
      </c>
      <c r="F190">
        <v>11050501</v>
      </c>
      <c r="G190" t="s">
        <v>195</v>
      </c>
      <c r="J190">
        <v>1012</v>
      </c>
      <c r="K190">
        <v>1110</v>
      </c>
      <c r="L190" s="3">
        <v>-23557802.949999999</v>
      </c>
      <c r="M190" s="3">
        <v>0</v>
      </c>
      <c r="N190">
        <v>30000</v>
      </c>
      <c r="O190">
        <v>0</v>
      </c>
      <c r="P190">
        <v>-23587802.949999999</v>
      </c>
      <c r="Q190" t="s">
        <v>30</v>
      </c>
      <c r="R190" t="s">
        <v>137</v>
      </c>
      <c r="S190" t="str">
        <v/>
      </c>
      <c r="T190" t="str">
        <v>#N/A</v>
      </c>
    </row>
    <row r="191" spans="1:20" ht="13.7" customHeight="1" x14ac:dyDescent="0.25">
      <c r="A191" t="s">
        <v>26</v>
      </c>
      <c r="B191" t="s">
        <v>27</v>
      </c>
      <c r="C191" t="s">
        <v>35</v>
      </c>
      <c r="D191">
        <v>60</v>
      </c>
      <c r="E191" s="5">
        <v>43603</v>
      </c>
      <c r="F191">
        <v>11050501</v>
      </c>
      <c r="G191" t="s">
        <v>195</v>
      </c>
      <c r="J191">
        <v>1012</v>
      </c>
      <c r="K191">
        <v>1110</v>
      </c>
      <c r="L191" s="3">
        <v>-23587802.949999999</v>
      </c>
      <c r="M191" s="3">
        <v>0</v>
      </c>
      <c r="N191">
        <v>16900</v>
      </c>
      <c r="O191">
        <v>0</v>
      </c>
      <c r="P191">
        <v>-23604702.949999999</v>
      </c>
      <c r="Q191" t="s">
        <v>30</v>
      </c>
      <c r="R191" t="s">
        <v>77</v>
      </c>
      <c r="S191" t="str">
        <v/>
      </c>
      <c r="T191" t="str">
        <v>#N/A</v>
      </c>
    </row>
    <row r="192" spans="1:20" ht="13.7" customHeight="1" x14ac:dyDescent="0.25">
      <c r="A192" t="s">
        <v>26</v>
      </c>
      <c r="B192" t="s">
        <v>27</v>
      </c>
      <c r="C192" t="s">
        <v>35</v>
      </c>
      <c r="D192">
        <v>62</v>
      </c>
      <c r="E192" s="5">
        <v>43603</v>
      </c>
      <c r="F192">
        <v>11050501</v>
      </c>
      <c r="G192" t="s">
        <v>195</v>
      </c>
      <c r="J192">
        <v>1012</v>
      </c>
      <c r="K192">
        <v>1110</v>
      </c>
      <c r="L192" s="3">
        <v>-23604702.949999999</v>
      </c>
      <c r="M192" s="3">
        <v>0</v>
      </c>
      <c r="N192">
        <v>15000</v>
      </c>
      <c r="O192">
        <v>0</v>
      </c>
      <c r="P192">
        <v>-23619702.949999999</v>
      </c>
      <c r="Q192" t="s">
        <v>30</v>
      </c>
      <c r="R192" t="s">
        <v>138</v>
      </c>
      <c r="S192" t="str">
        <v/>
      </c>
      <c r="T192" t="str">
        <v>#N/A</v>
      </c>
    </row>
    <row r="193" spans="1:20" ht="13.7" customHeight="1" x14ac:dyDescent="0.25">
      <c r="A193" t="s">
        <v>26</v>
      </c>
      <c r="B193" t="s">
        <v>27</v>
      </c>
      <c r="C193" t="s">
        <v>35</v>
      </c>
      <c r="D193">
        <v>63</v>
      </c>
      <c r="E193" s="5">
        <v>43605</v>
      </c>
      <c r="F193">
        <v>11050501</v>
      </c>
      <c r="G193" t="s">
        <v>195</v>
      </c>
      <c r="J193">
        <v>1012</v>
      </c>
      <c r="K193">
        <v>1110</v>
      </c>
      <c r="L193" s="3">
        <v>-23619702.949999999</v>
      </c>
      <c r="M193" s="3">
        <v>0</v>
      </c>
      <c r="N193">
        <v>6200</v>
      </c>
      <c r="O193">
        <v>0</v>
      </c>
      <c r="P193">
        <v>-23625902.949999999</v>
      </c>
      <c r="Q193" t="s">
        <v>30</v>
      </c>
      <c r="R193" t="s">
        <v>139</v>
      </c>
      <c r="S193" t="str">
        <v/>
      </c>
      <c r="T193" t="str">
        <v>#N/A</v>
      </c>
    </row>
    <row r="194" spans="1:20" ht="13.7" customHeight="1" x14ac:dyDescent="0.25">
      <c r="A194" t="s">
        <v>26</v>
      </c>
      <c r="B194" t="s">
        <v>27</v>
      </c>
      <c r="C194" t="s">
        <v>35</v>
      </c>
      <c r="D194">
        <v>64</v>
      </c>
      <c r="E194" s="5">
        <v>43605</v>
      </c>
      <c r="F194">
        <v>11050501</v>
      </c>
      <c r="G194" t="s">
        <v>195</v>
      </c>
      <c r="J194">
        <v>1012</v>
      </c>
      <c r="K194">
        <v>1110</v>
      </c>
      <c r="L194" s="3">
        <v>-23625902.949999999</v>
      </c>
      <c r="M194" s="3">
        <v>0</v>
      </c>
      <c r="N194">
        <v>6500</v>
      </c>
      <c r="O194">
        <v>0</v>
      </c>
      <c r="P194">
        <v>-23632402.949999999</v>
      </c>
      <c r="Q194" t="s">
        <v>30</v>
      </c>
      <c r="R194" t="s">
        <v>140</v>
      </c>
      <c r="S194" t="str">
        <v/>
      </c>
      <c r="T194" t="str">
        <v>#N/A</v>
      </c>
    </row>
    <row r="195" spans="1:20" ht="13.7" customHeight="1" x14ac:dyDescent="0.25">
      <c r="A195" t="s">
        <v>26</v>
      </c>
      <c r="B195" t="s">
        <v>27</v>
      </c>
      <c r="C195" t="s">
        <v>35</v>
      </c>
      <c r="D195">
        <v>75</v>
      </c>
      <c r="E195" s="5">
        <v>43607</v>
      </c>
      <c r="F195">
        <v>11050501</v>
      </c>
      <c r="G195" t="s">
        <v>195</v>
      </c>
      <c r="J195">
        <v>1012</v>
      </c>
      <c r="K195">
        <v>1110</v>
      </c>
      <c r="L195" s="3">
        <v>-23632402.949999999</v>
      </c>
      <c r="M195" s="3">
        <v>0</v>
      </c>
      <c r="N195">
        <v>5000</v>
      </c>
      <c r="O195">
        <v>0</v>
      </c>
      <c r="P195">
        <v>-23637402.949999999</v>
      </c>
      <c r="Q195" t="s">
        <v>30</v>
      </c>
      <c r="R195" t="s">
        <v>59</v>
      </c>
      <c r="S195" t="str">
        <v/>
      </c>
      <c r="T195" t="str">
        <v>#N/A</v>
      </c>
    </row>
    <row r="196" spans="1:20" ht="13.7" customHeight="1" x14ac:dyDescent="0.25">
      <c r="A196" t="s">
        <v>26</v>
      </c>
      <c r="B196" t="s">
        <v>27</v>
      </c>
      <c r="C196" t="s">
        <v>35</v>
      </c>
      <c r="D196">
        <v>79</v>
      </c>
      <c r="E196" s="5">
        <v>43609</v>
      </c>
      <c r="F196">
        <v>11050501</v>
      </c>
      <c r="G196" t="s">
        <v>195</v>
      </c>
      <c r="J196">
        <v>1012</v>
      </c>
      <c r="K196">
        <v>1110</v>
      </c>
      <c r="L196" s="3">
        <v>-23637402.949999999</v>
      </c>
      <c r="M196" s="3">
        <v>0</v>
      </c>
      <c r="N196">
        <v>6000</v>
      </c>
      <c r="O196">
        <v>0</v>
      </c>
      <c r="P196">
        <v>-23643402.949999999</v>
      </c>
      <c r="Q196" t="s">
        <v>30</v>
      </c>
      <c r="R196" t="s">
        <v>59</v>
      </c>
      <c r="S196" t="str">
        <v/>
      </c>
      <c r="T196" t="str">
        <v>#N/A</v>
      </c>
    </row>
    <row r="197" spans="1:20" ht="13.7" customHeight="1" x14ac:dyDescent="0.25">
      <c r="A197" t="s">
        <v>26</v>
      </c>
      <c r="B197" t="s">
        <v>27</v>
      </c>
      <c r="C197" t="s">
        <v>35</v>
      </c>
      <c r="D197">
        <v>84</v>
      </c>
      <c r="E197" s="5">
        <v>43610</v>
      </c>
      <c r="F197">
        <v>11050501</v>
      </c>
      <c r="G197" t="s">
        <v>195</v>
      </c>
      <c r="J197">
        <v>1012</v>
      </c>
      <c r="K197">
        <v>1110</v>
      </c>
      <c r="L197" s="3">
        <v>-23643402.949999999</v>
      </c>
      <c r="M197" s="3">
        <v>0</v>
      </c>
      <c r="N197">
        <v>14000</v>
      </c>
      <c r="O197">
        <v>0</v>
      </c>
      <c r="P197">
        <v>-23657402.949999999</v>
      </c>
      <c r="Q197" t="s">
        <v>30</v>
      </c>
      <c r="R197" t="s">
        <v>70</v>
      </c>
      <c r="S197" t="str">
        <v/>
      </c>
      <c r="T197" t="str">
        <v>#N/A</v>
      </c>
    </row>
    <row r="198" spans="1:20" ht="13.7" customHeight="1" x14ac:dyDescent="0.25">
      <c r="A198" t="s">
        <v>26</v>
      </c>
      <c r="B198" t="s">
        <v>27</v>
      </c>
      <c r="C198" t="s">
        <v>35</v>
      </c>
      <c r="D198">
        <v>85</v>
      </c>
      <c r="E198" s="5">
        <v>43612</v>
      </c>
      <c r="F198">
        <v>11050501</v>
      </c>
      <c r="G198" t="s">
        <v>195</v>
      </c>
      <c r="J198">
        <v>1012</v>
      </c>
      <c r="K198">
        <v>1110</v>
      </c>
      <c r="L198" s="3">
        <v>-23657402.949999999</v>
      </c>
      <c r="M198" s="3">
        <v>0</v>
      </c>
      <c r="N198">
        <v>19000</v>
      </c>
      <c r="O198">
        <v>0</v>
      </c>
      <c r="P198">
        <v>-23676402.949999999</v>
      </c>
      <c r="Q198" t="s">
        <v>30</v>
      </c>
      <c r="R198" t="s">
        <v>45</v>
      </c>
      <c r="S198" t="str">
        <v/>
      </c>
      <c r="T198" t="str">
        <v>#N/A</v>
      </c>
    </row>
    <row r="199" spans="1:20" ht="13.7" customHeight="1" x14ac:dyDescent="0.25">
      <c r="A199" t="s">
        <v>26</v>
      </c>
      <c r="B199" t="s">
        <v>27</v>
      </c>
      <c r="C199" t="s">
        <v>35</v>
      </c>
      <c r="D199">
        <v>86</v>
      </c>
      <c r="E199" s="5">
        <v>43612</v>
      </c>
      <c r="F199">
        <v>11050501</v>
      </c>
      <c r="G199" t="s">
        <v>195</v>
      </c>
      <c r="J199">
        <v>1012</v>
      </c>
      <c r="K199">
        <v>1110</v>
      </c>
      <c r="L199" s="3">
        <v>-23676402.949999999</v>
      </c>
      <c r="M199" s="3">
        <v>0</v>
      </c>
      <c r="N199">
        <v>9500</v>
      </c>
      <c r="O199">
        <v>0</v>
      </c>
      <c r="P199">
        <v>-23685902.949999999</v>
      </c>
      <c r="Q199" t="s">
        <v>30</v>
      </c>
      <c r="R199" t="s">
        <v>43</v>
      </c>
      <c r="S199" t="str">
        <v/>
      </c>
      <c r="T199" t="str">
        <v>#N/A</v>
      </c>
    </row>
    <row r="200" spans="1:20" ht="13.7" customHeight="1" x14ac:dyDescent="0.25">
      <c r="A200" t="s">
        <v>26</v>
      </c>
      <c r="B200" t="s">
        <v>27</v>
      </c>
      <c r="C200" t="s">
        <v>35</v>
      </c>
      <c r="D200">
        <v>88</v>
      </c>
      <c r="E200" s="5">
        <v>43612</v>
      </c>
      <c r="F200">
        <v>11050501</v>
      </c>
      <c r="G200" t="s">
        <v>195</v>
      </c>
      <c r="J200">
        <v>1012</v>
      </c>
      <c r="K200">
        <v>1110</v>
      </c>
      <c r="L200" s="3">
        <v>-23685902.949999999</v>
      </c>
      <c r="M200" s="3">
        <v>0</v>
      </c>
      <c r="N200">
        <v>5000</v>
      </c>
      <c r="O200">
        <v>0</v>
      </c>
      <c r="P200">
        <v>-23690902.949999999</v>
      </c>
      <c r="Q200" t="s">
        <v>30</v>
      </c>
      <c r="R200" t="s">
        <v>59</v>
      </c>
      <c r="S200" t="str">
        <v/>
      </c>
      <c r="T200" t="str">
        <v>#N/A</v>
      </c>
    </row>
    <row r="201" spans="1:20" ht="13.7" customHeight="1" x14ac:dyDescent="0.25">
      <c r="A201" t="s">
        <v>26</v>
      </c>
      <c r="B201" t="s">
        <v>27</v>
      </c>
      <c r="C201" t="s">
        <v>35</v>
      </c>
      <c r="D201">
        <v>89</v>
      </c>
      <c r="E201" s="5">
        <v>43612</v>
      </c>
      <c r="F201">
        <v>11050501</v>
      </c>
      <c r="G201" t="s">
        <v>195</v>
      </c>
      <c r="J201">
        <v>1012</v>
      </c>
      <c r="K201">
        <v>1110</v>
      </c>
      <c r="L201" s="3">
        <v>-23690902.949999999</v>
      </c>
      <c r="M201" s="3">
        <v>0</v>
      </c>
      <c r="N201">
        <v>14000</v>
      </c>
      <c r="O201">
        <v>0</v>
      </c>
      <c r="P201">
        <v>-23704902.949999999</v>
      </c>
      <c r="Q201" t="s">
        <v>30</v>
      </c>
      <c r="R201" t="s">
        <v>141</v>
      </c>
      <c r="S201" t="str">
        <v/>
      </c>
      <c r="T201" t="str">
        <v>#N/A</v>
      </c>
    </row>
    <row r="202" spans="1:20" ht="13.7" customHeight="1" x14ac:dyDescent="0.25">
      <c r="A202" t="s">
        <v>26</v>
      </c>
      <c r="B202" t="s">
        <v>27</v>
      </c>
      <c r="C202" t="s">
        <v>142</v>
      </c>
      <c r="D202">
        <v>97</v>
      </c>
      <c r="E202" s="5">
        <v>43616</v>
      </c>
      <c r="F202">
        <v>11050501</v>
      </c>
      <c r="G202" t="s">
        <v>195</v>
      </c>
      <c r="J202">
        <v>1012</v>
      </c>
      <c r="K202">
        <v>1110</v>
      </c>
      <c r="L202" s="3">
        <v>-23704902.949999999</v>
      </c>
      <c r="M202" s="3">
        <v>0</v>
      </c>
      <c r="N202">
        <v>15000</v>
      </c>
      <c r="O202">
        <v>0</v>
      </c>
      <c r="P202">
        <v>-23719902.949999999</v>
      </c>
      <c r="Q202" t="s">
        <v>30</v>
      </c>
      <c r="R202" t="s">
        <v>64</v>
      </c>
      <c r="S202" t="str">
        <v/>
      </c>
      <c r="T202" t="str">
        <v>#N/A</v>
      </c>
    </row>
    <row r="203" spans="1:20" ht="13.7" customHeight="1" x14ac:dyDescent="0.25">
      <c r="A203" t="s">
        <v>26</v>
      </c>
      <c r="B203" t="s">
        <v>27</v>
      </c>
      <c r="C203" t="s">
        <v>35</v>
      </c>
      <c r="D203">
        <v>94</v>
      </c>
      <c r="E203" s="5">
        <v>43616</v>
      </c>
      <c r="F203">
        <v>11050501</v>
      </c>
      <c r="G203" t="s">
        <v>195</v>
      </c>
      <c r="J203">
        <v>1012</v>
      </c>
      <c r="K203">
        <v>1110</v>
      </c>
      <c r="L203" s="3">
        <v>-23719902.949999999</v>
      </c>
      <c r="M203" s="3">
        <v>0</v>
      </c>
      <c r="N203">
        <v>199000</v>
      </c>
      <c r="O203">
        <v>0</v>
      </c>
      <c r="P203">
        <v>-23918902.949999999</v>
      </c>
      <c r="Q203" t="s">
        <v>30</v>
      </c>
      <c r="R203" t="s">
        <v>70</v>
      </c>
      <c r="S203" t="str">
        <v/>
      </c>
      <c r="T203" t="str">
        <v>#N/A</v>
      </c>
    </row>
    <row r="204" spans="1:20" ht="13.7" customHeight="1" x14ac:dyDescent="0.25">
      <c r="A204" t="s">
        <v>26</v>
      </c>
      <c r="B204" t="s">
        <v>27</v>
      </c>
      <c r="C204" t="s">
        <v>35</v>
      </c>
      <c r="D204">
        <v>96</v>
      </c>
      <c r="E204" s="5">
        <v>43616</v>
      </c>
      <c r="F204">
        <v>11050501</v>
      </c>
      <c r="G204" t="s">
        <v>195</v>
      </c>
      <c r="J204">
        <v>1012</v>
      </c>
      <c r="K204">
        <v>1110</v>
      </c>
      <c r="L204" s="3">
        <v>-23918902.949999999</v>
      </c>
      <c r="M204" s="3">
        <v>0</v>
      </c>
      <c r="N204">
        <v>58000</v>
      </c>
      <c r="O204">
        <v>0</v>
      </c>
      <c r="P204">
        <v>-23976902.949999999</v>
      </c>
      <c r="Q204" t="s">
        <v>30</v>
      </c>
      <c r="R204" t="s">
        <v>113</v>
      </c>
      <c r="S204" t="str">
        <v/>
      </c>
      <c r="T204" t="str">
        <v>#N/A</v>
      </c>
    </row>
    <row r="205" spans="1:20" ht="13.7" customHeight="1" x14ac:dyDescent="0.25">
      <c r="A205" t="s">
        <v>26</v>
      </c>
      <c r="B205" t="s">
        <v>27</v>
      </c>
      <c r="C205" t="s">
        <v>36</v>
      </c>
      <c r="D205">
        <v>3</v>
      </c>
      <c r="E205" s="5">
        <v>43617</v>
      </c>
      <c r="F205">
        <v>11050501</v>
      </c>
      <c r="G205" t="s">
        <v>195</v>
      </c>
      <c r="J205">
        <v>1012</v>
      </c>
      <c r="K205">
        <v>1110</v>
      </c>
      <c r="L205" s="3">
        <v>-23976902.949999999</v>
      </c>
      <c r="M205" s="3">
        <v>0</v>
      </c>
      <c r="N205">
        <v>7000</v>
      </c>
      <c r="O205">
        <v>0</v>
      </c>
      <c r="P205">
        <v>-23983902.949999999</v>
      </c>
      <c r="Q205" t="s">
        <v>30</v>
      </c>
      <c r="R205" t="s">
        <v>59</v>
      </c>
      <c r="S205" t="str">
        <v/>
      </c>
      <c r="T205" t="str">
        <v>#N/A</v>
      </c>
    </row>
    <row r="206" spans="1:20" ht="13.7" customHeight="1" x14ac:dyDescent="0.25">
      <c r="A206" t="s">
        <v>26</v>
      </c>
      <c r="B206" t="s">
        <v>27</v>
      </c>
      <c r="C206" t="s">
        <v>36</v>
      </c>
      <c r="D206">
        <v>4</v>
      </c>
      <c r="E206" s="5">
        <v>43617</v>
      </c>
      <c r="F206">
        <v>11050501</v>
      </c>
      <c r="G206" t="s">
        <v>195</v>
      </c>
      <c r="J206">
        <v>1012</v>
      </c>
      <c r="K206">
        <v>1110</v>
      </c>
      <c r="L206" s="3">
        <v>-23983902.949999999</v>
      </c>
      <c r="M206" s="3">
        <v>0</v>
      </c>
      <c r="N206">
        <v>9500</v>
      </c>
      <c r="O206">
        <v>0</v>
      </c>
      <c r="P206">
        <v>-23993402.949999999</v>
      </c>
      <c r="Q206" t="s">
        <v>30</v>
      </c>
      <c r="R206" t="s">
        <v>43</v>
      </c>
      <c r="S206" t="str">
        <v/>
      </c>
      <c r="T206" t="str">
        <v>#N/A</v>
      </c>
    </row>
    <row r="207" spans="1:20" ht="13.7" customHeight="1" x14ac:dyDescent="0.25">
      <c r="A207" t="s">
        <v>26</v>
      </c>
      <c r="B207" t="s">
        <v>27</v>
      </c>
      <c r="C207" t="s">
        <v>36</v>
      </c>
      <c r="D207">
        <v>5</v>
      </c>
      <c r="E207" s="5">
        <v>43617</v>
      </c>
      <c r="F207">
        <v>11050501</v>
      </c>
      <c r="G207" t="s">
        <v>195</v>
      </c>
      <c r="J207">
        <v>1012</v>
      </c>
      <c r="K207">
        <v>1110</v>
      </c>
      <c r="L207" s="3">
        <v>-23993402.949999999</v>
      </c>
      <c r="M207" s="3">
        <v>0</v>
      </c>
      <c r="N207">
        <v>10500</v>
      </c>
      <c r="O207">
        <v>0</v>
      </c>
      <c r="P207">
        <v>-24003902.949999999</v>
      </c>
      <c r="Q207" t="s">
        <v>30</v>
      </c>
      <c r="R207" t="s">
        <v>43</v>
      </c>
      <c r="S207" t="str">
        <v/>
      </c>
      <c r="T207" t="str">
        <v>#N/A</v>
      </c>
    </row>
    <row r="208" spans="1:20" ht="13.7" customHeight="1" x14ac:dyDescent="0.25">
      <c r="A208" t="s">
        <v>26</v>
      </c>
      <c r="B208" t="s">
        <v>27</v>
      </c>
      <c r="C208" t="s">
        <v>36</v>
      </c>
      <c r="D208">
        <v>6</v>
      </c>
      <c r="E208" s="5">
        <v>43617</v>
      </c>
      <c r="F208">
        <v>11050501</v>
      </c>
      <c r="G208" t="s">
        <v>195</v>
      </c>
      <c r="J208">
        <v>1012</v>
      </c>
      <c r="K208">
        <v>1110</v>
      </c>
      <c r="L208" s="3">
        <v>-24003902.949999999</v>
      </c>
      <c r="M208" s="3">
        <v>0</v>
      </c>
      <c r="N208">
        <v>51000</v>
      </c>
      <c r="O208">
        <v>0</v>
      </c>
      <c r="P208">
        <v>-24054902.949999999</v>
      </c>
      <c r="Q208" t="s">
        <v>30</v>
      </c>
      <c r="R208" t="s">
        <v>70</v>
      </c>
      <c r="S208" t="str">
        <v/>
      </c>
      <c r="T208" t="str">
        <v>#N/A</v>
      </c>
    </row>
    <row r="209" spans="1:20" ht="13.7" customHeight="1" x14ac:dyDescent="0.25">
      <c r="A209" t="s">
        <v>26</v>
      </c>
      <c r="B209" t="s">
        <v>27</v>
      </c>
      <c r="C209" t="s">
        <v>36</v>
      </c>
      <c r="D209">
        <v>11</v>
      </c>
      <c r="E209" s="5">
        <v>43621</v>
      </c>
      <c r="F209">
        <v>11050501</v>
      </c>
      <c r="G209" t="s">
        <v>195</v>
      </c>
      <c r="J209">
        <v>1012</v>
      </c>
      <c r="K209">
        <v>1110</v>
      </c>
      <c r="L209" s="3">
        <v>-24054902.949999999</v>
      </c>
      <c r="M209" s="3">
        <v>0</v>
      </c>
      <c r="N209">
        <v>14000</v>
      </c>
      <c r="O209">
        <v>0</v>
      </c>
      <c r="P209">
        <v>-24068902.949999999</v>
      </c>
      <c r="Q209" t="s">
        <v>30</v>
      </c>
      <c r="R209" t="s">
        <v>143</v>
      </c>
      <c r="S209" t="str">
        <v/>
      </c>
      <c r="T209" t="str">
        <v>#N/A</v>
      </c>
    </row>
    <row r="210" spans="1:20" ht="13.7" customHeight="1" x14ac:dyDescent="0.25">
      <c r="A210" t="s">
        <v>26</v>
      </c>
      <c r="B210" t="s">
        <v>27</v>
      </c>
      <c r="C210" t="s">
        <v>36</v>
      </c>
      <c r="D210">
        <v>9</v>
      </c>
      <c r="E210" s="5">
        <v>43621</v>
      </c>
      <c r="F210">
        <v>11050501</v>
      </c>
      <c r="G210" t="s">
        <v>195</v>
      </c>
      <c r="J210">
        <v>1012</v>
      </c>
      <c r="K210">
        <v>1110</v>
      </c>
      <c r="L210" s="3">
        <v>-24068902.949999999</v>
      </c>
      <c r="M210" s="3">
        <v>0</v>
      </c>
      <c r="N210">
        <v>580000</v>
      </c>
      <c r="O210">
        <v>0</v>
      </c>
      <c r="P210">
        <v>-24648902.949999999</v>
      </c>
      <c r="Q210" t="s">
        <v>30</v>
      </c>
      <c r="R210" t="s">
        <v>70</v>
      </c>
      <c r="S210" t="str">
        <v/>
      </c>
      <c r="T210" t="str">
        <v>#N/A</v>
      </c>
    </row>
    <row r="211" spans="1:20" ht="13.7" customHeight="1" x14ac:dyDescent="0.25">
      <c r="A211" t="s">
        <v>26</v>
      </c>
      <c r="B211" t="s">
        <v>27</v>
      </c>
      <c r="C211" t="s">
        <v>36</v>
      </c>
      <c r="D211">
        <v>16</v>
      </c>
      <c r="E211" s="5">
        <v>43622</v>
      </c>
      <c r="F211">
        <v>11050501</v>
      </c>
      <c r="G211" t="s">
        <v>195</v>
      </c>
      <c r="J211">
        <v>1012</v>
      </c>
      <c r="K211">
        <v>1110</v>
      </c>
      <c r="L211" s="3">
        <v>-24648902.949999999</v>
      </c>
      <c r="M211" s="3">
        <v>0</v>
      </c>
      <c r="N211">
        <v>40000</v>
      </c>
      <c r="O211">
        <v>0</v>
      </c>
      <c r="P211">
        <v>-24688902.949999999</v>
      </c>
      <c r="Q211" t="s">
        <v>30</v>
      </c>
      <c r="R211" t="s">
        <v>47</v>
      </c>
      <c r="S211" t="str">
        <v/>
      </c>
      <c r="T211" t="str">
        <v>#N/A</v>
      </c>
    </row>
    <row r="212" spans="1:20" ht="13.7" customHeight="1" x14ac:dyDescent="0.25">
      <c r="A212" t="s">
        <v>26</v>
      </c>
      <c r="B212" t="s">
        <v>27</v>
      </c>
      <c r="C212" t="s">
        <v>142</v>
      </c>
      <c r="D212">
        <v>16</v>
      </c>
      <c r="E212" s="5">
        <v>43623</v>
      </c>
      <c r="F212">
        <v>11050501</v>
      </c>
      <c r="G212" t="s">
        <v>195</v>
      </c>
      <c r="J212">
        <v>1012</v>
      </c>
      <c r="K212">
        <v>1110</v>
      </c>
      <c r="L212" s="3">
        <v>-24688902.949999999</v>
      </c>
      <c r="M212" s="3">
        <v>0</v>
      </c>
      <c r="N212">
        <v>9800</v>
      </c>
      <c r="O212">
        <v>0</v>
      </c>
      <c r="P212">
        <v>-24698702.949999999</v>
      </c>
      <c r="Q212" t="s">
        <v>30</v>
      </c>
      <c r="R212" t="s">
        <v>43</v>
      </c>
      <c r="S212" t="str">
        <v/>
      </c>
      <c r="T212" t="str">
        <v>#N/A</v>
      </c>
    </row>
    <row r="213" spans="1:20" ht="13.7" customHeight="1" x14ac:dyDescent="0.25">
      <c r="A213" t="s">
        <v>26</v>
      </c>
      <c r="B213" t="s">
        <v>27</v>
      </c>
      <c r="C213" t="s">
        <v>36</v>
      </c>
      <c r="D213">
        <v>17</v>
      </c>
      <c r="E213" s="5">
        <v>43624</v>
      </c>
      <c r="F213">
        <v>11050501</v>
      </c>
      <c r="G213" t="s">
        <v>195</v>
      </c>
      <c r="J213">
        <v>1012</v>
      </c>
      <c r="K213">
        <v>1110</v>
      </c>
      <c r="L213" s="3">
        <v>-24698702.949999999</v>
      </c>
      <c r="M213" s="3">
        <v>0</v>
      </c>
      <c r="N213">
        <v>10000</v>
      </c>
      <c r="O213">
        <v>0</v>
      </c>
      <c r="P213">
        <v>-24708702.949999999</v>
      </c>
      <c r="Q213" t="s">
        <v>30</v>
      </c>
      <c r="R213" t="s">
        <v>144</v>
      </c>
      <c r="S213" t="str">
        <v/>
      </c>
      <c r="T213" t="str">
        <v>#N/A</v>
      </c>
    </row>
    <row r="214" spans="1:20" ht="13.7" customHeight="1" x14ac:dyDescent="0.25">
      <c r="A214" t="s">
        <v>26</v>
      </c>
      <c r="B214" t="s">
        <v>27</v>
      </c>
      <c r="C214" t="s">
        <v>36</v>
      </c>
      <c r="D214">
        <v>19</v>
      </c>
      <c r="E214" s="5">
        <v>43626</v>
      </c>
      <c r="F214">
        <v>11050501</v>
      </c>
      <c r="G214" t="s">
        <v>195</v>
      </c>
      <c r="J214">
        <v>1012</v>
      </c>
      <c r="K214">
        <v>1110</v>
      </c>
      <c r="L214" s="3">
        <v>-24708702.949999999</v>
      </c>
      <c r="M214" s="3">
        <v>0</v>
      </c>
      <c r="N214">
        <v>154000</v>
      </c>
      <c r="O214">
        <v>0</v>
      </c>
      <c r="P214">
        <v>-24862702.949999999</v>
      </c>
      <c r="Q214" t="s">
        <v>30</v>
      </c>
      <c r="R214" t="s">
        <v>145</v>
      </c>
      <c r="S214" t="str">
        <v/>
      </c>
      <c r="T214" t="str">
        <v>#N/A</v>
      </c>
    </row>
    <row r="215" spans="1:20" ht="13.7" customHeight="1" x14ac:dyDescent="0.25">
      <c r="A215" t="s">
        <v>26</v>
      </c>
      <c r="B215" t="s">
        <v>27</v>
      </c>
      <c r="C215" t="s">
        <v>36</v>
      </c>
      <c r="D215">
        <v>21</v>
      </c>
      <c r="E215" s="5">
        <v>43628</v>
      </c>
      <c r="F215">
        <v>11050501</v>
      </c>
      <c r="G215" t="s">
        <v>195</v>
      </c>
      <c r="J215">
        <v>1012</v>
      </c>
      <c r="K215">
        <v>1110</v>
      </c>
      <c r="L215" s="3">
        <v>-24862702.949999999</v>
      </c>
      <c r="M215" s="3">
        <v>0</v>
      </c>
      <c r="N215">
        <v>9500</v>
      </c>
      <c r="O215">
        <v>0</v>
      </c>
      <c r="P215">
        <v>-24872202.949999999</v>
      </c>
      <c r="Q215" t="s">
        <v>30</v>
      </c>
      <c r="R215" t="s">
        <v>43</v>
      </c>
      <c r="S215" t="str">
        <v/>
      </c>
      <c r="T215" t="str">
        <v>#N/A</v>
      </c>
    </row>
    <row r="216" spans="1:20" ht="13.7" customHeight="1" x14ac:dyDescent="0.25">
      <c r="A216" t="s">
        <v>26</v>
      </c>
      <c r="B216" t="s">
        <v>27</v>
      </c>
      <c r="C216" t="s">
        <v>36</v>
      </c>
      <c r="D216">
        <v>20</v>
      </c>
      <c r="E216" s="5">
        <v>43629</v>
      </c>
      <c r="F216">
        <v>11050501</v>
      </c>
      <c r="G216" t="s">
        <v>195</v>
      </c>
      <c r="J216">
        <v>1012</v>
      </c>
      <c r="K216">
        <v>1110</v>
      </c>
      <c r="L216" s="3">
        <v>-24872202.949999999</v>
      </c>
      <c r="M216" s="3">
        <v>0</v>
      </c>
      <c r="N216">
        <v>205000</v>
      </c>
      <c r="O216">
        <v>0</v>
      </c>
      <c r="P216">
        <v>-25077202.949999999</v>
      </c>
      <c r="Q216" t="s">
        <v>30</v>
      </c>
      <c r="R216" t="s">
        <v>65</v>
      </c>
      <c r="S216" t="str">
        <v/>
      </c>
      <c r="T216" t="str">
        <v>#N/A</v>
      </c>
    </row>
    <row r="217" spans="1:20" ht="13.7" customHeight="1" x14ac:dyDescent="0.25">
      <c r="A217" t="s">
        <v>26</v>
      </c>
      <c r="B217" t="s">
        <v>27</v>
      </c>
      <c r="C217" t="s">
        <v>36</v>
      </c>
      <c r="D217">
        <v>28</v>
      </c>
      <c r="E217" s="5">
        <v>43630</v>
      </c>
      <c r="F217">
        <v>11050501</v>
      </c>
      <c r="G217" t="s">
        <v>195</v>
      </c>
      <c r="J217">
        <v>1012</v>
      </c>
      <c r="K217">
        <v>1110</v>
      </c>
      <c r="L217" s="3">
        <v>-25077202.949999999</v>
      </c>
      <c r="M217" s="3">
        <v>0</v>
      </c>
      <c r="N217">
        <v>9500</v>
      </c>
      <c r="O217">
        <v>0</v>
      </c>
      <c r="P217">
        <v>-25086702.949999999</v>
      </c>
      <c r="Q217" t="s">
        <v>30</v>
      </c>
      <c r="R217" t="s">
        <v>43</v>
      </c>
      <c r="S217" t="str">
        <v/>
      </c>
      <c r="T217" t="str">
        <v>#N/A</v>
      </c>
    </row>
    <row r="218" spans="1:20" ht="13.7" customHeight="1" x14ac:dyDescent="0.25">
      <c r="A218" t="s">
        <v>26</v>
      </c>
      <c r="B218" t="s">
        <v>27</v>
      </c>
      <c r="C218" t="s">
        <v>36</v>
      </c>
      <c r="D218">
        <v>32</v>
      </c>
      <c r="E218" s="5">
        <v>43631</v>
      </c>
      <c r="F218">
        <v>11050501</v>
      </c>
      <c r="G218" t="s">
        <v>195</v>
      </c>
      <c r="J218">
        <v>1012</v>
      </c>
      <c r="K218">
        <v>1110</v>
      </c>
      <c r="L218" s="3">
        <v>-25086702.949999999</v>
      </c>
      <c r="M218" s="3">
        <v>0</v>
      </c>
      <c r="N218">
        <v>30000</v>
      </c>
      <c r="O218">
        <v>0</v>
      </c>
      <c r="P218">
        <v>-25116702.949999999</v>
      </c>
      <c r="Q218" t="s">
        <v>30</v>
      </c>
      <c r="R218" t="s">
        <v>70</v>
      </c>
      <c r="S218" t="str">
        <v/>
      </c>
      <c r="T218" t="str">
        <v>#N/A</v>
      </c>
    </row>
    <row r="219" spans="1:20" ht="13.7" customHeight="1" x14ac:dyDescent="0.25">
      <c r="A219" t="s">
        <v>26</v>
      </c>
      <c r="B219" t="s">
        <v>27</v>
      </c>
      <c r="C219" t="s">
        <v>36</v>
      </c>
      <c r="D219">
        <v>36</v>
      </c>
      <c r="E219" s="5">
        <v>43633</v>
      </c>
      <c r="F219">
        <v>11050501</v>
      </c>
      <c r="G219" t="s">
        <v>195</v>
      </c>
      <c r="J219">
        <v>1012</v>
      </c>
      <c r="K219">
        <v>1110</v>
      </c>
      <c r="L219" s="3">
        <v>-25116702.949999999</v>
      </c>
      <c r="M219" s="3">
        <v>0</v>
      </c>
      <c r="N219">
        <v>4300</v>
      </c>
      <c r="O219">
        <v>0</v>
      </c>
      <c r="P219">
        <v>-25121002.949999999</v>
      </c>
      <c r="Q219" t="s">
        <v>30</v>
      </c>
      <c r="R219" t="s">
        <v>59</v>
      </c>
      <c r="S219" t="str">
        <v/>
      </c>
      <c r="T219" t="str">
        <v>#N/A</v>
      </c>
    </row>
    <row r="220" spans="1:20" ht="13.7" customHeight="1" x14ac:dyDescent="0.25">
      <c r="A220" t="s">
        <v>26</v>
      </c>
      <c r="B220" t="s">
        <v>27</v>
      </c>
      <c r="C220" t="s">
        <v>36</v>
      </c>
      <c r="D220">
        <v>39</v>
      </c>
      <c r="E220" s="5">
        <v>43634</v>
      </c>
      <c r="F220">
        <v>11050501</v>
      </c>
      <c r="G220" t="s">
        <v>195</v>
      </c>
      <c r="J220">
        <v>1012</v>
      </c>
      <c r="K220">
        <v>1110</v>
      </c>
      <c r="L220" s="3">
        <v>-25121002.949999999</v>
      </c>
      <c r="M220" s="3">
        <v>0</v>
      </c>
      <c r="N220">
        <v>109199</v>
      </c>
      <c r="O220">
        <v>0</v>
      </c>
      <c r="P220">
        <v>-25230201.949999999</v>
      </c>
      <c r="Q220" t="s">
        <v>30</v>
      </c>
      <c r="R220" t="s">
        <v>146</v>
      </c>
      <c r="S220" t="str">
        <v/>
      </c>
      <c r="T220" t="str">
        <v>#N/A</v>
      </c>
    </row>
    <row r="221" spans="1:20" ht="13.7" customHeight="1" x14ac:dyDescent="0.25">
      <c r="A221" t="s">
        <v>26</v>
      </c>
      <c r="B221" t="s">
        <v>27</v>
      </c>
      <c r="C221" t="s">
        <v>36</v>
      </c>
      <c r="D221">
        <v>43</v>
      </c>
      <c r="E221" s="5">
        <v>43636</v>
      </c>
      <c r="F221">
        <v>11050501</v>
      </c>
      <c r="G221" t="s">
        <v>195</v>
      </c>
      <c r="J221">
        <v>1012</v>
      </c>
      <c r="K221">
        <v>1110</v>
      </c>
      <c r="L221" s="3">
        <v>-25230201.949999999</v>
      </c>
      <c r="M221" s="3">
        <v>0</v>
      </c>
      <c r="N221">
        <v>110000</v>
      </c>
      <c r="O221">
        <v>0</v>
      </c>
      <c r="P221">
        <v>-25340201.949999999</v>
      </c>
      <c r="Q221" t="s">
        <v>30</v>
      </c>
      <c r="R221" t="s">
        <v>147</v>
      </c>
      <c r="S221" t="str">
        <v/>
      </c>
      <c r="T221" t="str">
        <v>#N/A</v>
      </c>
    </row>
    <row r="222" spans="1:20" ht="13.7" customHeight="1" x14ac:dyDescent="0.25">
      <c r="A222" t="s">
        <v>26</v>
      </c>
      <c r="B222" t="s">
        <v>27</v>
      </c>
      <c r="C222" t="s">
        <v>36</v>
      </c>
      <c r="D222">
        <v>45</v>
      </c>
      <c r="E222" s="5">
        <v>43636</v>
      </c>
      <c r="F222">
        <v>11050501</v>
      </c>
      <c r="G222" t="s">
        <v>195</v>
      </c>
      <c r="J222">
        <v>1012</v>
      </c>
      <c r="K222">
        <v>1110</v>
      </c>
      <c r="L222" s="3">
        <v>-25340201.949999999</v>
      </c>
      <c r="M222" s="3">
        <v>0</v>
      </c>
      <c r="N222">
        <v>60000</v>
      </c>
      <c r="O222">
        <v>0</v>
      </c>
      <c r="P222">
        <v>-25400201.949999999</v>
      </c>
      <c r="Q222" t="s">
        <v>30</v>
      </c>
      <c r="R222" t="s">
        <v>148</v>
      </c>
      <c r="S222" t="str">
        <v/>
      </c>
      <c r="T222" t="str">
        <v>#N/A</v>
      </c>
    </row>
    <row r="223" spans="1:20" ht="13.7" customHeight="1" x14ac:dyDescent="0.25">
      <c r="A223" t="s">
        <v>26</v>
      </c>
      <c r="B223" t="s">
        <v>27</v>
      </c>
      <c r="C223" t="s">
        <v>36</v>
      </c>
      <c r="D223">
        <v>49</v>
      </c>
      <c r="E223" s="5">
        <v>43638</v>
      </c>
      <c r="F223">
        <v>11050501</v>
      </c>
      <c r="G223" t="s">
        <v>195</v>
      </c>
      <c r="J223">
        <v>1012</v>
      </c>
      <c r="K223">
        <v>1110</v>
      </c>
      <c r="L223" s="3">
        <v>-25400201.949999999</v>
      </c>
      <c r="M223" s="3">
        <v>0</v>
      </c>
      <c r="N223">
        <v>40000</v>
      </c>
      <c r="O223">
        <v>0</v>
      </c>
      <c r="P223">
        <v>-25440201.949999999</v>
      </c>
      <c r="Q223" t="s">
        <v>30</v>
      </c>
      <c r="R223" t="s">
        <v>45</v>
      </c>
      <c r="S223" t="str">
        <v/>
      </c>
      <c r="T223" t="str">
        <v>#N/A</v>
      </c>
    </row>
    <row r="224" spans="1:20" ht="13.7" customHeight="1" x14ac:dyDescent="0.25">
      <c r="A224" t="s">
        <v>26</v>
      </c>
      <c r="B224" t="s">
        <v>27</v>
      </c>
      <c r="C224" t="s">
        <v>36</v>
      </c>
      <c r="D224">
        <v>52</v>
      </c>
      <c r="E224" s="5">
        <v>43638</v>
      </c>
      <c r="F224">
        <v>11050501</v>
      </c>
      <c r="G224" t="s">
        <v>195</v>
      </c>
      <c r="J224">
        <v>1012</v>
      </c>
      <c r="K224">
        <v>1110</v>
      </c>
      <c r="L224" s="3">
        <v>-25440201.949999999</v>
      </c>
      <c r="M224" s="3">
        <v>0</v>
      </c>
      <c r="N224">
        <v>10000</v>
      </c>
      <c r="O224">
        <v>0</v>
      </c>
      <c r="P224">
        <v>-25450201.949999999</v>
      </c>
      <c r="Q224" t="s">
        <v>30</v>
      </c>
      <c r="R224" t="s">
        <v>70</v>
      </c>
      <c r="S224" t="str">
        <v/>
      </c>
      <c r="T224" t="str">
        <v>#N/A</v>
      </c>
    </row>
    <row r="225" spans="1:20" ht="13.7" customHeight="1" x14ac:dyDescent="0.25">
      <c r="A225" t="s">
        <v>26</v>
      </c>
      <c r="B225" t="s">
        <v>27</v>
      </c>
      <c r="C225" t="s">
        <v>36</v>
      </c>
      <c r="D225">
        <v>56</v>
      </c>
      <c r="E225" s="5">
        <v>43642</v>
      </c>
      <c r="F225">
        <v>11050501</v>
      </c>
      <c r="G225" t="s">
        <v>195</v>
      </c>
      <c r="J225">
        <v>1012</v>
      </c>
      <c r="K225">
        <v>1110</v>
      </c>
      <c r="L225" s="3">
        <v>-25450201.949999999</v>
      </c>
      <c r="M225" s="3">
        <v>0</v>
      </c>
      <c r="N225">
        <v>10000</v>
      </c>
      <c r="O225">
        <v>0</v>
      </c>
      <c r="P225">
        <v>-25460201.949999999</v>
      </c>
      <c r="Q225" t="s">
        <v>30</v>
      </c>
      <c r="R225" t="s">
        <v>43</v>
      </c>
      <c r="S225" t="str">
        <v/>
      </c>
      <c r="T225" t="str">
        <v>#N/A</v>
      </c>
    </row>
    <row r="226" spans="1:20" ht="13.7" customHeight="1" x14ac:dyDescent="0.25">
      <c r="A226" t="s">
        <v>26</v>
      </c>
      <c r="B226" t="s">
        <v>27</v>
      </c>
      <c r="C226" t="s">
        <v>36</v>
      </c>
      <c r="D226">
        <v>63</v>
      </c>
      <c r="E226" s="5">
        <v>43645</v>
      </c>
      <c r="F226">
        <v>11050501</v>
      </c>
      <c r="G226" t="s">
        <v>195</v>
      </c>
      <c r="J226">
        <v>1012</v>
      </c>
      <c r="K226">
        <v>1110</v>
      </c>
      <c r="L226" s="3">
        <v>-25460201.949999999</v>
      </c>
      <c r="M226" s="3">
        <v>0</v>
      </c>
      <c r="N226">
        <v>99000</v>
      </c>
      <c r="O226">
        <v>0</v>
      </c>
      <c r="P226">
        <v>-25559201.949999999</v>
      </c>
      <c r="Q226" t="s">
        <v>30</v>
      </c>
      <c r="R226" t="s">
        <v>70</v>
      </c>
      <c r="S226" t="str">
        <v/>
      </c>
      <c r="T226" t="str">
        <v>#N/A</v>
      </c>
    </row>
    <row r="227" spans="1:20" ht="13.7" customHeight="1" x14ac:dyDescent="0.25">
      <c r="A227" t="s">
        <v>26</v>
      </c>
      <c r="B227" t="s">
        <v>27</v>
      </c>
      <c r="C227" t="s">
        <v>36</v>
      </c>
      <c r="D227">
        <v>67</v>
      </c>
      <c r="E227" s="5">
        <v>43645</v>
      </c>
      <c r="F227">
        <v>11050501</v>
      </c>
      <c r="G227" t="s">
        <v>195</v>
      </c>
      <c r="J227">
        <v>1012</v>
      </c>
      <c r="K227">
        <v>1110</v>
      </c>
      <c r="L227" s="3">
        <v>-25559201.949999999</v>
      </c>
      <c r="M227" s="3">
        <v>0</v>
      </c>
      <c r="N227">
        <v>20000</v>
      </c>
      <c r="O227">
        <v>0</v>
      </c>
      <c r="P227">
        <v>-25579201.949999999</v>
      </c>
      <c r="Q227" t="s">
        <v>30</v>
      </c>
      <c r="R227" t="s">
        <v>70</v>
      </c>
      <c r="S227" t="str">
        <v/>
      </c>
      <c r="T227" t="str">
        <v>#N/A</v>
      </c>
    </row>
    <row r="228" spans="1:20" ht="13.7" customHeight="1" x14ac:dyDescent="0.25">
      <c r="A228" t="s">
        <v>26</v>
      </c>
      <c r="B228" t="s">
        <v>27</v>
      </c>
      <c r="C228" t="s">
        <v>37</v>
      </c>
      <c r="D228">
        <v>1</v>
      </c>
      <c r="E228" s="5">
        <v>43648</v>
      </c>
      <c r="F228">
        <v>11050501</v>
      </c>
      <c r="G228" t="s">
        <v>195</v>
      </c>
      <c r="J228">
        <v>1012</v>
      </c>
      <c r="K228">
        <v>1110</v>
      </c>
      <c r="L228" s="3">
        <v>-25579201.949999999</v>
      </c>
      <c r="M228" s="3">
        <v>0</v>
      </c>
      <c r="N228">
        <v>5500</v>
      </c>
      <c r="O228">
        <v>0</v>
      </c>
      <c r="P228">
        <v>-25584701.949999999</v>
      </c>
      <c r="Q228" t="s">
        <v>30</v>
      </c>
      <c r="R228" t="s">
        <v>59</v>
      </c>
      <c r="S228" t="str">
        <v/>
      </c>
      <c r="T228" t="str">
        <v>#N/A</v>
      </c>
    </row>
    <row r="229" spans="1:20" ht="13.7" customHeight="1" x14ac:dyDescent="0.25">
      <c r="A229" t="s">
        <v>26</v>
      </c>
      <c r="B229" t="s">
        <v>27</v>
      </c>
      <c r="C229" t="s">
        <v>37</v>
      </c>
      <c r="D229">
        <v>2</v>
      </c>
      <c r="E229" s="5">
        <v>43648</v>
      </c>
      <c r="F229">
        <v>11050501</v>
      </c>
      <c r="G229" t="s">
        <v>195</v>
      </c>
      <c r="J229">
        <v>1012</v>
      </c>
      <c r="K229">
        <v>1110</v>
      </c>
      <c r="L229" s="3">
        <v>-25584701.949999999</v>
      </c>
      <c r="M229" s="3">
        <v>0</v>
      </c>
      <c r="N229">
        <v>19000</v>
      </c>
      <c r="O229">
        <v>0</v>
      </c>
      <c r="P229">
        <v>-25603701.949999999</v>
      </c>
      <c r="Q229" t="s">
        <v>30</v>
      </c>
      <c r="R229" t="s">
        <v>45</v>
      </c>
      <c r="S229" t="str">
        <v/>
      </c>
      <c r="T229" t="str">
        <v>#N/A</v>
      </c>
    </row>
    <row r="230" spans="1:20" ht="13.7" customHeight="1" x14ac:dyDescent="0.25">
      <c r="A230" t="s">
        <v>26</v>
      </c>
      <c r="B230" t="s">
        <v>27</v>
      </c>
      <c r="C230" t="s">
        <v>37</v>
      </c>
      <c r="D230">
        <v>3</v>
      </c>
      <c r="E230" s="5">
        <v>43648</v>
      </c>
      <c r="F230">
        <v>11050501</v>
      </c>
      <c r="G230" t="s">
        <v>195</v>
      </c>
      <c r="J230">
        <v>1012</v>
      </c>
      <c r="K230">
        <v>1110</v>
      </c>
      <c r="L230" s="3">
        <v>-25603701.949999999</v>
      </c>
      <c r="M230" s="3">
        <v>0</v>
      </c>
      <c r="N230">
        <v>12500</v>
      </c>
      <c r="O230">
        <v>0</v>
      </c>
      <c r="P230">
        <v>-25616201.949999999</v>
      </c>
      <c r="Q230" t="s">
        <v>30</v>
      </c>
      <c r="R230" t="s">
        <v>47</v>
      </c>
      <c r="S230" t="str">
        <v/>
      </c>
      <c r="T230" t="str">
        <v>#N/A</v>
      </c>
    </row>
    <row r="231" spans="1:20" ht="13.7" customHeight="1" x14ac:dyDescent="0.25">
      <c r="A231" t="s">
        <v>26</v>
      </c>
      <c r="B231" t="s">
        <v>27</v>
      </c>
      <c r="C231" t="s">
        <v>37</v>
      </c>
      <c r="D231">
        <v>5</v>
      </c>
      <c r="E231" s="5">
        <v>43649</v>
      </c>
      <c r="F231">
        <v>11050501</v>
      </c>
      <c r="G231" t="s">
        <v>195</v>
      </c>
      <c r="J231">
        <v>1012</v>
      </c>
      <c r="K231">
        <v>1110</v>
      </c>
      <c r="L231" s="3">
        <v>-25616201.949999999</v>
      </c>
      <c r="M231" s="3">
        <v>0</v>
      </c>
      <c r="N231">
        <v>95200</v>
      </c>
      <c r="O231">
        <v>0</v>
      </c>
      <c r="P231">
        <v>-25711401.949999999</v>
      </c>
      <c r="Q231" t="s">
        <v>30</v>
      </c>
      <c r="R231" t="s">
        <v>64</v>
      </c>
      <c r="S231" t="str">
        <v/>
      </c>
      <c r="T231" t="str">
        <v>#N/A</v>
      </c>
    </row>
    <row r="232" spans="1:20" ht="13.7" customHeight="1" x14ac:dyDescent="0.25">
      <c r="A232" t="s">
        <v>26</v>
      </c>
      <c r="B232" t="s">
        <v>27</v>
      </c>
      <c r="C232" t="s">
        <v>37</v>
      </c>
      <c r="D232">
        <v>14</v>
      </c>
      <c r="E232" s="5">
        <v>43652</v>
      </c>
      <c r="F232">
        <v>11050501</v>
      </c>
      <c r="G232" t="s">
        <v>195</v>
      </c>
      <c r="J232">
        <v>1012</v>
      </c>
      <c r="K232">
        <v>1110</v>
      </c>
      <c r="L232" s="3">
        <v>-25711401.949999999</v>
      </c>
      <c r="M232" s="3">
        <v>0</v>
      </c>
      <c r="N232">
        <v>4100</v>
      </c>
      <c r="O232">
        <v>0</v>
      </c>
      <c r="P232">
        <v>-25715501.949999999</v>
      </c>
      <c r="Q232" t="s">
        <v>30</v>
      </c>
      <c r="R232" t="s">
        <v>149</v>
      </c>
      <c r="S232" t="str">
        <v/>
      </c>
      <c r="T232" t="str">
        <v>#N/A</v>
      </c>
    </row>
    <row r="233" spans="1:20" ht="13.7" customHeight="1" x14ac:dyDescent="0.25">
      <c r="A233" t="s">
        <v>26</v>
      </c>
      <c r="B233" t="s">
        <v>27</v>
      </c>
      <c r="C233" t="s">
        <v>37</v>
      </c>
      <c r="D233">
        <v>16</v>
      </c>
      <c r="E233" s="5">
        <v>43652</v>
      </c>
      <c r="F233">
        <v>11050501</v>
      </c>
      <c r="G233" t="s">
        <v>195</v>
      </c>
      <c r="J233">
        <v>1012</v>
      </c>
      <c r="K233">
        <v>1110</v>
      </c>
      <c r="L233" s="3">
        <v>-25715501.949999999</v>
      </c>
      <c r="M233" s="3">
        <v>0</v>
      </c>
      <c r="N233">
        <v>10000</v>
      </c>
      <c r="O233">
        <v>0</v>
      </c>
      <c r="P233">
        <v>-25725501.949999999</v>
      </c>
      <c r="Q233" t="s">
        <v>30</v>
      </c>
      <c r="R233" t="s">
        <v>70</v>
      </c>
      <c r="S233" t="str">
        <v/>
      </c>
      <c r="T233" t="str">
        <v>#N/A</v>
      </c>
    </row>
    <row r="234" spans="1:20" ht="13.7" customHeight="1" x14ac:dyDescent="0.25">
      <c r="A234" t="s">
        <v>26</v>
      </c>
      <c r="B234" t="s">
        <v>27</v>
      </c>
      <c r="C234" t="s">
        <v>37</v>
      </c>
      <c r="D234">
        <v>22</v>
      </c>
      <c r="E234" s="5">
        <v>43652</v>
      </c>
      <c r="F234">
        <v>11050501</v>
      </c>
      <c r="G234" t="s">
        <v>195</v>
      </c>
      <c r="J234">
        <v>1012</v>
      </c>
      <c r="K234">
        <v>1110</v>
      </c>
      <c r="L234" s="3">
        <v>-25725501.949999999</v>
      </c>
      <c r="M234" s="3">
        <v>0</v>
      </c>
      <c r="N234">
        <v>6000</v>
      </c>
      <c r="O234">
        <v>0</v>
      </c>
      <c r="P234">
        <v>-25731501.949999999</v>
      </c>
      <c r="Q234" t="s">
        <v>30</v>
      </c>
      <c r="R234" t="s">
        <v>150</v>
      </c>
      <c r="S234" t="str">
        <v/>
      </c>
      <c r="T234" t="str">
        <v>#N/A</v>
      </c>
    </row>
    <row r="235" spans="1:20" ht="13.7" customHeight="1" x14ac:dyDescent="0.25">
      <c r="A235" t="s">
        <v>26</v>
      </c>
      <c r="B235" t="s">
        <v>27</v>
      </c>
      <c r="C235" t="s">
        <v>36</v>
      </c>
      <c r="D235">
        <v>1</v>
      </c>
      <c r="E235" s="5">
        <v>43654</v>
      </c>
      <c r="F235">
        <v>11050501</v>
      </c>
      <c r="G235" t="s">
        <v>195</v>
      </c>
      <c r="J235">
        <v>1012</v>
      </c>
      <c r="K235">
        <v>1110</v>
      </c>
      <c r="L235" s="3">
        <v>-25731501.949999999</v>
      </c>
      <c r="M235" s="3">
        <v>0</v>
      </c>
      <c r="N235">
        <v>6100</v>
      </c>
      <c r="O235">
        <v>0</v>
      </c>
      <c r="P235">
        <v>-25737601.949999999</v>
      </c>
      <c r="Q235" t="s">
        <v>30</v>
      </c>
      <c r="R235" t="s">
        <v>151</v>
      </c>
      <c r="S235" t="str">
        <v/>
      </c>
      <c r="T235" t="str">
        <v>#N/A</v>
      </c>
    </row>
    <row r="236" spans="1:20" ht="13.7" customHeight="1" x14ac:dyDescent="0.25">
      <c r="A236" t="s">
        <v>26</v>
      </c>
      <c r="B236" t="s">
        <v>27</v>
      </c>
      <c r="C236" t="s">
        <v>37</v>
      </c>
      <c r="D236">
        <v>26</v>
      </c>
      <c r="E236" s="5">
        <v>43656</v>
      </c>
      <c r="F236">
        <v>11050501</v>
      </c>
      <c r="G236" t="s">
        <v>195</v>
      </c>
      <c r="J236">
        <v>1012</v>
      </c>
      <c r="K236">
        <v>1110</v>
      </c>
      <c r="L236" s="3">
        <v>-25737601.949999999</v>
      </c>
      <c r="M236" s="3">
        <v>0</v>
      </c>
      <c r="N236">
        <v>9501</v>
      </c>
      <c r="O236">
        <v>0</v>
      </c>
      <c r="P236">
        <v>-25747102.949999999</v>
      </c>
      <c r="Q236" t="s">
        <v>30</v>
      </c>
      <c r="R236" t="s">
        <v>152</v>
      </c>
      <c r="S236" t="str">
        <v/>
      </c>
      <c r="T236" t="str">
        <v>#N/A</v>
      </c>
    </row>
    <row r="237" spans="1:20" ht="13.7" customHeight="1" x14ac:dyDescent="0.25">
      <c r="A237" t="s">
        <v>26</v>
      </c>
      <c r="B237" t="s">
        <v>27</v>
      </c>
      <c r="C237" t="s">
        <v>37</v>
      </c>
      <c r="D237">
        <v>30</v>
      </c>
      <c r="E237" s="5">
        <v>43657</v>
      </c>
      <c r="F237">
        <v>11050501</v>
      </c>
      <c r="G237" t="s">
        <v>195</v>
      </c>
      <c r="J237">
        <v>1012</v>
      </c>
      <c r="K237">
        <v>1110</v>
      </c>
      <c r="L237" s="3">
        <v>-25747102.949999999</v>
      </c>
      <c r="M237" s="3">
        <v>0</v>
      </c>
      <c r="N237">
        <v>4300</v>
      </c>
      <c r="O237">
        <v>0</v>
      </c>
      <c r="P237">
        <v>-25751402.949999999</v>
      </c>
      <c r="Q237" t="s">
        <v>30</v>
      </c>
      <c r="R237" t="s">
        <v>59</v>
      </c>
      <c r="S237" t="str">
        <v/>
      </c>
      <c r="T237" t="str">
        <v>#N/A</v>
      </c>
    </row>
    <row r="238" spans="1:20" ht="13.7" customHeight="1" x14ac:dyDescent="0.25">
      <c r="A238" t="s">
        <v>26</v>
      </c>
      <c r="B238" t="s">
        <v>27</v>
      </c>
      <c r="C238" t="s">
        <v>37</v>
      </c>
      <c r="D238">
        <v>31</v>
      </c>
      <c r="E238" s="5">
        <v>43658</v>
      </c>
      <c r="F238">
        <v>11050501</v>
      </c>
      <c r="G238" t="s">
        <v>195</v>
      </c>
      <c r="J238">
        <v>1012</v>
      </c>
      <c r="K238">
        <v>1110</v>
      </c>
      <c r="L238" s="3">
        <v>-25751402.949999999</v>
      </c>
      <c r="M238" s="3">
        <v>0</v>
      </c>
      <c r="N238">
        <v>100000</v>
      </c>
      <c r="O238">
        <v>0</v>
      </c>
      <c r="P238">
        <v>-25851402.949999999</v>
      </c>
      <c r="Q238" t="s">
        <v>30</v>
      </c>
      <c r="R238" t="s">
        <v>153</v>
      </c>
      <c r="S238" t="str">
        <v/>
      </c>
      <c r="T238" t="str">
        <v>#N/A</v>
      </c>
    </row>
    <row r="239" spans="1:20" ht="13.7" customHeight="1" x14ac:dyDescent="0.25">
      <c r="A239" t="s">
        <v>26</v>
      </c>
      <c r="B239" t="s">
        <v>27</v>
      </c>
      <c r="C239" t="s">
        <v>37</v>
      </c>
      <c r="D239">
        <v>32</v>
      </c>
      <c r="E239" s="5">
        <v>43658</v>
      </c>
      <c r="F239">
        <v>11050501</v>
      </c>
      <c r="G239" t="s">
        <v>195</v>
      </c>
      <c r="J239">
        <v>1012</v>
      </c>
      <c r="K239">
        <v>1110</v>
      </c>
      <c r="L239" s="3">
        <v>-25851402.949999999</v>
      </c>
      <c r="M239" s="3">
        <v>0</v>
      </c>
      <c r="N239">
        <v>66000</v>
      </c>
      <c r="O239">
        <v>0</v>
      </c>
      <c r="P239">
        <v>-25917402.949999999</v>
      </c>
      <c r="Q239" t="s">
        <v>30</v>
      </c>
      <c r="R239" t="s">
        <v>154</v>
      </c>
      <c r="S239" t="str">
        <v/>
      </c>
      <c r="T239" t="str">
        <v>#N/A</v>
      </c>
    </row>
    <row r="240" spans="1:20" ht="13.7" customHeight="1" x14ac:dyDescent="0.25">
      <c r="A240" t="s">
        <v>26</v>
      </c>
      <c r="B240" t="s">
        <v>27</v>
      </c>
      <c r="C240" t="s">
        <v>37</v>
      </c>
      <c r="D240">
        <v>34</v>
      </c>
      <c r="E240" s="5">
        <v>43659</v>
      </c>
      <c r="F240">
        <v>11050501</v>
      </c>
      <c r="G240" t="s">
        <v>195</v>
      </c>
      <c r="J240">
        <v>1012</v>
      </c>
      <c r="K240">
        <v>1110</v>
      </c>
      <c r="L240" s="3">
        <v>-25917402.949999999</v>
      </c>
      <c r="M240" s="3">
        <v>0</v>
      </c>
      <c r="N240">
        <v>34000</v>
      </c>
      <c r="O240">
        <v>0</v>
      </c>
      <c r="P240">
        <v>-25951402.949999999</v>
      </c>
      <c r="Q240" t="s">
        <v>30</v>
      </c>
      <c r="R240" t="s">
        <v>70</v>
      </c>
      <c r="S240" t="str">
        <v/>
      </c>
      <c r="T240" t="str">
        <v>#N/A</v>
      </c>
    </row>
    <row r="241" spans="1:20" ht="13.7" customHeight="1" x14ac:dyDescent="0.25">
      <c r="A241" t="s">
        <v>26</v>
      </c>
      <c r="B241" t="s">
        <v>27</v>
      </c>
      <c r="C241" t="s">
        <v>37</v>
      </c>
      <c r="D241">
        <v>39</v>
      </c>
      <c r="E241" s="5">
        <v>43661</v>
      </c>
      <c r="F241">
        <v>11050501</v>
      </c>
      <c r="G241" t="s">
        <v>195</v>
      </c>
      <c r="J241">
        <v>1012</v>
      </c>
      <c r="K241">
        <v>1110</v>
      </c>
      <c r="L241" s="3">
        <v>-25951402.949999999</v>
      </c>
      <c r="M241" s="3">
        <v>0</v>
      </c>
      <c r="N241">
        <v>2700</v>
      </c>
      <c r="O241">
        <v>0</v>
      </c>
      <c r="P241">
        <v>-25954102.949999999</v>
      </c>
      <c r="Q241" t="s">
        <v>30</v>
      </c>
      <c r="R241" t="s">
        <v>59</v>
      </c>
      <c r="S241" t="str">
        <v/>
      </c>
      <c r="T241" t="str">
        <v>#N/A</v>
      </c>
    </row>
    <row r="242" spans="1:20" ht="13.7" customHeight="1" x14ac:dyDescent="0.25">
      <c r="A242" t="s">
        <v>26</v>
      </c>
      <c r="B242" t="s">
        <v>27</v>
      </c>
      <c r="C242" t="s">
        <v>37</v>
      </c>
      <c r="D242">
        <v>40</v>
      </c>
      <c r="E242" s="5">
        <v>43661</v>
      </c>
      <c r="F242">
        <v>11050501</v>
      </c>
      <c r="G242" t="s">
        <v>195</v>
      </c>
      <c r="J242">
        <v>1012</v>
      </c>
      <c r="K242">
        <v>1110</v>
      </c>
      <c r="L242" s="3">
        <v>-25954102.949999999</v>
      </c>
      <c r="M242" s="3">
        <v>0</v>
      </c>
      <c r="N242">
        <v>6200</v>
      </c>
      <c r="O242">
        <v>0</v>
      </c>
      <c r="P242">
        <v>-25960302.949999999</v>
      </c>
      <c r="Q242" t="s">
        <v>30</v>
      </c>
      <c r="R242" t="s">
        <v>59</v>
      </c>
      <c r="S242" t="str">
        <v/>
      </c>
      <c r="T242" t="str">
        <v>#N/A</v>
      </c>
    </row>
    <row r="243" spans="1:20" ht="13.7" customHeight="1" x14ac:dyDescent="0.25">
      <c r="A243" t="s">
        <v>26</v>
      </c>
      <c r="B243" t="s">
        <v>27</v>
      </c>
      <c r="C243" t="s">
        <v>37</v>
      </c>
      <c r="D243">
        <v>45</v>
      </c>
      <c r="E243" s="5">
        <v>43664</v>
      </c>
      <c r="F243">
        <v>11050501</v>
      </c>
      <c r="G243" t="s">
        <v>195</v>
      </c>
      <c r="J243">
        <v>1012</v>
      </c>
      <c r="K243">
        <v>1110</v>
      </c>
      <c r="L243" s="3">
        <v>-25960302.949999999</v>
      </c>
      <c r="M243" s="3">
        <v>0</v>
      </c>
      <c r="N243">
        <v>17000</v>
      </c>
      <c r="O243">
        <v>0</v>
      </c>
      <c r="P243">
        <v>-25977302.949999999</v>
      </c>
      <c r="Q243" t="s">
        <v>30</v>
      </c>
      <c r="R243" t="s">
        <v>96</v>
      </c>
      <c r="S243" t="str">
        <v/>
      </c>
      <c r="T243" t="str">
        <v>#N/A</v>
      </c>
    </row>
    <row r="244" spans="1:20" ht="13.7" customHeight="1" x14ac:dyDescent="0.25">
      <c r="A244" t="s">
        <v>26</v>
      </c>
      <c r="B244" t="s">
        <v>27</v>
      </c>
      <c r="C244" t="s">
        <v>37</v>
      </c>
      <c r="D244">
        <v>51</v>
      </c>
      <c r="E244" s="5">
        <v>43670</v>
      </c>
      <c r="F244">
        <v>11050501</v>
      </c>
      <c r="G244" t="s">
        <v>195</v>
      </c>
      <c r="J244">
        <v>1012</v>
      </c>
      <c r="K244">
        <v>1110</v>
      </c>
      <c r="L244" s="3">
        <v>-25977302.949999999</v>
      </c>
      <c r="M244" s="3">
        <v>0</v>
      </c>
      <c r="N244">
        <v>27800</v>
      </c>
      <c r="O244">
        <v>0</v>
      </c>
      <c r="P244">
        <v>-26005102.949999999</v>
      </c>
      <c r="Q244" t="s">
        <v>30</v>
      </c>
      <c r="R244" t="s">
        <v>155</v>
      </c>
      <c r="S244" t="str">
        <v/>
      </c>
      <c r="T244" t="str">
        <v>#N/A</v>
      </c>
    </row>
    <row r="245" spans="1:20" ht="13.7" customHeight="1" x14ac:dyDescent="0.25">
      <c r="A245" t="s">
        <v>26</v>
      </c>
      <c r="B245" t="s">
        <v>27</v>
      </c>
      <c r="C245" t="s">
        <v>37</v>
      </c>
      <c r="D245">
        <v>54</v>
      </c>
      <c r="E245" s="5">
        <v>43670</v>
      </c>
      <c r="F245">
        <v>11050501</v>
      </c>
      <c r="G245" t="s">
        <v>195</v>
      </c>
      <c r="J245">
        <v>1012</v>
      </c>
      <c r="K245">
        <v>1110</v>
      </c>
      <c r="L245" s="3">
        <v>-26005102.949999999</v>
      </c>
      <c r="M245" s="3">
        <v>0</v>
      </c>
      <c r="N245">
        <v>7000</v>
      </c>
      <c r="O245">
        <v>0</v>
      </c>
      <c r="P245">
        <v>-26012102.949999999</v>
      </c>
      <c r="Q245" t="s">
        <v>30</v>
      </c>
      <c r="R245" t="s">
        <v>156</v>
      </c>
      <c r="S245" t="str">
        <v/>
      </c>
      <c r="T245" t="str">
        <v>#N/A</v>
      </c>
    </row>
    <row r="246" spans="1:20" ht="13.7" customHeight="1" x14ac:dyDescent="0.25">
      <c r="A246" t="s">
        <v>26</v>
      </c>
      <c r="B246" t="s">
        <v>27</v>
      </c>
      <c r="C246" t="s">
        <v>37</v>
      </c>
      <c r="D246">
        <v>57</v>
      </c>
      <c r="E246" s="5">
        <v>43672</v>
      </c>
      <c r="F246">
        <v>11050501</v>
      </c>
      <c r="G246" t="s">
        <v>195</v>
      </c>
      <c r="J246">
        <v>1012</v>
      </c>
      <c r="K246">
        <v>1110</v>
      </c>
      <c r="L246" s="3">
        <v>-26012102.949999999</v>
      </c>
      <c r="M246" s="3">
        <v>0</v>
      </c>
      <c r="N246">
        <v>10000</v>
      </c>
      <c r="O246">
        <v>0</v>
      </c>
      <c r="P246">
        <v>-26022102.949999999</v>
      </c>
      <c r="Q246" t="s">
        <v>30</v>
      </c>
      <c r="R246" t="s">
        <v>157</v>
      </c>
      <c r="S246" t="str">
        <v/>
      </c>
      <c r="T246" t="str">
        <v>#N/A</v>
      </c>
    </row>
    <row r="247" spans="1:20" ht="13.7" customHeight="1" x14ac:dyDescent="0.25">
      <c r="A247" t="s">
        <v>26</v>
      </c>
      <c r="B247" t="s">
        <v>27</v>
      </c>
      <c r="C247" t="s">
        <v>37</v>
      </c>
      <c r="D247">
        <v>58</v>
      </c>
      <c r="E247" s="5">
        <v>43672</v>
      </c>
      <c r="F247">
        <v>11050501</v>
      </c>
      <c r="G247" t="s">
        <v>195</v>
      </c>
      <c r="J247">
        <v>1012</v>
      </c>
      <c r="K247">
        <v>1110</v>
      </c>
      <c r="L247" s="3">
        <v>-26022102.949999999</v>
      </c>
      <c r="M247" s="3">
        <v>0</v>
      </c>
      <c r="N247">
        <v>5700</v>
      </c>
      <c r="O247">
        <v>0</v>
      </c>
      <c r="P247">
        <v>-26027802.949999999</v>
      </c>
      <c r="Q247" t="s">
        <v>30</v>
      </c>
      <c r="R247" t="s">
        <v>59</v>
      </c>
      <c r="S247" t="str">
        <v/>
      </c>
      <c r="T247" t="str">
        <v>#N/A</v>
      </c>
    </row>
    <row r="248" spans="1:20" ht="13.7" customHeight="1" x14ac:dyDescent="0.25">
      <c r="A248" t="s">
        <v>26</v>
      </c>
      <c r="B248" t="s">
        <v>27</v>
      </c>
      <c r="C248" t="s">
        <v>37</v>
      </c>
      <c r="D248">
        <v>59</v>
      </c>
      <c r="E248" s="5">
        <v>43673</v>
      </c>
      <c r="F248">
        <v>11050501</v>
      </c>
      <c r="G248" t="s">
        <v>195</v>
      </c>
      <c r="J248">
        <v>1012</v>
      </c>
      <c r="K248">
        <v>1110</v>
      </c>
      <c r="L248" s="3">
        <v>-26027802.949999999</v>
      </c>
      <c r="M248" s="3">
        <v>0</v>
      </c>
      <c r="N248">
        <v>10000</v>
      </c>
      <c r="O248">
        <v>0</v>
      </c>
      <c r="P248">
        <v>-26037802.949999999</v>
      </c>
      <c r="Q248" t="s">
        <v>30</v>
      </c>
      <c r="R248" t="s">
        <v>70</v>
      </c>
      <c r="S248" t="str">
        <v/>
      </c>
      <c r="T248" t="str">
        <v>#N/A</v>
      </c>
    </row>
    <row r="249" spans="1:20" ht="13.7" customHeight="1" x14ac:dyDescent="0.25">
      <c r="A249" t="s">
        <v>26</v>
      </c>
      <c r="B249" t="s">
        <v>27</v>
      </c>
      <c r="C249" t="s">
        <v>37</v>
      </c>
      <c r="D249">
        <v>62</v>
      </c>
      <c r="E249" s="5">
        <v>43676</v>
      </c>
      <c r="F249">
        <v>11050501</v>
      </c>
      <c r="G249" t="s">
        <v>195</v>
      </c>
      <c r="J249">
        <v>1012</v>
      </c>
      <c r="K249">
        <v>1110</v>
      </c>
      <c r="L249" s="3">
        <v>-26037802.949999999</v>
      </c>
      <c r="M249" s="3">
        <v>0</v>
      </c>
      <c r="N249">
        <v>20000</v>
      </c>
      <c r="O249">
        <v>0</v>
      </c>
      <c r="P249">
        <v>-26057802.949999999</v>
      </c>
      <c r="Q249" t="s">
        <v>30</v>
      </c>
      <c r="R249" t="s">
        <v>72</v>
      </c>
      <c r="S249" t="str">
        <v/>
      </c>
      <c r="T249" t="str">
        <v>#N/A</v>
      </c>
    </row>
    <row r="250" spans="1:20" ht="13.7" customHeight="1" x14ac:dyDescent="0.25">
      <c r="A250" t="s">
        <v>26</v>
      </c>
      <c r="B250" t="s">
        <v>27</v>
      </c>
      <c r="C250" t="s">
        <v>37</v>
      </c>
      <c r="D250">
        <v>63</v>
      </c>
      <c r="E250" s="5">
        <v>43676</v>
      </c>
      <c r="F250">
        <v>11050501</v>
      </c>
      <c r="G250" t="s">
        <v>195</v>
      </c>
      <c r="J250">
        <v>1012</v>
      </c>
      <c r="K250">
        <v>1110</v>
      </c>
      <c r="L250" s="3">
        <v>-26057802.949999999</v>
      </c>
      <c r="M250" s="3">
        <v>0</v>
      </c>
      <c r="N250">
        <v>12500</v>
      </c>
      <c r="O250">
        <v>0</v>
      </c>
      <c r="P250">
        <v>-26070302.949999999</v>
      </c>
      <c r="Q250" t="s">
        <v>30</v>
      </c>
      <c r="R250" t="s">
        <v>47</v>
      </c>
      <c r="S250" t="str">
        <v/>
      </c>
      <c r="T250" t="str">
        <v>#N/A</v>
      </c>
    </row>
    <row r="251" spans="1:20" ht="13.7" customHeight="1" x14ac:dyDescent="0.25">
      <c r="A251" t="s">
        <v>26</v>
      </c>
      <c r="B251" t="s">
        <v>27</v>
      </c>
      <c r="C251" t="s">
        <v>37</v>
      </c>
      <c r="D251">
        <v>65</v>
      </c>
      <c r="E251" s="5">
        <v>43676</v>
      </c>
      <c r="F251">
        <v>11050501</v>
      </c>
      <c r="G251" t="s">
        <v>195</v>
      </c>
      <c r="J251">
        <v>1012</v>
      </c>
      <c r="K251">
        <v>1110</v>
      </c>
      <c r="L251" s="3">
        <v>-26070302.949999999</v>
      </c>
      <c r="M251" s="3">
        <v>0</v>
      </c>
      <c r="N251">
        <v>10886</v>
      </c>
      <c r="O251">
        <v>0</v>
      </c>
      <c r="P251">
        <v>-26081188.949999999</v>
      </c>
      <c r="Q251" t="s">
        <v>30</v>
      </c>
      <c r="R251" t="s">
        <v>158</v>
      </c>
      <c r="S251" t="str">
        <v/>
      </c>
      <c r="T251" t="str">
        <v>#N/A</v>
      </c>
    </row>
    <row r="252" spans="1:20" ht="13.7" customHeight="1" x14ac:dyDescent="0.25">
      <c r="A252" t="s">
        <v>26</v>
      </c>
      <c r="B252" t="s">
        <v>27</v>
      </c>
      <c r="C252" t="s">
        <v>37</v>
      </c>
      <c r="D252">
        <v>64</v>
      </c>
      <c r="E252" s="5">
        <v>43677</v>
      </c>
      <c r="F252">
        <v>11050501</v>
      </c>
      <c r="G252" t="s">
        <v>195</v>
      </c>
      <c r="J252">
        <v>1012</v>
      </c>
      <c r="K252">
        <v>1110</v>
      </c>
      <c r="L252" s="3">
        <v>-26081188.949999999</v>
      </c>
      <c r="M252" s="3">
        <v>0</v>
      </c>
      <c r="N252">
        <v>126000</v>
      </c>
      <c r="O252">
        <v>0</v>
      </c>
      <c r="P252">
        <v>-26207188.949999999</v>
      </c>
      <c r="Q252" t="s">
        <v>30</v>
      </c>
      <c r="R252" t="s">
        <v>70</v>
      </c>
      <c r="S252" t="str">
        <v/>
      </c>
      <c r="T252" t="str">
        <v>#N/A</v>
      </c>
    </row>
    <row r="253" spans="1:20" ht="13.7" customHeight="1" x14ac:dyDescent="0.25">
      <c r="A253" t="s">
        <v>26</v>
      </c>
      <c r="B253" t="s">
        <v>27</v>
      </c>
      <c r="C253" t="s">
        <v>38</v>
      </c>
      <c r="D253">
        <v>3</v>
      </c>
      <c r="E253" s="5">
        <v>43679</v>
      </c>
      <c r="F253">
        <v>11050501</v>
      </c>
      <c r="G253" t="s">
        <v>195</v>
      </c>
      <c r="J253">
        <v>1012</v>
      </c>
      <c r="K253">
        <v>1110</v>
      </c>
      <c r="L253" s="3">
        <v>-26207188.949999999</v>
      </c>
      <c r="M253" s="3">
        <v>0</v>
      </c>
      <c r="N253">
        <v>5000</v>
      </c>
      <c r="O253">
        <v>0</v>
      </c>
      <c r="P253">
        <v>-26212188.949999999</v>
      </c>
      <c r="Q253" t="s">
        <v>30</v>
      </c>
      <c r="R253" t="s">
        <v>59</v>
      </c>
      <c r="S253" t="str">
        <v/>
      </c>
      <c r="T253" t="str">
        <v>#N/A</v>
      </c>
    </row>
    <row r="254" spans="1:20" ht="13.7" customHeight="1" x14ac:dyDescent="0.25">
      <c r="A254" t="s">
        <v>26</v>
      </c>
      <c r="B254" t="s">
        <v>27</v>
      </c>
      <c r="C254" t="s">
        <v>38</v>
      </c>
      <c r="D254">
        <v>4</v>
      </c>
      <c r="E254" s="5">
        <v>43679</v>
      </c>
      <c r="F254">
        <v>11050501</v>
      </c>
      <c r="G254" t="s">
        <v>195</v>
      </c>
      <c r="J254">
        <v>1012</v>
      </c>
      <c r="K254">
        <v>1110</v>
      </c>
      <c r="L254" s="3">
        <v>-26212188.949999999</v>
      </c>
      <c r="M254" s="3">
        <v>0</v>
      </c>
      <c r="N254">
        <v>1500</v>
      </c>
      <c r="O254">
        <v>0</v>
      </c>
      <c r="P254">
        <v>-26213688.949999999</v>
      </c>
      <c r="Q254" t="s">
        <v>30</v>
      </c>
      <c r="R254" t="s">
        <v>59</v>
      </c>
      <c r="S254" t="str">
        <v/>
      </c>
      <c r="T254" t="str">
        <v>#N/A</v>
      </c>
    </row>
    <row r="255" spans="1:20" ht="13.7" customHeight="1" x14ac:dyDescent="0.25">
      <c r="A255" t="s">
        <v>26</v>
      </c>
      <c r="B255" t="s">
        <v>27</v>
      </c>
      <c r="C255" t="s">
        <v>38</v>
      </c>
      <c r="D255">
        <v>6</v>
      </c>
      <c r="E255" s="5">
        <v>43680</v>
      </c>
      <c r="F255">
        <v>11050501</v>
      </c>
      <c r="G255" t="s">
        <v>195</v>
      </c>
      <c r="J255">
        <v>1012</v>
      </c>
      <c r="K255">
        <v>1110</v>
      </c>
      <c r="L255" s="3">
        <v>-26213688.949999999</v>
      </c>
      <c r="M255" s="3">
        <v>0</v>
      </c>
      <c r="N255">
        <v>14500</v>
      </c>
      <c r="O255">
        <v>0</v>
      </c>
      <c r="P255">
        <v>-26228188.949999999</v>
      </c>
      <c r="Q255" t="s">
        <v>30</v>
      </c>
      <c r="R255" t="s">
        <v>73</v>
      </c>
      <c r="S255" t="str">
        <v/>
      </c>
      <c r="T255" t="str">
        <v>#N/A</v>
      </c>
    </row>
    <row r="256" spans="1:20" ht="13.7" customHeight="1" x14ac:dyDescent="0.25">
      <c r="A256" t="s">
        <v>26</v>
      </c>
      <c r="B256" t="s">
        <v>27</v>
      </c>
      <c r="C256" t="s">
        <v>38</v>
      </c>
      <c r="D256">
        <v>7</v>
      </c>
      <c r="E256" s="5">
        <v>43680</v>
      </c>
      <c r="F256">
        <v>11050501</v>
      </c>
      <c r="G256" t="s">
        <v>195</v>
      </c>
      <c r="J256">
        <v>1012</v>
      </c>
      <c r="K256">
        <v>1110</v>
      </c>
      <c r="L256" s="3">
        <v>-26228188.949999999</v>
      </c>
      <c r="M256" s="3">
        <v>0</v>
      </c>
      <c r="N256">
        <v>10000</v>
      </c>
      <c r="O256">
        <v>0</v>
      </c>
      <c r="P256">
        <v>-26238188.949999999</v>
      </c>
      <c r="Q256" t="s">
        <v>30</v>
      </c>
      <c r="R256" t="s">
        <v>70</v>
      </c>
      <c r="S256" t="str">
        <v/>
      </c>
      <c r="T256" t="str">
        <v>#N/A</v>
      </c>
    </row>
    <row r="257" spans="1:20" ht="13.7" customHeight="1" x14ac:dyDescent="0.25">
      <c r="A257" t="s">
        <v>26</v>
      </c>
      <c r="B257" t="s">
        <v>27</v>
      </c>
      <c r="C257" t="s">
        <v>38</v>
      </c>
      <c r="D257">
        <v>8</v>
      </c>
      <c r="E257" s="5">
        <v>43683</v>
      </c>
      <c r="F257">
        <v>11050501</v>
      </c>
      <c r="G257" t="s">
        <v>195</v>
      </c>
      <c r="J257">
        <v>1012</v>
      </c>
      <c r="K257">
        <v>1110</v>
      </c>
      <c r="L257" s="3">
        <v>-26238188.949999999</v>
      </c>
      <c r="M257" s="3">
        <v>0</v>
      </c>
      <c r="N257">
        <v>12500</v>
      </c>
      <c r="O257">
        <v>0</v>
      </c>
      <c r="P257">
        <v>-26250688.949999999</v>
      </c>
      <c r="Q257" t="s">
        <v>30</v>
      </c>
      <c r="R257" t="s">
        <v>70</v>
      </c>
      <c r="S257" t="str">
        <v/>
      </c>
      <c r="T257" t="str">
        <v>#N/A</v>
      </c>
    </row>
    <row r="258" spans="1:20" ht="13.7" customHeight="1" x14ac:dyDescent="0.25">
      <c r="A258" t="s">
        <v>26</v>
      </c>
      <c r="B258" t="s">
        <v>27</v>
      </c>
      <c r="C258" t="s">
        <v>38</v>
      </c>
      <c r="D258">
        <v>9</v>
      </c>
      <c r="E258" s="5">
        <v>43683</v>
      </c>
      <c r="F258">
        <v>11050501</v>
      </c>
      <c r="G258" t="s">
        <v>195</v>
      </c>
      <c r="J258">
        <v>1012</v>
      </c>
      <c r="K258">
        <v>1110</v>
      </c>
      <c r="L258" s="3">
        <v>-26250688.949999999</v>
      </c>
      <c r="M258" s="3">
        <v>0</v>
      </c>
      <c r="N258">
        <v>205000</v>
      </c>
      <c r="O258">
        <v>0</v>
      </c>
      <c r="P258">
        <v>-26455688.949999999</v>
      </c>
      <c r="Q258" t="s">
        <v>30</v>
      </c>
      <c r="R258" t="s">
        <v>159</v>
      </c>
      <c r="S258" t="str">
        <v/>
      </c>
      <c r="T258" t="str">
        <v>#N/A</v>
      </c>
    </row>
    <row r="259" spans="1:20" ht="13.7" customHeight="1" x14ac:dyDescent="0.25">
      <c r="A259" t="s">
        <v>26</v>
      </c>
      <c r="B259" t="s">
        <v>27</v>
      </c>
      <c r="C259" t="s">
        <v>38</v>
      </c>
      <c r="D259">
        <v>11</v>
      </c>
      <c r="E259" s="5">
        <v>43684</v>
      </c>
      <c r="F259">
        <v>11050501</v>
      </c>
      <c r="G259" t="s">
        <v>195</v>
      </c>
      <c r="J259">
        <v>1012</v>
      </c>
      <c r="K259">
        <v>1110</v>
      </c>
      <c r="L259" s="3">
        <v>-26455688.949999999</v>
      </c>
      <c r="M259" s="3">
        <v>0</v>
      </c>
      <c r="N259">
        <v>9500</v>
      </c>
      <c r="O259">
        <v>0</v>
      </c>
      <c r="P259">
        <v>-26465188.949999999</v>
      </c>
      <c r="Q259" t="s">
        <v>30</v>
      </c>
      <c r="R259" t="s">
        <v>43</v>
      </c>
      <c r="S259" t="str">
        <v/>
      </c>
      <c r="T259" t="str">
        <v>#N/A</v>
      </c>
    </row>
    <row r="260" spans="1:20" ht="13.7" customHeight="1" x14ac:dyDescent="0.25">
      <c r="A260" t="s">
        <v>26</v>
      </c>
      <c r="B260" t="s">
        <v>27</v>
      </c>
      <c r="C260" t="s">
        <v>38</v>
      </c>
      <c r="D260">
        <v>15</v>
      </c>
      <c r="E260" s="5">
        <v>43686</v>
      </c>
      <c r="F260">
        <v>11050501</v>
      </c>
      <c r="G260" t="s">
        <v>195</v>
      </c>
      <c r="J260">
        <v>1012</v>
      </c>
      <c r="K260">
        <v>1110</v>
      </c>
      <c r="L260" s="3">
        <v>-26465188.949999999</v>
      </c>
      <c r="M260" s="3">
        <v>0</v>
      </c>
      <c r="N260">
        <v>19000</v>
      </c>
      <c r="O260">
        <v>0</v>
      </c>
      <c r="P260">
        <v>-26484188.949999999</v>
      </c>
      <c r="Q260" t="s">
        <v>30</v>
      </c>
      <c r="R260" t="s">
        <v>45</v>
      </c>
      <c r="S260" t="str">
        <v/>
      </c>
      <c r="T260" t="str">
        <v>#N/A</v>
      </c>
    </row>
    <row r="261" spans="1:20" ht="13.7" customHeight="1" x14ac:dyDescent="0.25">
      <c r="A261" t="s">
        <v>26</v>
      </c>
      <c r="B261" t="s">
        <v>27</v>
      </c>
      <c r="C261" t="s">
        <v>38</v>
      </c>
      <c r="D261">
        <v>16</v>
      </c>
      <c r="E261" s="5">
        <v>43687</v>
      </c>
      <c r="F261">
        <v>11050501</v>
      </c>
      <c r="G261" t="s">
        <v>195</v>
      </c>
      <c r="J261">
        <v>1012</v>
      </c>
      <c r="K261">
        <v>1110</v>
      </c>
      <c r="L261" s="3">
        <v>-26484188.949999999</v>
      </c>
      <c r="M261" s="3">
        <v>0</v>
      </c>
      <c r="N261">
        <v>20000</v>
      </c>
      <c r="O261">
        <v>0</v>
      </c>
      <c r="P261">
        <v>-26504188.949999999</v>
      </c>
      <c r="Q261" t="s">
        <v>30</v>
      </c>
      <c r="R261" t="s">
        <v>70</v>
      </c>
      <c r="S261" t="str">
        <v/>
      </c>
      <c r="T261" t="str">
        <v>#N/A</v>
      </c>
    </row>
    <row r="262" spans="1:20" ht="13.7" customHeight="1" x14ac:dyDescent="0.25">
      <c r="A262" t="s">
        <v>26</v>
      </c>
      <c r="B262" t="s">
        <v>27</v>
      </c>
      <c r="C262" t="s">
        <v>38</v>
      </c>
      <c r="D262">
        <v>18</v>
      </c>
      <c r="E262" s="5">
        <v>43689</v>
      </c>
      <c r="F262">
        <v>11050501</v>
      </c>
      <c r="G262" t="s">
        <v>195</v>
      </c>
      <c r="J262">
        <v>1012</v>
      </c>
      <c r="K262">
        <v>1110</v>
      </c>
      <c r="L262" s="3">
        <v>-26504188.949999999</v>
      </c>
      <c r="M262" s="3">
        <v>0</v>
      </c>
      <c r="N262">
        <v>9500</v>
      </c>
      <c r="O262">
        <v>0</v>
      </c>
      <c r="P262">
        <v>-26513688.949999999</v>
      </c>
      <c r="Q262" t="s">
        <v>30</v>
      </c>
      <c r="R262" t="s">
        <v>43</v>
      </c>
      <c r="S262" t="str">
        <v/>
      </c>
      <c r="T262" t="str">
        <v>#N/A</v>
      </c>
    </row>
    <row r="263" spans="1:20" ht="13.7" customHeight="1" x14ac:dyDescent="0.25">
      <c r="A263" t="s">
        <v>26</v>
      </c>
      <c r="B263" t="s">
        <v>27</v>
      </c>
      <c r="C263" t="s">
        <v>38</v>
      </c>
      <c r="D263">
        <v>20</v>
      </c>
      <c r="E263" s="5">
        <v>43690</v>
      </c>
      <c r="F263">
        <v>11050501</v>
      </c>
      <c r="G263" t="s">
        <v>195</v>
      </c>
      <c r="J263">
        <v>1012</v>
      </c>
      <c r="K263">
        <v>1110</v>
      </c>
      <c r="L263" s="3">
        <v>-26513688.949999999</v>
      </c>
      <c r="M263" s="3">
        <v>0</v>
      </c>
      <c r="N263">
        <v>102999</v>
      </c>
      <c r="O263">
        <v>0</v>
      </c>
      <c r="P263">
        <v>-26616687.949999999</v>
      </c>
      <c r="Q263" t="s">
        <v>30</v>
      </c>
      <c r="R263" t="s">
        <v>122</v>
      </c>
      <c r="S263" t="str">
        <v/>
      </c>
      <c r="T263" t="str">
        <v>#N/A</v>
      </c>
    </row>
    <row r="264" spans="1:20" ht="13.7" customHeight="1" x14ac:dyDescent="0.25">
      <c r="A264" t="s">
        <v>26</v>
      </c>
      <c r="B264" t="s">
        <v>27</v>
      </c>
      <c r="C264" t="s">
        <v>38</v>
      </c>
      <c r="D264">
        <v>24</v>
      </c>
      <c r="E264" s="5">
        <v>43692</v>
      </c>
      <c r="F264">
        <v>11050501</v>
      </c>
      <c r="G264" t="s">
        <v>195</v>
      </c>
      <c r="J264">
        <v>1012</v>
      </c>
      <c r="K264">
        <v>1110</v>
      </c>
      <c r="L264" s="3">
        <v>-26616687.949999999</v>
      </c>
      <c r="M264" s="3">
        <v>0</v>
      </c>
      <c r="N264">
        <v>25000</v>
      </c>
      <c r="O264">
        <v>0</v>
      </c>
      <c r="P264">
        <v>-26641687.949999999</v>
      </c>
      <c r="Q264" t="s">
        <v>30</v>
      </c>
      <c r="R264" t="s">
        <v>47</v>
      </c>
      <c r="S264" t="str">
        <v/>
      </c>
      <c r="T264" t="str">
        <v>#N/A</v>
      </c>
    </row>
    <row r="265" spans="1:20" ht="13.7" customHeight="1" x14ac:dyDescent="0.25">
      <c r="A265" t="s">
        <v>26</v>
      </c>
      <c r="B265" t="s">
        <v>27</v>
      </c>
      <c r="C265" t="s">
        <v>38</v>
      </c>
      <c r="D265">
        <v>29</v>
      </c>
      <c r="E265" s="5">
        <v>43693</v>
      </c>
      <c r="F265">
        <v>11050501</v>
      </c>
      <c r="G265" t="s">
        <v>195</v>
      </c>
      <c r="J265">
        <v>1012</v>
      </c>
      <c r="K265">
        <v>1110</v>
      </c>
      <c r="L265" s="3">
        <v>-26641687.949999999</v>
      </c>
      <c r="M265" s="3">
        <v>0</v>
      </c>
      <c r="N265">
        <v>4500</v>
      </c>
      <c r="O265">
        <v>0</v>
      </c>
      <c r="P265">
        <v>-26646187.949999999</v>
      </c>
      <c r="Q265" t="s">
        <v>30</v>
      </c>
      <c r="R265" t="s">
        <v>59</v>
      </c>
      <c r="S265" t="str">
        <v/>
      </c>
      <c r="T265" t="str">
        <v>#N/A</v>
      </c>
    </row>
    <row r="266" spans="1:20" ht="13.7" customHeight="1" x14ac:dyDescent="0.25">
      <c r="A266" t="s">
        <v>26</v>
      </c>
      <c r="B266" t="s">
        <v>27</v>
      </c>
      <c r="C266" t="s">
        <v>38</v>
      </c>
      <c r="D266">
        <v>33</v>
      </c>
      <c r="E266" s="5">
        <v>43697</v>
      </c>
      <c r="F266">
        <v>11050501</v>
      </c>
      <c r="G266" t="s">
        <v>195</v>
      </c>
      <c r="J266">
        <v>1012</v>
      </c>
      <c r="K266">
        <v>1110</v>
      </c>
      <c r="L266" s="3">
        <v>-26646187.949999999</v>
      </c>
      <c r="M266" s="3">
        <v>0</v>
      </c>
      <c r="N266">
        <v>12250</v>
      </c>
      <c r="O266">
        <v>0</v>
      </c>
      <c r="P266">
        <v>-26658437.949999999</v>
      </c>
      <c r="Q266" t="s">
        <v>30</v>
      </c>
      <c r="R266" t="s">
        <v>43</v>
      </c>
      <c r="S266" t="str">
        <v/>
      </c>
      <c r="T266" t="str">
        <v>#N/A</v>
      </c>
    </row>
    <row r="267" spans="1:20" ht="13.7" customHeight="1" x14ac:dyDescent="0.25">
      <c r="A267" t="s">
        <v>26</v>
      </c>
      <c r="B267" t="s">
        <v>27</v>
      </c>
      <c r="C267" t="s">
        <v>38</v>
      </c>
      <c r="D267">
        <v>35</v>
      </c>
      <c r="E267" s="5">
        <v>43699</v>
      </c>
      <c r="F267">
        <v>11050501</v>
      </c>
      <c r="G267" t="s">
        <v>195</v>
      </c>
      <c r="J267">
        <v>1012</v>
      </c>
      <c r="K267">
        <v>1110</v>
      </c>
      <c r="L267" s="3">
        <v>-26658437.949999999</v>
      </c>
      <c r="M267" s="3">
        <v>0</v>
      </c>
      <c r="N267">
        <v>9500</v>
      </c>
      <c r="O267">
        <v>0</v>
      </c>
      <c r="P267">
        <v>-26667937.949999999</v>
      </c>
      <c r="Q267" t="s">
        <v>30</v>
      </c>
      <c r="R267" t="s">
        <v>43</v>
      </c>
      <c r="S267" t="str">
        <v/>
      </c>
      <c r="T267" t="str">
        <v>#N/A</v>
      </c>
    </row>
    <row r="268" spans="1:20" ht="13.7" customHeight="1" x14ac:dyDescent="0.25">
      <c r="A268" t="s">
        <v>26</v>
      </c>
      <c r="B268" t="s">
        <v>27</v>
      </c>
      <c r="C268" t="s">
        <v>38</v>
      </c>
      <c r="D268">
        <v>37</v>
      </c>
      <c r="E268" s="5">
        <v>43701</v>
      </c>
      <c r="F268">
        <v>11050501</v>
      </c>
      <c r="G268" t="s">
        <v>195</v>
      </c>
      <c r="J268">
        <v>1012</v>
      </c>
      <c r="K268">
        <v>1110</v>
      </c>
      <c r="L268" s="3">
        <v>-26667937.949999999</v>
      </c>
      <c r="M268" s="3">
        <v>0</v>
      </c>
      <c r="N268">
        <v>30000</v>
      </c>
      <c r="O268">
        <v>0</v>
      </c>
      <c r="P268">
        <v>-26697937.949999999</v>
      </c>
      <c r="Q268" t="s">
        <v>30</v>
      </c>
      <c r="R268" t="s">
        <v>160</v>
      </c>
      <c r="S268" t="str">
        <v/>
      </c>
      <c r="T268" t="str">
        <v>#N/A</v>
      </c>
    </row>
    <row r="269" spans="1:20" ht="13.7" customHeight="1" x14ac:dyDescent="0.25">
      <c r="A269" t="s">
        <v>26</v>
      </c>
      <c r="B269" t="s">
        <v>27</v>
      </c>
      <c r="C269" t="s">
        <v>38</v>
      </c>
      <c r="D269">
        <v>38</v>
      </c>
      <c r="E269" s="5">
        <v>43701</v>
      </c>
      <c r="F269">
        <v>11050501</v>
      </c>
      <c r="G269" t="s">
        <v>195</v>
      </c>
      <c r="J269">
        <v>1012</v>
      </c>
      <c r="K269">
        <v>1110</v>
      </c>
      <c r="L269" s="3">
        <v>-26697937.949999999</v>
      </c>
      <c r="M269" s="3">
        <v>0</v>
      </c>
      <c r="N269">
        <v>20000</v>
      </c>
      <c r="O269">
        <v>0</v>
      </c>
      <c r="P269">
        <v>-26717937.949999999</v>
      </c>
      <c r="Q269" t="s">
        <v>30</v>
      </c>
      <c r="R269" t="s">
        <v>160</v>
      </c>
      <c r="S269" t="str">
        <v/>
      </c>
      <c r="T269" t="str">
        <v>#N/A</v>
      </c>
    </row>
    <row r="270" spans="1:20" ht="13.7" customHeight="1" x14ac:dyDescent="0.25">
      <c r="A270" t="s">
        <v>26</v>
      </c>
      <c r="B270" t="s">
        <v>27</v>
      </c>
      <c r="C270" t="s">
        <v>38</v>
      </c>
      <c r="D270">
        <v>39</v>
      </c>
      <c r="E270" s="5">
        <v>43701</v>
      </c>
      <c r="F270">
        <v>11050501</v>
      </c>
      <c r="G270" t="s">
        <v>195</v>
      </c>
      <c r="J270">
        <v>1012</v>
      </c>
      <c r="K270">
        <v>1110</v>
      </c>
      <c r="L270" s="3">
        <v>-26717937.949999999</v>
      </c>
      <c r="M270" s="3">
        <v>0</v>
      </c>
      <c r="N270">
        <v>55000</v>
      </c>
      <c r="O270">
        <v>0</v>
      </c>
      <c r="P270">
        <v>-26772937.949999999</v>
      </c>
      <c r="Q270" t="s">
        <v>30</v>
      </c>
      <c r="R270" t="s">
        <v>122</v>
      </c>
      <c r="S270" t="str">
        <v/>
      </c>
      <c r="T270" t="str">
        <v>#N/A</v>
      </c>
    </row>
    <row r="271" spans="1:20" ht="13.7" customHeight="1" x14ac:dyDescent="0.25">
      <c r="A271" t="s">
        <v>26</v>
      </c>
      <c r="B271" t="s">
        <v>27</v>
      </c>
      <c r="C271" t="s">
        <v>38</v>
      </c>
      <c r="D271">
        <v>40</v>
      </c>
      <c r="E271" s="5">
        <v>43701</v>
      </c>
      <c r="F271">
        <v>11050501</v>
      </c>
      <c r="G271" t="s">
        <v>195</v>
      </c>
      <c r="J271">
        <v>1012</v>
      </c>
      <c r="K271">
        <v>1110</v>
      </c>
      <c r="L271" s="3">
        <v>-26772937.949999999</v>
      </c>
      <c r="M271" s="3">
        <v>0</v>
      </c>
      <c r="N271">
        <v>270017</v>
      </c>
      <c r="O271">
        <v>0</v>
      </c>
      <c r="P271">
        <v>-27042954.949999999</v>
      </c>
      <c r="Q271" t="s">
        <v>30</v>
      </c>
      <c r="R271" t="s">
        <v>161</v>
      </c>
      <c r="S271" t="str">
        <v/>
      </c>
      <c r="T271" t="str">
        <v>#N/A</v>
      </c>
    </row>
    <row r="272" spans="1:20" ht="13.7" customHeight="1" x14ac:dyDescent="0.25">
      <c r="A272" t="s">
        <v>26</v>
      </c>
      <c r="B272" t="s">
        <v>27</v>
      </c>
      <c r="C272" t="s">
        <v>38</v>
      </c>
      <c r="D272">
        <v>46</v>
      </c>
      <c r="E272" s="5">
        <v>43704</v>
      </c>
      <c r="F272">
        <v>11050501</v>
      </c>
      <c r="G272" t="s">
        <v>195</v>
      </c>
      <c r="J272">
        <v>1012</v>
      </c>
      <c r="K272">
        <v>1110</v>
      </c>
      <c r="L272" s="3">
        <v>-27042954.949999999</v>
      </c>
      <c r="M272" s="3">
        <v>0</v>
      </c>
      <c r="N272">
        <v>12500</v>
      </c>
      <c r="O272">
        <v>0</v>
      </c>
      <c r="P272">
        <v>-27055454.949999999</v>
      </c>
      <c r="Q272" t="s">
        <v>30</v>
      </c>
      <c r="R272" t="s">
        <v>47</v>
      </c>
      <c r="S272" t="str">
        <v/>
      </c>
      <c r="T272" t="str">
        <v>#N/A</v>
      </c>
    </row>
    <row r="273" spans="1:20" ht="13.7" customHeight="1" x14ac:dyDescent="0.25">
      <c r="A273" t="s">
        <v>26</v>
      </c>
      <c r="B273" t="s">
        <v>27</v>
      </c>
      <c r="C273" t="s">
        <v>38</v>
      </c>
      <c r="D273">
        <v>51</v>
      </c>
      <c r="E273" s="5">
        <v>43704</v>
      </c>
      <c r="F273">
        <v>11050501</v>
      </c>
      <c r="G273" t="s">
        <v>195</v>
      </c>
      <c r="J273">
        <v>1012</v>
      </c>
      <c r="K273">
        <v>1110</v>
      </c>
      <c r="L273" s="3">
        <v>-27055454.949999999</v>
      </c>
      <c r="M273" s="3">
        <v>0</v>
      </c>
      <c r="N273">
        <v>50000</v>
      </c>
      <c r="O273">
        <v>0</v>
      </c>
      <c r="P273">
        <v>-27105454.949999999</v>
      </c>
      <c r="Q273" t="s">
        <v>30</v>
      </c>
      <c r="R273" t="s">
        <v>157</v>
      </c>
      <c r="S273" t="str">
        <v/>
      </c>
      <c r="T273" t="str">
        <v>#N/A</v>
      </c>
    </row>
    <row r="274" spans="1:20" ht="13.7" customHeight="1" x14ac:dyDescent="0.25">
      <c r="A274" t="s">
        <v>26</v>
      </c>
      <c r="B274" t="s">
        <v>27</v>
      </c>
      <c r="C274" t="s">
        <v>38</v>
      </c>
      <c r="D274">
        <v>53</v>
      </c>
      <c r="E274" s="5">
        <v>43708</v>
      </c>
      <c r="F274">
        <v>11050501</v>
      </c>
      <c r="G274" t="s">
        <v>195</v>
      </c>
      <c r="J274">
        <v>1012</v>
      </c>
      <c r="K274">
        <v>1110</v>
      </c>
      <c r="L274" s="3">
        <v>-27105454.949999999</v>
      </c>
      <c r="M274" s="3">
        <v>0</v>
      </c>
      <c r="N274">
        <v>99000</v>
      </c>
      <c r="O274">
        <v>0</v>
      </c>
      <c r="P274">
        <v>-27204454.949999999</v>
      </c>
      <c r="Q274" t="s">
        <v>30</v>
      </c>
      <c r="R274" t="s">
        <v>70</v>
      </c>
      <c r="S274" t="str">
        <v/>
      </c>
      <c r="T274" t="str">
        <v>#N/A</v>
      </c>
    </row>
    <row r="275" spans="1:20" ht="13.7" customHeight="1" x14ac:dyDescent="0.25">
      <c r="A275" t="s">
        <v>26</v>
      </c>
      <c r="B275" t="s">
        <v>27</v>
      </c>
      <c r="C275" t="s">
        <v>38</v>
      </c>
      <c r="D275">
        <v>54</v>
      </c>
      <c r="E275" s="5">
        <v>43708</v>
      </c>
      <c r="F275">
        <v>11050501</v>
      </c>
      <c r="G275" t="s">
        <v>195</v>
      </c>
      <c r="J275">
        <v>1012</v>
      </c>
      <c r="K275">
        <v>1110</v>
      </c>
      <c r="L275" s="3">
        <v>-27204454.949999999</v>
      </c>
      <c r="M275" s="3">
        <v>0</v>
      </c>
      <c r="N275">
        <v>19000</v>
      </c>
      <c r="O275">
        <v>0</v>
      </c>
      <c r="P275">
        <v>-27223454.949999999</v>
      </c>
      <c r="Q275" t="s">
        <v>30</v>
      </c>
      <c r="R275" t="s">
        <v>45</v>
      </c>
      <c r="S275" t="str">
        <v/>
      </c>
      <c r="T275" t="str">
        <v>#N/A</v>
      </c>
    </row>
    <row r="276" spans="1:20" ht="13.7" customHeight="1" x14ac:dyDescent="0.25">
      <c r="A276" t="s">
        <v>26</v>
      </c>
      <c r="B276" t="s">
        <v>27</v>
      </c>
      <c r="C276" t="s">
        <v>38</v>
      </c>
      <c r="D276">
        <v>55</v>
      </c>
      <c r="E276" s="5">
        <v>43708</v>
      </c>
      <c r="F276">
        <v>11050501</v>
      </c>
      <c r="G276" t="s">
        <v>195</v>
      </c>
      <c r="J276">
        <v>1012</v>
      </c>
      <c r="K276">
        <v>1110</v>
      </c>
      <c r="L276" s="3">
        <v>-27223454.949999999</v>
      </c>
      <c r="M276" s="3">
        <v>0</v>
      </c>
      <c r="N276">
        <v>24020</v>
      </c>
      <c r="O276">
        <v>0</v>
      </c>
      <c r="P276">
        <v>-27247474.949999999</v>
      </c>
      <c r="Q276" t="s">
        <v>30</v>
      </c>
      <c r="R276" t="s">
        <v>76</v>
      </c>
      <c r="S276" t="str">
        <v/>
      </c>
      <c r="T276" t="str">
        <v>#N/A</v>
      </c>
    </row>
    <row r="277" spans="1:20" ht="13.7" customHeight="1" x14ac:dyDescent="0.25">
      <c r="A277" t="s">
        <v>26</v>
      </c>
      <c r="B277" t="s">
        <v>27</v>
      </c>
      <c r="C277" t="s">
        <v>39</v>
      </c>
      <c r="D277">
        <v>7</v>
      </c>
      <c r="E277" s="5">
        <v>43710</v>
      </c>
      <c r="F277">
        <v>11050501</v>
      </c>
      <c r="G277" t="s">
        <v>195</v>
      </c>
      <c r="J277">
        <v>1012</v>
      </c>
      <c r="K277">
        <v>1110</v>
      </c>
      <c r="L277" s="3">
        <v>-27247474.949999999</v>
      </c>
      <c r="M277" s="3">
        <v>0</v>
      </c>
      <c r="N277">
        <v>30003</v>
      </c>
      <c r="O277">
        <v>0</v>
      </c>
      <c r="P277">
        <v>-27277477.949999999</v>
      </c>
      <c r="Q277" t="s">
        <v>30</v>
      </c>
      <c r="R277" t="s">
        <v>122</v>
      </c>
      <c r="S277" t="str">
        <v/>
      </c>
      <c r="T277" t="str">
        <v>#N/A</v>
      </c>
    </row>
    <row r="278" spans="1:20" ht="13.7" customHeight="1" x14ac:dyDescent="0.25">
      <c r="A278" t="s">
        <v>26</v>
      </c>
      <c r="B278" t="s">
        <v>27</v>
      </c>
      <c r="C278" t="s">
        <v>39</v>
      </c>
      <c r="D278">
        <v>37</v>
      </c>
      <c r="E278" s="5">
        <v>43725</v>
      </c>
      <c r="F278">
        <v>11050501</v>
      </c>
      <c r="G278" t="s">
        <v>195</v>
      </c>
      <c r="J278">
        <v>1012</v>
      </c>
      <c r="K278">
        <v>1110</v>
      </c>
      <c r="L278" s="3">
        <v>-27277477.949999999</v>
      </c>
      <c r="M278" s="3">
        <v>0</v>
      </c>
      <c r="N278">
        <v>12500</v>
      </c>
      <c r="O278">
        <v>0</v>
      </c>
      <c r="P278">
        <v>-27289977.949999999</v>
      </c>
      <c r="Q278" t="s">
        <v>30</v>
      </c>
      <c r="R278" t="s">
        <v>47</v>
      </c>
      <c r="S278" t="str">
        <v/>
      </c>
      <c r="T278" t="str">
        <v>#N/A</v>
      </c>
    </row>
    <row r="279" spans="1:20" ht="13.7" customHeight="1" x14ac:dyDescent="0.25">
      <c r="A279" t="s">
        <v>26</v>
      </c>
      <c r="B279" t="s">
        <v>27</v>
      </c>
      <c r="C279" t="s">
        <v>40</v>
      </c>
      <c r="D279">
        <v>1</v>
      </c>
      <c r="E279" s="5">
        <v>43740</v>
      </c>
      <c r="F279">
        <v>11050501</v>
      </c>
      <c r="G279" t="s">
        <v>195</v>
      </c>
      <c r="J279">
        <v>1012</v>
      </c>
      <c r="K279">
        <v>1110</v>
      </c>
      <c r="L279" s="3">
        <v>-27289977.949999999</v>
      </c>
      <c r="M279" s="3">
        <v>0</v>
      </c>
      <c r="N279">
        <v>2100</v>
      </c>
      <c r="O279">
        <v>0</v>
      </c>
      <c r="P279">
        <v>-27292077.949999999</v>
      </c>
      <c r="Q279" t="s">
        <v>30</v>
      </c>
      <c r="R279" t="s">
        <v>59</v>
      </c>
      <c r="S279" t="str">
        <v/>
      </c>
      <c r="T279" t="str">
        <v>#N/A</v>
      </c>
    </row>
    <row r="280" spans="1:20" ht="13.7" customHeight="1" x14ac:dyDescent="0.25">
      <c r="A280" t="s">
        <v>26</v>
      </c>
      <c r="B280" t="s">
        <v>27</v>
      </c>
      <c r="C280" t="s">
        <v>40</v>
      </c>
      <c r="D280">
        <v>2</v>
      </c>
      <c r="E280" s="5">
        <v>43742</v>
      </c>
      <c r="F280">
        <v>11050501</v>
      </c>
      <c r="G280" t="s">
        <v>195</v>
      </c>
      <c r="J280">
        <v>1012</v>
      </c>
      <c r="K280">
        <v>1110</v>
      </c>
      <c r="L280" s="3">
        <v>-27292077.949999999</v>
      </c>
      <c r="M280" s="3">
        <v>0</v>
      </c>
      <c r="N280">
        <v>40000</v>
      </c>
      <c r="O280">
        <v>0</v>
      </c>
      <c r="P280">
        <v>-27332077.949999999</v>
      </c>
      <c r="Q280" t="s">
        <v>30</v>
      </c>
      <c r="R280" t="s">
        <v>162</v>
      </c>
      <c r="S280" t="str">
        <v/>
      </c>
      <c r="T280" t="str">
        <v>#N/A</v>
      </c>
    </row>
    <row r="281" spans="1:20" ht="13.7" customHeight="1" x14ac:dyDescent="0.25">
      <c r="A281" t="s">
        <v>26</v>
      </c>
      <c r="B281" t="s">
        <v>27</v>
      </c>
      <c r="C281" t="s">
        <v>40</v>
      </c>
      <c r="D281">
        <v>3</v>
      </c>
      <c r="E281" s="5">
        <v>43743</v>
      </c>
      <c r="F281">
        <v>11050501</v>
      </c>
      <c r="G281" t="s">
        <v>195</v>
      </c>
      <c r="J281">
        <v>1012</v>
      </c>
      <c r="K281">
        <v>1110</v>
      </c>
      <c r="L281" s="3">
        <v>-27332077.949999999</v>
      </c>
      <c r="M281" s="3">
        <v>0</v>
      </c>
      <c r="N281">
        <v>23500</v>
      </c>
      <c r="O281">
        <v>0</v>
      </c>
      <c r="P281">
        <v>-27355577.949999999</v>
      </c>
      <c r="Q281" t="s">
        <v>30</v>
      </c>
      <c r="R281" t="s">
        <v>163</v>
      </c>
      <c r="S281" t="str">
        <v/>
      </c>
      <c r="T281" t="str">
        <v>#N/A</v>
      </c>
    </row>
    <row r="282" spans="1:20" ht="13.7" customHeight="1" x14ac:dyDescent="0.25">
      <c r="A282" t="s">
        <v>26</v>
      </c>
      <c r="B282" t="s">
        <v>27</v>
      </c>
      <c r="C282" t="s">
        <v>40</v>
      </c>
      <c r="D282">
        <v>4</v>
      </c>
      <c r="E282" s="5">
        <v>43743</v>
      </c>
      <c r="F282">
        <v>11050501</v>
      </c>
      <c r="G282" t="s">
        <v>195</v>
      </c>
      <c r="J282">
        <v>1012</v>
      </c>
      <c r="K282">
        <v>1110</v>
      </c>
      <c r="L282" s="3">
        <v>-27355577.949999999</v>
      </c>
      <c r="M282" s="3">
        <v>0</v>
      </c>
      <c r="N282">
        <v>18000</v>
      </c>
      <c r="O282">
        <v>0</v>
      </c>
      <c r="P282">
        <v>-27373577.949999999</v>
      </c>
      <c r="Q282" t="s">
        <v>30</v>
      </c>
      <c r="R282" t="s">
        <v>70</v>
      </c>
      <c r="S282" t="str">
        <v/>
      </c>
      <c r="T282" t="str">
        <v>#N/A</v>
      </c>
    </row>
    <row r="283" spans="1:20" ht="13.7" customHeight="1" x14ac:dyDescent="0.25">
      <c r="A283" t="s">
        <v>26</v>
      </c>
      <c r="B283" t="s">
        <v>27</v>
      </c>
      <c r="C283" t="s">
        <v>40</v>
      </c>
      <c r="D283">
        <v>8</v>
      </c>
      <c r="E283" s="5">
        <v>43745</v>
      </c>
      <c r="F283">
        <v>11050501</v>
      </c>
      <c r="G283" t="s">
        <v>195</v>
      </c>
      <c r="J283">
        <v>1012</v>
      </c>
      <c r="K283">
        <v>1110</v>
      </c>
      <c r="L283" s="3">
        <v>-27373577.949999999</v>
      </c>
      <c r="M283" s="3">
        <v>0</v>
      </c>
      <c r="N283">
        <v>9900</v>
      </c>
      <c r="O283">
        <v>0</v>
      </c>
      <c r="P283">
        <v>-27383477.949999999</v>
      </c>
      <c r="Q283" t="s">
        <v>30</v>
      </c>
      <c r="R283" t="s">
        <v>43</v>
      </c>
      <c r="S283" t="str">
        <v/>
      </c>
      <c r="T283" t="str">
        <v>#N/A</v>
      </c>
    </row>
    <row r="284" spans="1:20" ht="13.7" customHeight="1" x14ac:dyDescent="0.25">
      <c r="A284" t="s">
        <v>26</v>
      </c>
      <c r="B284" t="s">
        <v>27</v>
      </c>
      <c r="C284" t="s">
        <v>40</v>
      </c>
      <c r="D284">
        <v>9</v>
      </c>
      <c r="E284" s="5">
        <v>43745</v>
      </c>
      <c r="F284">
        <v>11050501</v>
      </c>
      <c r="G284" t="s">
        <v>195</v>
      </c>
      <c r="J284">
        <v>1012</v>
      </c>
      <c r="K284">
        <v>1110</v>
      </c>
      <c r="L284" s="3">
        <v>-27383477.949999999</v>
      </c>
      <c r="M284" s="3">
        <v>0</v>
      </c>
      <c r="N284">
        <v>17900</v>
      </c>
      <c r="O284">
        <v>0</v>
      </c>
      <c r="P284">
        <v>-27401377.949999999</v>
      </c>
      <c r="Q284" t="s">
        <v>30</v>
      </c>
      <c r="R284" t="s">
        <v>43</v>
      </c>
      <c r="S284" t="str">
        <v/>
      </c>
      <c r="T284" t="str">
        <v>#N/A</v>
      </c>
    </row>
    <row r="285" spans="1:20" ht="13.7" customHeight="1" x14ac:dyDescent="0.25">
      <c r="A285" t="s">
        <v>26</v>
      </c>
      <c r="B285" t="s">
        <v>27</v>
      </c>
      <c r="C285" t="s">
        <v>40</v>
      </c>
      <c r="D285">
        <v>14</v>
      </c>
      <c r="E285" s="5">
        <v>43746</v>
      </c>
      <c r="F285">
        <v>11050501</v>
      </c>
      <c r="G285" t="s">
        <v>195</v>
      </c>
      <c r="J285">
        <v>1012</v>
      </c>
      <c r="K285">
        <v>1110</v>
      </c>
      <c r="L285" s="3">
        <v>-27401377.949999999</v>
      </c>
      <c r="M285" s="3">
        <v>0</v>
      </c>
      <c r="N285">
        <v>6000</v>
      </c>
      <c r="O285">
        <v>0</v>
      </c>
      <c r="P285">
        <v>-27407377.949999999</v>
      </c>
      <c r="Q285" t="s">
        <v>30</v>
      </c>
      <c r="R285" t="s">
        <v>164</v>
      </c>
      <c r="S285" t="str">
        <v/>
      </c>
      <c r="T285" t="str">
        <v>#N/A</v>
      </c>
    </row>
    <row r="286" spans="1:20" ht="13.7" customHeight="1" x14ac:dyDescent="0.25">
      <c r="A286" t="s">
        <v>26</v>
      </c>
      <c r="B286" t="s">
        <v>27</v>
      </c>
      <c r="C286" t="s">
        <v>40</v>
      </c>
      <c r="D286">
        <v>15</v>
      </c>
      <c r="E286" s="5">
        <v>43746</v>
      </c>
      <c r="F286">
        <v>11050501</v>
      </c>
      <c r="G286" t="s">
        <v>195</v>
      </c>
      <c r="J286">
        <v>1012</v>
      </c>
      <c r="K286">
        <v>1110</v>
      </c>
      <c r="L286" s="3">
        <v>-27407377.949999999</v>
      </c>
      <c r="M286" s="3">
        <v>0</v>
      </c>
      <c r="N286">
        <v>21000</v>
      </c>
      <c r="O286">
        <v>0</v>
      </c>
      <c r="P286">
        <v>-27428377.949999999</v>
      </c>
      <c r="Q286" t="s">
        <v>30</v>
      </c>
      <c r="R286" t="s">
        <v>47</v>
      </c>
      <c r="S286" t="str">
        <v/>
      </c>
      <c r="T286" t="str">
        <v>#N/A</v>
      </c>
    </row>
    <row r="287" spans="1:20" ht="13.7" customHeight="1" x14ac:dyDescent="0.25">
      <c r="A287" t="s">
        <v>26</v>
      </c>
      <c r="B287" t="s">
        <v>27</v>
      </c>
      <c r="C287" t="s">
        <v>40</v>
      </c>
      <c r="D287">
        <v>16</v>
      </c>
      <c r="E287" s="5">
        <v>43746</v>
      </c>
      <c r="F287">
        <v>11050501</v>
      </c>
      <c r="G287" t="s">
        <v>195</v>
      </c>
      <c r="J287">
        <v>1012</v>
      </c>
      <c r="K287">
        <v>1110</v>
      </c>
      <c r="L287" s="3">
        <v>-27428377.949999999</v>
      </c>
      <c r="M287" s="3">
        <v>0</v>
      </c>
      <c r="N287">
        <v>6650</v>
      </c>
      <c r="O287">
        <v>0</v>
      </c>
      <c r="P287">
        <v>-27435027.949999999</v>
      </c>
      <c r="Q287" t="s">
        <v>30</v>
      </c>
      <c r="R287" t="s">
        <v>165</v>
      </c>
      <c r="S287" t="str">
        <v/>
      </c>
      <c r="T287" t="str">
        <v>#N/A</v>
      </c>
    </row>
    <row r="288" spans="1:20" ht="13.7" customHeight="1" x14ac:dyDescent="0.25">
      <c r="A288" t="s">
        <v>26</v>
      </c>
      <c r="B288" t="s">
        <v>27</v>
      </c>
      <c r="C288" t="s">
        <v>40</v>
      </c>
      <c r="D288">
        <v>17</v>
      </c>
      <c r="E288" s="5">
        <v>43747</v>
      </c>
      <c r="F288">
        <v>11050501</v>
      </c>
      <c r="G288" t="s">
        <v>195</v>
      </c>
      <c r="J288">
        <v>1012</v>
      </c>
      <c r="K288">
        <v>1110</v>
      </c>
      <c r="L288" s="3">
        <v>-27435027.949999999</v>
      </c>
      <c r="M288" s="3">
        <v>0</v>
      </c>
      <c r="N288">
        <v>48000</v>
      </c>
      <c r="O288">
        <v>0</v>
      </c>
      <c r="P288">
        <v>-27483027.949999999</v>
      </c>
      <c r="Q288" t="s">
        <v>30</v>
      </c>
      <c r="R288" t="s">
        <v>122</v>
      </c>
      <c r="S288" t="str">
        <v/>
      </c>
      <c r="T288" t="str">
        <v>#N/A</v>
      </c>
    </row>
    <row r="289" spans="1:20" ht="13.7" customHeight="1" x14ac:dyDescent="0.25">
      <c r="A289" t="s">
        <v>26</v>
      </c>
      <c r="B289" t="s">
        <v>27</v>
      </c>
      <c r="C289" t="s">
        <v>40</v>
      </c>
      <c r="D289">
        <v>20</v>
      </c>
      <c r="E289" s="5">
        <v>43750</v>
      </c>
      <c r="F289">
        <v>11050501</v>
      </c>
      <c r="G289" t="s">
        <v>195</v>
      </c>
      <c r="J289">
        <v>1012</v>
      </c>
      <c r="K289">
        <v>1110</v>
      </c>
      <c r="L289" s="3">
        <v>-27483027.949999999</v>
      </c>
      <c r="M289" s="3">
        <v>0</v>
      </c>
      <c r="N289">
        <v>350</v>
      </c>
      <c r="O289">
        <v>0</v>
      </c>
      <c r="P289">
        <v>-27483377.949999999</v>
      </c>
      <c r="Q289" t="s">
        <v>30</v>
      </c>
      <c r="R289" t="s">
        <v>166</v>
      </c>
      <c r="S289" t="str">
        <v/>
      </c>
      <c r="T289" t="str">
        <v>#N/A</v>
      </c>
    </row>
    <row r="290" spans="1:20" ht="13.7" customHeight="1" x14ac:dyDescent="0.25">
      <c r="A290" t="s">
        <v>26</v>
      </c>
      <c r="B290" t="s">
        <v>27</v>
      </c>
      <c r="C290" t="s">
        <v>40</v>
      </c>
      <c r="D290">
        <v>21</v>
      </c>
      <c r="E290" s="5">
        <v>43750</v>
      </c>
      <c r="F290">
        <v>11050501</v>
      </c>
      <c r="G290" t="s">
        <v>195</v>
      </c>
      <c r="J290">
        <v>1012</v>
      </c>
      <c r="K290">
        <v>1110</v>
      </c>
      <c r="L290" s="3">
        <v>-27483377.949999999</v>
      </c>
      <c r="M290" s="3">
        <v>0</v>
      </c>
      <c r="N290">
        <v>1923</v>
      </c>
      <c r="O290">
        <v>0</v>
      </c>
      <c r="P290">
        <v>-27485300.949999999</v>
      </c>
      <c r="Q290" t="s">
        <v>30</v>
      </c>
      <c r="R290" t="s">
        <v>167</v>
      </c>
      <c r="S290" t="str">
        <v/>
      </c>
      <c r="T290" t="str">
        <v>#N/A</v>
      </c>
    </row>
    <row r="291" spans="1:20" ht="13.7" customHeight="1" x14ac:dyDescent="0.25">
      <c r="A291" t="s">
        <v>26</v>
      </c>
      <c r="B291" t="s">
        <v>27</v>
      </c>
      <c r="C291" t="s">
        <v>40</v>
      </c>
      <c r="D291">
        <v>23</v>
      </c>
      <c r="E291" s="5">
        <v>43750</v>
      </c>
      <c r="F291">
        <v>11050501</v>
      </c>
      <c r="G291" t="s">
        <v>195</v>
      </c>
      <c r="J291">
        <v>1012</v>
      </c>
      <c r="K291">
        <v>1110</v>
      </c>
      <c r="L291" s="3">
        <v>-27485300.949999999</v>
      </c>
      <c r="M291" s="3">
        <v>0</v>
      </c>
      <c r="N291">
        <v>18000</v>
      </c>
      <c r="O291">
        <v>0</v>
      </c>
      <c r="P291">
        <v>-27503300.949999999</v>
      </c>
      <c r="Q291" t="s">
        <v>30</v>
      </c>
      <c r="R291" t="s">
        <v>70</v>
      </c>
      <c r="S291" t="str">
        <v/>
      </c>
      <c r="T291" t="str">
        <v>#N/A</v>
      </c>
    </row>
    <row r="292" spans="1:20" ht="13.7" customHeight="1" x14ac:dyDescent="0.25">
      <c r="A292" t="s">
        <v>26</v>
      </c>
      <c r="B292" t="s">
        <v>27</v>
      </c>
      <c r="C292" t="s">
        <v>40</v>
      </c>
      <c r="D292">
        <v>24</v>
      </c>
      <c r="E292" s="5">
        <v>43753</v>
      </c>
      <c r="F292">
        <v>11050501</v>
      </c>
      <c r="G292" t="s">
        <v>195</v>
      </c>
      <c r="J292">
        <v>1012</v>
      </c>
      <c r="K292">
        <v>1110</v>
      </c>
      <c r="L292" s="3">
        <v>-27503300.949999999</v>
      </c>
      <c r="M292" s="3">
        <v>0</v>
      </c>
      <c r="N292">
        <v>96000</v>
      </c>
      <c r="O292">
        <v>0</v>
      </c>
      <c r="P292">
        <v>-27599300.949999999</v>
      </c>
      <c r="Q292" t="s">
        <v>30</v>
      </c>
      <c r="R292" t="s">
        <v>129</v>
      </c>
      <c r="S292" t="str">
        <v/>
      </c>
      <c r="T292" t="str">
        <v>#N/A</v>
      </c>
    </row>
    <row r="293" spans="1:20" ht="13.7" customHeight="1" x14ac:dyDescent="0.25">
      <c r="A293" t="s">
        <v>26</v>
      </c>
      <c r="B293" t="s">
        <v>27</v>
      </c>
      <c r="C293" t="s">
        <v>40</v>
      </c>
      <c r="D293">
        <v>26</v>
      </c>
      <c r="E293" s="5">
        <v>43753</v>
      </c>
      <c r="F293">
        <v>11050501</v>
      </c>
      <c r="G293" t="s">
        <v>195</v>
      </c>
      <c r="J293">
        <v>1012</v>
      </c>
      <c r="K293">
        <v>1110</v>
      </c>
      <c r="L293" s="3">
        <v>-27599300.949999999</v>
      </c>
      <c r="M293" s="3">
        <v>0</v>
      </c>
      <c r="N293">
        <v>25850</v>
      </c>
      <c r="O293">
        <v>0</v>
      </c>
      <c r="P293">
        <v>-27625150.949999999</v>
      </c>
      <c r="Q293" t="s">
        <v>30</v>
      </c>
      <c r="R293" t="s">
        <v>164</v>
      </c>
      <c r="S293" t="str">
        <v/>
      </c>
      <c r="T293" t="str">
        <v>#N/A</v>
      </c>
    </row>
    <row r="294" spans="1:20" ht="13.7" customHeight="1" x14ac:dyDescent="0.25">
      <c r="A294" t="s">
        <v>26</v>
      </c>
      <c r="B294" t="s">
        <v>27</v>
      </c>
      <c r="C294" t="s">
        <v>40</v>
      </c>
      <c r="D294">
        <v>39</v>
      </c>
      <c r="E294" s="5">
        <v>43757</v>
      </c>
      <c r="F294">
        <v>11050501</v>
      </c>
      <c r="G294" t="s">
        <v>195</v>
      </c>
      <c r="J294">
        <v>1012</v>
      </c>
      <c r="K294">
        <v>1110</v>
      </c>
      <c r="L294" s="3">
        <v>-27625150.949999999</v>
      </c>
      <c r="M294" s="3">
        <v>0</v>
      </c>
      <c r="N294">
        <v>10000</v>
      </c>
      <c r="O294">
        <v>0</v>
      </c>
      <c r="P294">
        <v>-27635150.949999999</v>
      </c>
      <c r="Q294" t="s">
        <v>30</v>
      </c>
      <c r="R294" t="s">
        <v>70</v>
      </c>
      <c r="S294" t="str">
        <v/>
      </c>
      <c r="T294" t="str">
        <v>#N/A</v>
      </c>
    </row>
    <row r="295" spans="1:20" ht="13.7" customHeight="1" x14ac:dyDescent="0.25">
      <c r="A295" t="s">
        <v>26</v>
      </c>
      <c r="B295" t="s">
        <v>27</v>
      </c>
      <c r="C295" t="s">
        <v>41</v>
      </c>
      <c r="D295">
        <v>47</v>
      </c>
      <c r="E295" s="5">
        <v>43757</v>
      </c>
      <c r="F295">
        <v>11050501</v>
      </c>
      <c r="G295" t="s">
        <v>195</v>
      </c>
      <c r="J295">
        <v>1012</v>
      </c>
      <c r="K295">
        <v>1110</v>
      </c>
      <c r="L295" s="3">
        <v>-27635150.949999999</v>
      </c>
      <c r="M295" s="3">
        <v>0</v>
      </c>
      <c r="N295">
        <v>10000</v>
      </c>
      <c r="O295">
        <v>0</v>
      </c>
      <c r="P295">
        <v>-27645150.949999999</v>
      </c>
      <c r="Q295" t="s">
        <v>30</v>
      </c>
      <c r="R295" t="s">
        <v>43</v>
      </c>
      <c r="S295" t="str">
        <v/>
      </c>
      <c r="T295" t="str">
        <v>#N/A</v>
      </c>
    </row>
    <row r="296" spans="1:20" ht="13.7" customHeight="1" x14ac:dyDescent="0.25">
      <c r="A296" t="s">
        <v>26</v>
      </c>
      <c r="B296" t="s">
        <v>27</v>
      </c>
      <c r="C296" t="s">
        <v>40</v>
      </c>
      <c r="D296">
        <v>44</v>
      </c>
      <c r="E296" s="5">
        <v>43760</v>
      </c>
      <c r="F296">
        <v>11050501</v>
      </c>
      <c r="G296" t="s">
        <v>195</v>
      </c>
      <c r="J296">
        <v>1012</v>
      </c>
      <c r="K296">
        <v>1110</v>
      </c>
      <c r="L296" s="3">
        <v>-27645150.949999999</v>
      </c>
      <c r="M296" s="3">
        <v>0</v>
      </c>
      <c r="N296">
        <v>18000</v>
      </c>
      <c r="O296">
        <v>0</v>
      </c>
      <c r="P296">
        <v>-27663150.949999999</v>
      </c>
      <c r="Q296" t="s">
        <v>30</v>
      </c>
      <c r="R296" t="s">
        <v>70</v>
      </c>
      <c r="S296" t="str">
        <v/>
      </c>
      <c r="T296" t="str">
        <v>#N/A</v>
      </c>
    </row>
    <row r="297" spans="1:20" ht="13.7" customHeight="1" x14ac:dyDescent="0.25">
      <c r="A297" t="s">
        <v>26</v>
      </c>
      <c r="B297" t="s">
        <v>27</v>
      </c>
      <c r="C297" t="s">
        <v>40</v>
      </c>
      <c r="D297">
        <v>47</v>
      </c>
      <c r="E297" s="5">
        <v>43763</v>
      </c>
      <c r="F297">
        <v>11050501</v>
      </c>
      <c r="G297" t="s">
        <v>195</v>
      </c>
      <c r="J297">
        <v>1012</v>
      </c>
      <c r="K297">
        <v>1110</v>
      </c>
      <c r="L297" s="3">
        <v>-27663150.949999999</v>
      </c>
      <c r="M297" s="3">
        <v>0</v>
      </c>
      <c r="N297">
        <v>29550</v>
      </c>
      <c r="O297">
        <v>0</v>
      </c>
      <c r="P297">
        <v>-27692700.949999999</v>
      </c>
      <c r="Q297" t="s">
        <v>30</v>
      </c>
      <c r="R297" t="s">
        <v>113</v>
      </c>
      <c r="S297" t="str">
        <v/>
      </c>
      <c r="T297" t="str">
        <v>#N/A</v>
      </c>
    </row>
    <row r="298" spans="1:20" ht="13.7" customHeight="1" x14ac:dyDescent="0.25">
      <c r="A298" t="s">
        <v>26</v>
      </c>
      <c r="B298" t="s">
        <v>27</v>
      </c>
      <c r="C298" t="s">
        <v>40</v>
      </c>
      <c r="D298">
        <v>48</v>
      </c>
      <c r="E298" s="5">
        <v>43764</v>
      </c>
      <c r="F298">
        <v>11050501</v>
      </c>
      <c r="G298" t="s">
        <v>195</v>
      </c>
      <c r="J298">
        <v>1012</v>
      </c>
      <c r="K298">
        <v>1110</v>
      </c>
      <c r="L298" s="3">
        <v>-27692700.949999999</v>
      </c>
      <c r="M298" s="3">
        <v>0</v>
      </c>
      <c r="N298">
        <v>47000</v>
      </c>
      <c r="O298">
        <v>0</v>
      </c>
      <c r="P298">
        <v>-27739700.949999999</v>
      </c>
      <c r="Q298" t="s">
        <v>30</v>
      </c>
      <c r="R298" t="s">
        <v>70</v>
      </c>
      <c r="S298" t="str">
        <v/>
      </c>
      <c r="T298" t="str">
        <v>#N/A</v>
      </c>
    </row>
    <row r="299" spans="1:20" ht="13.7" customHeight="1" x14ac:dyDescent="0.25">
      <c r="A299" t="s">
        <v>26</v>
      </c>
      <c r="B299" t="s">
        <v>27</v>
      </c>
      <c r="C299" t="s">
        <v>40</v>
      </c>
      <c r="D299">
        <v>51</v>
      </c>
      <c r="E299" s="5">
        <v>43766</v>
      </c>
      <c r="F299">
        <v>11050501</v>
      </c>
      <c r="G299" t="s">
        <v>195</v>
      </c>
      <c r="J299">
        <v>1012</v>
      </c>
      <c r="K299">
        <v>1110</v>
      </c>
      <c r="L299" s="3">
        <v>-27739700.949999999</v>
      </c>
      <c r="M299" s="3">
        <v>0</v>
      </c>
      <c r="N299">
        <v>1500</v>
      </c>
      <c r="O299">
        <v>0</v>
      </c>
      <c r="P299">
        <v>-27741200.949999999</v>
      </c>
      <c r="Q299" t="s">
        <v>30</v>
      </c>
      <c r="R299" t="s">
        <v>168</v>
      </c>
      <c r="S299" t="str">
        <v/>
      </c>
      <c r="T299" t="str">
        <v>#N/A</v>
      </c>
    </row>
    <row r="300" spans="1:20" ht="13.7" customHeight="1" x14ac:dyDescent="0.25">
      <c r="A300" t="s">
        <v>26</v>
      </c>
      <c r="B300" t="s">
        <v>27</v>
      </c>
      <c r="C300" t="s">
        <v>40</v>
      </c>
      <c r="D300">
        <v>52</v>
      </c>
      <c r="E300" s="5">
        <v>43766</v>
      </c>
      <c r="F300">
        <v>11050501</v>
      </c>
      <c r="G300" t="s">
        <v>195</v>
      </c>
      <c r="J300">
        <v>1012</v>
      </c>
      <c r="K300">
        <v>1110</v>
      </c>
      <c r="L300" s="3">
        <v>-27741200.949999999</v>
      </c>
      <c r="M300" s="3">
        <v>0</v>
      </c>
      <c r="N300">
        <v>14400</v>
      </c>
      <c r="O300">
        <v>0</v>
      </c>
      <c r="P300">
        <v>-27755600.949999999</v>
      </c>
      <c r="Q300" t="s">
        <v>30</v>
      </c>
      <c r="R300" t="s">
        <v>151</v>
      </c>
      <c r="S300" t="str">
        <v/>
      </c>
      <c r="T300" t="str">
        <v>#N/A</v>
      </c>
    </row>
    <row r="301" spans="1:20" ht="13.7" customHeight="1" x14ac:dyDescent="0.25">
      <c r="A301" t="s">
        <v>26</v>
      </c>
      <c r="B301" t="s">
        <v>27</v>
      </c>
      <c r="C301" t="s">
        <v>40</v>
      </c>
      <c r="D301">
        <v>53</v>
      </c>
      <c r="E301" s="5">
        <v>43766</v>
      </c>
      <c r="F301">
        <v>11050501</v>
      </c>
      <c r="G301" t="s">
        <v>195</v>
      </c>
      <c r="J301">
        <v>1012</v>
      </c>
      <c r="K301">
        <v>1110</v>
      </c>
      <c r="L301" s="3">
        <v>-27755600.949999999</v>
      </c>
      <c r="M301" s="3">
        <v>0</v>
      </c>
      <c r="N301">
        <v>2500</v>
      </c>
      <c r="O301">
        <v>0</v>
      </c>
      <c r="P301">
        <v>-27758100.949999999</v>
      </c>
      <c r="Q301" t="s">
        <v>30</v>
      </c>
      <c r="R301" t="s">
        <v>59</v>
      </c>
      <c r="S301" t="str">
        <v/>
      </c>
      <c r="T301" t="str">
        <v>#N/A</v>
      </c>
    </row>
    <row r="302" spans="1:20" ht="13.7" customHeight="1" x14ac:dyDescent="0.25">
      <c r="A302" t="s">
        <v>26</v>
      </c>
      <c r="B302" t="s">
        <v>27</v>
      </c>
      <c r="C302" t="s">
        <v>40</v>
      </c>
      <c r="D302">
        <v>54</v>
      </c>
      <c r="E302" s="5">
        <v>43767</v>
      </c>
      <c r="F302">
        <v>11050501</v>
      </c>
      <c r="G302" t="s">
        <v>195</v>
      </c>
      <c r="J302">
        <v>1012</v>
      </c>
      <c r="K302">
        <v>1110</v>
      </c>
      <c r="L302" s="3">
        <v>-27758100.949999999</v>
      </c>
      <c r="M302" s="3">
        <v>0</v>
      </c>
      <c r="N302">
        <v>705611</v>
      </c>
      <c r="O302">
        <v>0</v>
      </c>
      <c r="P302">
        <v>-28463711.949999999</v>
      </c>
      <c r="Q302" t="s">
        <v>30</v>
      </c>
      <c r="R302" t="s">
        <v>169</v>
      </c>
      <c r="S302" t="str">
        <v/>
      </c>
      <c r="T302" t="str">
        <v>#N/A</v>
      </c>
    </row>
    <row r="303" spans="1:20" ht="13.7" customHeight="1" x14ac:dyDescent="0.25">
      <c r="A303" t="s">
        <v>26</v>
      </c>
      <c r="B303" t="s">
        <v>27</v>
      </c>
      <c r="C303" t="s">
        <v>40</v>
      </c>
      <c r="D303">
        <v>57</v>
      </c>
      <c r="E303" s="5">
        <v>43769</v>
      </c>
      <c r="F303">
        <v>11050501</v>
      </c>
      <c r="G303" t="s">
        <v>195</v>
      </c>
      <c r="J303">
        <v>1012</v>
      </c>
      <c r="K303">
        <v>1110</v>
      </c>
      <c r="L303" s="3">
        <v>-28463711.949999999</v>
      </c>
      <c r="M303" s="3">
        <v>0</v>
      </c>
      <c r="N303">
        <v>25550</v>
      </c>
      <c r="O303">
        <v>0</v>
      </c>
      <c r="P303">
        <v>-28489261.949999999</v>
      </c>
      <c r="Q303" t="s">
        <v>30</v>
      </c>
      <c r="R303" t="s">
        <v>47</v>
      </c>
      <c r="S303" t="str">
        <v/>
      </c>
      <c r="T303" t="str">
        <v>#N/A</v>
      </c>
    </row>
    <row r="304" spans="1:20" ht="13.7" customHeight="1" x14ac:dyDescent="0.25">
      <c r="A304" t="s">
        <v>26</v>
      </c>
      <c r="B304" t="s">
        <v>27</v>
      </c>
      <c r="C304" t="s">
        <v>40</v>
      </c>
      <c r="D304">
        <v>58</v>
      </c>
      <c r="E304" s="5">
        <v>43769</v>
      </c>
      <c r="F304">
        <v>11050501</v>
      </c>
      <c r="G304" t="s">
        <v>195</v>
      </c>
      <c r="J304">
        <v>1012</v>
      </c>
      <c r="K304">
        <v>1110</v>
      </c>
      <c r="L304" s="3">
        <v>-28489261.949999999</v>
      </c>
      <c r="M304" s="3">
        <v>0</v>
      </c>
      <c r="N304">
        <v>209000</v>
      </c>
      <c r="O304">
        <v>0</v>
      </c>
      <c r="P304">
        <v>-28698261.949999999</v>
      </c>
      <c r="Q304" t="s">
        <v>30</v>
      </c>
      <c r="R304" t="s">
        <v>70</v>
      </c>
      <c r="S304" t="str">
        <v/>
      </c>
      <c r="T304" t="str">
        <v>#N/A</v>
      </c>
    </row>
    <row r="305" spans="1:20" ht="13.7" customHeight="1" x14ac:dyDescent="0.25">
      <c r="A305" t="s">
        <v>26</v>
      </c>
      <c r="B305" t="s">
        <v>27</v>
      </c>
      <c r="C305" t="s">
        <v>40</v>
      </c>
      <c r="D305">
        <v>59</v>
      </c>
      <c r="E305" s="5">
        <v>43769</v>
      </c>
      <c r="F305">
        <v>11050501</v>
      </c>
      <c r="G305" t="s">
        <v>195</v>
      </c>
      <c r="J305">
        <v>1012</v>
      </c>
      <c r="K305">
        <v>1110</v>
      </c>
      <c r="L305" s="3">
        <v>-28698261.949999999</v>
      </c>
      <c r="M305" s="3">
        <v>0</v>
      </c>
      <c r="N305">
        <v>66500</v>
      </c>
      <c r="O305">
        <v>0</v>
      </c>
      <c r="P305">
        <v>-28764761.949999999</v>
      </c>
      <c r="Q305" t="s">
        <v>30</v>
      </c>
      <c r="R305" t="s">
        <v>70</v>
      </c>
      <c r="S305" t="str">
        <v/>
      </c>
      <c r="T305" t="str">
        <v>#N/A</v>
      </c>
    </row>
    <row r="306" spans="1:20" ht="13.7" customHeight="1" x14ac:dyDescent="0.25">
      <c r="A306" t="s">
        <v>26</v>
      </c>
      <c r="B306" t="s">
        <v>27</v>
      </c>
      <c r="C306" t="s">
        <v>41</v>
      </c>
      <c r="D306">
        <v>19</v>
      </c>
      <c r="E306" s="5">
        <v>43778</v>
      </c>
      <c r="F306">
        <v>11050501</v>
      </c>
      <c r="G306" t="s">
        <v>195</v>
      </c>
      <c r="J306">
        <v>1012</v>
      </c>
      <c r="K306">
        <v>1110</v>
      </c>
      <c r="L306" s="3">
        <v>-28764761.949999999</v>
      </c>
      <c r="M306" s="3">
        <v>0</v>
      </c>
      <c r="N306">
        <v>36000</v>
      </c>
      <c r="O306">
        <v>0</v>
      </c>
      <c r="P306">
        <v>-28800761.949999999</v>
      </c>
      <c r="Q306" t="s">
        <v>30</v>
      </c>
      <c r="R306" t="s">
        <v>70</v>
      </c>
      <c r="S306" t="str">
        <v/>
      </c>
      <c r="T306" t="str">
        <v>#N/A</v>
      </c>
    </row>
    <row r="307" spans="1:20" ht="13.7" customHeight="1" x14ac:dyDescent="0.25">
      <c r="A307" t="s">
        <v>26</v>
      </c>
      <c r="B307" t="s">
        <v>27</v>
      </c>
      <c r="C307" t="s">
        <v>41</v>
      </c>
      <c r="D307">
        <v>23</v>
      </c>
      <c r="E307" s="5">
        <v>43781</v>
      </c>
      <c r="F307">
        <v>11050501</v>
      </c>
      <c r="G307" t="s">
        <v>195</v>
      </c>
      <c r="J307">
        <v>1012</v>
      </c>
      <c r="K307">
        <v>1110</v>
      </c>
      <c r="L307" s="3">
        <v>-28800761.949999999</v>
      </c>
      <c r="M307" s="3">
        <v>0</v>
      </c>
      <c r="N307">
        <v>12500</v>
      </c>
      <c r="O307">
        <v>0</v>
      </c>
      <c r="P307">
        <v>-28813261.949999999</v>
      </c>
      <c r="Q307" t="s">
        <v>30</v>
      </c>
      <c r="R307" t="s">
        <v>47</v>
      </c>
      <c r="S307" t="str">
        <v/>
      </c>
      <c r="T307" t="str">
        <v>#N/A</v>
      </c>
    </row>
    <row r="308" spans="1:20" ht="13.7" customHeight="1" x14ac:dyDescent="0.25">
      <c r="A308" t="s">
        <v>26</v>
      </c>
      <c r="B308" t="s">
        <v>27</v>
      </c>
      <c r="C308" t="s">
        <v>41</v>
      </c>
      <c r="D308">
        <v>27</v>
      </c>
      <c r="E308" s="5">
        <v>43782</v>
      </c>
      <c r="F308">
        <v>11050501</v>
      </c>
      <c r="G308" t="s">
        <v>195</v>
      </c>
      <c r="J308">
        <v>1012</v>
      </c>
      <c r="K308">
        <v>1110</v>
      </c>
      <c r="L308" s="3">
        <v>-28813261.949999999</v>
      </c>
      <c r="M308" s="3">
        <v>0</v>
      </c>
      <c r="N308">
        <v>4000</v>
      </c>
      <c r="O308">
        <v>0</v>
      </c>
      <c r="P308">
        <v>-28817261.949999999</v>
      </c>
      <c r="Q308" t="s">
        <v>30</v>
      </c>
      <c r="R308" t="s">
        <v>59</v>
      </c>
      <c r="S308" t="str">
        <v/>
      </c>
      <c r="T308" t="str">
        <v>#N/A</v>
      </c>
    </row>
    <row r="309" spans="1:20" ht="13.7" customHeight="1" x14ac:dyDescent="0.25">
      <c r="A309" t="s">
        <v>26</v>
      </c>
      <c r="B309" t="s">
        <v>27</v>
      </c>
      <c r="C309" t="s">
        <v>41</v>
      </c>
      <c r="D309">
        <v>28</v>
      </c>
      <c r="E309" s="5">
        <v>43782</v>
      </c>
      <c r="F309">
        <v>11050501</v>
      </c>
      <c r="G309" t="s">
        <v>195</v>
      </c>
      <c r="J309">
        <v>1012</v>
      </c>
      <c r="K309">
        <v>1110</v>
      </c>
      <c r="L309" s="3">
        <v>-28817261.949999999</v>
      </c>
      <c r="M309" s="3">
        <v>0</v>
      </c>
      <c r="N309">
        <v>260000</v>
      </c>
      <c r="O309">
        <v>0</v>
      </c>
      <c r="P309">
        <v>-29077261.949999999</v>
      </c>
      <c r="Q309" t="s">
        <v>30</v>
      </c>
      <c r="R309" t="s">
        <v>170</v>
      </c>
      <c r="S309" t="str">
        <v/>
      </c>
      <c r="T309" t="str">
        <v>#N/A</v>
      </c>
    </row>
    <row r="310" spans="1:20" ht="13.7" customHeight="1" x14ac:dyDescent="0.25">
      <c r="A310" t="s">
        <v>26</v>
      </c>
      <c r="B310" t="s">
        <v>27</v>
      </c>
      <c r="C310" t="s">
        <v>41</v>
      </c>
      <c r="D310">
        <v>29</v>
      </c>
      <c r="E310" s="5">
        <v>43783</v>
      </c>
      <c r="F310">
        <v>11050501</v>
      </c>
      <c r="G310" t="s">
        <v>195</v>
      </c>
      <c r="J310">
        <v>1012</v>
      </c>
      <c r="K310">
        <v>1110</v>
      </c>
      <c r="L310" s="3">
        <v>-29077261.949999999</v>
      </c>
      <c r="M310" s="3">
        <v>0</v>
      </c>
      <c r="N310">
        <v>10200</v>
      </c>
      <c r="O310">
        <v>0</v>
      </c>
      <c r="P310">
        <v>-29087461.949999999</v>
      </c>
      <c r="Q310" t="s">
        <v>30</v>
      </c>
      <c r="R310" t="s">
        <v>96</v>
      </c>
      <c r="S310" t="str">
        <v/>
      </c>
      <c r="T310" t="str">
        <v>#N/A</v>
      </c>
    </row>
    <row r="311" spans="1:20" ht="13.7" customHeight="1" x14ac:dyDescent="0.25">
      <c r="A311" t="s">
        <v>26</v>
      </c>
      <c r="B311" t="s">
        <v>27</v>
      </c>
      <c r="C311" t="s">
        <v>41</v>
      </c>
      <c r="D311">
        <v>30</v>
      </c>
      <c r="E311" s="5">
        <v>43783</v>
      </c>
      <c r="F311">
        <v>11050501</v>
      </c>
      <c r="G311" t="s">
        <v>195</v>
      </c>
      <c r="J311">
        <v>1012</v>
      </c>
      <c r="K311">
        <v>1110</v>
      </c>
      <c r="L311" s="3">
        <v>-29087461.949999999</v>
      </c>
      <c r="M311" s="3">
        <v>0</v>
      </c>
      <c r="N311">
        <v>8000</v>
      </c>
      <c r="O311">
        <v>0</v>
      </c>
      <c r="P311">
        <v>-29095461.949999999</v>
      </c>
      <c r="Q311" t="s">
        <v>30</v>
      </c>
      <c r="R311" t="s">
        <v>171</v>
      </c>
      <c r="S311" t="str">
        <v/>
      </c>
      <c r="T311" t="str">
        <v>#N/A</v>
      </c>
    </row>
    <row r="312" spans="1:20" ht="13.7" customHeight="1" x14ac:dyDescent="0.25">
      <c r="A312" t="s">
        <v>26</v>
      </c>
      <c r="B312" t="s">
        <v>27</v>
      </c>
      <c r="C312" t="s">
        <v>41</v>
      </c>
      <c r="D312">
        <v>31</v>
      </c>
      <c r="E312" s="5">
        <v>43783</v>
      </c>
      <c r="F312">
        <v>11050501</v>
      </c>
      <c r="G312" t="s">
        <v>195</v>
      </c>
      <c r="J312">
        <v>1012</v>
      </c>
      <c r="K312">
        <v>1110</v>
      </c>
      <c r="L312" s="3">
        <v>-29095461.949999999</v>
      </c>
      <c r="M312" s="3">
        <v>0</v>
      </c>
      <c r="N312">
        <v>2400</v>
      </c>
      <c r="O312">
        <v>0</v>
      </c>
      <c r="P312">
        <v>-29097861.949999999</v>
      </c>
      <c r="Q312" t="s">
        <v>30</v>
      </c>
      <c r="R312" t="s">
        <v>172</v>
      </c>
      <c r="S312" t="str">
        <v/>
      </c>
      <c r="T312" t="str">
        <v>#N/A</v>
      </c>
    </row>
    <row r="313" spans="1:20" ht="13.7" customHeight="1" x14ac:dyDescent="0.25">
      <c r="A313" t="s">
        <v>26</v>
      </c>
      <c r="B313" t="s">
        <v>27</v>
      </c>
      <c r="C313" t="s">
        <v>41</v>
      </c>
      <c r="D313">
        <v>35</v>
      </c>
      <c r="E313" s="5">
        <v>43784</v>
      </c>
      <c r="F313">
        <v>11050501</v>
      </c>
      <c r="G313" t="s">
        <v>195</v>
      </c>
      <c r="J313">
        <v>1012</v>
      </c>
      <c r="K313">
        <v>1110</v>
      </c>
      <c r="L313" s="3">
        <v>-29097861.949999999</v>
      </c>
      <c r="M313" s="3">
        <v>0</v>
      </c>
      <c r="N313">
        <v>4000</v>
      </c>
      <c r="O313">
        <v>0</v>
      </c>
      <c r="P313">
        <v>-29101861.949999999</v>
      </c>
      <c r="Q313" t="s">
        <v>30</v>
      </c>
      <c r="R313" t="s">
        <v>59</v>
      </c>
      <c r="S313" t="str">
        <v/>
      </c>
      <c r="T313" t="str">
        <v>#N/A</v>
      </c>
    </row>
    <row r="314" spans="1:20" ht="13.7" customHeight="1" x14ac:dyDescent="0.25">
      <c r="A314" t="s">
        <v>26</v>
      </c>
      <c r="B314" t="s">
        <v>27</v>
      </c>
      <c r="C314" t="s">
        <v>41</v>
      </c>
      <c r="D314">
        <v>37</v>
      </c>
      <c r="E314" s="5">
        <v>43784</v>
      </c>
      <c r="F314">
        <v>11050501</v>
      </c>
      <c r="G314" t="s">
        <v>195</v>
      </c>
      <c r="J314">
        <v>1012</v>
      </c>
      <c r="K314">
        <v>1110</v>
      </c>
      <c r="L314" s="3">
        <v>-29101861.949999999</v>
      </c>
      <c r="M314" s="3">
        <v>0</v>
      </c>
      <c r="N314">
        <v>177000</v>
      </c>
      <c r="O314">
        <v>0</v>
      </c>
      <c r="P314">
        <v>-29278861.949999999</v>
      </c>
      <c r="Q314" t="s">
        <v>30</v>
      </c>
      <c r="R314" t="s">
        <v>173</v>
      </c>
      <c r="S314" t="str">
        <v/>
      </c>
      <c r="T314" t="str">
        <v>#N/A</v>
      </c>
    </row>
    <row r="315" spans="1:20" ht="13.7" customHeight="1" x14ac:dyDescent="0.25">
      <c r="A315" t="s">
        <v>26</v>
      </c>
      <c r="B315" t="s">
        <v>27</v>
      </c>
      <c r="C315" t="s">
        <v>41</v>
      </c>
      <c r="D315">
        <v>38</v>
      </c>
      <c r="E315" s="5">
        <v>43784</v>
      </c>
      <c r="F315">
        <v>11050501</v>
      </c>
      <c r="G315" t="s">
        <v>195</v>
      </c>
      <c r="J315">
        <v>1012</v>
      </c>
      <c r="K315">
        <v>1110</v>
      </c>
      <c r="L315" s="3">
        <v>-29278861.949999999</v>
      </c>
      <c r="M315" s="3">
        <v>0</v>
      </c>
      <c r="N315">
        <v>123000</v>
      </c>
      <c r="O315">
        <v>0</v>
      </c>
      <c r="P315">
        <v>-29401861.949999999</v>
      </c>
      <c r="Q315" t="s">
        <v>30</v>
      </c>
      <c r="R315" t="s">
        <v>174</v>
      </c>
      <c r="S315" t="str">
        <v/>
      </c>
      <c r="T315" t="str">
        <v>#N/A</v>
      </c>
    </row>
    <row r="316" spans="1:20" ht="13.7" customHeight="1" x14ac:dyDescent="0.25">
      <c r="A316" t="s">
        <v>26</v>
      </c>
      <c r="B316" t="s">
        <v>27</v>
      </c>
      <c r="C316" t="s">
        <v>41</v>
      </c>
      <c r="D316">
        <v>41</v>
      </c>
      <c r="E316" s="5">
        <v>43785</v>
      </c>
      <c r="F316">
        <v>11050501</v>
      </c>
      <c r="G316" t="s">
        <v>195</v>
      </c>
      <c r="J316">
        <v>1012</v>
      </c>
      <c r="K316">
        <v>1110</v>
      </c>
      <c r="L316" s="3">
        <v>-29401861.949999999</v>
      </c>
      <c r="M316" s="3">
        <v>0</v>
      </c>
      <c r="N316">
        <v>10000</v>
      </c>
      <c r="O316">
        <v>0</v>
      </c>
      <c r="P316">
        <v>-29411861.949999999</v>
      </c>
      <c r="Q316" t="s">
        <v>30</v>
      </c>
      <c r="R316" t="s">
        <v>43</v>
      </c>
      <c r="S316" t="str">
        <v/>
      </c>
      <c r="T316" t="str">
        <v>#N/A</v>
      </c>
    </row>
    <row r="317" spans="1:20" ht="13.7" customHeight="1" x14ac:dyDescent="0.25">
      <c r="A317" t="s">
        <v>26</v>
      </c>
      <c r="B317" t="s">
        <v>27</v>
      </c>
      <c r="C317" t="s">
        <v>41</v>
      </c>
      <c r="D317">
        <v>43</v>
      </c>
      <c r="E317" s="5">
        <v>43785</v>
      </c>
      <c r="F317">
        <v>11050501</v>
      </c>
      <c r="G317" t="s">
        <v>195</v>
      </c>
      <c r="J317">
        <v>1012</v>
      </c>
      <c r="K317">
        <v>1110</v>
      </c>
      <c r="L317" s="3">
        <v>-29411861.949999999</v>
      </c>
      <c r="M317" s="3">
        <v>0</v>
      </c>
      <c r="N317">
        <v>29000</v>
      </c>
      <c r="O317">
        <v>0</v>
      </c>
      <c r="P317">
        <v>-29440861.949999999</v>
      </c>
      <c r="Q317" t="s">
        <v>30</v>
      </c>
      <c r="R317" t="s">
        <v>70</v>
      </c>
      <c r="S317" t="str">
        <v/>
      </c>
      <c r="T317" t="str">
        <v>#N/A</v>
      </c>
    </row>
    <row r="318" spans="1:20" ht="13.7" customHeight="1" x14ac:dyDescent="0.25">
      <c r="A318" t="s">
        <v>26</v>
      </c>
      <c r="B318" t="s">
        <v>27</v>
      </c>
      <c r="C318" t="s">
        <v>41</v>
      </c>
      <c r="D318">
        <v>45</v>
      </c>
      <c r="E318" s="5">
        <v>43787</v>
      </c>
      <c r="F318">
        <v>11050501</v>
      </c>
      <c r="G318" t="s">
        <v>195</v>
      </c>
      <c r="J318">
        <v>1012</v>
      </c>
      <c r="K318">
        <v>1110</v>
      </c>
      <c r="L318" s="3">
        <v>-29440861.949999999</v>
      </c>
      <c r="M318" s="3">
        <v>0</v>
      </c>
      <c r="N318">
        <v>21000</v>
      </c>
      <c r="O318">
        <v>0</v>
      </c>
      <c r="P318">
        <v>-29461861.949999999</v>
      </c>
      <c r="Q318" t="s">
        <v>30</v>
      </c>
      <c r="R318" t="s">
        <v>175</v>
      </c>
      <c r="S318" t="str">
        <v/>
      </c>
      <c r="T318" t="str">
        <v>#N/A</v>
      </c>
    </row>
    <row r="319" spans="1:20" ht="13.7" customHeight="1" x14ac:dyDescent="0.25">
      <c r="A319" t="s">
        <v>26</v>
      </c>
      <c r="B319" t="s">
        <v>27</v>
      </c>
      <c r="C319" t="s">
        <v>41</v>
      </c>
      <c r="D319">
        <v>52</v>
      </c>
      <c r="E319" s="5">
        <v>43788</v>
      </c>
      <c r="F319">
        <v>11050501</v>
      </c>
      <c r="G319" t="s">
        <v>195</v>
      </c>
      <c r="J319">
        <v>1012</v>
      </c>
      <c r="K319">
        <v>1110</v>
      </c>
      <c r="L319" s="3">
        <v>-29461861.949999999</v>
      </c>
      <c r="M319" s="3">
        <v>0</v>
      </c>
      <c r="N319">
        <v>42591</v>
      </c>
      <c r="O319">
        <v>0</v>
      </c>
      <c r="P319">
        <v>-29504452.949999999</v>
      </c>
      <c r="Q319" t="s">
        <v>30</v>
      </c>
      <c r="R319" t="s">
        <v>176</v>
      </c>
      <c r="S319" t="str">
        <v/>
      </c>
      <c r="T319" t="str">
        <v>#N/A</v>
      </c>
    </row>
    <row r="320" spans="1:20" ht="13.7" customHeight="1" x14ac:dyDescent="0.25">
      <c r="A320" t="s">
        <v>26</v>
      </c>
      <c r="B320" t="s">
        <v>27</v>
      </c>
      <c r="C320" t="s">
        <v>41</v>
      </c>
      <c r="D320">
        <v>55</v>
      </c>
      <c r="E320" s="5">
        <v>43792</v>
      </c>
      <c r="F320">
        <v>11050501</v>
      </c>
      <c r="G320" t="s">
        <v>195</v>
      </c>
      <c r="J320">
        <v>1012</v>
      </c>
      <c r="K320">
        <v>1110</v>
      </c>
      <c r="L320" s="3">
        <v>-29504452.949999999</v>
      </c>
      <c r="M320" s="3">
        <v>0</v>
      </c>
      <c r="N320">
        <v>18500</v>
      </c>
      <c r="O320">
        <v>0</v>
      </c>
      <c r="P320">
        <v>-29522952.949999999</v>
      </c>
      <c r="Q320" t="s">
        <v>30</v>
      </c>
      <c r="R320" t="s">
        <v>70</v>
      </c>
      <c r="S320" t="str">
        <v/>
      </c>
      <c r="T320" t="str">
        <v>#N/A</v>
      </c>
    </row>
    <row r="321" spans="1:20" ht="13.7" customHeight="1" x14ac:dyDescent="0.25">
      <c r="A321" t="s">
        <v>26</v>
      </c>
      <c r="B321" t="s">
        <v>27</v>
      </c>
      <c r="C321" t="s">
        <v>41</v>
      </c>
      <c r="D321">
        <v>74</v>
      </c>
      <c r="E321" s="5">
        <v>43792</v>
      </c>
      <c r="F321">
        <v>11050501</v>
      </c>
      <c r="G321" t="s">
        <v>195</v>
      </c>
      <c r="J321">
        <v>1012</v>
      </c>
      <c r="K321">
        <v>1110</v>
      </c>
      <c r="L321" s="3">
        <v>-29522952.949999999</v>
      </c>
      <c r="M321" s="3">
        <v>0</v>
      </c>
      <c r="N321">
        <v>18500</v>
      </c>
      <c r="O321">
        <v>0</v>
      </c>
      <c r="P321">
        <v>-29541452.949999999</v>
      </c>
      <c r="Q321" t="s">
        <v>30</v>
      </c>
      <c r="R321" t="s">
        <v>70</v>
      </c>
      <c r="S321" t="str">
        <v/>
      </c>
      <c r="T321" t="str">
        <v>#N/A</v>
      </c>
    </row>
    <row r="322" spans="1:20" ht="13.7" customHeight="1" x14ac:dyDescent="0.25">
      <c r="A322" t="s">
        <v>26</v>
      </c>
      <c r="B322" t="s">
        <v>27</v>
      </c>
      <c r="C322" t="s">
        <v>41</v>
      </c>
      <c r="D322">
        <v>63</v>
      </c>
      <c r="E322" s="5">
        <v>43794</v>
      </c>
      <c r="F322">
        <v>11050501</v>
      </c>
      <c r="G322" t="s">
        <v>195</v>
      </c>
      <c r="J322">
        <v>1012</v>
      </c>
      <c r="K322">
        <v>1110</v>
      </c>
      <c r="L322" s="3">
        <v>-29541452.949999999</v>
      </c>
      <c r="M322" s="3">
        <v>0</v>
      </c>
      <c r="N322">
        <v>48000</v>
      </c>
      <c r="O322">
        <v>0</v>
      </c>
      <c r="P322">
        <v>-29589452.949999999</v>
      </c>
      <c r="Q322" t="s">
        <v>30</v>
      </c>
      <c r="R322" t="s">
        <v>177</v>
      </c>
      <c r="S322" t="str">
        <v/>
      </c>
      <c r="T322" t="str">
        <v>#N/A</v>
      </c>
    </row>
    <row r="323" spans="1:20" ht="13.7" customHeight="1" x14ac:dyDescent="0.25">
      <c r="A323" t="s">
        <v>26</v>
      </c>
      <c r="B323" t="s">
        <v>27</v>
      </c>
      <c r="C323" t="s">
        <v>41</v>
      </c>
      <c r="D323">
        <v>64</v>
      </c>
      <c r="E323" s="5">
        <v>43795</v>
      </c>
      <c r="F323">
        <v>11050501</v>
      </c>
      <c r="G323" t="s">
        <v>195</v>
      </c>
      <c r="J323">
        <v>1012</v>
      </c>
      <c r="K323">
        <v>1110</v>
      </c>
      <c r="L323" s="3">
        <v>-29589452.949999999</v>
      </c>
      <c r="M323" s="3">
        <v>0</v>
      </c>
      <c r="N323">
        <v>20000</v>
      </c>
      <c r="O323">
        <v>0</v>
      </c>
      <c r="P323">
        <v>-29609452.949999999</v>
      </c>
      <c r="Q323" t="s">
        <v>30</v>
      </c>
      <c r="R323" t="s">
        <v>45</v>
      </c>
      <c r="S323" t="str">
        <v/>
      </c>
      <c r="T323" t="str">
        <v>#N/A</v>
      </c>
    </row>
    <row r="324" spans="1:20" ht="13.7" customHeight="1" x14ac:dyDescent="0.25">
      <c r="A324" t="s">
        <v>26</v>
      </c>
      <c r="B324" t="s">
        <v>27</v>
      </c>
      <c r="C324" t="s">
        <v>41</v>
      </c>
      <c r="D324">
        <v>65</v>
      </c>
      <c r="E324" s="5">
        <v>43795</v>
      </c>
      <c r="F324">
        <v>11050501</v>
      </c>
      <c r="G324" t="s">
        <v>195</v>
      </c>
      <c r="J324">
        <v>1012</v>
      </c>
      <c r="K324">
        <v>1110</v>
      </c>
      <c r="L324" s="3">
        <v>-29609452.949999999</v>
      </c>
      <c r="M324" s="3">
        <v>0</v>
      </c>
      <c r="N324">
        <v>17900</v>
      </c>
      <c r="O324">
        <v>0</v>
      </c>
      <c r="P324">
        <v>-29627352.949999999</v>
      </c>
      <c r="Q324" t="s">
        <v>30</v>
      </c>
      <c r="R324" t="s">
        <v>178</v>
      </c>
      <c r="S324" t="str">
        <v/>
      </c>
      <c r="T324" t="str">
        <v>#N/A</v>
      </c>
    </row>
    <row r="325" spans="1:20" ht="13.7" customHeight="1" x14ac:dyDescent="0.25">
      <c r="A325" t="s">
        <v>26</v>
      </c>
      <c r="B325" t="s">
        <v>27</v>
      </c>
      <c r="C325" t="s">
        <v>41</v>
      </c>
      <c r="D325">
        <v>66</v>
      </c>
      <c r="E325" s="5">
        <v>43795</v>
      </c>
      <c r="F325">
        <v>11050501</v>
      </c>
      <c r="G325" t="s">
        <v>195</v>
      </c>
      <c r="J325">
        <v>1012</v>
      </c>
      <c r="K325">
        <v>1110</v>
      </c>
      <c r="L325" s="3">
        <v>-29627352.949999999</v>
      </c>
      <c r="M325" s="3">
        <v>0</v>
      </c>
      <c r="N325">
        <v>9900</v>
      </c>
      <c r="O325">
        <v>0</v>
      </c>
      <c r="P325">
        <v>-29637252.949999999</v>
      </c>
      <c r="Q325" t="s">
        <v>30</v>
      </c>
      <c r="R325" t="s">
        <v>178</v>
      </c>
      <c r="S325" t="str">
        <v/>
      </c>
      <c r="T325" t="str">
        <v>#N/A</v>
      </c>
    </row>
    <row r="326" spans="1:20" ht="13.7" customHeight="1" x14ac:dyDescent="0.25">
      <c r="A326" t="s">
        <v>26</v>
      </c>
      <c r="B326" t="s">
        <v>27</v>
      </c>
      <c r="C326" t="s">
        <v>41</v>
      </c>
      <c r="D326">
        <v>67</v>
      </c>
      <c r="E326" s="5">
        <v>43795</v>
      </c>
      <c r="F326">
        <v>11050501</v>
      </c>
      <c r="G326" t="s">
        <v>195</v>
      </c>
      <c r="J326">
        <v>1012</v>
      </c>
      <c r="K326">
        <v>1110</v>
      </c>
      <c r="L326" s="3">
        <v>-29637252.949999999</v>
      </c>
      <c r="M326" s="3">
        <v>0</v>
      </c>
      <c r="N326">
        <v>4000</v>
      </c>
      <c r="O326">
        <v>0</v>
      </c>
      <c r="P326">
        <v>-29641252.949999999</v>
      </c>
      <c r="Q326" t="s">
        <v>30</v>
      </c>
      <c r="R326" t="s">
        <v>59</v>
      </c>
      <c r="S326" t="str">
        <v/>
      </c>
      <c r="T326" t="str">
        <v>#N/A</v>
      </c>
    </row>
    <row r="327" spans="1:20" ht="13.7" customHeight="1" x14ac:dyDescent="0.25">
      <c r="A327" t="s">
        <v>26</v>
      </c>
      <c r="B327" t="s">
        <v>27</v>
      </c>
      <c r="C327" t="s">
        <v>41</v>
      </c>
      <c r="D327">
        <v>68</v>
      </c>
      <c r="E327" s="5">
        <v>43796</v>
      </c>
      <c r="F327">
        <v>11050501</v>
      </c>
      <c r="G327" t="s">
        <v>195</v>
      </c>
      <c r="J327">
        <v>1012</v>
      </c>
      <c r="K327">
        <v>1110</v>
      </c>
      <c r="L327" s="3">
        <v>-29641252.949999999</v>
      </c>
      <c r="M327" s="3">
        <v>0</v>
      </c>
      <c r="N327">
        <v>142800</v>
      </c>
      <c r="O327">
        <v>0</v>
      </c>
      <c r="P327">
        <v>-29784052.949999999</v>
      </c>
      <c r="Q327" t="s">
        <v>30</v>
      </c>
      <c r="R327" t="s">
        <v>179</v>
      </c>
      <c r="S327" t="str">
        <v/>
      </c>
      <c r="T327" t="str">
        <v>#N/A</v>
      </c>
    </row>
    <row r="328" spans="1:20" ht="13.7" customHeight="1" x14ac:dyDescent="0.25">
      <c r="A328" t="s">
        <v>26</v>
      </c>
      <c r="B328" t="s">
        <v>27</v>
      </c>
      <c r="C328" t="s">
        <v>41</v>
      </c>
      <c r="D328">
        <v>70</v>
      </c>
      <c r="E328" s="5">
        <v>43799</v>
      </c>
      <c r="F328">
        <v>11050501</v>
      </c>
      <c r="G328" t="s">
        <v>195</v>
      </c>
      <c r="J328">
        <v>1012</v>
      </c>
      <c r="K328">
        <v>1110</v>
      </c>
      <c r="L328" s="3">
        <v>-29784052.949999999</v>
      </c>
      <c r="M328" s="3">
        <v>0</v>
      </c>
      <c r="N328">
        <v>117000</v>
      </c>
      <c r="O328">
        <v>0</v>
      </c>
      <c r="P328">
        <v>-29901052.949999999</v>
      </c>
      <c r="Q328" t="s">
        <v>30</v>
      </c>
      <c r="R328" t="s">
        <v>70</v>
      </c>
      <c r="S328" t="str">
        <v/>
      </c>
      <c r="T328" t="str">
        <v>#N/A</v>
      </c>
    </row>
    <row r="329" spans="1:20" ht="13.7" customHeight="1" x14ac:dyDescent="0.25">
      <c r="A329" t="s">
        <v>26</v>
      </c>
      <c r="B329" t="s">
        <v>27</v>
      </c>
      <c r="C329" t="s">
        <v>180</v>
      </c>
      <c r="D329">
        <v>3</v>
      </c>
      <c r="E329" s="5">
        <v>43801</v>
      </c>
      <c r="F329">
        <v>11050501</v>
      </c>
      <c r="G329" t="s">
        <v>195</v>
      </c>
      <c r="J329">
        <v>1012</v>
      </c>
      <c r="K329">
        <v>1110</v>
      </c>
      <c r="L329" s="3">
        <v>-29901052.949999999</v>
      </c>
      <c r="M329" s="3">
        <v>0</v>
      </c>
      <c r="N329">
        <v>4000</v>
      </c>
      <c r="O329">
        <v>0</v>
      </c>
      <c r="P329">
        <v>-29905052.949999999</v>
      </c>
      <c r="Q329" t="s">
        <v>30</v>
      </c>
      <c r="R329" t="s">
        <v>59</v>
      </c>
      <c r="S329" t="str">
        <v/>
      </c>
      <c r="T329" t="str">
        <v>#N/A</v>
      </c>
    </row>
    <row r="330" spans="1:20" ht="13.7" customHeight="1" x14ac:dyDescent="0.25">
      <c r="A330" t="s">
        <v>26</v>
      </c>
      <c r="B330" t="s">
        <v>27</v>
      </c>
      <c r="C330" t="s">
        <v>180</v>
      </c>
      <c r="D330">
        <v>17</v>
      </c>
      <c r="E330" s="5">
        <v>43806</v>
      </c>
      <c r="F330">
        <v>11050501</v>
      </c>
      <c r="G330" t="s">
        <v>195</v>
      </c>
      <c r="J330">
        <v>1012</v>
      </c>
      <c r="K330">
        <v>1110</v>
      </c>
      <c r="L330" s="3">
        <v>-29905052.949999999</v>
      </c>
      <c r="M330" s="3">
        <v>0</v>
      </c>
      <c r="N330">
        <v>20000</v>
      </c>
      <c r="O330">
        <v>0</v>
      </c>
      <c r="P330">
        <v>-29925052.949999999</v>
      </c>
      <c r="Q330" t="s">
        <v>30</v>
      </c>
      <c r="R330" t="s">
        <v>70</v>
      </c>
      <c r="S330" t="str">
        <v/>
      </c>
      <c r="T330" t="str">
        <v>#N/A</v>
      </c>
    </row>
    <row r="331" spans="1:20" ht="13.7" customHeight="1" x14ac:dyDescent="0.25">
      <c r="A331" t="s">
        <v>26</v>
      </c>
      <c r="B331" t="s">
        <v>27</v>
      </c>
      <c r="C331" t="s">
        <v>180</v>
      </c>
      <c r="D331">
        <v>18</v>
      </c>
      <c r="E331" s="5">
        <v>43806</v>
      </c>
      <c r="F331">
        <v>11050501</v>
      </c>
      <c r="G331" t="s">
        <v>195</v>
      </c>
      <c r="J331">
        <v>1012</v>
      </c>
      <c r="K331">
        <v>1110</v>
      </c>
      <c r="L331" s="3">
        <v>-29925052.949999999</v>
      </c>
      <c r="M331" s="3">
        <v>0</v>
      </c>
      <c r="N331">
        <v>30000</v>
      </c>
      <c r="O331">
        <v>0</v>
      </c>
      <c r="P331">
        <v>-29955052.949999999</v>
      </c>
      <c r="Q331" t="s">
        <v>30</v>
      </c>
      <c r="R331" t="s">
        <v>181</v>
      </c>
      <c r="S331" t="str">
        <v/>
      </c>
      <c r="T331" t="str">
        <v>#N/A</v>
      </c>
    </row>
    <row r="332" spans="1:20" ht="13.7" customHeight="1" x14ac:dyDescent="0.25">
      <c r="A332" t="s">
        <v>26</v>
      </c>
      <c r="B332" t="s">
        <v>27</v>
      </c>
      <c r="C332" t="s">
        <v>180</v>
      </c>
      <c r="D332">
        <v>19</v>
      </c>
      <c r="E332" s="5">
        <v>43808</v>
      </c>
      <c r="F332">
        <v>11050501</v>
      </c>
      <c r="G332" t="s">
        <v>195</v>
      </c>
      <c r="J332">
        <v>1012</v>
      </c>
      <c r="K332">
        <v>1110</v>
      </c>
      <c r="L332" s="3">
        <v>-29955052.949999999</v>
      </c>
      <c r="M332" s="3">
        <v>0</v>
      </c>
      <c r="N332">
        <v>19999</v>
      </c>
      <c r="O332">
        <v>0</v>
      </c>
      <c r="P332">
        <v>-29975051.949999999</v>
      </c>
      <c r="Q332" t="s">
        <v>30</v>
      </c>
      <c r="R332" t="s">
        <v>45</v>
      </c>
      <c r="S332" t="str">
        <v/>
      </c>
      <c r="T332" t="str">
        <v>#N/A</v>
      </c>
    </row>
    <row r="333" spans="1:20" ht="13.7" customHeight="1" x14ac:dyDescent="0.25">
      <c r="A333" t="s">
        <v>26</v>
      </c>
      <c r="B333" t="s">
        <v>27</v>
      </c>
      <c r="C333" t="s">
        <v>180</v>
      </c>
      <c r="D333">
        <v>20</v>
      </c>
      <c r="E333" s="5">
        <v>43809</v>
      </c>
      <c r="F333">
        <v>11050501</v>
      </c>
      <c r="G333" t="s">
        <v>195</v>
      </c>
      <c r="J333">
        <v>1012</v>
      </c>
      <c r="K333">
        <v>1110</v>
      </c>
      <c r="L333" s="3">
        <v>-29975051.949999999</v>
      </c>
      <c r="M333" s="3">
        <v>0</v>
      </c>
      <c r="N333">
        <v>22500</v>
      </c>
      <c r="O333">
        <v>0</v>
      </c>
      <c r="P333">
        <v>-29997551.949999999</v>
      </c>
      <c r="Q333" t="s">
        <v>30</v>
      </c>
      <c r="R333" t="s">
        <v>47</v>
      </c>
      <c r="S333" t="str">
        <v/>
      </c>
      <c r="T333" t="str">
        <v>#N/A</v>
      </c>
    </row>
    <row r="334" spans="1:20" ht="13.7" customHeight="1" x14ac:dyDescent="0.25">
      <c r="A334" t="s">
        <v>26</v>
      </c>
      <c r="B334" t="s">
        <v>27</v>
      </c>
      <c r="C334" t="s">
        <v>180</v>
      </c>
      <c r="D334">
        <v>11</v>
      </c>
      <c r="E334" s="5">
        <v>43811</v>
      </c>
      <c r="F334">
        <v>11050501</v>
      </c>
      <c r="G334" t="s">
        <v>195</v>
      </c>
      <c r="J334">
        <v>1012</v>
      </c>
      <c r="K334">
        <v>1110</v>
      </c>
      <c r="L334" s="3">
        <v>-29997551.949999999</v>
      </c>
      <c r="M334" s="3">
        <v>0</v>
      </c>
      <c r="N334">
        <v>5000</v>
      </c>
      <c r="O334">
        <v>0</v>
      </c>
      <c r="P334">
        <v>-30002551.949999999</v>
      </c>
      <c r="Q334" t="s">
        <v>30</v>
      </c>
      <c r="R334" t="s">
        <v>59</v>
      </c>
      <c r="S334" t="str">
        <v/>
      </c>
      <c r="T334" t="str">
        <v>#N/A</v>
      </c>
    </row>
    <row r="335" spans="1:20" ht="13.7" customHeight="1" x14ac:dyDescent="0.25">
      <c r="A335" t="s">
        <v>26</v>
      </c>
      <c r="B335" t="s">
        <v>27</v>
      </c>
      <c r="C335" t="s">
        <v>180</v>
      </c>
      <c r="D335">
        <v>12</v>
      </c>
      <c r="E335" s="5">
        <v>43811</v>
      </c>
      <c r="F335">
        <v>11050501</v>
      </c>
      <c r="G335" t="s">
        <v>195</v>
      </c>
      <c r="J335">
        <v>1012</v>
      </c>
      <c r="K335">
        <v>1110</v>
      </c>
      <c r="L335" s="3">
        <v>-30002551.949999999</v>
      </c>
      <c r="M335" s="3">
        <v>0</v>
      </c>
      <c r="N335">
        <v>10000</v>
      </c>
      <c r="O335">
        <v>0</v>
      </c>
      <c r="P335">
        <v>-30012551.949999999</v>
      </c>
      <c r="Q335" t="s">
        <v>30</v>
      </c>
      <c r="R335" t="s">
        <v>70</v>
      </c>
      <c r="S335" t="str">
        <v/>
      </c>
      <c r="T335" t="str">
        <v>#N/A</v>
      </c>
    </row>
    <row r="336" spans="1:20" ht="13.7" customHeight="1" x14ac:dyDescent="0.25">
      <c r="A336" t="s">
        <v>26</v>
      </c>
      <c r="B336" t="s">
        <v>27</v>
      </c>
      <c r="C336" t="s">
        <v>180</v>
      </c>
      <c r="D336">
        <v>24</v>
      </c>
      <c r="E336" s="5">
        <v>43811</v>
      </c>
      <c r="F336">
        <v>11050501</v>
      </c>
      <c r="G336" t="s">
        <v>195</v>
      </c>
      <c r="J336">
        <v>1012</v>
      </c>
      <c r="K336">
        <v>1110</v>
      </c>
      <c r="L336" s="3">
        <v>-30012551.949999999</v>
      </c>
      <c r="M336" s="3">
        <v>0</v>
      </c>
      <c r="N336">
        <v>129600</v>
      </c>
      <c r="O336">
        <v>0</v>
      </c>
      <c r="P336">
        <v>-30142151.949999999</v>
      </c>
      <c r="Q336" t="s">
        <v>30</v>
      </c>
      <c r="R336" t="s">
        <v>145</v>
      </c>
      <c r="S336" t="str">
        <v/>
      </c>
      <c r="T336" t="str">
        <v>#N/A</v>
      </c>
    </row>
    <row r="337" spans="1:20" ht="13.7" customHeight="1" x14ac:dyDescent="0.25">
      <c r="A337" t="s">
        <v>26</v>
      </c>
      <c r="B337" t="s">
        <v>27</v>
      </c>
      <c r="C337" t="s">
        <v>180</v>
      </c>
      <c r="D337">
        <v>25</v>
      </c>
      <c r="E337" s="5">
        <v>43811</v>
      </c>
      <c r="F337">
        <v>11050501</v>
      </c>
      <c r="G337" t="s">
        <v>195</v>
      </c>
      <c r="J337">
        <v>1012</v>
      </c>
      <c r="K337">
        <v>1110</v>
      </c>
      <c r="L337" s="3">
        <v>-30142151.949999999</v>
      </c>
      <c r="M337" s="3">
        <v>0</v>
      </c>
      <c r="N337">
        <v>51822</v>
      </c>
      <c r="O337">
        <v>0</v>
      </c>
      <c r="P337">
        <v>-30193973.949999999</v>
      </c>
      <c r="Q337" t="s">
        <v>30</v>
      </c>
      <c r="R337" t="s">
        <v>182</v>
      </c>
      <c r="S337" t="str">
        <v/>
      </c>
      <c r="T337" t="str">
        <v>#N/A</v>
      </c>
    </row>
    <row r="338" spans="1:20" ht="13.7" customHeight="1" x14ac:dyDescent="0.25">
      <c r="A338" t="s">
        <v>26</v>
      </c>
      <c r="B338" t="s">
        <v>27</v>
      </c>
      <c r="C338" t="s">
        <v>180</v>
      </c>
      <c r="D338">
        <v>26</v>
      </c>
      <c r="E338" s="5">
        <v>43811</v>
      </c>
      <c r="F338">
        <v>11050501</v>
      </c>
      <c r="G338" t="s">
        <v>195</v>
      </c>
      <c r="J338">
        <v>1012</v>
      </c>
      <c r="K338">
        <v>1110</v>
      </c>
      <c r="L338" s="3">
        <v>-30193973.949999999</v>
      </c>
      <c r="M338" s="3">
        <v>0</v>
      </c>
      <c r="N338">
        <v>196172</v>
      </c>
      <c r="O338">
        <v>0</v>
      </c>
      <c r="P338">
        <v>-30390145.949999999</v>
      </c>
      <c r="Q338" t="s">
        <v>30</v>
      </c>
      <c r="R338" t="s">
        <v>183</v>
      </c>
      <c r="S338" t="str">
        <v/>
      </c>
      <c r="T338" t="str">
        <v>#N/A</v>
      </c>
    </row>
    <row r="339" spans="1:20" ht="13.7" customHeight="1" x14ac:dyDescent="0.25">
      <c r="A339" t="s">
        <v>26</v>
      </c>
      <c r="B339" t="s">
        <v>27</v>
      </c>
      <c r="C339" t="s">
        <v>180</v>
      </c>
      <c r="D339">
        <v>33</v>
      </c>
      <c r="E339" s="5">
        <v>43812</v>
      </c>
      <c r="F339">
        <v>11050501</v>
      </c>
      <c r="G339" t="s">
        <v>195</v>
      </c>
      <c r="J339">
        <v>1012</v>
      </c>
      <c r="K339">
        <v>1110</v>
      </c>
      <c r="L339" s="3">
        <v>-30390145.949999999</v>
      </c>
      <c r="M339" s="3">
        <v>0</v>
      </c>
      <c r="N339">
        <v>38500</v>
      </c>
      <c r="O339">
        <v>0</v>
      </c>
      <c r="P339">
        <v>-30428645.949999999</v>
      </c>
      <c r="Q339" t="s">
        <v>30</v>
      </c>
      <c r="R339" t="s">
        <v>47</v>
      </c>
      <c r="S339" t="str">
        <v/>
      </c>
      <c r="T339" t="str">
        <v>#N/A</v>
      </c>
    </row>
    <row r="340" spans="1:20" ht="13.7" customHeight="1" x14ac:dyDescent="0.25">
      <c r="A340" t="s">
        <v>26</v>
      </c>
      <c r="B340" t="s">
        <v>27</v>
      </c>
      <c r="C340" t="s">
        <v>180</v>
      </c>
      <c r="D340">
        <v>34</v>
      </c>
      <c r="E340" s="5">
        <v>43813</v>
      </c>
      <c r="F340">
        <v>11050501</v>
      </c>
      <c r="G340" t="s">
        <v>195</v>
      </c>
      <c r="J340">
        <v>1012</v>
      </c>
      <c r="K340">
        <v>1110</v>
      </c>
      <c r="L340" s="3">
        <v>-30428645.949999999</v>
      </c>
      <c r="M340" s="3">
        <v>0</v>
      </c>
      <c r="N340">
        <v>30000</v>
      </c>
      <c r="O340">
        <v>0</v>
      </c>
      <c r="P340">
        <v>-30458645.949999999</v>
      </c>
      <c r="Q340" t="s">
        <v>30</v>
      </c>
      <c r="R340" t="s">
        <v>70</v>
      </c>
      <c r="S340" t="str">
        <v/>
      </c>
      <c r="T340" t="str">
        <v>#N/A</v>
      </c>
    </row>
    <row r="341" spans="1:20" ht="13.7" customHeight="1" x14ac:dyDescent="0.25">
      <c r="A341" t="s">
        <v>26</v>
      </c>
      <c r="B341" t="s">
        <v>27</v>
      </c>
      <c r="C341" t="s">
        <v>180</v>
      </c>
      <c r="D341">
        <v>39</v>
      </c>
      <c r="E341" s="5">
        <v>43815</v>
      </c>
      <c r="F341">
        <v>11050501</v>
      </c>
      <c r="G341" t="s">
        <v>195</v>
      </c>
      <c r="J341">
        <v>1012</v>
      </c>
      <c r="K341">
        <v>1110</v>
      </c>
      <c r="L341" s="3">
        <v>-30458645.949999999</v>
      </c>
      <c r="M341" s="3">
        <v>0</v>
      </c>
      <c r="N341">
        <v>4000</v>
      </c>
      <c r="O341">
        <v>0</v>
      </c>
      <c r="P341">
        <v>-30462645.949999999</v>
      </c>
      <c r="Q341" t="s">
        <v>30</v>
      </c>
      <c r="R341" t="s">
        <v>59</v>
      </c>
      <c r="S341" t="str">
        <v/>
      </c>
      <c r="T341" t="str">
        <v>#N/A</v>
      </c>
    </row>
    <row r="342" spans="1:20" ht="13.7" customHeight="1" x14ac:dyDescent="0.25">
      <c r="A342" t="s">
        <v>26</v>
      </c>
      <c r="B342" t="s">
        <v>27</v>
      </c>
      <c r="C342" t="s">
        <v>180</v>
      </c>
      <c r="D342">
        <v>40</v>
      </c>
      <c r="E342" s="5">
        <v>43815</v>
      </c>
      <c r="F342">
        <v>11050501</v>
      </c>
      <c r="G342" t="s">
        <v>195</v>
      </c>
      <c r="J342">
        <v>1012</v>
      </c>
      <c r="K342">
        <v>1110</v>
      </c>
      <c r="L342" s="3">
        <v>-30462645.949999999</v>
      </c>
      <c r="M342" s="3">
        <v>0</v>
      </c>
      <c r="N342">
        <v>3000</v>
      </c>
      <c r="O342">
        <v>0</v>
      </c>
      <c r="P342">
        <v>-30465645.949999999</v>
      </c>
      <c r="Q342" t="s">
        <v>30</v>
      </c>
      <c r="R342" t="s">
        <v>184</v>
      </c>
      <c r="S342" t="str">
        <v/>
      </c>
      <c r="T342" t="str">
        <v>#N/A</v>
      </c>
    </row>
    <row r="343" spans="1:20" ht="13.7" customHeight="1" x14ac:dyDescent="0.25">
      <c r="A343" t="s">
        <v>26</v>
      </c>
      <c r="B343" t="s">
        <v>27</v>
      </c>
      <c r="C343" t="s">
        <v>180</v>
      </c>
      <c r="D343">
        <v>42</v>
      </c>
      <c r="E343" s="5">
        <v>43815</v>
      </c>
      <c r="F343">
        <v>11050501</v>
      </c>
      <c r="G343" t="s">
        <v>195</v>
      </c>
      <c r="J343">
        <v>1012</v>
      </c>
      <c r="K343">
        <v>1110</v>
      </c>
      <c r="L343" s="3">
        <v>-30465645.949999999</v>
      </c>
      <c r="M343" s="3">
        <v>0</v>
      </c>
      <c r="N343">
        <v>49950</v>
      </c>
      <c r="O343">
        <v>0</v>
      </c>
      <c r="P343">
        <v>-30515595.949999999</v>
      </c>
      <c r="Q343" t="s">
        <v>30</v>
      </c>
      <c r="R343" t="s">
        <v>185</v>
      </c>
      <c r="S343" t="str">
        <v/>
      </c>
      <c r="T343" t="str">
        <v>#N/A</v>
      </c>
    </row>
    <row r="344" spans="1:20" ht="13.7" customHeight="1" x14ac:dyDescent="0.25">
      <c r="A344" t="s">
        <v>26</v>
      </c>
      <c r="B344" t="s">
        <v>27</v>
      </c>
      <c r="C344" t="s">
        <v>180</v>
      </c>
      <c r="D344">
        <v>43</v>
      </c>
      <c r="E344" s="5">
        <v>43815</v>
      </c>
      <c r="F344">
        <v>11050501</v>
      </c>
      <c r="G344" t="s">
        <v>195</v>
      </c>
      <c r="J344">
        <v>1012</v>
      </c>
      <c r="K344">
        <v>1110</v>
      </c>
      <c r="L344" s="3">
        <v>-30515595.949999999</v>
      </c>
      <c r="M344" s="3">
        <v>0</v>
      </c>
      <c r="N344">
        <v>6000</v>
      </c>
      <c r="O344">
        <v>0</v>
      </c>
      <c r="P344">
        <v>-30521595.949999999</v>
      </c>
      <c r="Q344" t="s">
        <v>30</v>
      </c>
      <c r="R344" t="s">
        <v>186</v>
      </c>
      <c r="S344" t="str">
        <v/>
      </c>
      <c r="T344" t="str">
        <v>#N/A</v>
      </c>
    </row>
    <row r="345" spans="1:20" ht="13.7" customHeight="1" x14ac:dyDescent="0.25">
      <c r="A345" t="s">
        <v>26</v>
      </c>
      <c r="B345" t="s">
        <v>27</v>
      </c>
      <c r="C345" t="s">
        <v>180</v>
      </c>
      <c r="D345">
        <v>44</v>
      </c>
      <c r="E345" s="5">
        <v>43815</v>
      </c>
      <c r="F345">
        <v>11050501</v>
      </c>
      <c r="G345" t="s">
        <v>195</v>
      </c>
      <c r="J345">
        <v>1012</v>
      </c>
      <c r="K345">
        <v>1110</v>
      </c>
      <c r="L345" s="3">
        <v>-30521595.949999999</v>
      </c>
      <c r="M345" s="3">
        <v>0</v>
      </c>
      <c r="N345">
        <v>17761</v>
      </c>
      <c r="O345">
        <v>0</v>
      </c>
      <c r="P345">
        <v>-30539356.949999999</v>
      </c>
      <c r="Q345" t="s">
        <v>30</v>
      </c>
      <c r="R345" t="s">
        <v>187</v>
      </c>
      <c r="S345" t="str">
        <v/>
      </c>
      <c r="T345" t="str">
        <v>#N/A</v>
      </c>
    </row>
    <row r="346" spans="1:20" ht="13.7" customHeight="1" x14ac:dyDescent="0.25">
      <c r="A346" t="s">
        <v>26</v>
      </c>
      <c r="B346" t="s">
        <v>27</v>
      </c>
      <c r="C346" t="s">
        <v>180</v>
      </c>
      <c r="D346">
        <v>46</v>
      </c>
      <c r="E346" s="5">
        <v>43817</v>
      </c>
      <c r="F346">
        <v>11050501</v>
      </c>
      <c r="G346" t="s">
        <v>195</v>
      </c>
      <c r="J346">
        <v>1012</v>
      </c>
      <c r="K346">
        <v>1110</v>
      </c>
      <c r="L346" s="3">
        <v>-30539356.949999999</v>
      </c>
      <c r="M346" s="3">
        <v>0</v>
      </c>
      <c r="N346">
        <v>25704</v>
      </c>
      <c r="O346">
        <v>0</v>
      </c>
      <c r="P346">
        <v>-30565060.949999999</v>
      </c>
      <c r="Q346" t="s">
        <v>30</v>
      </c>
      <c r="R346" t="s">
        <v>188</v>
      </c>
      <c r="S346" t="str">
        <v/>
      </c>
      <c r="T346" t="str">
        <v>#N/A</v>
      </c>
    </row>
    <row r="347" spans="1:20" ht="13.7" customHeight="1" x14ac:dyDescent="0.25">
      <c r="A347" t="s">
        <v>26</v>
      </c>
      <c r="B347" t="s">
        <v>27</v>
      </c>
      <c r="C347" t="s">
        <v>180</v>
      </c>
      <c r="D347">
        <v>47</v>
      </c>
      <c r="E347" s="5">
        <v>43817</v>
      </c>
      <c r="F347">
        <v>11050501</v>
      </c>
      <c r="G347" t="s">
        <v>195</v>
      </c>
      <c r="J347">
        <v>1012</v>
      </c>
      <c r="K347">
        <v>1110</v>
      </c>
      <c r="L347" s="3">
        <v>-30565060.949999999</v>
      </c>
      <c r="M347" s="3">
        <v>0</v>
      </c>
      <c r="N347">
        <v>7586</v>
      </c>
      <c r="O347">
        <v>0</v>
      </c>
      <c r="P347">
        <v>-30572646.949999999</v>
      </c>
      <c r="Q347" t="s">
        <v>30</v>
      </c>
      <c r="R347" t="s">
        <v>189</v>
      </c>
      <c r="S347" t="str">
        <v/>
      </c>
      <c r="T347" t="str">
        <v>#N/A</v>
      </c>
    </row>
    <row r="348" spans="1:20" ht="13.7" customHeight="1" x14ac:dyDescent="0.25">
      <c r="A348" t="s">
        <v>26</v>
      </c>
      <c r="B348" t="s">
        <v>27</v>
      </c>
      <c r="C348" t="s">
        <v>180</v>
      </c>
      <c r="D348">
        <v>51</v>
      </c>
      <c r="E348" s="5">
        <v>43817</v>
      </c>
      <c r="F348">
        <v>11050501</v>
      </c>
      <c r="G348" t="s">
        <v>195</v>
      </c>
      <c r="J348">
        <v>1012</v>
      </c>
      <c r="K348">
        <v>1110</v>
      </c>
      <c r="L348" s="3">
        <v>-30572646.949999999</v>
      </c>
      <c r="M348" s="3">
        <v>0</v>
      </c>
      <c r="N348">
        <v>5400</v>
      </c>
      <c r="O348">
        <v>0</v>
      </c>
      <c r="P348">
        <v>-30578046.949999999</v>
      </c>
      <c r="Q348" t="s">
        <v>30</v>
      </c>
      <c r="R348" t="s">
        <v>59</v>
      </c>
      <c r="S348" t="str">
        <v/>
      </c>
      <c r="T348" t="str">
        <v>#N/A</v>
      </c>
    </row>
    <row r="349" spans="1:20" ht="13.7" customHeight="1" x14ac:dyDescent="0.25">
      <c r="A349" t="s">
        <v>26</v>
      </c>
      <c r="B349" t="s">
        <v>27</v>
      </c>
      <c r="C349" t="s">
        <v>180</v>
      </c>
      <c r="D349">
        <v>53</v>
      </c>
      <c r="E349" s="5">
        <v>43818</v>
      </c>
      <c r="F349">
        <v>11050501</v>
      </c>
      <c r="G349" t="s">
        <v>195</v>
      </c>
      <c r="J349">
        <v>1012</v>
      </c>
      <c r="K349">
        <v>1110</v>
      </c>
      <c r="L349" s="3">
        <v>-30578046.949999999</v>
      </c>
      <c r="M349" s="3">
        <v>0</v>
      </c>
      <c r="N349">
        <v>500000</v>
      </c>
      <c r="O349">
        <v>0</v>
      </c>
      <c r="P349">
        <v>-31078046.949999999</v>
      </c>
      <c r="Q349" t="s">
        <v>30</v>
      </c>
      <c r="R349" t="s">
        <v>190</v>
      </c>
      <c r="S349" t="str">
        <v/>
      </c>
      <c r="T349" t="str">
        <v>#N/A</v>
      </c>
    </row>
    <row r="350" spans="1:20" ht="13.7" customHeight="1" x14ac:dyDescent="0.25">
      <c r="A350" t="s">
        <v>26</v>
      </c>
      <c r="B350" t="s">
        <v>27</v>
      </c>
      <c r="C350" t="s">
        <v>180</v>
      </c>
      <c r="D350">
        <v>54</v>
      </c>
      <c r="E350" s="5">
        <v>43819</v>
      </c>
      <c r="F350">
        <v>11050501</v>
      </c>
      <c r="G350" t="s">
        <v>195</v>
      </c>
      <c r="J350">
        <v>1012</v>
      </c>
      <c r="K350">
        <v>1110</v>
      </c>
      <c r="L350" s="3">
        <v>-31078046.949999999</v>
      </c>
      <c r="M350" s="3">
        <v>0</v>
      </c>
      <c r="N350">
        <v>500000</v>
      </c>
      <c r="O350">
        <v>0</v>
      </c>
      <c r="P350">
        <v>-31578046.949999999</v>
      </c>
      <c r="Q350" t="s">
        <v>30</v>
      </c>
      <c r="R350" t="s">
        <v>190</v>
      </c>
      <c r="S350" t="str">
        <v/>
      </c>
      <c r="T350" t="str">
        <v>#N/A</v>
      </c>
    </row>
    <row r="351" spans="1:20" ht="13.7" customHeight="1" x14ac:dyDescent="0.25">
      <c r="A351" t="s">
        <v>26</v>
      </c>
      <c r="B351" t="s">
        <v>27</v>
      </c>
      <c r="C351" t="s">
        <v>180</v>
      </c>
      <c r="D351">
        <v>56</v>
      </c>
      <c r="E351" s="5">
        <v>43819</v>
      </c>
      <c r="F351">
        <v>11050501</v>
      </c>
      <c r="G351" t="s">
        <v>195</v>
      </c>
      <c r="J351">
        <v>1012</v>
      </c>
      <c r="K351">
        <v>1110</v>
      </c>
      <c r="L351" s="3">
        <v>-31578046.949999999</v>
      </c>
      <c r="M351" s="3">
        <v>0</v>
      </c>
      <c r="N351">
        <v>7540</v>
      </c>
      <c r="O351">
        <v>0</v>
      </c>
      <c r="P351">
        <v>-31585586.949999999</v>
      </c>
      <c r="Q351" t="s">
        <v>30</v>
      </c>
      <c r="R351" t="s">
        <v>59</v>
      </c>
      <c r="S351" t="str">
        <v/>
      </c>
      <c r="T351" t="str">
        <v>#N/A</v>
      </c>
    </row>
    <row r="352" spans="1:20" ht="13.7" customHeight="1" x14ac:dyDescent="0.25">
      <c r="A352" t="s">
        <v>26</v>
      </c>
      <c r="B352" t="s">
        <v>27</v>
      </c>
      <c r="C352" t="s">
        <v>180</v>
      </c>
      <c r="D352">
        <v>87</v>
      </c>
      <c r="E352" s="5">
        <v>43822</v>
      </c>
      <c r="F352">
        <v>11050501</v>
      </c>
      <c r="G352" t="s">
        <v>195</v>
      </c>
      <c r="J352">
        <v>1012</v>
      </c>
      <c r="K352">
        <v>1110</v>
      </c>
      <c r="L352" s="3">
        <v>-31585586.949999999</v>
      </c>
      <c r="M352" s="3">
        <v>0</v>
      </c>
      <c r="N352">
        <v>115736</v>
      </c>
      <c r="O352">
        <v>0</v>
      </c>
      <c r="P352">
        <v>-31701322.949999999</v>
      </c>
      <c r="Q352" t="s">
        <v>30</v>
      </c>
      <c r="R352" t="s">
        <v>158</v>
      </c>
      <c r="S352" t="str">
        <v/>
      </c>
      <c r="T352" t="str">
        <v>#N/A</v>
      </c>
    </row>
    <row r="353" spans="1:20" ht="13.7" customHeight="1" x14ac:dyDescent="0.25">
      <c r="A353" t="s">
        <v>26</v>
      </c>
      <c r="B353" t="s">
        <v>27</v>
      </c>
      <c r="C353" t="s">
        <v>180</v>
      </c>
      <c r="D353">
        <v>64</v>
      </c>
      <c r="E353" s="5">
        <v>43825</v>
      </c>
      <c r="F353">
        <v>11050501</v>
      </c>
      <c r="G353" t="s">
        <v>195</v>
      </c>
      <c r="J353">
        <v>1012</v>
      </c>
      <c r="K353">
        <v>1110</v>
      </c>
      <c r="L353" s="3">
        <v>-31701322.949999999</v>
      </c>
      <c r="M353" s="3">
        <v>0</v>
      </c>
      <c r="N353">
        <v>10400</v>
      </c>
      <c r="O353">
        <v>0</v>
      </c>
      <c r="P353">
        <v>-31711722.949999999</v>
      </c>
      <c r="Q353" t="s">
        <v>30</v>
      </c>
      <c r="R353" t="s">
        <v>191</v>
      </c>
      <c r="S353" t="str">
        <v/>
      </c>
      <c r="T353" t="str">
        <v>#N/A</v>
      </c>
    </row>
    <row r="354" spans="1:20" ht="13.7" customHeight="1" x14ac:dyDescent="0.25">
      <c r="A354" t="s">
        <v>26</v>
      </c>
      <c r="B354" t="s">
        <v>27</v>
      </c>
      <c r="C354" t="s">
        <v>180</v>
      </c>
      <c r="D354">
        <v>65</v>
      </c>
      <c r="E354" s="5">
        <v>43825</v>
      </c>
      <c r="F354">
        <v>11050501</v>
      </c>
      <c r="G354" t="s">
        <v>195</v>
      </c>
      <c r="J354">
        <v>1012</v>
      </c>
      <c r="K354">
        <v>1110</v>
      </c>
      <c r="L354" s="3">
        <v>-31711722.949999999</v>
      </c>
      <c r="M354" s="3">
        <v>0</v>
      </c>
      <c r="N354">
        <v>9000</v>
      </c>
      <c r="O354">
        <v>0</v>
      </c>
      <c r="P354">
        <v>-31720722.949999999</v>
      </c>
      <c r="Q354" t="s">
        <v>30</v>
      </c>
      <c r="R354" t="s">
        <v>191</v>
      </c>
      <c r="S354" t="str">
        <v/>
      </c>
      <c r="T354" t="str">
        <v>#N/A</v>
      </c>
    </row>
    <row r="355" spans="1:20" ht="13.7" customHeight="1" x14ac:dyDescent="0.25">
      <c r="A355" t="s">
        <v>26</v>
      </c>
      <c r="B355" t="s">
        <v>27</v>
      </c>
      <c r="C355" t="s">
        <v>180</v>
      </c>
      <c r="D355">
        <v>66</v>
      </c>
      <c r="E355" s="5">
        <v>43825</v>
      </c>
      <c r="F355">
        <v>11050501</v>
      </c>
      <c r="G355" t="s">
        <v>195</v>
      </c>
      <c r="J355">
        <v>1012</v>
      </c>
      <c r="K355">
        <v>1110</v>
      </c>
      <c r="L355" s="3">
        <v>-31720722.949999999</v>
      </c>
      <c r="M355" s="3">
        <v>0</v>
      </c>
      <c r="N355">
        <v>6700</v>
      </c>
      <c r="O355">
        <v>0</v>
      </c>
      <c r="P355">
        <v>-31727422.949999999</v>
      </c>
      <c r="Q355" t="s">
        <v>30</v>
      </c>
      <c r="R355" t="s">
        <v>191</v>
      </c>
      <c r="S355" t="str">
        <v/>
      </c>
      <c r="T355" t="str">
        <v>#N/A</v>
      </c>
    </row>
    <row r="356" spans="1:20" ht="13.7" customHeight="1" x14ac:dyDescent="0.25">
      <c r="A356" t="s">
        <v>26</v>
      </c>
      <c r="B356" t="s">
        <v>27</v>
      </c>
      <c r="C356" t="s">
        <v>180</v>
      </c>
      <c r="D356">
        <v>67</v>
      </c>
      <c r="E356" s="5">
        <v>43825</v>
      </c>
      <c r="F356">
        <v>11050501</v>
      </c>
      <c r="G356" t="s">
        <v>195</v>
      </c>
      <c r="J356">
        <v>1012</v>
      </c>
      <c r="K356">
        <v>1110</v>
      </c>
      <c r="L356" s="3">
        <v>-31727422.949999999</v>
      </c>
      <c r="M356" s="3">
        <v>0</v>
      </c>
      <c r="N356">
        <v>8600</v>
      </c>
      <c r="O356">
        <v>0</v>
      </c>
      <c r="P356">
        <v>-31736022.949999999</v>
      </c>
      <c r="Q356" t="s">
        <v>30</v>
      </c>
      <c r="R356" t="s">
        <v>191</v>
      </c>
      <c r="S356" t="str">
        <v/>
      </c>
      <c r="T356" t="str">
        <v>#N/A</v>
      </c>
    </row>
    <row r="357" spans="1:20" ht="13.7" customHeight="1" x14ac:dyDescent="0.25">
      <c r="A357" t="s">
        <v>26</v>
      </c>
      <c r="B357" t="s">
        <v>27</v>
      </c>
      <c r="C357" t="s">
        <v>180</v>
      </c>
      <c r="D357">
        <v>68</v>
      </c>
      <c r="E357" s="5">
        <v>43825</v>
      </c>
      <c r="F357">
        <v>11050501</v>
      </c>
      <c r="G357" t="s">
        <v>195</v>
      </c>
      <c r="J357">
        <v>1012</v>
      </c>
      <c r="K357">
        <v>1110</v>
      </c>
      <c r="L357" s="3">
        <v>-31736022.949999999</v>
      </c>
      <c r="M357" s="3">
        <v>0</v>
      </c>
      <c r="N357">
        <v>9000</v>
      </c>
      <c r="O357">
        <v>0</v>
      </c>
      <c r="P357">
        <v>-31745022.949999999</v>
      </c>
      <c r="Q357" t="s">
        <v>30</v>
      </c>
      <c r="R357" t="s">
        <v>191</v>
      </c>
      <c r="S357" t="str">
        <v/>
      </c>
      <c r="T357" t="str">
        <v>#N/A</v>
      </c>
    </row>
    <row r="358" spans="1:20" ht="13.7" customHeight="1" x14ac:dyDescent="0.25">
      <c r="A358" t="s">
        <v>26</v>
      </c>
      <c r="B358" t="s">
        <v>27</v>
      </c>
      <c r="C358" t="s">
        <v>180</v>
      </c>
      <c r="D358">
        <v>69</v>
      </c>
      <c r="E358" s="5">
        <v>43825</v>
      </c>
      <c r="F358">
        <v>11050501</v>
      </c>
      <c r="G358" t="s">
        <v>195</v>
      </c>
      <c r="J358">
        <v>1012</v>
      </c>
      <c r="K358">
        <v>1110</v>
      </c>
      <c r="L358" s="3">
        <v>-31745022.949999999</v>
      </c>
      <c r="M358" s="3">
        <v>0</v>
      </c>
      <c r="N358">
        <v>8500</v>
      </c>
      <c r="O358">
        <v>0</v>
      </c>
      <c r="P358">
        <v>-31753522.949999999</v>
      </c>
      <c r="Q358" t="s">
        <v>30</v>
      </c>
      <c r="R358" t="s">
        <v>191</v>
      </c>
      <c r="S358" t="str">
        <v/>
      </c>
      <c r="T358" t="str">
        <v>#N/A</v>
      </c>
    </row>
    <row r="359" spans="1:20" ht="13.7" customHeight="1" x14ac:dyDescent="0.25">
      <c r="A359" t="s">
        <v>26</v>
      </c>
      <c r="B359" t="s">
        <v>27</v>
      </c>
      <c r="C359" t="s">
        <v>180</v>
      </c>
      <c r="D359">
        <v>70</v>
      </c>
      <c r="E359" s="5">
        <v>43825</v>
      </c>
      <c r="F359">
        <v>11050501</v>
      </c>
      <c r="G359" t="s">
        <v>195</v>
      </c>
      <c r="J359">
        <v>1012</v>
      </c>
      <c r="K359">
        <v>1110</v>
      </c>
      <c r="L359" s="3">
        <v>-31753522.949999999</v>
      </c>
      <c r="M359" s="3">
        <v>0</v>
      </c>
      <c r="N359">
        <v>10700</v>
      </c>
      <c r="O359">
        <v>0</v>
      </c>
      <c r="P359">
        <v>-31764222.949999999</v>
      </c>
      <c r="Q359" t="s">
        <v>30</v>
      </c>
      <c r="R359" t="s">
        <v>191</v>
      </c>
      <c r="S359" t="str">
        <v/>
      </c>
      <c r="T359" t="str">
        <v>#N/A</v>
      </c>
    </row>
    <row r="360" spans="1:20" ht="13.7" customHeight="1" x14ac:dyDescent="0.25">
      <c r="A360" t="s">
        <v>26</v>
      </c>
      <c r="B360" t="s">
        <v>27</v>
      </c>
      <c r="C360" t="s">
        <v>180</v>
      </c>
      <c r="D360">
        <v>71</v>
      </c>
      <c r="E360" s="5">
        <v>43825</v>
      </c>
      <c r="F360">
        <v>11050501</v>
      </c>
      <c r="G360" t="s">
        <v>195</v>
      </c>
      <c r="J360">
        <v>1012</v>
      </c>
      <c r="K360">
        <v>1110</v>
      </c>
      <c r="L360" s="3">
        <v>-31764222.949999999</v>
      </c>
      <c r="M360" s="3">
        <v>0</v>
      </c>
      <c r="N360">
        <v>70000</v>
      </c>
      <c r="O360">
        <v>0</v>
      </c>
      <c r="P360">
        <v>-31834222.949999999</v>
      </c>
      <c r="Q360" t="s">
        <v>30</v>
      </c>
      <c r="R360" t="s">
        <v>192</v>
      </c>
      <c r="S360" t="str">
        <v/>
      </c>
      <c r="T360" t="str">
        <v>#N/A</v>
      </c>
    </row>
    <row r="361" spans="1:20" ht="13.7" customHeight="1" x14ac:dyDescent="0.25">
      <c r="A361" t="s">
        <v>26</v>
      </c>
      <c r="B361" t="s">
        <v>27</v>
      </c>
      <c r="C361" t="s">
        <v>180</v>
      </c>
      <c r="D361">
        <v>72</v>
      </c>
      <c r="E361" s="5">
        <v>43826</v>
      </c>
      <c r="F361">
        <v>11050501</v>
      </c>
      <c r="G361" t="s">
        <v>195</v>
      </c>
      <c r="J361">
        <v>1012</v>
      </c>
      <c r="K361">
        <v>1110</v>
      </c>
      <c r="L361" s="3">
        <v>-31834222.949999999</v>
      </c>
      <c r="M361" s="3">
        <v>0</v>
      </c>
      <c r="N361">
        <v>9400</v>
      </c>
      <c r="O361">
        <v>0</v>
      </c>
      <c r="P361">
        <v>-31843622.949999999</v>
      </c>
      <c r="Q361" t="s">
        <v>30</v>
      </c>
      <c r="R361" t="s">
        <v>191</v>
      </c>
      <c r="S361" t="str">
        <v/>
      </c>
      <c r="T361" t="str">
        <v>#N/A</v>
      </c>
    </row>
    <row r="362" spans="1:20" ht="13.7" customHeight="1" x14ac:dyDescent="0.25">
      <c r="A362" t="s">
        <v>26</v>
      </c>
      <c r="B362" t="s">
        <v>27</v>
      </c>
      <c r="C362" t="s">
        <v>180</v>
      </c>
      <c r="D362">
        <v>74</v>
      </c>
      <c r="E362" s="5">
        <v>43826</v>
      </c>
      <c r="F362">
        <v>11050501</v>
      </c>
      <c r="G362" t="s">
        <v>195</v>
      </c>
      <c r="J362">
        <v>1012</v>
      </c>
      <c r="K362">
        <v>1110</v>
      </c>
      <c r="L362" s="3">
        <v>-31843622.949999999</v>
      </c>
      <c r="M362" s="3">
        <v>0</v>
      </c>
      <c r="N362">
        <v>10500</v>
      </c>
      <c r="O362">
        <v>0</v>
      </c>
      <c r="P362">
        <v>-31854122.949999999</v>
      </c>
      <c r="Q362" t="s">
        <v>30</v>
      </c>
      <c r="R362" t="s">
        <v>191</v>
      </c>
      <c r="S362" t="str">
        <v/>
      </c>
      <c r="T362" t="str">
        <v>#N/A</v>
      </c>
    </row>
    <row r="363" spans="1:20" ht="13.7" customHeight="1" x14ac:dyDescent="0.25">
      <c r="A363" t="s">
        <v>26</v>
      </c>
      <c r="B363" t="s">
        <v>27</v>
      </c>
      <c r="C363" t="s">
        <v>180</v>
      </c>
      <c r="D363">
        <v>75</v>
      </c>
      <c r="E363" s="5">
        <v>43826</v>
      </c>
      <c r="F363">
        <v>11050501</v>
      </c>
      <c r="G363" t="s">
        <v>195</v>
      </c>
      <c r="J363">
        <v>1012</v>
      </c>
      <c r="K363">
        <v>1110</v>
      </c>
      <c r="L363" s="3">
        <v>-31854122.949999999</v>
      </c>
      <c r="M363" s="3">
        <v>0</v>
      </c>
      <c r="N363">
        <v>10700</v>
      </c>
      <c r="O363">
        <v>0</v>
      </c>
      <c r="P363">
        <v>-31864822.949999999</v>
      </c>
      <c r="Q363" t="s">
        <v>30</v>
      </c>
      <c r="R363" t="s">
        <v>191</v>
      </c>
      <c r="S363" t="str">
        <v/>
      </c>
      <c r="T363" t="str">
        <v>#N/A</v>
      </c>
    </row>
    <row r="364" spans="1:20" ht="13.7" customHeight="1" x14ac:dyDescent="0.25">
      <c r="A364" t="s">
        <v>26</v>
      </c>
      <c r="B364" t="s">
        <v>27</v>
      </c>
      <c r="C364" t="s">
        <v>180</v>
      </c>
      <c r="D364">
        <v>76</v>
      </c>
      <c r="E364" s="5">
        <v>43826</v>
      </c>
      <c r="F364">
        <v>11050501</v>
      </c>
      <c r="G364" t="s">
        <v>195</v>
      </c>
      <c r="J364">
        <v>1012</v>
      </c>
      <c r="K364">
        <v>1110</v>
      </c>
      <c r="L364" s="3">
        <v>-31864822.949999999</v>
      </c>
      <c r="M364" s="3">
        <v>0</v>
      </c>
      <c r="N364">
        <v>4800</v>
      </c>
      <c r="O364">
        <v>0</v>
      </c>
      <c r="P364">
        <v>-31869622.949999999</v>
      </c>
      <c r="Q364" t="s">
        <v>30</v>
      </c>
      <c r="R364" t="s">
        <v>191</v>
      </c>
      <c r="S364" t="str">
        <v/>
      </c>
      <c r="T364" t="str">
        <v>#N/A</v>
      </c>
    </row>
    <row r="365" spans="1:20" ht="13.7" customHeight="1" x14ac:dyDescent="0.25">
      <c r="A365" t="s">
        <v>26</v>
      </c>
      <c r="B365" t="s">
        <v>27</v>
      </c>
      <c r="C365" t="s">
        <v>180</v>
      </c>
      <c r="D365">
        <v>77</v>
      </c>
      <c r="E365" s="5">
        <v>43826</v>
      </c>
      <c r="F365">
        <v>11050501</v>
      </c>
      <c r="G365" t="s">
        <v>195</v>
      </c>
      <c r="J365">
        <v>1012</v>
      </c>
      <c r="K365">
        <v>1110</v>
      </c>
      <c r="L365" s="3">
        <v>-31869622.949999999</v>
      </c>
      <c r="M365" s="3">
        <v>0</v>
      </c>
      <c r="N365">
        <v>100006</v>
      </c>
      <c r="O365">
        <v>0</v>
      </c>
      <c r="P365">
        <v>-31969628.949999999</v>
      </c>
      <c r="Q365" t="s">
        <v>30</v>
      </c>
      <c r="R365" t="s">
        <v>158</v>
      </c>
      <c r="S365" t="str">
        <v/>
      </c>
      <c r="T365" t="str">
        <v>#N/A</v>
      </c>
    </row>
    <row r="366" spans="1:20" ht="13.7" customHeight="1" x14ac:dyDescent="0.25">
      <c r="A366" t="s">
        <v>26</v>
      </c>
      <c r="B366" t="s">
        <v>27</v>
      </c>
      <c r="C366" t="s">
        <v>180</v>
      </c>
      <c r="D366">
        <v>78</v>
      </c>
      <c r="E366" s="5">
        <v>43827</v>
      </c>
      <c r="F366">
        <v>11050501</v>
      </c>
      <c r="G366" t="s">
        <v>195</v>
      </c>
      <c r="J366">
        <v>1012</v>
      </c>
      <c r="K366">
        <v>1110</v>
      </c>
      <c r="L366" s="3">
        <v>-31969628.949999999</v>
      </c>
      <c r="M366" s="3">
        <v>0</v>
      </c>
      <c r="N366">
        <v>37500</v>
      </c>
      <c r="O366">
        <v>0</v>
      </c>
      <c r="P366">
        <v>-32007128.949999999</v>
      </c>
      <c r="Q366" t="s">
        <v>30</v>
      </c>
      <c r="R366" t="s">
        <v>70</v>
      </c>
      <c r="S366" t="str">
        <v/>
      </c>
      <c r="T366" t="str">
        <v>#N/A</v>
      </c>
    </row>
    <row r="367" spans="1:20" ht="13.7" customHeight="1" x14ac:dyDescent="0.25">
      <c r="A367" t="s">
        <v>26</v>
      </c>
      <c r="B367" t="s">
        <v>27</v>
      </c>
      <c r="C367" t="s">
        <v>180</v>
      </c>
      <c r="D367">
        <v>79</v>
      </c>
      <c r="E367" s="5">
        <v>43827</v>
      </c>
      <c r="F367">
        <v>11050501</v>
      </c>
      <c r="G367" t="s">
        <v>195</v>
      </c>
      <c r="J367">
        <v>1012</v>
      </c>
      <c r="K367">
        <v>1110</v>
      </c>
      <c r="L367" s="3">
        <v>-32007128.949999999</v>
      </c>
      <c r="M367" s="3">
        <v>0</v>
      </c>
      <c r="N367">
        <v>8500</v>
      </c>
      <c r="O367">
        <v>0</v>
      </c>
      <c r="P367">
        <v>-32015628.949999999</v>
      </c>
      <c r="Q367" t="s">
        <v>30</v>
      </c>
      <c r="R367" t="s">
        <v>191</v>
      </c>
      <c r="S367" t="str">
        <v/>
      </c>
      <c r="T367" t="str">
        <v>#N/A</v>
      </c>
    </row>
    <row r="368" spans="1:20" ht="13.7" customHeight="1" x14ac:dyDescent="0.25">
      <c r="A368" t="s">
        <v>26</v>
      </c>
      <c r="B368" t="s">
        <v>27</v>
      </c>
      <c r="C368" t="s">
        <v>180</v>
      </c>
      <c r="D368">
        <v>80</v>
      </c>
      <c r="E368" s="5">
        <v>43827</v>
      </c>
      <c r="F368">
        <v>11050501</v>
      </c>
      <c r="G368" t="s">
        <v>195</v>
      </c>
      <c r="J368">
        <v>1012</v>
      </c>
      <c r="K368">
        <v>1110</v>
      </c>
      <c r="L368" s="3">
        <v>-32015628.949999999</v>
      </c>
      <c r="M368" s="3">
        <v>0</v>
      </c>
      <c r="N368">
        <v>8100</v>
      </c>
      <c r="O368">
        <v>0</v>
      </c>
      <c r="P368">
        <v>-32023728.949999999</v>
      </c>
      <c r="Q368" t="s">
        <v>30</v>
      </c>
      <c r="R368" t="s">
        <v>191</v>
      </c>
      <c r="S368" t="str">
        <v/>
      </c>
      <c r="T368" t="str">
        <v>#N/A</v>
      </c>
    </row>
    <row r="369" spans="1:20" ht="13.7" customHeight="1" x14ac:dyDescent="0.25">
      <c r="A369" t="s">
        <v>26</v>
      </c>
      <c r="B369" t="s">
        <v>27</v>
      </c>
      <c r="C369" t="s">
        <v>180</v>
      </c>
      <c r="D369">
        <v>81</v>
      </c>
      <c r="E369" s="5">
        <v>43827</v>
      </c>
      <c r="F369">
        <v>11050501</v>
      </c>
      <c r="G369" t="s">
        <v>195</v>
      </c>
      <c r="J369">
        <v>1012</v>
      </c>
      <c r="K369">
        <v>1110</v>
      </c>
      <c r="L369" s="3">
        <v>-32023728.949999999</v>
      </c>
      <c r="M369" s="3">
        <v>0</v>
      </c>
      <c r="N369">
        <v>7900</v>
      </c>
      <c r="O369">
        <v>0</v>
      </c>
      <c r="P369">
        <v>-32031628.949999999</v>
      </c>
      <c r="Q369" t="s">
        <v>30</v>
      </c>
      <c r="R369" t="s">
        <v>191</v>
      </c>
      <c r="S369" t="str">
        <v/>
      </c>
      <c r="T369" t="str">
        <v>#N/A</v>
      </c>
    </row>
    <row r="370" spans="1:20" ht="13.7" customHeight="1" x14ac:dyDescent="0.25">
      <c r="A370" t="s">
        <v>26</v>
      </c>
      <c r="B370" t="s">
        <v>27</v>
      </c>
      <c r="C370" t="s">
        <v>180</v>
      </c>
      <c r="D370">
        <v>82</v>
      </c>
      <c r="E370" s="5">
        <v>43827</v>
      </c>
      <c r="F370">
        <v>11050501</v>
      </c>
      <c r="G370" t="s">
        <v>195</v>
      </c>
      <c r="J370">
        <v>1012</v>
      </c>
      <c r="K370">
        <v>1110</v>
      </c>
      <c r="L370" s="3">
        <v>-32031628.949999999</v>
      </c>
      <c r="M370" s="3">
        <v>0</v>
      </c>
      <c r="N370">
        <v>9400</v>
      </c>
      <c r="O370">
        <v>0</v>
      </c>
      <c r="P370">
        <v>-32041028.949999999</v>
      </c>
      <c r="Q370" t="s">
        <v>30</v>
      </c>
      <c r="R370" t="s">
        <v>191</v>
      </c>
      <c r="S370" t="str">
        <v/>
      </c>
      <c r="T370" t="str">
        <v>#N/A</v>
      </c>
    </row>
    <row r="371" spans="1:20" ht="13.7" customHeight="1" x14ac:dyDescent="0.25">
      <c r="A371" t="s">
        <v>26</v>
      </c>
      <c r="B371" t="s">
        <v>27</v>
      </c>
      <c r="C371" t="s">
        <v>180</v>
      </c>
      <c r="D371">
        <v>83</v>
      </c>
      <c r="E371" s="5">
        <v>43827</v>
      </c>
      <c r="F371">
        <v>11050501</v>
      </c>
      <c r="G371" t="s">
        <v>195</v>
      </c>
      <c r="J371">
        <v>1012</v>
      </c>
      <c r="K371">
        <v>1110</v>
      </c>
      <c r="L371" s="3">
        <v>-32041028.949999999</v>
      </c>
      <c r="M371" s="3">
        <v>0</v>
      </c>
      <c r="N371">
        <v>124423</v>
      </c>
      <c r="O371">
        <v>0</v>
      </c>
      <c r="P371">
        <v>-32165451.949999999</v>
      </c>
      <c r="Q371" t="s">
        <v>30</v>
      </c>
      <c r="R371" t="s">
        <v>193</v>
      </c>
      <c r="S371" t="str">
        <v/>
      </c>
      <c r="T371" t="str">
        <v>#N/A</v>
      </c>
    </row>
    <row r="372" spans="1:20" ht="13.7" customHeight="1" x14ac:dyDescent="0.25">
      <c r="A372" t="s">
        <v>26</v>
      </c>
      <c r="B372" t="s">
        <v>27</v>
      </c>
      <c r="C372" t="s">
        <v>180</v>
      </c>
      <c r="D372">
        <v>84</v>
      </c>
      <c r="E372" s="5">
        <v>43827</v>
      </c>
      <c r="F372">
        <v>11050501</v>
      </c>
      <c r="G372" t="s">
        <v>195</v>
      </c>
      <c r="J372">
        <v>1012</v>
      </c>
      <c r="K372">
        <v>1110</v>
      </c>
      <c r="L372" s="3">
        <v>-32165451.949999999</v>
      </c>
      <c r="M372" s="3">
        <v>0</v>
      </c>
      <c r="N372">
        <v>20300</v>
      </c>
      <c r="O372">
        <v>0</v>
      </c>
      <c r="P372">
        <v>-32185751.949999999</v>
      </c>
      <c r="Q372" t="s">
        <v>30</v>
      </c>
      <c r="R372" t="s">
        <v>83</v>
      </c>
      <c r="S372" t="str">
        <v/>
      </c>
      <c r="T372" t="str">
        <v>#N/A</v>
      </c>
    </row>
    <row r="373" spans="1:20" ht="13.7" customHeight="1" x14ac:dyDescent="0.25">
      <c r="A373" t="s">
        <v>26</v>
      </c>
      <c r="B373" t="s">
        <v>27</v>
      </c>
      <c r="C373" t="s">
        <v>180</v>
      </c>
      <c r="D373">
        <v>85</v>
      </c>
      <c r="E373" s="5">
        <v>43829</v>
      </c>
      <c r="F373">
        <v>11050501</v>
      </c>
      <c r="G373" t="s">
        <v>195</v>
      </c>
      <c r="J373">
        <v>1012</v>
      </c>
      <c r="K373">
        <v>1110</v>
      </c>
      <c r="L373" s="3">
        <v>-32185751.949999999</v>
      </c>
      <c r="M373" s="3">
        <v>0</v>
      </c>
      <c r="N373">
        <v>9600</v>
      </c>
      <c r="O373">
        <v>0</v>
      </c>
      <c r="P373">
        <v>-32195351.949999999</v>
      </c>
      <c r="Q373" t="s">
        <v>30</v>
      </c>
      <c r="R373" t="s">
        <v>191</v>
      </c>
      <c r="S373" t="str">
        <v/>
      </c>
      <c r="T373" t="str">
        <v>#N/A</v>
      </c>
    </row>
    <row r="374" spans="1:20" ht="13.7" customHeight="1" x14ac:dyDescent="0.25">
      <c r="A374" t="s">
        <v>26</v>
      </c>
      <c r="B374" t="s">
        <v>27</v>
      </c>
      <c r="C374" t="s">
        <v>180</v>
      </c>
      <c r="D374">
        <v>86</v>
      </c>
      <c r="E374" s="5">
        <v>43829</v>
      </c>
      <c r="F374">
        <v>11050501</v>
      </c>
      <c r="G374" t="s">
        <v>195</v>
      </c>
      <c r="J374">
        <v>1012</v>
      </c>
      <c r="K374">
        <v>1110</v>
      </c>
      <c r="L374" s="3">
        <v>-32195351.949999999</v>
      </c>
      <c r="M374" s="3">
        <v>0</v>
      </c>
      <c r="N374">
        <v>9600</v>
      </c>
      <c r="O374">
        <v>0</v>
      </c>
      <c r="P374">
        <v>-32204951.949999999</v>
      </c>
      <c r="Q374" t="s">
        <v>30</v>
      </c>
      <c r="R374" t="s">
        <v>191</v>
      </c>
      <c r="S374" t="str">
        <v/>
      </c>
      <c r="T374" t="str">
        <v>#N/A</v>
      </c>
    </row>
    <row r="375" spans="1:20" ht="13.7" customHeight="1" x14ac:dyDescent="0.25">
      <c r="A375" t="s">
        <v>26</v>
      </c>
      <c r="B375" t="s">
        <v>27</v>
      </c>
      <c r="C375" t="s">
        <v>180</v>
      </c>
      <c r="D375">
        <v>89</v>
      </c>
      <c r="E375" s="5">
        <v>43830</v>
      </c>
      <c r="F375">
        <v>11050501</v>
      </c>
      <c r="G375" t="s">
        <v>195</v>
      </c>
      <c r="J375">
        <v>1012</v>
      </c>
      <c r="K375">
        <v>1110</v>
      </c>
      <c r="L375" s="3">
        <v>-32204951.949999999</v>
      </c>
      <c r="M375" s="3">
        <v>0</v>
      </c>
      <c r="N375">
        <v>146720</v>
      </c>
      <c r="O375">
        <v>0</v>
      </c>
      <c r="P375">
        <v>-32351671.949999999</v>
      </c>
      <c r="Q375" t="s">
        <v>30</v>
      </c>
      <c r="R375" t="s">
        <v>194</v>
      </c>
      <c r="S375" t="str">
        <v/>
      </c>
      <c r="T375" t="str">
        <v>#N/A</v>
      </c>
    </row>
    <row r="376" spans="1:20" ht="13.7" customHeight="1" x14ac:dyDescent="0.25">
      <c r="E376" s="5">
        <v>43465</v>
      </c>
      <c r="F376">
        <v>11051001</v>
      </c>
      <c r="G376">
        <v>0</v>
      </c>
      <c r="J376">
        <v>0</v>
      </c>
      <c r="K376">
        <v>0</v>
      </c>
      <c r="L376" s="3">
        <v>-4678957</v>
      </c>
      <c r="M376" s="3">
        <v>0</v>
      </c>
      <c r="N376">
        <v>0</v>
      </c>
      <c r="O376">
        <v>0</v>
      </c>
      <c r="P376">
        <v>-4678957</v>
      </c>
      <c r="R376" t="s">
        <v>1100</v>
      </c>
      <c r="S376" t="str">
        <v/>
      </c>
      <c r="T376" t="str">
        <v>#N/A</v>
      </c>
    </row>
    <row r="377" spans="1:20" ht="13.7" customHeight="1" x14ac:dyDescent="0.25">
      <c r="E377" s="5">
        <v>43465</v>
      </c>
      <c r="F377">
        <v>11100501</v>
      </c>
      <c r="G377">
        <v>0</v>
      </c>
      <c r="H377" t="s">
        <v>1101</v>
      </c>
      <c r="I377" t="s">
        <v>1102</v>
      </c>
      <c r="J377">
        <v>0</v>
      </c>
      <c r="K377">
        <v>0</v>
      </c>
      <c r="L377" s="3">
        <v>-4004000</v>
      </c>
      <c r="M377" s="3">
        <v>0</v>
      </c>
      <c r="N377">
        <v>0</v>
      </c>
      <c r="O377">
        <v>0</v>
      </c>
      <c r="P377">
        <v>-4004000</v>
      </c>
      <c r="R377" t="s">
        <v>1100</v>
      </c>
      <c r="S377" t="str">
        <v>#N/A</v>
      </c>
      <c r="T377" t="str">
        <v>#N/A</v>
      </c>
    </row>
    <row r="378" spans="1:20" ht="13.7" customHeight="1" x14ac:dyDescent="0.25">
      <c r="A378" t="s">
        <v>26</v>
      </c>
      <c r="B378" t="s">
        <v>27</v>
      </c>
      <c r="C378" t="s">
        <v>32</v>
      </c>
      <c r="D378">
        <v>59</v>
      </c>
      <c r="E378" s="5">
        <v>43524</v>
      </c>
      <c r="F378">
        <v>11100501</v>
      </c>
      <c r="G378">
        <v>0</v>
      </c>
      <c r="H378" t="s">
        <v>1101</v>
      </c>
      <c r="I378" t="s">
        <v>1102</v>
      </c>
      <c r="J378">
        <v>1012</v>
      </c>
      <c r="K378">
        <v>1110</v>
      </c>
      <c r="L378" s="3">
        <v>-4004000</v>
      </c>
      <c r="M378" s="3">
        <v>0</v>
      </c>
      <c r="N378">
        <v>801000</v>
      </c>
      <c r="O378">
        <v>0</v>
      </c>
      <c r="P378">
        <v>-4805000</v>
      </c>
      <c r="Q378" t="s">
        <v>30</v>
      </c>
      <c r="R378" t="s">
        <v>230</v>
      </c>
      <c r="S378" t="str">
        <v>#N/A</v>
      </c>
      <c r="T378" t="str">
        <v>#N/A</v>
      </c>
    </row>
    <row r="379" spans="1:20" ht="13.7" customHeight="1" x14ac:dyDescent="0.25">
      <c r="A379" t="s">
        <v>26</v>
      </c>
      <c r="B379" t="s">
        <v>27</v>
      </c>
      <c r="C379" t="s">
        <v>91</v>
      </c>
      <c r="D379">
        <v>75</v>
      </c>
      <c r="E379" s="5">
        <v>43555</v>
      </c>
      <c r="F379">
        <v>11100501</v>
      </c>
      <c r="G379">
        <v>0</v>
      </c>
      <c r="H379" t="s">
        <v>1101</v>
      </c>
      <c r="I379" t="s">
        <v>1102</v>
      </c>
      <c r="J379">
        <v>1012</v>
      </c>
      <c r="K379">
        <v>1110</v>
      </c>
      <c r="L379" s="3">
        <v>-4805000</v>
      </c>
      <c r="M379" s="3">
        <v>0</v>
      </c>
      <c r="N379">
        <v>801000</v>
      </c>
      <c r="O379">
        <v>0</v>
      </c>
      <c r="P379">
        <v>-5606000</v>
      </c>
      <c r="Q379" t="s">
        <v>30</v>
      </c>
      <c r="R379" t="s">
        <v>247</v>
      </c>
      <c r="S379" t="str">
        <v>#N/A</v>
      </c>
      <c r="T379" t="str">
        <v>#N/A</v>
      </c>
    </row>
    <row r="380" spans="1:20" ht="13.7" customHeight="1" x14ac:dyDescent="0.25">
      <c r="A380" t="s">
        <v>26</v>
      </c>
      <c r="B380" t="s">
        <v>27</v>
      </c>
      <c r="C380" t="s">
        <v>36</v>
      </c>
      <c r="D380">
        <v>69</v>
      </c>
      <c r="E380" s="5">
        <v>43646</v>
      </c>
      <c r="F380">
        <v>11100501</v>
      </c>
      <c r="G380">
        <v>0</v>
      </c>
      <c r="H380" t="s">
        <v>1101</v>
      </c>
      <c r="I380" t="s">
        <v>1102</v>
      </c>
      <c r="J380">
        <v>1012</v>
      </c>
      <c r="K380">
        <v>1110</v>
      </c>
      <c r="L380" s="3">
        <v>-5606000</v>
      </c>
      <c r="M380" s="3">
        <v>0</v>
      </c>
      <c r="N380">
        <v>801000</v>
      </c>
      <c r="O380">
        <v>0</v>
      </c>
      <c r="P380">
        <v>-6407000</v>
      </c>
      <c r="Q380" t="s">
        <v>30</v>
      </c>
      <c r="R380" t="s">
        <v>277</v>
      </c>
      <c r="S380" t="str">
        <v>#N/A</v>
      </c>
      <c r="T380" t="str">
        <v>#N/A</v>
      </c>
    </row>
    <row r="381" spans="1:20" ht="13.7" customHeight="1" x14ac:dyDescent="0.25">
      <c r="A381" t="s">
        <v>26</v>
      </c>
      <c r="B381" t="s">
        <v>27</v>
      </c>
      <c r="C381" t="s">
        <v>37</v>
      </c>
      <c r="D381">
        <v>15</v>
      </c>
      <c r="E381" s="5">
        <v>43652</v>
      </c>
      <c r="F381">
        <v>11100501</v>
      </c>
      <c r="G381">
        <v>0</v>
      </c>
      <c r="H381" t="s">
        <v>1101</v>
      </c>
      <c r="I381" t="s">
        <v>1102</v>
      </c>
      <c r="J381">
        <v>1012</v>
      </c>
      <c r="K381">
        <v>1110</v>
      </c>
      <c r="L381" s="3">
        <v>-6407000</v>
      </c>
      <c r="M381" s="3">
        <v>0</v>
      </c>
      <c r="N381">
        <v>801000</v>
      </c>
      <c r="O381">
        <v>0</v>
      </c>
      <c r="P381">
        <v>-7208000</v>
      </c>
      <c r="Q381" t="s">
        <v>30</v>
      </c>
      <c r="R381" t="s">
        <v>278</v>
      </c>
      <c r="S381" t="str">
        <v>#N/A</v>
      </c>
      <c r="T381" t="str">
        <v>#N/A</v>
      </c>
    </row>
    <row r="382" spans="1:20" ht="13.7" customHeight="1" x14ac:dyDescent="0.25">
      <c r="E382" s="5">
        <v>43465</v>
      </c>
      <c r="F382">
        <v>11100501</v>
      </c>
      <c r="G382">
        <v>0</v>
      </c>
      <c r="H382" t="s">
        <v>1173</v>
      </c>
      <c r="I382" t="s">
        <v>1174</v>
      </c>
      <c r="J382">
        <v>0</v>
      </c>
      <c r="K382">
        <v>0</v>
      </c>
      <c r="L382" s="3">
        <v>-832034.56</v>
      </c>
      <c r="M382" s="3">
        <v>0</v>
      </c>
      <c r="N382">
        <v>0</v>
      </c>
      <c r="O382">
        <v>0</v>
      </c>
      <c r="P382">
        <v>-832034.56</v>
      </c>
      <c r="R382" t="s">
        <v>1100</v>
      </c>
      <c r="S382" t="str">
        <v>#N/A</v>
      </c>
      <c r="T382" t="str">
        <v>#N/A</v>
      </c>
    </row>
    <row r="383" spans="1:20" ht="13.7" customHeight="1" x14ac:dyDescent="0.25">
      <c r="E383" s="5">
        <v>43465</v>
      </c>
      <c r="F383">
        <v>11100501</v>
      </c>
      <c r="G383">
        <v>0</v>
      </c>
      <c r="H383" t="s">
        <v>1179</v>
      </c>
      <c r="I383" t="s">
        <v>1180</v>
      </c>
      <c r="J383">
        <v>0</v>
      </c>
      <c r="K383">
        <v>0</v>
      </c>
      <c r="L383" s="3">
        <v>-1000000</v>
      </c>
      <c r="M383" s="3">
        <v>0</v>
      </c>
      <c r="N383">
        <v>0</v>
      </c>
      <c r="O383">
        <v>0</v>
      </c>
      <c r="P383">
        <v>-1000000</v>
      </c>
      <c r="R383" t="s">
        <v>1100</v>
      </c>
      <c r="S383" t="str">
        <v>#N/A</v>
      </c>
      <c r="T383" t="str">
        <v>13</v>
      </c>
    </row>
    <row r="384" spans="1:20" ht="13.7" customHeight="1" x14ac:dyDescent="0.25">
      <c r="E384" s="5">
        <v>43465</v>
      </c>
      <c r="F384">
        <v>11100501</v>
      </c>
      <c r="G384">
        <v>0</v>
      </c>
      <c r="H384" t="s">
        <v>1115</v>
      </c>
      <c r="I384" t="s">
        <v>1116</v>
      </c>
      <c r="J384">
        <v>0</v>
      </c>
      <c r="K384">
        <v>0</v>
      </c>
      <c r="L384" s="3">
        <v>-24027101</v>
      </c>
      <c r="M384" s="3">
        <v>0</v>
      </c>
      <c r="N384">
        <v>0</v>
      </c>
      <c r="O384">
        <v>0</v>
      </c>
      <c r="P384">
        <v>-24027101</v>
      </c>
      <c r="R384" t="s">
        <v>1100</v>
      </c>
      <c r="S384" t="str">
        <v>#N/A</v>
      </c>
      <c r="T384" t="str">
        <v>13</v>
      </c>
    </row>
    <row r="385" spans="1:20" ht="13.7" customHeight="1" x14ac:dyDescent="0.25">
      <c r="E385" s="5">
        <v>43465</v>
      </c>
      <c r="F385">
        <v>11100501</v>
      </c>
      <c r="G385">
        <v>0</v>
      </c>
      <c r="H385" t="s">
        <v>1119</v>
      </c>
      <c r="I385" t="s">
        <v>1120</v>
      </c>
      <c r="J385">
        <v>0</v>
      </c>
      <c r="K385">
        <v>0</v>
      </c>
      <c r="L385" s="3">
        <v>-3160000</v>
      </c>
      <c r="M385" s="3">
        <v>0</v>
      </c>
      <c r="N385">
        <v>0</v>
      </c>
      <c r="O385">
        <v>0</v>
      </c>
      <c r="P385">
        <v>-3160000</v>
      </c>
      <c r="R385" t="s">
        <v>1100</v>
      </c>
      <c r="S385" t="str">
        <v>#N/A</v>
      </c>
      <c r="T385" t="str">
        <v>13</v>
      </c>
    </row>
    <row r="386" spans="1:20" ht="13.7" customHeight="1" x14ac:dyDescent="0.25">
      <c r="A386" t="s">
        <v>26</v>
      </c>
      <c r="B386" t="s">
        <v>27</v>
      </c>
      <c r="C386" t="s">
        <v>91</v>
      </c>
      <c r="D386">
        <v>58</v>
      </c>
      <c r="E386" s="5">
        <v>43550</v>
      </c>
      <c r="F386">
        <v>11100501</v>
      </c>
      <c r="G386">
        <v>0</v>
      </c>
      <c r="H386" t="s">
        <v>1119</v>
      </c>
      <c r="I386" t="s">
        <v>1120</v>
      </c>
      <c r="J386">
        <v>1012</v>
      </c>
      <c r="K386">
        <v>1110</v>
      </c>
      <c r="L386" s="3">
        <v>-3160000</v>
      </c>
      <c r="M386" s="3">
        <v>0</v>
      </c>
      <c r="N386">
        <v>801360</v>
      </c>
      <c r="O386">
        <v>0</v>
      </c>
      <c r="P386">
        <v>-3961360</v>
      </c>
      <c r="Q386" t="s">
        <v>30</v>
      </c>
      <c r="R386" t="s">
        <v>245</v>
      </c>
      <c r="S386" t="str">
        <v>#N/A</v>
      </c>
      <c r="T386" t="str">
        <v>13</v>
      </c>
    </row>
    <row r="387" spans="1:20" ht="13.7" customHeight="1" x14ac:dyDescent="0.25">
      <c r="E387" s="5">
        <v>43465</v>
      </c>
      <c r="F387">
        <v>11100501</v>
      </c>
      <c r="G387">
        <v>0</v>
      </c>
      <c r="H387" t="s">
        <v>1499</v>
      </c>
      <c r="I387" t="s">
        <v>1500</v>
      </c>
      <c r="J387">
        <v>0</v>
      </c>
      <c r="K387">
        <v>0</v>
      </c>
      <c r="L387" s="3">
        <v>-337734</v>
      </c>
      <c r="M387" s="3">
        <v>0</v>
      </c>
      <c r="N387">
        <v>0</v>
      </c>
      <c r="O387">
        <v>0</v>
      </c>
      <c r="P387">
        <v>-337734</v>
      </c>
      <c r="R387" t="s">
        <v>1100</v>
      </c>
      <c r="S387" t="str">
        <v>#N/A</v>
      </c>
      <c r="T387" t="str">
        <v>#N/A</v>
      </c>
    </row>
    <row r="388" spans="1:20" ht="13.7" customHeight="1" x14ac:dyDescent="0.25">
      <c r="E388" s="5">
        <v>43465</v>
      </c>
      <c r="F388">
        <v>11100501</v>
      </c>
      <c r="G388">
        <v>0</v>
      </c>
      <c r="H388" t="s">
        <v>1195</v>
      </c>
      <c r="I388" t="s">
        <v>1196</v>
      </c>
      <c r="J388">
        <v>0</v>
      </c>
      <c r="K388">
        <v>0</v>
      </c>
      <c r="L388" s="3">
        <v>-210000.49</v>
      </c>
      <c r="M388" s="3">
        <v>0</v>
      </c>
      <c r="N388">
        <v>0</v>
      </c>
      <c r="O388">
        <v>0</v>
      </c>
      <c r="P388">
        <v>-210000.49</v>
      </c>
      <c r="R388" t="s">
        <v>1100</v>
      </c>
      <c r="S388" t="str">
        <v>#N/A</v>
      </c>
      <c r="T388" t="str">
        <v>13</v>
      </c>
    </row>
    <row r="389" spans="1:20" ht="13.7" customHeight="1" x14ac:dyDescent="0.25">
      <c r="E389" s="5">
        <v>43465</v>
      </c>
      <c r="F389">
        <v>11100501</v>
      </c>
      <c r="G389">
        <v>0</v>
      </c>
      <c r="H389" t="s">
        <v>1187</v>
      </c>
      <c r="I389" t="s">
        <v>1188</v>
      </c>
      <c r="J389">
        <v>0</v>
      </c>
      <c r="K389">
        <v>0</v>
      </c>
      <c r="L389" s="3">
        <v>-2070330</v>
      </c>
      <c r="M389" s="3">
        <v>0</v>
      </c>
      <c r="N389">
        <v>0</v>
      </c>
      <c r="O389">
        <v>0</v>
      </c>
      <c r="P389">
        <v>-2070330</v>
      </c>
      <c r="R389" t="s">
        <v>1100</v>
      </c>
      <c r="S389" t="str">
        <v>#N/A</v>
      </c>
      <c r="T389" t="str">
        <v>31</v>
      </c>
    </row>
    <row r="390" spans="1:20" ht="13.7" customHeight="1" x14ac:dyDescent="0.25">
      <c r="E390" s="5">
        <v>43465</v>
      </c>
      <c r="F390">
        <v>11100501</v>
      </c>
      <c r="G390">
        <v>0</v>
      </c>
      <c r="H390" t="s">
        <v>1111</v>
      </c>
      <c r="I390" t="s">
        <v>1112</v>
      </c>
      <c r="J390">
        <v>0</v>
      </c>
      <c r="K390">
        <v>0</v>
      </c>
      <c r="L390" s="3">
        <v>0</v>
      </c>
      <c r="M390" s="3">
        <v>0</v>
      </c>
      <c r="N390">
        <v>0</v>
      </c>
      <c r="O390">
        <v>0</v>
      </c>
      <c r="P390">
        <v>0</v>
      </c>
      <c r="R390" t="s">
        <v>1100</v>
      </c>
      <c r="S390" t="str">
        <v>#N/A</v>
      </c>
      <c r="T390" t="str">
        <v>#N/A</v>
      </c>
    </row>
    <row r="391" spans="1:20" ht="13.7" customHeight="1" x14ac:dyDescent="0.25">
      <c r="A391" t="s">
        <v>26</v>
      </c>
      <c r="B391" t="s">
        <v>27</v>
      </c>
      <c r="C391" t="s">
        <v>91</v>
      </c>
      <c r="D391">
        <v>31</v>
      </c>
      <c r="E391" s="5">
        <v>43536</v>
      </c>
      <c r="F391">
        <v>11100501</v>
      </c>
      <c r="G391">
        <v>0</v>
      </c>
      <c r="H391" t="s">
        <v>1111</v>
      </c>
      <c r="I391" t="s">
        <v>1112</v>
      </c>
      <c r="J391">
        <v>1012</v>
      </c>
      <c r="K391">
        <v>1110</v>
      </c>
      <c r="L391" s="3">
        <v>0</v>
      </c>
      <c r="M391" s="3">
        <v>0</v>
      </c>
      <c r="N391">
        <v>179928</v>
      </c>
      <c r="O391">
        <v>0</v>
      </c>
      <c r="P391">
        <v>-179928</v>
      </c>
      <c r="Q391" t="s">
        <v>30</v>
      </c>
      <c r="R391" t="s">
        <v>98</v>
      </c>
      <c r="S391" t="str">
        <v>#N/A</v>
      </c>
      <c r="T391" t="str">
        <v>#N/A</v>
      </c>
    </row>
    <row r="392" spans="1:20" ht="13.7" customHeight="1" x14ac:dyDescent="0.25">
      <c r="E392" s="5">
        <v>43465</v>
      </c>
      <c r="F392">
        <v>11100501</v>
      </c>
      <c r="G392">
        <v>0</v>
      </c>
      <c r="H392" t="s">
        <v>1109</v>
      </c>
      <c r="I392" t="s">
        <v>1110</v>
      </c>
      <c r="J392">
        <v>0</v>
      </c>
      <c r="K392">
        <v>0</v>
      </c>
      <c r="L392" s="3">
        <v>0</v>
      </c>
      <c r="M392" s="3">
        <v>0</v>
      </c>
      <c r="N392">
        <v>0</v>
      </c>
      <c r="O392">
        <v>0</v>
      </c>
      <c r="P392">
        <v>0</v>
      </c>
      <c r="R392" t="s">
        <v>1100</v>
      </c>
      <c r="S392" t="str">
        <v>#N/A</v>
      </c>
      <c r="T392" t="str">
        <v>#N/A</v>
      </c>
    </row>
    <row r="393" spans="1:20" ht="13.7" customHeight="1" x14ac:dyDescent="0.25">
      <c r="A393" t="s">
        <v>26</v>
      </c>
      <c r="B393" t="s">
        <v>27</v>
      </c>
      <c r="C393" t="s">
        <v>41</v>
      </c>
      <c r="D393">
        <v>4</v>
      </c>
      <c r="E393" s="5">
        <v>43771</v>
      </c>
      <c r="F393">
        <v>11100501</v>
      </c>
      <c r="G393">
        <v>0</v>
      </c>
      <c r="H393" t="s">
        <v>1109</v>
      </c>
      <c r="I393" t="s">
        <v>1110</v>
      </c>
      <c r="J393">
        <v>1012</v>
      </c>
      <c r="K393">
        <v>1110</v>
      </c>
      <c r="L393" s="3">
        <v>0</v>
      </c>
      <c r="M393" s="3">
        <v>0</v>
      </c>
      <c r="N393">
        <v>25534</v>
      </c>
      <c r="O393">
        <v>0</v>
      </c>
      <c r="P393">
        <v>-25534</v>
      </c>
      <c r="Q393" t="s">
        <v>30</v>
      </c>
      <c r="R393" t="s">
        <v>77</v>
      </c>
      <c r="S393" t="str">
        <v>#N/A</v>
      </c>
      <c r="T393" t="str">
        <v>#N/A</v>
      </c>
    </row>
    <row r="394" spans="1:20" ht="13.7" customHeight="1" x14ac:dyDescent="0.25">
      <c r="E394" s="5">
        <v>43465</v>
      </c>
      <c r="F394">
        <v>11100501</v>
      </c>
      <c r="G394">
        <v>0</v>
      </c>
      <c r="H394" t="s">
        <v>1107</v>
      </c>
      <c r="I394" t="s">
        <v>1108</v>
      </c>
      <c r="J394">
        <v>0</v>
      </c>
      <c r="K394">
        <v>0</v>
      </c>
      <c r="L394" s="3">
        <v>-9368000</v>
      </c>
      <c r="M394" s="3">
        <v>0</v>
      </c>
      <c r="N394">
        <v>0</v>
      </c>
      <c r="O394">
        <v>0</v>
      </c>
      <c r="P394">
        <v>-9368000</v>
      </c>
      <c r="R394" t="s">
        <v>1100</v>
      </c>
      <c r="S394" t="str">
        <v>#N/A</v>
      </c>
      <c r="T394" t="str">
        <v>31</v>
      </c>
    </row>
    <row r="395" spans="1:20" ht="13.7" customHeight="1" x14ac:dyDescent="0.25">
      <c r="A395" t="s">
        <v>26</v>
      </c>
      <c r="B395" t="s">
        <v>27</v>
      </c>
      <c r="C395" t="s">
        <v>28</v>
      </c>
      <c r="D395">
        <v>38</v>
      </c>
      <c r="E395" s="5">
        <v>43480</v>
      </c>
      <c r="F395">
        <v>11100501</v>
      </c>
      <c r="G395">
        <v>0</v>
      </c>
      <c r="H395" t="s">
        <v>1107</v>
      </c>
      <c r="I395" t="s">
        <v>1108</v>
      </c>
      <c r="J395">
        <v>1012</v>
      </c>
      <c r="K395">
        <v>1110</v>
      </c>
      <c r="L395" s="3">
        <v>-9368000</v>
      </c>
      <c r="M395" s="3">
        <v>0</v>
      </c>
      <c r="N395">
        <v>747000</v>
      </c>
      <c r="O395">
        <v>0</v>
      </c>
      <c r="P395">
        <v>-10115000</v>
      </c>
      <c r="Q395" t="s">
        <v>30</v>
      </c>
      <c r="R395" t="s">
        <v>197</v>
      </c>
      <c r="S395" t="str">
        <v>#N/A</v>
      </c>
      <c r="T395" t="str">
        <v>31</v>
      </c>
    </row>
    <row r="396" spans="1:20" ht="13.7" customHeight="1" x14ac:dyDescent="0.25">
      <c r="A396" t="s">
        <v>26</v>
      </c>
      <c r="B396" t="s">
        <v>27</v>
      </c>
      <c r="C396" t="s">
        <v>28</v>
      </c>
      <c r="D396">
        <v>39</v>
      </c>
      <c r="E396" s="5">
        <v>43481</v>
      </c>
      <c r="F396">
        <v>11100501</v>
      </c>
      <c r="G396">
        <v>0</v>
      </c>
      <c r="H396" t="s">
        <v>1107</v>
      </c>
      <c r="I396" t="s">
        <v>1108</v>
      </c>
      <c r="J396">
        <v>1012</v>
      </c>
      <c r="K396">
        <v>1110</v>
      </c>
      <c r="L396" s="3">
        <v>-10115000</v>
      </c>
      <c r="M396" s="3">
        <v>0</v>
      </c>
      <c r="N396">
        <v>3004000</v>
      </c>
      <c r="O396">
        <v>0</v>
      </c>
      <c r="P396">
        <v>-13119000</v>
      </c>
      <c r="Q396" t="s">
        <v>30</v>
      </c>
      <c r="R396" t="s">
        <v>198</v>
      </c>
      <c r="S396" t="str">
        <v>#N/A</v>
      </c>
      <c r="T396" t="str">
        <v>31</v>
      </c>
    </row>
    <row r="397" spans="1:20" ht="13.7" customHeight="1" x14ac:dyDescent="0.25">
      <c r="E397" s="5">
        <v>43465</v>
      </c>
      <c r="F397">
        <v>11100501</v>
      </c>
      <c r="G397">
        <v>0</v>
      </c>
      <c r="H397" t="s">
        <v>1237</v>
      </c>
      <c r="I397" t="s">
        <v>1238</v>
      </c>
      <c r="J397">
        <v>0</v>
      </c>
      <c r="K397">
        <v>0</v>
      </c>
      <c r="L397" s="3">
        <v>-246629</v>
      </c>
      <c r="M397" s="3">
        <v>0</v>
      </c>
      <c r="N397">
        <v>0</v>
      </c>
      <c r="O397">
        <v>0</v>
      </c>
      <c r="P397">
        <v>-246629</v>
      </c>
      <c r="R397" t="s">
        <v>1100</v>
      </c>
      <c r="S397" t="str">
        <v>#N/A</v>
      </c>
      <c r="T397" t="str">
        <v>31</v>
      </c>
    </row>
    <row r="398" spans="1:20" ht="13.7" customHeight="1" x14ac:dyDescent="0.25">
      <c r="A398" t="s">
        <v>26</v>
      </c>
      <c r="B398" t="s">
        <v>27</v>
      </c>
      <c r="C398" t="s">
        <v>91</v>
      </c>
      <c r="D398">
        <v>38</v>
      </c>
      <c r="E398" s="5">
        <v>43565</v>
      </c>
      <c r="F398">
        <v>11100501</v>
      </c>
      <c r="G398">
        <v>0</v>
      </c>
      <c r="H398" t="s">
        <v>1237</v>
      </c>
      <c r="I398" t="s">
        <v>1238</v>
      </c>
      <c r="J398">
        <v>1012</v>
      </c>
      <c r="K398">
        <v>1110</v>
      </c>
      <c r="L398" s="3">
        <v>-246629</v>
      </c>
      <c r="M398" s="3">
        <v>0</v>
      </c>
      <c r="N398">
        <v>130714</v>
      </c>
      <c r="O398">
        <v>0</v>
      </c>
      <c r="P398">
        <v>-377343</v>
      </c>
      <c r="Q398" t="s">
        <v>30</v>
      </c>
      <c r="R398" t="s">
        <v>250</v>
      </c>
      <c r="S398" t="str">
        <v>#N/A</v>
      </c>
      <c r="T398" t="str">
        <v>31</v>
      </c>
    </row>
    <row r="399" spans="1:20" ht="13.7" customHeight="1" x14ac:dyDescent="0.25">
      <c r="E399" s="5">
        <v>43465</v>
      </c>
      <c r="F399">
        <v>11100501</v>
      </c>
      <c r="G399">
        <v>0</v>
      </c>
      <c r="H399" t="s">
        <v>1161</v>
      </c>
      <c r="I399" t="s">
        <v>1162</v>
      </c>
      <c r="J399">
        <v>0</v>
      </c>
      <c r="K399">
        <v>0</v>
      </c>
      <c r="L399" s="3">
        <v>-1412972</v>
      </c>
      <c r="M399" s="3">
        <v>0</v>
      </c>
      <c r="N399">
        <v>0</v>
      </c>
      <c r="O399">
        <v>0</v>
      </c>
      <c r="P399">
        <v>-1412972</v>
      </c>
      <c r="R399" t="s">
        <v>1100</v>
      </c>
      <c r="S399" t="str">
        <v>#N/A</v>
      </c>
      <c r="T399" t="str">
        <v>#N/A</v>
      </c>
    </row>
    <row r="400" spans="1:20" ht="13.7" customHeight="1" x14ac:dyDescent="0.25">
      <c r="E400" s="5">
        <v>43465</v>
      </c>
      <c r="F400">
        <v>11100501</v>
      </c>
      <c r="G400">
        <v>0</v>
      </c>
      <c r="H400" t="s">
        <v>1127</v>
      </c>
      <c r="I400" t="s">
        <v>1128</v>
      </c>
      <c r="J400">
        <v>0</v>
      </c>
      <c r="K400">
        <v>0</v>
      </c>
      <c r="L400" s="3">
        <v>18324899</v>
      </c>
      <c r="M400" s="3">
        <v>0</v>
      </c>
      <c r="N400">
        <v>0</v>
      </c>
      <c r="O400">
        <v>0</v>
      </c>
      <c r="P400">
        <v>18324899</v>
      </c>
      <c r="R400" t="s">
        <v>1100</v>
      </c>
      <c r="S400" t="str">
        <v>#N/A</v>
      </c>
      <c r="T400" t="str">
        <v>#N/A</v>
      </c>
    </row>
    <row r="401" spans="1:20" ht="13.7" customHeight="1" x14ac:dyDescent="0.25">
      <c r="E401" s="5">
        <v>43465</v>
      </c>
      <c r="F401">
        <v>11100501</v>
      </c>
      <c r="G401">
        <v>0</v>
      </c>
      <c r="H401" t="s">
        <v>1315</v>
      </c>
      <c r="I401" t="s">
        <v>1316</v>
      </c>
      <c r="J401">
        <v>0</v>
      </c>
      <c r="K401">
        <v>0</v>
      </c>
      <c r="L401" s="3">
        <v>-231302</v>
      </c>
      <c r="M401" s="3">
        <v>0</v>
      </c>
      <c r="N401">
        <v>0</v>
      </c>
      <c r="O401">
        <v>0</v>
      </c>
      <c r="P401">
        <v>-231302</v>
      </c>
      <c r="R401" t="s">
        <v>1100</v>
      </c>
      <c r="S401" t="str">
        <v>#N/A</v>
      </c>
      <c r="T401" t="str">
        <v>31</v>
      </c>
    </row>
    <row r="402" spans="1:20" ht="13.7" customHeight="1" x14ac:dyDescent="0.25">
      <c r="E402" s="5">
        <v>43465</v>
      </c>
      <c r="F402">
        <v>11100501</v>
      </c>
      <c r="G402">
        <v>0</v>
      </c>
      <c r="H402" t="s">
        <v>1167</v>
      </c>
      <c r="I402" t="s">
        <v>1168</v>
      </c>
      <c r="J402">
        <v>0</v>
      </c>
      <c r="K402">
        <v>0</v>
      </c>
      <c r="L402" s="3">
        <v>-175800</v>
      </c>
      <c r="M402" s="3">
        <v>0</v>
      </c>
      <c r="N402">
        <v>0</v>
      </c>
      <c r="O402">
        <v>0</v>
      </c>
      <c r="P402">
        <v>-175800</v>
      </c>
      <c r="R402" t="s">
        <v>1100</v>
      </c>
      <c r="S402" t="str">
        <v>#N/A</v>
      </c>
      <c r="T402" t="str">
        <v>31</v>
      </c>
    </row>
    <row r="403" spans="1:20" ht="13.7" customHeight="1" x14ac:dyDescent="0.25">
      <c r="E403" s="5">
        <v>43465</v>
      </c>
      <c r="F403">
        <v>11100501</v>
      </c>
      <c r="G403">
        <v>0</v>
      </c>
      <c r="H403" t="s">
        <v>1183</v>
      </c>
      <c r="I403" t="s">
        <v>1184</v>
      </c>
      <c r="J403">
        <v>0</v>
      </c>
      <c r="K403">
        <v>0</v>
      </c>
      <c r="L403" s="3">
        <v>0</v>
      </c>
      <c r="M403" s="3">
        <v>0</v>
      </c>
      <c r="N403">
        <v>0</v>
      </c>
      <c r="O403">
        <v>0</v>
      </c>
      <c r="P403">
        <v>0</v>
      </c>
      <c r="R403" t="s">
        <v>1100</v>
      </c>
      <c r="S403" t="str">
        <v>#N/A</v>
      </c>
      <c r="T403" t="str">
        <v>#N/A</v>
      </c>
    </row>
    <row r="404" spans="1:20" ht="13.7" customHeight="1" x14ac:dyDescent="0.25">
      <c r="A404" t="s">
        <v>26</v>
      </c>
      <c r="B404" t="s">
        <v>27</v>
      </c>
      <c r="C404" t="s">
        <v>34</v>
      </c>
      <c r="D404">
        <v>65</v>
      </c>
      <c r="E404" s="5">
        <v>43584</v>
      </c>
      <c r="F404">
        <v>11100501</v>
      </c>
      <c r="G404">
        <v>0</v>
      </c>
      <c r="H404" t="s">
        <v>1183</v>
      </c>
      <c r="I404" t="s">
        <v>1184</v>
      </c>
      <c r="J404">
        <v>1012</v>
      </c>
      <c r="K404">
        <v>1110</v>
      </c>
      <c r="L404" s="3">
        <v>0</v>
      </c>
      <c r="M404" s="3">
        <v>0</v>
      </c>
      <c r="N404">
        <v>820000</v>
      </c>
      <c r="O404">
        <v>0</v>
      </c>
      <c r="P404">
        <v>-820000</v>
      </c>
      <c r="Q404" t="s">
        <v>30</v>
      </c>
      <c r="R404" t="s">
        <v>255</v>
      </c>
      <c r="S404" t="str">
        <v>#N/A</v>
      </c>
      <c r="T404" t="str">
        <v>#N/A</v>
      </c>
    </row>
    <row r="405" spans="1:20" ht="13.7" customHeight="1" x14ac:dyDescent="0.25">
      <c r="E405" s="5">
        <v>43465</v>
      </c>
      <c r="F405">
        <v>11100501</v>
      </c>
      <c r="G405">
        <v>0</v>
      </c>
      <c r="H405" t="s">
        <v>1123</v>
      </c>
      <c r="I405" t="s">
        <v>1124</v>
      </c>
      <c r="J405">
        <v>0</v>
      </c>
      <c r="K405">
        <v>0</v>
      </c>
      <c r="L405" s="3">
        <v>-91999</v>
      </c>
      <c r="M405" s="3">
        <v>0</v>
      </c>
      <c r="N405">
        <v>0</v>
      </c>
      <c r="O405">
        <v>0</v>
      </c>
      <c r="P405">
        <v>-91999</v>
      </c>
      <c r="R405" t="s">
        <v>1100</v>
      </c>
      <c r="S405" t="str">
        <v>#N/A</v>
      </c>
      <c r="T405" t="str">
        <v>31</v>
      </c>
    </row>
    <row r="406" spans="1:20" ht="13.7" customHeight="1" x14ac:dyDescent="0.25">
      <c r="A406" t="s">
        <v>26</v>
      </c>
      <c r="B406" t="s">
        <v>27</v>
      </c>
      <c r="C406" t="s">
        <v>41</v>
      </c>
      <c r="D406">
        <v>5</v>
      </c>
      <c r="E406" s="5">
        <v>43801</v>
      </c>
      <c r="F406">
        <v>11100501</v>
      </c>
      <c r="G406">
        <v>0</v>
      </c>
      <c r="H406" t="s">
        <v>1123</v>
      </c>
      <c r="I406" t="s">
        <v>1124</v>
      </c>
      <c r="J406">
        <v>1012</v>
      </c>
      <c r="K406">
        <v>1110</v>
      </c>
      <c r="L406" s="3">
        <v>-91999</v>
      </c>
      <c r="M406" s="3">
        <v>0</v>
      </c>
      <c r="N406">
        <v>27499</v>
      </c>
      <c r="O406">
        <v>0</v>
      </c>
      <c r="P406">
        <v>-119498</v>
      </c>
      <c r="Q406" t="s">
        <v>30</v>
      </c>
      <c r="R406" t="s">
        <v>72</v>
      </c>
      <c r="S406" t="str">
        <v>#N/A</v>
      </c>
      <c r="T406" t="str">
        <v>31</v>
      </c>
    </row>
    <row r="407" spans="1:20" ht="13.7" customHeight="1" x14ac:dyDescent="0.25">
      <c r="E407" s="5">
        <v>43465</v>
      </c>
      <c r="F407">
        <v>11100501</v>
      </c>
      <c r="G407">
        <v>0</v>
      </c>
      <c r="H407" t="s">
        <v>1135</v>
      </c>
      <c r="I407" t="s">
        <v>1136</v>
      </c>
      <c r="J407">
        <v>0</v>
      </c>
      <c r="K407">
        <v>0</v>
      </c>
      <c r="L407" s="3">
        <v>3897961</v>
      </c>
      <c r="M407" s="3">
        <v>0</v>
      </c>
      <c r="N407">
        <v>0</v>
      </c>
      <c r="O407">
        <v>0</v>
      </c>
      <c r="P407">
        <v>3897961</v>
      </c>
      <c r="R407" t="s">
        <v>1100</v>
      </c>
      <c r="S407" t="str">
        <v>#N/A</v>
      </c>
      <c r="T407" t="str">
        <v>#N/A</v>
      </c>
    </row>
    <row r="408" spans="1:20" ht="13.7" customHeight="1" x14ac:dyDescent="0.25">
      <c r="E408" s="5">
        <v>43465</v>
      </c>
      <c r="F408">
        <v>11100501</v>
      </c>
      <c r="G408">
        <v>0</v>
      </c>
      <c r="H408" t="s">
        <v>1117</v>
      </c>
      <c r="I408" t="s">
        <v>1118</v>
      </c>
      <c r="J408">
        <v>0</v>
      </c>
      <c r="K408">
        <v>0</v>
      </c>
      <c r="L408" s="3">
        <v>0</v>
      </c>
      <c r="M408" s="3">
        <v>0</v>
      </c>
      <c r="N408">
        <v>0</v>
      </c>
      <c r="O408">
        <v>0</v>
      </c>
      <c r="P408">
        <v>0</v>
      </c>
      <c r="R408" t="s">
        <v>1100</v>
      </c>
      <c r="S408" t="str">
        <v>#N/A</v>
      </c>
      <c r="T408" t="str">
        <v>31</v>
      </c>
    </row>
    <row r="409" spans="1:20" ht="13.7" customHeight="1" x14ac:dyDescent="0.25">
      <c r="A409" t="s">
        <v>26</v>
      </c>
      <c r="B409" t="s">
        <v>27</v>
      </c>
      <c r="C409" t="s">
        <v>91</v>
      </c>
      <c r="D409">
        <v>37</v>
      </c>
      <c r="E409" s="5">
        <v>43536</v>
      </c>
      <c r="F409">
        <v>11100501</v>
      </c>
      <c r="G409">
        <v>0</v>
      </c>
      <c r="H409" t="s">
        <v>1117</v>
      </c>
      <c r="I409" t="s">
        <v>1118</v>
      </c>
      <c r="J409">
        <v>1012</v>
      </c>
      <c r="K409">
        <v>1110</v>
      </c>
      <c r="L409" s="3">
        <v>0</v>
      </c>
      <c r="M409" s="3">
        <v>0</v>
      </c>
      <c r="N409">
        <v>600000</v>
      </c>
      <c r="O409">
        <v>0</v>
      </c>
      <c r="P409">
        <v>-600000</v>
      </c>
      <c r="Q409" t="s">
        <v>30</v>
      </c>
      <c r="R409" t="s">
        <v>238</v>
      </c>
      <c r="S409" t="str">
        <v>#N/A</v>
      </c>
      <c r="T409" t="str">
        <v>31</v>
      </c>
    </row>
    <row r="410" spans="1:20" ht="13.7" customHeight="1" x14ac:dyDescent="0.25">
      <c r="E410" s="5">
        <v>43465</v>
      </c>
      <c r="F410">
        <v>11100501</v>
      </c>
      <c r="G410">
        <v>0</v>
      </c>
      <c r="H410" t="s">
        <v>1098</v>
      </c>
      <c r="I410" t="s">
        <v>1099</v>
      </c>
      <c r="J410">
        <v>0</v>
      </c>
      <c r="K410">
        <v>0</v>
      </c>
      <c r="L410" s="3">
        <v>-884199.12</v>
      </c>
      <c r="M410" s="3">
        <v>0</v>
      </c>
      <c r="N410">
        <v>0</v>
      </c>
      <c r="O410">
        <v>0</v>
      </c>
      <c r="P410">
        <v>-884199.12</v>
      </c>
      <c r="R410" t="s">
        <v>1100</v>
      </c>
      <c r="S410" t="str">
        <v>#N/A</v>
      </c>
      <c r="T410" t="str">
        <v>31</v>
      </c>
    </row>
    <row r="411" spans="1:20" ht="13.7" customHeight="1" x14ac:dyDescent="0.25">
      <c r="A411" t="s">
        <v>26</v>
      </c>
      <c r="B411" t="s">
        <v>27</v>
      </c>
      <c r="C411" t="s">
        <v>91</v>
      </c>
      <c r="D411">
        <v>44</v>
      </c>
      <c r="E411" s="5">
        <v>43544</v>
      </c>
      <c r="F411">
        <v>11100501</v>
      </c>
      <c r="G411">
        <v>0</v>
      </c>
      <c r="H411" t="s">
        <v>1098</v>
      </c>
      <c r="I411" t="s">
        <v>1099</v>
      </c>
      <c r="J411">
        <v>1012</v>
      </c>
      <c r="K411">
        <v>1110</v>
      </c>
      <c r="L411" s="3">
        <v>-884199.12</v>
      </c>
      <c r="M411" s="3">
        <v>0</v>
      </c>
      <c r="N411">
        <v>355887</v>
      </c>
      <c r="O411">
        <v>0</v>
      </c>
      <c r="P411">
        <v>-1240086.1200000001</v>
      </c>
      <c r="Q411" t="s">
        <v>30</v>
      </c>
      <c r="R411" t="s">
        <v>240</v>
      </c>
      <c r="S411" t="str">
        <v>#N/A</v>
      </c>
      <c r="T411" t="str">
        <v>31</v>
      </c>
    </row>
    <row r="412" spans="1:20" ht="13.7" customHeight="1" x14ac:dyDescent="0.25">
      <c r="E412" s="5">
        <v>43465</v>
      </c>
      <c r="F412">
        <v>11100501</v>
      </c>
      <c r="G412">
        <v>0</v>
      </c>
      <c r="H412" t="s">
        <v>1501</v>
      </c>
      <c r="I412" t="s">
        <v>1502</v>
      </c>
      <c r="J412">
        <v>0</v>
      </c>
      <c r="K412">
        <v>0</v>
      </c>
      <c r="L412" s="3">
        <v>-155000</v>
      </c>
      <c r="M412" s="3">
        <v>0</v>
      </c>
      <c r="N412">
        <v>0</v>
      </c>
      <c r="O412">
        <v>0</v>
      </c>
      <c r="P412">
        <v>-155000</v>
      </c>
      <c r="R412" t="s">
        <v>1100</v>
      </c>
      <c r="S412" t="str">
        <v>#N/A</v>
      </c>
      <c r="T412" t="str">
        <v>31</v>
      </c>
    </row>
    <row r="413" spans="1:20" ht="13.7" customHeight="1" x14ac:dyDescent="0.25">
      <c r="E413" s="5">
        <v>43465</v>
      </c>
      <c r="F413">
        <v>11100501</v>
      </c>
      <c r="G413">
        <v>0</v>
      </c>
      <c r="H413" t="s">
        <v>1103</v>
      </c>
      <c r="I413" t="s">
        <v>1104</v>
      </c>
      <c r="J413">
        <v>0</v>
      </c>
      <c r="K413">
        <v>0</v>
      </c>
      <c r="L413" s="3">
        <v>-5771342</v>
      </c>
      <c r="M413" s="3">
        <v>0</v>
      </c>
      <c r="N413">
        <v>0</v>
      </c>
      <c r="O413">
        <v>0</v>
      </c>
      <c r="P413">
        <v>-5771342</v>
      </c>
      <c r="R413" t="s">
        <v>1100</v>
      </c>
      <c r="S413" t="str">
        <v>#N/A</v>
      </c>
      <c r="T413" t="str">
        <v>31</v>
      </c>
    </row>
    <row r="414" spans="1:20" ht="13.7" customHeight="1" x14ac:dyDescent="0.25">
      <c r="A414" t="s">
        <v>26</v>
      </c>
      <c r="B414" t="s">
        <v>27</v>
      </c>
      <c r="C414" t="s">
        <v>91</v>
      </c>
      <c r="D414">
        <v>30</v>
      </c>
      <c r="E414" s="5">
        <v>43535</v>
      </c>
      <c r="F414">
        <v>11100501</v>
      </c>
      <c r="G414">
        <v>0</v>
      </c>
      <c r="H414" t="s">
        <v>1103</v>
      </c>
      <c r="I414" t="s">
        <v>1104</v>
      </c>
      <c r="J414">
        <v>1012</v>
      </c>
      <c r="K414">
        <v>1110</v>
      </c>
      <c r="L414" s="3">
        <v>-5771342</v>
      </c>
      <c r="M414" s="3">
        <v>0</v>
      </c>
      <c r="N414">
        <v>3097782</v>
      </c>
      <c r="O414">
        <v>0</v>
      </c>
      <c r="P414">
        <v>-8869124</v>
      </c>
      <c r="Q414" t="s">
        <v>30</v>
      </c>
      <c r="R414" t="s">
        <v>237</v>
      </c>
      <c r="S414" t="str">
        <v>#N/A</v>
      </c>
      <c r="T414" t="str">
        <v>31</v>
      </c>
    </row>
    <row r="415" spans="1:20" ht="13.7" customHeight="1" x14ac:dyDescent="0.25">
      <c r="E415" s="5">
        <v>43465</v>
      </c>
      <c r="F415">
        <v>11100501</v>
      </c>
      <c r="G415">
        <v>0</v>
      </c>
      <c r="H415" t="s">
        <v>1348</v>
      </c>
      <c r="I415" t="s">
        <v>1349</v>
      </c>
      <c r="J415">
        <v>0</v>
      </c>
      <c r="K415">
        <v>0</v>
      </c>
      <c r="L415" s="3">
        <v>-14900</v>
      </c>
      <c r="M415" s="3">
        <v>0</v>
      </c>
      <c r="N415">
        <v>0</v>
      </c>
      <c r="O415">
        <v>0</v>
      </c>
      <c r="P415">
        <v>-14900</v>
      </c>
      <c r="R415" t="s">
        <v>1100</v>
      </c>
      <c r="S415" t="str">
        <v>#N/A</v>
      </c>
      <c r="T415" t="str">
        <v>#N/A</v>
      </c>
    </row>
    <row r="416" spans="1:20" ht="13.7" customHeight="1" x14ac:dyDescent="0.25">
      <c r="E416" s="5">
        <v>43465</v>
      </c>
      <c r="F416">
        <v>11100501</v>
      </c>
      <c r="G416">
        <v>0</v>
      </c>
      <c r="H416" t="s">
        <v>1129</v>
      </c>
      <c r="I416" t="s">
        <v>1130</v>
      </c>
      <c r="J416">
        <v>0</v>
      </c>
      <c r="K416">
        <v>0</v>
      </c>
      <c r="L416" s="3">
        <v>36210062</v>
      </c>
      <c r="M416" s="3">
        <v>0</v>
      </c>
      <c r="N416">
        <v>0</v>
      </c>
      <c r="O416">
        <v>0</v>
      </c>
      <c r="P416">
        <v>36210062</v>
      </c>
      <c r="R416" t="s">
        <v>1100</v>
      </c>
      <c r="S416" t="str">
        <v>#N/A</v>
      </c>
      <c r="T416" t="str">
        <v>#N/A</v>
      </c>
    </row>
    <row r="417" spans="1:20" ht="13.7" customHeight="1" x14ac:dyDescent="0.25">
      <c r="E417" s="5">
        <v>43465</v>
      </c>
      <c r="F417">
        <v>11100501</v>
      </c>
      <c r="G417">
        <v>0</v>
      </c>
      <c r="H417" t="s">
        <v>1139</v>
      </c>
      <c r="I417" t="s">
        <v>1140</v>
      </c>
      <c r="J417">
        <v>0</v>
      </c>
      <c r="K417">
        <v>0</v>
      </c>
      <c r="L417" s="3">
        <v>16244511</v>
      </c>
      <c r="M417" s="3">
        <v>0</v>
      </c>
      <c r="N417">
        <v>0</v>
      </c>
      <c r="O417">
        <v>0</v>
      </c>
      <c r="P417">
        <v>16244511</v>
      </c>
      <c r="R417" t="s">
        <v>1100</v>
      </c>
      <c r="S417" t="str">
        <v>#N/A</v>
      </c>
      <c r="T417" t="str">
        <v>#N/A</v>
      </c>
    </row>
    <row r="418" spans="1:20" ht="13.7" customHeight="1" x14ac:dyDescent="0.25">
      <c r="E418" s="5">
        <v>43465</v>
      </c>
      <c r="F418">
        <v>11100501</v>
      </c>
      <c r="G418">
        <v>0</v>
      </c>
      <c r="H418" t="s">
        <v>1125</v>
      </c>
      <c r="I418" t="s">
        <v>1126</v>
      </c>
      <c r="J418">
        <v>0</v>
      </c>
      <c r="K418">
        <v>0</v>
      </c>
      <c r="L418" s="3">
        <v>65089358</v>
      </c>
      <c r="M418" s="3">
        <v>0</v>
      </c>
      <c r="N418">
        <v>0</v>
      </c>
      <c r="O418">
        <v>0</v>
      </c>
      <c r="P418">
        <v>65089358</v>
      </c>
      <c r="R418" t="s">
        <v>1100</v>
      </c>
      <c r="S418" t="str">
        <v>#N/A</v>
      </c>
      <c r="T418" t="str">
        <v>31</v>
      </c>
    </row>
    <row r="419" spans="1:20" ht="13.7" customHeight="1" x14ac:dyDescent="0.25">
      <c r="E419" s="5">
        <v>43465</v>
      </c>
      <c r="F419">
        <v>11100501</v>
      </c>
      <c r="G419">
        <v>0</v>
      </c>
      <c r="H419" t="s">
        <v>1113</v>
      </c>
      <c r="I419" t="s">
        <v>1114</v>
      </c>
      <c r="J419">
        <v>0</v>
      </c>
      <c r="K419">
        <v>0</v>
      </c>
      <c r="L419" s="3">
        <v>0</v>
      </c>
      <c r="M419" s="3">
        <v>0</v>
      </c>
      <c r="N419">
        <v>0</v>
      </c>
      <c r="O419">
        <v>0</v>
      </c>
      <c r="P419">
        <v>0</v>
      </c>
      <c r="R419" t="s">
        <v>1100</v>
      </c>
      <c r="S419" t="str">
        <v>#N/A</v>
      </c>
      <c r="T419" t="str">
        <v>31</v>
      </c>
    </row>
    <row r="420" spans="1:20" ht="13.7" customHeight="1" x14ac:dyDescent="0.25">
      <c r="A420" t="s">
        <v>26</v>
      </c>
      <c r="B420" t="s">
        <v>27</v>
      </c>
      <c r="C420" t="s">
        <v>91</v>
      </c>
      <c r="D420">
        <v>46</v>
      </c>
      <c r="E420" s="5">
        <v>43545</v>
      </c>
      <c r="F420">
        <v>11100501</v>
      </c>
      <c r="G420">
        <v>0</v>
      </c>
      <c r="H420" t="s">
        <v>1113</v>
      </c>
      <c r="I420" t="s">
        <v>1114</v>
      </c>
      <c r="J420">
        <v>1012</v>
      </c>
      <c r="K420">
        <v>1110</v>
      </c>
      <c r="L420" s="3">
        <v>0</v>
      </c>
      <c r="M420" s="3">
        <v>0</v>
      </c>
      <c r="N420">
        <v>327200</v>
      </c>
      <c r="O420">
        <v>0</v>
      </c>
      <c r="P420">
        <v>-327200</v>
      </c>
      <c r="Q420" t="s">
        <v>30</v>
      </c>
      <c r="R420" t="s">
        <v>242</v>
      </c>
      <c r="S420" t="str">
        <v>#N/A</v>
      </c>
      <c r="T420" t="str">
        <v>31</v>
      </c>
    </row>
    <row r="421" spans="1:20" ht="13.7" customHeight="1" x14ac:dyDescent="0.25">
      <c r="E421" s="5">
        <v>43465</v>
      </c>
      <c r="F421">
        <v>11100501</v>
      </c>
      <c r="G421">
        <v>0</v>
      </c>
      <c r="H421" t="s">
        <v>1121</v>
      </c>
      <c r="I421" t="s">
        <v>1122</v>
      </c>
      <c r="J421">
        <v>0</v>
      </c>
      <c r="K421">
        <v>0</v>
      </c>
      <c r="L421" s="3">
        <v>-913316</v>
      </c>
      <c r="M421" s="3">
        <v>0</v>
      </c>
      <c r="N421">
        <v>0</v>
      </c>
      <c r="O421">
        <v>0</v>
      </c>
      <c r="P421">
        <v>-913316</v>
      </c>
      <c r="R421" t="s">
        <v>1100</v>
      </c>
      <c r="S421" t="str">
        <v>#N/A</v>
      </c>
      <c r="T421" t="str">
        <v>31</v>
      </c>
    </row>
    <row r="422" spans="1:20" ht="13.7" customHeight="1" x14ac:dyDescent="0.25">
      <c r="A422" t="s">
        <v>26</v>
      </c>
      <c r="B422" t="s">
        <v>27</v>
      </c>
      <c r="C422" t="s">
        <v>35</v>
      </c>
      <c r="D422">
        <v>2</v>
      </c>
      <c r="E422" s="5">
        <v>43588</v>
      </c>
      <c r="F422">
        <v>11100501</v>
      </c>
      <c r="G422">
        <v>0</v>
      </c>
      <c r="H422" t="s">
        <v>1121</v>
      </c>
      <c r="I422" t="s">
        <v>1122</v>
      </c>
      <c r="J422">
        <v>1012</v>
      </c>
      <c r="K422">
        <v>1110</v>
      </c>
      <c r="L422" s="3">
        <v>-913316</v>
      </c>
      <c r="M422" s="3">
        <v>0</v>
      </c>
      <c r="N422">
        <v>107340</v>
      </c>
      <c r="O422">
        <v>0</v>
      </c>
      <c r="P422">
        <v>-1020656</v>
      </c>
      <c r="Q422" t="s">
        <v>30</v>
      </c>
      <c r="R422" t="s">
        <v>210</v>
      </c>
      <c r="S422" t="str">
        <v>#N/A</v>
      </c>
      <c r="T422" t="str">
        <v>31</v>
      </c>
    </row>
    <row r="423" spans="1:20" ht="13.7" customHeight="1" x14ac:dyDescent="0.25">
      <c r="A423" t="s">
        <v>26</v>
      </c>
      <c r="B423" t="s">
        <v>27</v>
      </c>
      <c r="C423" t="s">
        <v>38</v>
      </c>
      <c r="D423">
        <v>13</v>
      </c>
      <c r="E423" s="5">
        <v>43685</v>
      </c>
      <c r="F423">
        <v>11100501</v>
      </c>
      <c r="G423">
        <v>0</v>
      </c>
      <c r="H423" t="s">
        <v>1121</v>
      </c>
      <c r="I423" t="s">
        <v>1122</v>
      </c>
      <c r="J423">
        <v>1012</v>
      </c>
      <c r="K423">
        <v>1110</v>
      </c>
      <c r="L423" s="3">
        <v>-1020656</v>
      </c>
      <c r="M423" s="3">
        <v>0</v>
      </c>
      <c r="N423">
        <v>107340</v>
      </c>
      <c r="O423">
        <v>0</v>
      </c>
      <c r="P423">
        <v>-1127996</v>
      </c>
      <c r="Q423" t="s">
        <v>30</v>
      </c>
      <c r="R423" t="s">
        <v>210</v>
      </c>
      <c r="S423" t="str">
        <v>#N/A</v>
      </c>
      <c r="T423" t="str">
        <v>31</v>
      </c>
    </row>
    <row r="424" spans="1:20" ht="13.7" customHeight="1" x14ac:dyDescent="0.25">
      <c r="E424" s="5">
        <v>43465</v>
      </c>
      <c r="F424">
        <v>11100501</v>
      </c>
      <c r="G424">
        <v>0</v>
      </c>
      <c r="H424" t="s">
        <v>1131</v>
      </c>
      <c r="I424" t="s">
        <v>1132</v>
      </c>
      <c r="J424">
        <v>0</v>
      </c>
      <c r="K424">
        <v>0</v>
      </c>
      <c r="L424" s="3">
        <v>12965490</v>
      </c>
      <c r="M424" s="3">
        <v>0</v>
      </c>
      <c r="N424">
        <v>0</v>
      </c>
      <c r="O424">
        <v>0</v>
      </c>
      <c r="P424">
        <v>12965490</v>
      </c>
      <c r="R424" t="s">
        <v>1100</v>
      </c>
      <c r="S424" t="str">
        <v>#N/A</v>
      </c>
      <c r="T424" t="str">
        <v>#N/A</v>
      </c>
    </row>
    <row r="425" spans="1:20" ht="13.7" customHeight="1" x14ac:dyDescent="0.25">
      <c r="E425" s="5">
        <v>43465</v>
      </c>
      <c r="F425">
        <v>11100501</v>
      </c>
      <c r="G425">
        <v>0</v>
      </c>
      <c r="H425" t="s">
        <v>1105</v>
      </c>
      <c r="I425" t="s">
        <v>1106</v>
      </c>
      <c r="J425">
        <v>0</v>
      </c>
      <c r="K425">
        <v>0</v>
      </c>
      <c r="L425" s="3">
        <v>-159005077.47999999</v>
      </c>
      <c r="M425" s="3">
        <v>0</v>
      </c>
      <c r="N425">
        <v>0</v>
      </c>
      <c r="O425">
        <v>0</v>
      </c>
      <c r="P425">
        <v>-159005077.47999999</v>
      </c>
      <c r="R425" t="s">
        <v>1100</v>
      </c>
      <c r="S425" t="str">
        <v>#N/A</v>
      </c>
      <c r="T425" t="str">
        <v>#N/A</v>
      </c>
    </row>
    <row r="426" spans="1:20" ht="13.7" customHeight="1" x14ac:dyDescent="0.25">
      <c r="A426" t="s">
        <v>26</v>
      </c>
      <c r="B426" t="s">
        <v>27</v>
      </c>
      <c r="C426" t="s">
        <v>28</v>
      </c>
      <c r="D426">
        <v>30</v>
      </c>
      <c r="E426" s="5">
        <v>43479</v>
      </c>
      <c r="F426">
        <v>11100501</v>
      </c>
      <c r="G426">
        <v>0</v>
      </c>
      <c r="H426" t="s">
        <v>1105</v>
      </c>
      <c r="I426" t="s">
        <v>1106</v>
      </c>
      <c r="J426">
        <v>1012</v>
      </c>
      <c r="K426">
        <v>1110</v>
      </c>
      <c r="L426" s="3">
        <v>-159005077.47999999</v>
      </c>
      <c r="M426" s="3">
        <v>0</v>
      </c>
      <c r="N426">
        <v>1876816</v>
      </c>
      <c r="O426">
        <v>0</v>
      </c>
      <c r="P426">
        <v>-160881893.47999999</v>
      </c>
      <c r="Q426" t="s">
        <v>30</v>
      </c>
      <c r="R426" t="s">
        <v>69</v>
      </c>
      <c r="S426" t="str">
        <v>#N/A</v>
      </c>
      <c r="T426" t="str">
        <v>#N/A</v>
      </c>
    </row>
    <row r="427" spans="1:20" ht="13.7" customHeight="1" x14ac:dyDescent="0.25">
      <c r="A427" t="s">
        <v>26</v>
      </c>
      <c r="B427" t="s">
        <v>27</v>
      </c>
      <c r="C427" t="s">
        <v>28</v>
      </c>
      <c r="D427">
        <v>33</v>
      </c>
      <c r="E427" s="5">
        <v>43479</v>
      </c>
      <c r="F427">
        <v>11100501</v>
      </c>
      <c r="G427">
        <v>0</v>
      </c>
      <c r="H427" t="s">
        <v>1105</v>
      </c>
      <c r="I427" t="s">
        <v>1106</v>
      </c>
      <c r="J427">
        <v>1012</v>
      </c>
      <c r="K427">
        <v>1110</v>
      </c>
      <c r="L427" s="3">
        <v>-160881893.47999999</v>
      </c>
      <c r="M427" s="3">
        <v>0</v>
      </c>
      <c r="N427">
        <v>1060119</v>
      </c>
      <c r="O427">
        <v>0</v>
      </c>
      <c r="P427">
        <v>-161942012.47999999</v>
      </c>
      <c r="Q427" t="s">
        <v>30</v>
      </c>
      <c r="R427" t="s">
        <v>65</v>
      </c>
      <c r="S427" t="str">
        <v>#N/A</v>
      </c>
      <c r="T427" t="str">
        <v>#N/A</v>
      </c>
    </row>
    <row r="428" spans="1:20" ht="13.7" customHeight="1" x14ac:dyDescent="0.25">
      <c r="A428" t="s">
        <v>26</v>
      </c>
      <c r="B428" t="s">
        <v>27</v>
      </c>
      <c r="C428" t="s">
        <v>28</v>
      </c>
      <c r="D428">
        <v>35</v>
      </c>
      <c r="E428" s="5">
        <v>43480</v>
      </c>
      <c r="F428">
        <v>11100501</v>
      </c>
      <c r="G428">
        <v>0</v>
      </c>
      <c r="H428" t="s">
        <v>1105</v>
      </c>
      <c r="I428" t="s">
        <v>1106</v>
      </c>
      <c r="J428">
        <v>1012</v>
      </c>
      <c r="K428">
        <v>1110</v>
      </c>
      <c r="L428" s="3">
        <v>-161942012.47999999</v>
      </c>
      <c r="M428" s="3">
        <v>0</v>
      </c>
      <c r="N428">
        <v>5282266</v>
      </c>
      <c r="O428">
        <v>0</v>
      </c>
      <c r="P428">
        <v>-167224278.47999999</v>
      </c>
      <c r="Q428" t="s">
        <v>30</v>
      </c>
      <c r="R428" t="s">
        <v>196</v>
      </c>
      <c r="S428" t="str">
        <v>#N/A</v>
      </c>
      <c r="T428" t="str">
        <v>#N/A</v>
      </c>
    </row>
    <row r="429" spans="1:20" ht="13.7" customHeight="1" x14ac:dyDescent="0.25">
      <c r="A429" t="s">
        <v>199</v>
      </c>
      <c r="B429" t="s">
        <v>200</v>
      </c>
      <c r="C429" t="s">
        <v>28</v>
      </c>
      <c r="D429">
        <v>1</v>
      </c>
      <c r="E429" s="5">
        <v>43490</v>
      </c>
      <c r="F429">
        <v>11100501</v>
      </c>
      <c r="G429">
        <v>0</v>
      </c>
      <c r="H429" t="s">
        <v>1105</v>
      </c>
      <c r="I429" t="s">
        <v>1106</v>
      </c>
      <c r="J429">
        <v>1012</v>
      </c>
      <c r="K429">
        <v>1110</v>
      </c>
      <c r="L429" s="3">
        <v>-167224278.47999999</v>
      </c>
      <c r="M429" s="3">
        <v>2327053</v>
      </c>
      <c r="N429">
        <v>0</v>
      </c>
      <c r="O429">
        <v>0</v>
      </c>
      <c r="P429">
        <v>-164897225.47999999</v>
      </c>
      <c r="Q429" t="s">
        <v>30</v>
      </c>
      <c r="R429" t="s">
        <v>201</v>
      </c>
      <c r="S429" t="str">
        <v>#N/A</v>
      </c>
      <c r="T429" t="str">
        <v>#N/A</v>
      </c>
    </row>
    <row r="430" spans="1:20" ht="13.7" customHeight="1" x14ac:dyDescent="0.25">
      <c r="A430" t="s">
        <v>26</v>
      </c>
      <c r="B430" t="s">
        <v>27</v>
      </c>
      <c r="C430" t="s">
        <v>28</v>
      </c>
      <c r="D430">
        <v>77</v>
      </c>
      <c r="E430" s="5">
        <v>43491</v>
      </c>
      <c r="F430">
        <v>11100501</v>
      </c>
      <c r="G430">
        <v>0</v>
      </c>
      <c r="H430" t="s">
        <v>1105</v>
      </c>
      <c r="I430" t="s">
        <v>1106</v>
      </c>
      <c r="J430">
        <v>1012</v>
      </c>
      <c r="K430">
        <v>1110</v>
      </c>
      <c r="L430" s="3">
        <v>-164897225.47999999</v>
      </c>
      <c r="M430" s="3">
        <v>0</v>
      </c>
      <c r="N430">
        <v>2229369</v>
      </c>
      <c r="O430">
        <v>0</v>
      </c>
      <c r="P430">
        <v>-167126594.47999999</v>
      </c>
      <c r="Q430" t="s">
        <v>30</v>
      </c>
      <c r="R430" t="s">
        <v>202</v>
      </c>
      <c r="S430" t="str">
        <v>#N/A</v>
      </c>
      <c r="T430" t="str">
        <v>#N/A</v>
      </c>
    </row>
    <row r="431" spans="1:20" ht="13.7" customHeight="1" x14ac:dyDescent="0.25">
      <c r="A431" t="s">
        <v>26</v>
      </c>
      <c r="B431" t="s">
        <v>27</v>
      </c>
      <c r="C431" t="s">
        <v>28</v>
      </c>
      <c r="D431">
        <v>70</v>
      </c>
      <c r="E431" s="5">
        <v>43493</v>
      </c>
      <c r="F431">
        <v>11100501</v>
      </c>
      <c r="G431">
        <v>0</v>
      </c>
      <c r="H431" t="s">
        <v>1105</v>
      </c>
      <c r="I431" t="s">
        <v>1106</v>
      </c>
      <c r="J431">
        <v>1012</v>
      </c>
      <c r="K431">
        <v>1110</v>
      </c>
      <c r="L431" s="3">
        <v>-167126594.47999999</v>
      </c>
      <c r="M431" s="3">
        <v>0</v>
      </c>
      <c r="N431">
        <v>130713</v>
      </c>
      <c r="O431">
        <v>0</v>
      </c>
      <c r="P431">
        <v>-167257307.47999999</v>
      </c>
      <c r="Q431" t="s">
        <v>30</v>
      </c>
      <c r="R431" t="s">
        <v>203</v>
      </c>
      <c r="S431" t="str">
        <v>#N/A</v>
      </c>
      <c r="T431" t="str">
        <v>#N/A</v>
      </c>
    </row>
    <row r="432" spans="1:20" ht="13.7" customHeight="1" x14ac:dyDescent="0.25">
      <c r="A432" t="s">
        <v>26</v>
      </c>
      <c r="B432" t="s">
        <v>27</v>
      </c>
      <c r="C432" t="s">
        <v>28</v>
      </c>
      <c r="D432">
        <v>71</v>
      </c>
      <c r="E432" s="5">
        <v>43493</v>
      </c>
      <c r="F432">
        <v>11100501</v>
      </c>
      <c r="G432">
        <v>0</v>
      </c>
      <c r="H432" t="s">
        <v>1105</v>
      </c>
      <c r="I432" t="s">
        <v>1106</v>
      </c>
      <c r="J432">
        <v>1012</v>
      </c>
      <c r="K432">
        <v>1110</v>
      </c>
      <c r="L432" s="3">
        <v>-167257307.47999999</v>
      </c>
      <c r="M432" s="3">
        <v>0</v>
      </c>
      <c r="N432">
        <v>75900</v>
      </c>
      <c r="O432">
        <v>0</v>
      </c>
      <c r="P432">
        <v>-167333207.47999999</v>
      </c>
      <c r="Q432" t="s">
        <v>30</v>
      </c>
      <c r="R432" t="s">
        <v>204</v>
      </c>
      <c r="S432" t="str">
        <v>#N/A</v>
      </c>
      <c r="T432" t="str">
        <v>#N/A</v>
      </c>
    </row>
    <row r="433" spans="1:20" ht="13.7" customHeight="1" x14ac:dyDescent="0.25">
      <c r="A433" t="s">
        <v>26</v>
      </c>
      <c r="B433" t="s">
        <v>27</v>
      </c>
      <c r="C433" t="s">
        <v>28</v>
      </c>
      <c r="D433">
        <v>72</v>
      </c>
      <c r="E433" s="5">
        <v>43493</v>
      </c>
      <c r="F433">
        <v>11100501</v>
      </c>
      <c r="G433">
        <v>0</v>
      </c>
      <c r="H433" t="s">
        <v>1105</v>
      </c>
      <c r="I433" t="s">
        <v>1106</v>
      </c>
      <c r="J433">
        <v>1012</v>
      </c>
      <c r="K433">
        <v>1110</v>
      </c>
      <c r="L433" s="3">
        <v>-167333207.47999999</v>
      </c>
      <c r="M433" s="3">
        <v>0</v>
      </c>
      <c r="N433">
        <v>369723</v>
      </c>
      <c r="O433">
        <v>0</v>
      </c>
      <c r="P433">
        <v>-167702930.47999999</v>
      </c>
      <c r="Q433" t="s">
        <v>30</v>
      </c>
      <c r="R433" t="s">
        <v>31</v>
      </c>
      <c r="S433" t="str">
        <v>#N/A</v>
      </c>
      <c r="T433" t="str">
        <v>#N/A</v>
      </c>
    </row>
    <row r="434" spans="1:20" ht="13.7" customHeight="1" x14ac:dyDescent="0.25">
      <c r="A434" t="s">
        <v>26</v>
      </c>
      <c r="B434" t="s">
        <v>27</v>
      </c>
      <c r="C434" t="s">
        <v>28</v>
      </c>
      <c r="D434">
        <v>73</v>
      </c>
      <c r="E434" s="5">
        <v>43493</v>
      </c>
      <c r="F434">
        <v>11100501</v>
      </c>
      <c r="G434">
        <v>0</v>
      </c>
      <c r="H434" t="s">
        <v>1105</v>
      </c>
      <c r="I434" t="s">
        <v>1106</v>
      </c>
      <c r="J434">
        <v>1012</v>
      </c>
      <c r="K434">
        <v>1110</v>
      </c>
      <c r="L434" s="3">
        <v>-167702930.47999999</v>
      </c>
      <c r="M434" s="3">
        <v>0</v>
      </c>
      <c r="N434">
        <v>420000</v>
      </c>
      <c r="O434">
        <v>0</v>
      </c>
      <c r="P434">
        <v>-168122930.47999999</v>
      </c>
      <c r="Q434" t="s">
        <v>30</v>
      </c>
      <c r="R434" t="s">
        <v>205</v>
      </c>
      <c r="S434" t="str">
        <v>#N/A</v>
      </c>
      <c r="T434" t="str">
        <v>#N/A</v>
      </c>
    </row>
    <row r="435" spans="1:20" ht="13.7" customHeight="1" x14ac:dyDescent="0.25">
      <c r="A435" t="s">
        <v>26</v>
      </c>
      <c r="B435" t="s">
        <v>27</v>
      </c>
      <c r="C435" t="s">
        <v>28</v>
      </c>
      <c r="D435">
        <v>74</v>
      </c>
      <c r="E435" s="5">
        <v>43493</v>
      </c>
      <c r="F435">
        <v>11100501</v>
      </c>
      <c r="G435">
        <v>0</v>
      </c>
      <c r="H435" t="s">
        <v>1105</v>
      </c>
      <c r="I435" t="s">
        <v>1106</v>
      </c>
      <c r="J435">
        <v>1012</v>
      </c>
      <c r="K435">
        <v>1110</v>
      </c>
      <c r="L435" s="3">
        <v>-168122930.47999999</v>
      </c>
      <c r="M435" s="3">
        <v>0</v>
      </c>
      <c r="N435">
        <v>840000</v>
      </c>
      <c r="O435">
        <v>0</v>
      </c>
      <c r="P435">
        <v>-168962930.47999999</v>
      </c>
      <c r="Q435" t="s">
        <v>30</v>
      </c>
      <c r="R435" t="s">
        <v>86</v>
      </c>
      <c r="S435" t="str">
        <v>#N/A</v>
      </c>
      <c r="T435" t="str">
        <v>#N/A</v>
      </c>
    </row>
    <row r="436" spans="1:20" ht="13.7" customHeight="1" x14ac:dyDescent="0.25">
      <c r="A436" t="s">
        <v>26</v>
      </c>
      <c r="B436" t="s">
        <v>27</v>
      </c>
      <c r="C436" t="s">
        <v>28</v>
      </c>
      <c r="D436">
        <v>75</v>
      </c>
      <c r="E436" s="5">
        <v>43493</v>
      </c>
      <c r="F436">
        <v>11100501</v>
      </c>
      <c r="G436">
        <v>0</v>
      </c>
      <c r="H436" t="s">
        <v>1105</v>
      </c>
      <c r="I436" t="s">
        <v>1106</v>
      </c>
      <c r="J436">
        <v>1012</v>
      </c>
      <c r="K436">
        <v>1110</v>
      </c>
      <c r="L436" s="3">
        <v>-168962930.47999999</v>
      </c>
      <c r="M436" s="3">
        <v>0</v>
      </c>
      <c r="N436">
        <v>1428328</v>
      </c>
      <c r="O436">
        <v>0</v>
      </c>
      <c r="P436">
        <v>-170391258.47999999</v>
      </c>
      <c r="Q436" t="s">
        <v>30</v>
      </c>
      <c r="R436" t="s">
        <v>206</v>
      </c>
      <c r="S436" t="str">
        <v>#N/A</v>
      </c>
      <c r="T436" t="str">
        <v>#N/A</v>
      </c>
    </row>
    <row r="437" spans="1:20" ht="13.7" customHeight="1" x14ac:dyDescent="0.25">
      <c r="A437" t="s">
        <v>26</v>
      </c>
      <c r="B437" t="s">
        <v>27</v>
      </c>
      <c r="C437" t="s">
        <v>28</v>
      </c>
      <c r="D437">
        <v>76</v>
      </c>
      <c r="E437" s="5">
        <v>43493</v>
      </c>
      <c r="F437">
        <v>11100501</v>
      </c>
      <c r="G437">
        <v>0</v>
      </c>
      <c r="H437" t="s">
        <v>1105</v>
      </c>
      <c r="I437" t="s">
        <v>1106</v>
      </c>
      <c r="J437">
        <v>1012</v>
      </c>
      <c r="K437">
        <v>1110</v>
      </c>
      <c r="L437" s="3">
        <v>-170391258.47999999</v>
      </c>
      <c r="M437" s="3">
        <v>0</v>
      </c>
      <c r="N437">
        <v>800000</v>
      </c>
      <c r="O437">
        <v>0</v>
      </c>
      <c r="P437">
        <v>-171191258.47999999</v>
      </c>
      <c r="Q437" t="s">
        <v>30</v>
      </c>
      <c r="R437" t="s">
        <v>207</v>
      </c>
      <c r="S437" t="str">
        <v>#N/A</v>
      </c>
      <c r="T437" t="str">
        <v>#N/A</v>
      </c>
    </row>
    <row r="438" spans="1:20" ht="13.7" customHeight="1" x14ac:dyDescent="0.25">
      <c r="A438" t="s">
        <v>199</v>
      </c>
      <c r="B438" t="s">
        <v>200</v>
      </c>
      <c r="C438" t="s">
        <v>28</v>
      </c>
      <c r="D438">
        <v>2</v>
      </c>
      <c r="E438" s="5">
        <v>43493</v>
      </c>
      <c r="F438">
        <v>11100501</v>
      </c>
      <c r="G438">
        <v>0</v>
      </c>
      <c r="H438" t="s">
        <v>1105</v>
      </c>
      <c r="I438" t="s">
        <v>1106</v>
      </c>
      <c r="J438">
        <v>1012</v>
      </c>
      <c r="K438">
        <v>1110</v>
      </c>
      <c r="L438" s="3">
        <v>-171191258.47999999</v>
      </c>
      <c r="M438" s="3">
        <v>8143864</v>
      </c>
      <c r="N438">
        <v>0</v>
      </c>
      <c r="O438">
        <v>0</v>
      </c>
      <c r="P438">
        <v>-163047394.47999999</v>
      </c>
      <c r="Q438" t="s">
        <v>30</v>
      </c>
      <c r="R438" t="s">
        <v>208</v>
      </c>
      <c r="S438" t="str">
        <v>#N/A</v>
      </c>
      <c r="T438" t="str">
        <v>#N/A</v>
      </c>
    </row>
    <row r="439" spans="1:20" ht="13.7" customHeight="1" x14ac:dyDescent="0.25">
      <c r="A439" t="s">
        <v>199</v>
      </c>
      <c r="B439" t="s">
        <v>200</v>
      </c>
      <c r="C439" t="s">
        <v>28</v>
      </c>
      <c r="D439">
        <v>3</v>
      </c>
      <c r="E439" s="5">
        <v>43493</v>
      </c>
      <c r="F439">
        <v>11100501</v>
      </c>
      <c r="G439">
        <v>0</v>
      </c>
      <c r="H439" t="s">
        <v>1105</v>
      </c>
      <c r="I439" t="s">
        <v>1106</v>
      </c>
      <c r="J439">
        <v>1012</v>
      </c>
      <c r="K439">
        <v>1110</v>
      </c>
      <c r="L439" s="3">
        <v>-163047394.47999999</v>
      </c>
      <c r="M439" s="3">
        <v>12757635</v>
      </c>
      <c r="N439">
        <v>0</v>
      </c>
      <c r="O439">
        <v>0</v>
      </c>
      <c r="P439">
        <v>-150289759.47999999</v>
      </c>
      <c r="Q439" t="s">
        <v>30</v>
      </c>
      <c r="R439" t="s">
        <v>209</v>
      </c>
      <c r="S439" t="str">
        <v>#N/A</v>
      </c>
      <c r="T439" t="str">
        <v>#N/A</v>
      </c>
    </row>
    <row r="440" spans="1:20" ht="13.7" customHeight="1" x14ac:dyDescent="0.25">
      <c r="A440" t="s">
        <v>26</v>
      </c>
      <c r="B440" t="s">
        <v>27</v>
      </c>
      <c r="C440" t="s">
        <v>32</v>
      </c>
      <c r="D440">
        <v>1</v>
      </c>
      <c r="E440" s="5">
        <v>43497</v>
      </c>
      <c r="F440">
        <v>11100501</v>
      </c>
      <c r="G440">
        <v>0</v>
      </c>
      <c r="H440" t="s">
        <v>1105</v>
      </c>
      <c r="I440" t="s">
        <v>1106</v>
      </c>
      <c r="J440">
        <v>1012</v>
      </c>
      <c r="K440">
        <v>1110</v>
      </c>
      <c r="L440" s="3">
        <v>-150289759.47999999</v>
      </c>
      <c r="M440" s="3">
        <v>0</v>
      </c>
      <c r="N440">
        <v>107340</v>
      </c>
      <c r="O440">
        <v>0</v>
      </c>
      <c r="P440">
        <v>-150397099.47999999</v>
      </c>
      <c r="Q440" t="s">
        <v>30</v>
      </c>
      <c r="R440" t="s">
        <v>210</v>
      </c>
      <c r="S440" t="str">
        <v>#N/A</v>
      </c>
      <c r="T440" t="str">
        <v>#N/A</v>
      </c>
    </row>
    <row r="441" spans="1:20" ht="13.7" customHeight="1" x14ac:dyDescent="0.25">
      <c r="A441" t="s">
        <v>26</v>
      </c>
      <c r="B441" t="s">
        <v>27</v>
      </c>
      <c r="C441" t="s">
        <v>32</v>
      </c>
      <c r="D441">
        <v>4</v>
      </c>
      <c r="E441" s="5">
        <v>43497</v>
      </c>
      <c r="F441">
        <v>11100501</v>
      </c>
      <c r="G441">
        <v>0</v>
      </c>
      <c r="H441" t="s">
        <v>1105</v>
      </c>
      <c r="I441" t="s">
        <v>1106</v>
      </c>
      <c r="J441">
        <v>1012</v>
      </c>
      <c r="K441">
        <v>1110</v>
      </c>
      <c r="L441" s="3">
        <v>-150397099.47999999</v>
      </c>
      <c r="M441" s="3">
        <v>0</v>
      </c>
      <c r="N441">
        <v>830000</v>
      </c>
      <c r="O441">
        <v>0</v>
      </c>
      <c r="P441">
        <v>-151227099.47999999</v>
      </c>
      <c r="Q441" t="s">
        <v>30</v>
      </c>
      <c r="R441" t="s">
        <v>211</v>
      </c>
      <c r="S441" t="str">
        <v>#N/A</v>
      </c>
      <c r="T441" t="str">
        <v>#N/A</v>
      </c>
    </row>
    <row r="442" spans="1:20" ht="13.7" customHeight="1" x14ac:dyDescent="0.25">
      <c r="A442" t="s">
        <v>219</v>
      </c>
      <c r="B442" t="s">
        <v>220</v>
      </c>
      <c r="C442" t="s">
        <v>32</v>
      </c>
      <c r="D442">
        <v>1</v>
      </c>
      <c r="E442" s="5">
        <v>43497</v>
      </c>
      <c r="F442">
        <v>11100501</v>
      </c>
      <c r="G442">
        <v>0</v>
      </c>
      <c r="H442" t="s">
        <v>1105</v>
      </c>
      <c r="I442" t="s">
        <v>1106</v>
      </c>
      <c r="J442">
        <v>1012</v>
      </c>
      <c r="K442">
        <v>1110</v>
      </c>
      <c r="L442" s="3">
        <v>-151227099.47999999</v>
      </c>
      <c r="M442" s="3">
        <v>0</v>
      </c>
      <c r="N442">
        <v>932482</v>
      </c>
      <c r="O442">
        <v>0</v>
      </c>
      <c r="P442">
        <v>-152159581.47999999</v>
      </c>
      <c r="Q442" t="s">
        <v>30</v>
      </c>
      <c r="R442" t="s">
        <v>212</v>
      </c>
      <c r="S442" t="str">
        <v>#N/A</v>
      </c>
      <c r="T442" t="str">
        <v>#N/A</v>
      </c>
    </row>
    <row r="443" spans="1:20" ht="13.7" customHeight="1" x14ac:dyDescent="0.25">
      <c r="A443" t="s">
        <v>199</v>
      </c>
      <c r="B443" t="s">
        <v>200</v>
      </c>
      <c r="C443" t="s">
        <v>32</v>
      </c>
      <c r="D443">
        <v>1</v>
      </c>
      <c r="E443" s="5">
        <v>43497</v>
      </c>
      <c r="F443">
        <v>11100501</v>
      </c>
      <c r="G443">
        <v>0</v>
      </c>
      <c r="H443" t="s">
        <v>1105</v>
      </c>
      <c r="I443" t="s">
        <v>1106</v>
      </c>
      <c r="J443">
        <v>1012</v>
      </c>
      <c r="K443">
        <v>1110</v>
      </c>
      <c r="L443" s="3">
        <v>-152159581.47999999</v>
      </c>
      <c r="M443" s="3">
        <v>932482</v>
      </c>
      <c r="N443">
        <v>0</v>
      </c>
      <c r="O443">
        <v>0</v>
      </c>
      <c r="P443">
        <v>-151227099.47999999</v>
      </c>
      <c r="Q443" t="s">
        <v>30</v>
      </c>
      <c r="R443" t="s">
        <v>212</v>
      </c>
      <c r="S443" t="str">
        <v>#N/A</v>
      </c>
      <c r="T443" t="str">
        <v>#N/A</v>
      </c>
    </row>
    <row r="444" spans="1:20" ht="13.7" customHeight="1" x14ac:dyDescent="0.25">
      <c r="A444" t="s">
        <v>26</v>
      </c>
      <c r="B444" t="s">
        <v>27</v>
      </c>
      <c r="C444" t="s">
        <v>28</v>
      </c>
      <c r="D444">
        <v>31</v>
      </c>
      <c r="E444" s="5">
        <v>43500</v>
      </c>
      <c r="F444">
        <v>11100501</v>
      </c>
      <c r="G444">
        <v>0</v>
      </c>
      <c r="H444" t="s">
        <v>1105</v>
      </c>
      <c r="I444" t="s">
        <v>1106</v>
      </c>
      <c r="J444">
        <v>1012</v>
      </c>
      <c r="K444">
        <v>1110</v>
      </c>
      <c r="L444" s="3">
        <v>-151227099.47999999</v>
      </c>
      <c r="M444" s="3">
        <v>0</v>
      </c>
      <c r="N444">
        <v>142800</v>
      </c>
      <c r="O444">
        <v>0</v>
      </c>
      <c r="P444">
        <v>-151369899.47999999</v>
      </c>
      <c r="Q444" t="s">
        <v>30</v>
      </c>
      <c r="R444" t="s">
        <v>213</v>
      </c>
      <c r="S444" t="str">
        <v>#N/A</v>
      </c>
      <c r="T444" t="str">
        <v>#N/A</v>
      </c>
    </row>
    <row r="445" spans="1:20" ht="13.7" customHeight="1" x14ac:dyDescent="0.25">
      <c r="A445" t="s">
        <v>199</v>
      </c>
      <c r="B445" t="s">
        <v>200</v>
      </c>
      <c r="C445" t="s">
        <v>32</v>
      </c>
      <c r="D445">
        <v>2</v>
      </c>
      <c r="E445" s="5">
        <v>43504</v>
      </c>
      <c r="F445">
        <v>11100501</v>
      </c>
      <c r="G445">
        <v>0</v>
      </c>
      <c r="H445" t="s">
        <v>1105</v>
      </c>
      <c r="I445" t="s">
        <v>1106</v>
      </c>
      <c r="J445">
        <v>1012</v>
      </c>
      <c r="K445">
        <v>1110</v>
      </c>
      <c r="L445" s="3">
        <v>-151369899.47999999</v>
      </c>
      <c r="M445" s="3">
        <v>886836</v>
      </c>
      <c r="N445">
        <v>0</v>
      </c>
      <c r="O445">
        <v>0</v>
      </c>
      <c r="P445">
        <v>-150483063.47999999</v>
      </c>
      <c r="Q445" t="s">
        <v>30</v>
      </c>
      <c r="R445" t="s">
        <v>214</v>
      </c>
      <c r="S445" t="str">
        <v>#N/A</v>
      </c>
      <c r="T445" t="str">
        <v>#N/A</v>
      </c>
    </row>
    <row r="446" spans="1:20" ht="13.7" customHeight="1" x14ac:dyDescent="0.25">
      <c r="A446" t="s">
        <v>26</v>
      </c>
      <c r="B446" t="s">
        <v>27</v>
      </c>
      <c r="C446" t="s">
        <v>32</v>
      </c>
      <c r="D446">
        <v>60</v>
      </c>
      <c r="E446" s="5">
        <v>43505</v>
      </c>
      <c r="F446">
        <v>11100501</v>
      </c>
      <c r="G446">
        <v>0</v>
      </c>
      <c r="H446" t="s">
        <v>1105</v>
      </c>
      <c r="I446" t="s">
        <v>1106</v>
      </c>
      <c r="J446">
        <v>1012</v>
      </c>
      <c r="K446">
        <v>1110</v>
      </c>
      <c r="L446" s="3">
        <v>-150483063.47999999</v>
      </c>
      <c r="M446" s="3">
        <v>0</v>
      </c>
      <c r="N446">
        <v>2067688</v>
      </c>
      <c r="O446">
        <v>0</v>
      </c>
      <c r="P446">
        <v>-152550751.47999999</v>
      </c>
      <c r="Q446" t="s">
        <v>30</v>
      </c>
      <c r="R446" t="s">
        <v>215</v>
      </c>
      <c r="S446" t="str">
        <v>#N/A</v>
      </c>
      <c r="T446" t="str">
        <v>#N/A</v>
      </c>
    </row>
    <row r="447" spans="1:20" ht="13.7" customHeight="1" x14ac:dyDescent="0.25">
      <c r="A447" t="s">
        <v>199</v>
      </c>
      <c r="B447" t="s">
        <v>200</v>
      </c>
      <c r="C447" t="s">
        <v>32</v>
      </c>
      <c r="D447">
        <v>3</v>
      </c>
      <c r="E447" s="5">
        <v>43508</v>
      </c>
      <c r="F447">
        <v>11100501</v>
      </c>
      <c r="G447">
        <v>0</v>
      </c>
      <c r="H447" t="s">
        <v>1105</v>
      </c>
      <c r="I447" t="s">
        <v>1106</v>
      </c>
      <c r="J447">
        <v>1012</v>
      </c>
      <c r="K447">
        <v>1110</v>
      </c>
      <c r="L447" s="3">
        <v>-152550751.47999999</v>
      </c>
      <c r="M447" s="3">
        <v>2900850</v>
      </c>
      <c r="N447">
        <v>0</v>
      </c>
      <c r="O447">
        <v>0</v>
      </c>
      <c r="P447">
        <v>-149649901.47999999</v>
      </c>
      <c r="Q447" t="s">
        <v>30</v>
      </c>
      <c r="R447" t="s">
        <v>216</v>
      </c>
      <c r="S447" t="str">
        <v>#N/A</v>
      </c>
      <c r="T447" t="str">
        <v>#N/A</v>
      </c>
    </row>
    <row r="448" spans="1:20" ht="13.7" customHeight="1" x14ac:dyDescent="0.25">
      <c r="A448" t="s">
        <v>26</v>
      </c>
      <c r="B448" t="s">
        <v>27</v>
      </c>
      <c r="C448" t="s">
        <v>32</v>
      </c>
      <c r="D448">
        <v>24</v>
      </c>
      <c r="E448" s="5">
        <v>43509</v>
      </c>
      <c r="F448">
        <v>11100501</v>
      </c>
      <c r="G448">
        <v>0</v>
      </c>
      <c r="H448" t="s">
        <v>1105</v>
      </c>
      <c r="I448" t="s">
        <v>1106</v>
      </c>
      <c r="J448">
        <v>1012</v>
      </c>
      <c r="K448">
        <v>1110</v>
      </c>
      <c r="L448" s="3">
        <v>-149649901.47999999</v>
      </c>
      <c r="M448" s="3">
        <v>0</v>
      </c>
      <c r="N448">
        <v>1320792</v>
      </c>
      <c r="O448">
        <v>0</v>
      </c>
      <c r="P448">
        <v>-150970693.47999999</v>
      </c>
      <c r="Q448" t="s">
        <v>30</v>
      </c>
      <c r="R448" t="s">
        <v>65</v>
      </c>
      <c r="S448" t="str">
        <v>#N/A</v>
      </c>
      <c r="T448" t="str">
        <v>#N/A</v>
      </c>
    </row>
    <row r="449" spans="1:20" ht="13.7" customHeight="1" x14ac:dyDescent="0.25">
      <c r="A449" t="s">
        <v>26</v>
      </c>
      <c r="B449" t="s">
        <v>27</v>
      </c>
      <c r="C449" t="s">
        <v>32</v>
      </c>
      <c r="D449">
        <v>45</v>
      </c>
      <c r="E449" s="5">
        <v>43509</v>
      </c>
      <c r="F449">
        <v>11100501</v>
      </c>
      <c r="G449">
        <v>0</v>
      </c>
      <c r="H449" t="s">
        <v>1105</v>
      </c>
      <c r="I449" t="s">
        <v>1106</v>
      </c>
      <c r="J449">
        <v>1012</v>
      </c>
      <c r="K449">
        <v>1110</v>
      </c>
      <c r="L449" s="3">
        <v>-150970693.47999999</v>
      </c>
      <c r="M449" s="3">
        <v>0</v>
      </c>
      <c r="N449">
        <v>374000</v>
      </c>
      <c r="O449">
        <v>0</v>
      </c>
      <c r="P449">
        <v>-151344693.47999999</v>
      </c>
      <c r="Q449" t="s">
        <v>30</v>
      </c>
      <c r="R449" t="s">
        <v>217</v>
      </c>
      <c r="S449" t="str">
        <v>#N/A</v>
      </c>
      <c r="T449" t="str">
        <v>#N/A</v>
      </c>
    </row>
    <row r="450" spans="1:20" ht="13.7" customHeight="1" x14ac:dyDescent="0.25">
      <c r="A450" t="s">
        <v>26</v>
      </c>
      <c r="B450" t="s">
        <v>27</v>
      </c>
      <c r="C450" t="s">
        <v>32</v>
      </c>
      <c r="D450">
        <v>40</v>
      </c>
      <c r="E450" s="5">
        <v>43515</v>
      </c>
      <c r="F450">
        <v>11100501</v>
      </c>
      <c r="G450">
        <v>0</v>
      </c>
      <c r="H450" t="s">
        <v>1105</v>
      </c>
      <c r="I450" t="s">
        <v>1106</v>
      </c>
      <c r="J450">
        <v>1012</v>
      </c>
      <c r="K450">
        <v>1110</v>
      </c>
      <c r="L450" s="3">
        <v>-151344693.47999999</v>
      </c>
      <c r="M450" s="3">
        <v>0</v>
      </c>
      <c r="N450">
        <v>551582</v>
      </c>
      <c r="O450">
        <v>0</v>
      </c>
      <c r="P450">
        <v>-151896275.47999999</v>
      </c>
      <c r="Q450" t="s">
        <v>30</v>
      </c>
      <c r="R450" t="s">
        <v>218</v>
      </c>
      <c r="S450" t="str">
        <v>#N/A</v>
      </c>
      <c r="T450" t="str">
        <v>#N/A</v>
      </c>
    </row>
    <row r="451" spans="1:20" ht="13.7" customHeight="1" x14ac:dyDescent="0.25">
      <c r="A451" t="s">
        <v>219</v>
      </c>
      <c r="B451" t="s">
        <v>220</v>
      </c>
      <c r="C451" t="s">
        <v>221</v>
      </c>
      <c r="D451">
        <v>1</v>
      </c>
      <c r="E451" s="5">
        <v>43515</v>
      </c>
      <c r="F451">
        <v>11100501</v>
      </c>
      <c r="G451">
        <v>0</v>
      </c>
      <c r="H451" t="s">
        <v>1105</v>
      </c>
      <c r="I451" t="s">
        <v>1106</v>
      </c>
      <c r="J451">
        <v>1012</v>
      </c>
      <c r="K451">
        <v>1110</v>
      </c>
      <c r="L451" s="3">
        <v>-151896275.47999999</v>
      </c>
      <c r="M451" s="3">
        <v>30000000</v>
      </c>
      <c r="N451">
        <v>0</v>
      </c>
      <c r="O451">
        <v>0</v>
      </c>
      <c r="P451">
        <v>-121896275.48</v>
      </c>
      <c r="Q451" t="s">
        <v>30</v>
      </c>
      <c r="R451" t="s">
        <v>222</v>
      </c>
      <c r="S451" t="str">
        <v>#N/A</v>
      </c>
      <c r="T451" t="str">
        <v>#N/A</v>
      </c>
    </row>
    <row r="452" spans="1:20" ht="13.7" customHeight="1" x14ac:dyDescent="0.25">
      <c r="A452" t="s">
        <v>199</v>
      </c>
      <c r="B452" t="s">
        <v>200</v>
      </c>
      <c r="C452" t="s">
        <v>32</v>
      </c>
      <c r="D452">
        <v>4</v>
      </c>
      <c r="E452" s="5">
        <v>43517</v>
      </c>
      <c r="F452">
        <v>11100501</v>
      </c>
      <c r="G452">
        <v>0</v>
      </c>
      <c r="H452" t="s">
        <v>1105</v>
      </c>
      <c r="I452" t="s">
        <v>1106</v>
      </c>
      <c r="J452">
        <v>1012</v>
      </c>
      <c r="K452">
        <v>1110</v>
      </c>
      <c r="L452" s="3">
        <v>-121896275.48</v>
      </c>
      <c r="M452" s="3">
        <v>1994738</v>
      </c>
      <c r="N452">
        <v>0</v>
      </c>
      <c r="O452">
        <v>0</v>
      </c>
      <c r="P452">
        <v>-119901537.48</v>
      </c>
      <c r="Q452" t="s">
        <v>30</v>
      </c>
      <c r="R452" t="s">
        <v>223</v>
      </c>
      <c r="S452" t="str">
        <v>#N/A</v>
      </c>
      <c r="T452" t="str">
        <v>#N/A</v>
      </c>
    </row>
    <row r="453" spans="1:20" ht="13.7" customHeight="1" x14ac:dyDescent="0.25">
      <c r="A453" t="s">
        <v>199</v>
      </c>
      <c r="B453" t="s">
        <v>200</v>
      </c>
      <c r="C453" t="s">
        <v>32</v>
      </c>
      <c r="D453">
        <v>5</v>
      </c>
      <c r="E453" s="5">
        <v>43517</v>
      </c>
      <c r="F453">
        <v>11100501</v>
      </c>
      <c r="G453">
        <v>0</v>
      </c>
      <c r="H453" t="s">
        <v>1105</v>
      </c>
      <c r="I453" t="s">
        <v>1106</v>
      </c>
      <c r="J453">
        <v>1012</v>
      </c>
      <c r="K453">
        <v>1110</v>
      </c>
      <c r="L453" s="3">
        <v>-119901537.48</v>
      </c>
      <c r="M453" s="3">
        <v>4822469</v>
      </c>
      <c r="N453">
        <v>0</v>
      </c>
      <c r="O453">
        <v>0</v>
      </c>
      <c r="P453">
        <v>-115079068.48</v>
      </c>
      <c r="Q453" t="s">
        <v>30</v>
      </c>
      <c r="R453" t="s">
        <v>224</v>
      </c>
      <c r="S453" t="str">
        <v>#N/A</v>
      </c>
      <c r="T453" t="str">
        <v>#N/A</v>
      </c>
    </row>
    <row r="454" spans="1:20" ht="13.7" customHeight="1" x14ac:dyDescent="0.25">
      <c r="A454" t="s">
        <v>26</v>
      </c>
      <c r="B454" t="s">
        <v>27</v>
      </c>
      <c r="C454" t="s">
        <v>32</v>
      </c>
      <c r="D454">
        <v>43</v>
      </c>
      <c r="E454" s="5">
        <v>43519</v>
      </c>
      <c r="F454">
        <v>11100501</v>
      </c>
      <c r="G454">
        <v>0</v>
      </c>
      <c r="H454" t="s">
        <v>1105</v>
      </c>
      <c r="I454" t="s">
        <v>1106</v>
      </c>
      <c r="J454">
        <v>1012</v>
      </c>
      <c r="K454">
        <v>1110</v>
      </c>
      <c r="L454" s="3">
        <v>-115079068.48</v>
      </c>
      <c r="M454" s="3">
        <v>0</v>
      </c>
      <c r="N454">
        <v>138472</v>
      </c>
      <c r="O454">
        <v>0</v>
      </c>
      <c r="P454">
        <v>-115217540.48</v>
      </c>
      <c r="Q454" t="s">
        <v>30</v>
      </c>
      <c r="R454" t="s">
        <v>225</v>
      </c>
      <c r="S454" t="str">
        <v>#N/A</v>
      </c>
      <c r="T454" t="str">
        <v>#N/A</v>
      </c>
    </row>
    <row r="455" spans="1:20" ht="13.7" customHeight="1" x14ac:dyDescent="0.25">
      <c r="A455" t="s">
        <v>26</v>
      </c>
      <c r="B455" t="s">
        <v>27</v>
      </c>
      <c r="C455" t="s">
        <v>32</v>
      </c>
      <c r="D455">
        <v>44</v>
      </c>
      <c r="E455" s="5">
        <v>43519</v>
      </c>
      <c r="F455">
        <v>11100501</v>
      </c>
      <c r="G455">
        <v>0</v>
      </c>
      <c r="H455" t="s">
        <v>1105</v>
      </c>
      <c r="I455" t="s">
        <v>1106</v>
      </c>
      <c r="J455">
        <v>1012</v>
      </c>
      <c r="K455">
        <v>1110</v>
      </c>
      <c r="L455" s="3">
        <v>-115217540.48</v>
      </c>
      <c r="M455" s="3">
        <v>0</v>
      </c>
      <c r="N455">
        <v>311178</v>
      </c>
      <c r="O455">
        <v>0</v>
      </c>
      <c r="P455">
        <v>-115528718.48</v>
      </c>
      <c r="Q455" t="s">
        <v>30</v>
      </c>
      <c r="R455" t="s">
        <v>33</v>
      </c>
      <c r="S455" t="str">
        <v>#N/A</v>
      </c>
      <c r="T455" t="str">
        <v>#N/A</v>
      </c>
    </row>
    <row r="456" spans="1:20" ht="13.7" customHeight="1" x14ac:dyDescent="0.25">
      <c r="A456" t="s">
        <v>26</v>
      </c>
      <c r="B456" t="s">
        <v>27</v>
      </c>
      <c r="C456" t="s">
        <v>32</v>
      </c>
      <c r="D456">
        <v>46</v>
      </c>
      <c r="E456" s="5">
        <v>43519</v>
      </c>
      <c r="F456">
        <v>11100501</v>
      </c>
      <c r="G456">
        <v>0</v>
      </c>
      <c r="H456" t="s">
        <v>1105</v>
      </c>
      <c r="I456" t="s">
        <v>1106</v>
      </c>
      <c r="J456">
        <v>1012</v>
      </c>
      <c r="K456">
        <v>1110</v>
      </c>
      <c r="L456" s="3">
        <v>-115528718.48</v>
      </c>
      <c r="M456" s="3">
        <v>0</v>
      </c>
      <c r="N456">
        <v>130714</v>
      </c>
      <c r="O456">
        <v>0</v>
      </c>
      <c r="P456">
        <v>-115659432.48</v>
      </c>
      <c r="Q456" t="s">
        <v>30</v>
      </c>
      <c r="R456" t="s">
        <v>203</v>
      </c>
      <c r="S456" t="str">
        <v>#N/A</v>
      </c>
      <c r="T456" t="str">
        <v>#N/A</v>
      </c>
    </row>
    <row r="457" spans="1:20" ht="13.7" customHeight="1" x14ac:dyDescent="0.25">
      <c r="A457" t="s">
        <v>26</v>
      </c>
      <c r="B457" t="s">
        <v>27</v>
      </c>
      <c r="C457" t="s">
        <v>32</v>
      </c>
      <c r="D457">
        <v>61</v>
      </c>
      <c r="E457" s="5">
        <v>43519</v>
      </c>
      <c r="F457">
        <v>11100501</v>
      </c>
      <c r="G457">
        <v>0</v>
      </c>
      <c r="H457" t="s">
        <v>1105</v>
      </c>
      <c r="I457" t="s">
        <v>1106</v>
      </c>
      <c r="J457">
        <v>1012</v>
      </c>
      <c r="K457">
        <v>1110</v>
      </c>
      <c r="L457" s="3">
        <v>-115659432.48</v>
      </c>
      <c r="M457" s="3">
        <v>0</v>
      </c>
      <c r="N457">
        <v>2450894</v>
      </c>
      <c r="O457">
        <v>0</v>
      </c>
      <c r="P457">
        <v>-118110326.48</v>
      </c>
      <c r="Q457" t="s">
        <v>30</v>
      </c>
      <c r="R457" t="s">
        <v>226</v>
      </c>
      <c r="S457" t="str">
        <v>#N/A</v>
      </c>
      <c r="T457" t="str">
        <v>#N/A</v>
      </c>
    </row>
    <row r="458" spans="1:20" ht="13.7" customHeight="1" x14ac:dyDescent="0.25">
      <c r="A458" t="s">
        <v>26</v>
      </c>
      <c r="B458" t="s">
        <v>27</v>
      </c>
      <c r="C458" t="s">
        <v>32</v>
      </c>
      <c r="D458">
        <v>50</v>
      </c>
      <c r="E458" s="5">
        <v>43521</v>
      </c>
      <c r="F458">
        <v>11100501</v>
      </c>
      <c r="G458">
        <v>0</v>
      </c>
      <c r="H458" t="s">
        <v>1105</v>
      </c>
      <c r="I458" t="s">
        <v>1106</v>
      </c>
      <c r="J458">
        <v>1012</v>
      </c>
      <c r="K458">
        <v>1110</v>
      </c>
      <c r="L458" s="3">
        <v>-118110326.48</v>
      </c>
      <c r="M458" s="3">
        <v>0</v>
      </c>
      <c r="N458">
        <v>75900</v>
      </c>
      <c r="O458">
        <v>0</v>
      </c>
      <c r="P458">
        <v>-118186226.48</v>
      </c>
      <c r="Q458" t="s">
        <v>30</v>
      </c>
      <c r="R458" t="s">
        <v>204</v>
      </c>
      <c r="S458" t="str">
        <v>#N/A</v>
      </c>
      <c r="T458" t="str">
        <v>#N/A</v>
      </c>
    </row>
    <row r="459" spans="1:20" ht="13.7" customHeight="1" x14ac:dyDescent="0.25">
      <c r="A459" t="s">
        <v>199</v>
      </c>
      <c r="B459" t="s">
        <v>200</v>
      </c>
      <c r="C459" t="s">
        <v>32</v>
      </c>
      <c r="D459">
        <v>6</v>
      </c>
      <c r="E459" s="5">
        <v>43521</v>
      </c>
      <c r="F459">
        <v>11100501</v>
      </c>
      <c r="G459">
        <v>0</v>
      </c>
      <c r="H459" t="s">
        <v>1105</v>
      </c>
      <c r="I459" t="s">
        <v>1106</v>
      </c>
      <c r="J459">
        <v>1012</v>
      </c>
      <c r="K459">
        <v>1110</v>
      </c>
      <c r="L459" s="3">
        <v>-118186226.48</v>
      </c>
      <c r="M459" s="3">
        <v>3008320</v>
      </c>
      <c r="N459">
        <v>0</v>
      </c>
      <c r="O459">
        <v>0</v>
      </c>
      <c r="P459">
        <v>-115177906.48</v>
      </c>
      <c r="Q459" t="s">
        <v>30</v>
      </c>
      <c r="R459" t="s">
        <v>227</v>
      </c>
      <c r="S459" t="str">
        <v>#N/A</v>
      </c>
      <c r="T459" t="str">
        <v>#N/A</v>
      </c>
    </row>
    <row r="460" spans="1:20" ht="13.7" customHeight="1" x14ac:dyDescent="0.25">
      <c r="A460" t="s">
        <v>199</v>
      </c>
      <c r="B460" t="s">
        <v>200</v>
      </c>
      <c r="C460" t="s">
        <v>32</v>
      </c>
      <c r="D460">
        <v>7</v>
      </c>
      <c r="E460" s="5">
        <v>43521</v>
      </c>
      <c r="F460">
        <v>11100501</v>
      </c>
      <c r="G460">
        <v>0</v>
      </c>
      <c r="H460" t="s">
        <v>1105</v>
      </c>
      <c r="I460" t="s">
        <v>1106</v>
      </c>
      <c r="J460">
        <v>1012</v>
      </c>
      <c r="K460">
        <v>1110</v>
      </c>
      <c r="L460" s="3">
        <v>-115177906.48</v>
      </c>
      <c r="M460" s="3">
        <v>3102761</v>
      </c>
      <c r="N460">
        <v>0</v>
      </c>
      <c r="O460">
        <v>0</v>
      </c>
      <c r="P460">
        <v>-112075145.48</v>
      </c>
      <c r="Q460" t="s">
        <v>30</v>
      </c>
      <c r="R460" t="s">
        <v>227</v>
      </c>
      <c r="S460" t="str">
        <v>#N/A</v>
      </c>
      <c r="T460" t="str">
        <v>#N/A</v>
      </c>
    </row>
    <row r="461" spans="1:20" ht="13.7" customHeight="1" x14ac:dyDescent="0.25">
      <c r="A461" t="s">
        <v>199</v>
      </c>
      <c r="B461" t="s">
        <v>200</v>
      </c>
      <c r="C461" t="s">
        <v>32</v>
      </c>
      <c r="D461">
        <v>8</v>
      </c>
      <c r="E461" s="5">
        <v>43522</v>
      </c>
      <c r="F461">
        <v>11100501</v>
      </c>
      <c r="G461">
        <v>0</v>
      </c>
      <c r="H461" t="s">
        <v>1105</v>
      </c>
      <c r="I461" t="s">
        <v>1106</v>
      </c>
      <c r="J461">
        <v>1012</v>
      </c>
      <c r="K461">
        <v>1110</v>
      </c>
      <c r="L461" s="3">
        <v>-112075145.48</v>
      </c>
      <c r="M461" s="3">
        <v>17373034</v>
      </c>
      <c r="N461">
        <v>0</v>
      </c>
      <c r="O461">
        <v>0</v>
      </c>
      <c r="P461">
        <v>-94702111.480000004</v>
      </c>
      <c r="Q461" t="s">
        <v>30</v>
      </c>
      <c r="R461" t="s">
        <v>228</v>
      </c>
      <c r="S461" t="str">
        <v>#N/A</v>
      </c>
      <c r="T461" t="str">
        <v>#N/A</v>
      </c>
    </row>
    <row r="462" spans="1:20" ht="13.7" customHeight="1" x14ac:dyDescent="0.25">
      <c r="A462" t="s">
        <v>199</v>
      </c>
      <c r="B462" t="s">
        <v>200</v>
      </c>
      <c r="C462" t="s">
        <v>32</v>
      </c>
      <c r="D462">
        <v>9</v>
      </c>
      <c r="E462" s="5">
        <v>43523</v>
      </c>
      <c r="F462">
        <v>11100501</v>
      </c>
      <c r="G462">
        <v>0</v>
      </c>
      <c r="H462" t="s">
        <v>1105</v>
      </c>
      <c r="I462" t="s">
        <v>1106</v>
      </c>
      <c r="J462">
        <v>1012</v>
      </c>
      <c r="K462">
        <v>1110</v>
      </c>
      <c r="L462" s="3">
        <v>-94702111.480000004</v>
      </c>
      <c r="M462" s="3">
        <v>1724200</v>
      </c>
      <c r="N462">
        <v>0</v>
      </c>
      <c r="O462">
        <v>0</v>
      </c>
      <c r="P462">
        <v>-92977911.480000004</v>
      </c>
      <c r="Q462" t="s">
        <v>30</v>
      </c>
      <c r="R462" t="s">
        <v>229</v>
      </c>
      <c r="S462" t="str">
        <v>#N/A</v>
      </c>
      <c r="T462" t="str">
        <v>#N/A</v>
      </c>
    </row>
    <row r="463" spans="1:20" ht="13.7" customHeight="1" x14ac:dyDescent="0.25">
      <c r="A463" t="s">
        <v>26</v>
      </c>
      <c r="B463" t="s">
        <v>27</v>
      </c>
      <c r="C463" t="s">
        <v>91</v>
      </c>
      <c r="D463">
        <v>1</v>
      </c>
      <c r="E463" s="5">
        <v>43525</v>
      </c>
      <c r="F463">
        <v>11100501</v>
      </c>
      <c r="G463">
        <v>0</v>
      </c>
      <c r="H463" t="s">
        <v>1105</v>
      </c>
      <c r="I463" t="s">
        <v>1106</v>
      </c>
      <c r="J463">
        <v>1012</v>
      </c>
      <c r="K463">
        <v>1110</v>
      </c>
      <c r="L463" s="3">
        <v>-92977911.480000004</v>
      </c>
      <c r="M463" s="3">
        <v>0</v>
      </c>
      <c r="N463">
        <v>41500000</v>
      </c>
      <c r="O463">
        <v>0</v>
      </c>
      <c r="P463">
        <v>-134477911.47999999</v>
      </c>
      <c r="Q463" t="s">
        <v>30</v>
      </c>
      <c r="R463" t="s">
        <v>231</v>
      </c>
      <c r="S463" t="str">
        <v>#N/A</v>
      </c>
      <c r="T463" t="str">
        <v>#N/A</v>
      </c>
    </row>
    <row r="464" spans="1:20" ht="13.7" customHeight="1" x14ac:dyDescent="0.25">
      <c r="A464" t="s">
        <v>26</v>
      </c>
      <c r="B464" t="s">
        <v>27</v>
      </c>
      <c r="C464" t="s">
        <v>91</v>
      </c>
      <c r="D464">
        <v>6</v>
      </c>
      <c r="E464" s="5">
        <v>43525</v>
      </c>
      <c r="F464">
        <v>11100501</v>
      </c>
      <c r="G464">
        <v>0</v>
      </c>
      <c r="H464" t="s">
        <v>1105</v>
      </c>
      <c r="I464" t="s">
        <v>1106</v>
      </c>
      <c r="J464">
        <v>1012</v>
      </c>
      <c r="K464">
        <v>1110</v>
      </c>
      <c r="L464" s="3">
        <v>-134477911.47999999</v>
      </c>
      <c r="M464" s="3">
        <v>0</v>
      </c>
      <c r="N464">
        <v>1404102</v>
      </c>
      <c r="O464">
        <v>0</v>
      </c>
      <c r="P464">
        <v>-135882013.47999999</v>
      </c>
      <c r="Q464" t="s">
        <v>30</v>
      </c>
      <c r="R464" t="s">
        <v>65</v>
      </c>
      <c r="S464" t="str">
        <v>#N/A</v>
      </c>
      <c r="T464" t="str">
        <v>#N/A</v>
      </c>
    </row>
    <row r="465" spans="1:20" ht="13.7" customHeight="1" x14ac:dyDescent="0.25">
      <c r="A465" t="s">
        <v>219</v>
      </c>
      <c r="B465" t="s">
        <v>220</v>
      </c>
      <c r="C465" t="s">
        <v>232</v>
      </c>
      <c r="D465">
        <v>1</v>
      </c>
      <c r="E465" s="5">
        <v>43525</v>
      </c>
      <c r="F465">
        <v>11100501</v>
      </c>
      <c r="G465">
        <v>0</v>
      </c>
      <c r="H465" t="s">
        <v>1105</v>
      </c>
      <c r="I465" t="s">
        <v>1106</v>
      </c>
      <c r="J465">
        <v>1012</v>
      </c>
      <c r="K465">
        <v>1110</v>
      </c>
      <c r="L465" s="3">
        <v>-135882013.47999999</v>
      </c>
      <c r="M465" s="3">
        <v>0</v>
      </c>
      <c r="N465">
        <v>41500000</v>
      </c>
      <c r="O465">
        <v>0</v>
      </c>
      <c r="P465">
        <v>-177382013.47999999</v>
      </c>
      <c r="Q465" t="s">
        <v>30</v>
      </c>
      <c r="R465" t="s">
        <v>233</v>
      </c>
      <c r="S465" t="str">
        <v>#N/A</v>
      </c>
      <c r="T465" t="str">
        <v>#N/A</v>
      </c>
    </row>
    <row r="466" spans="1:20" ht="13.7" customHeight="1" x14ac:dyDescent="0.25">
      <c r="A466" t="s">
        <v>199</v>
      </c>
      <c r="B466" t="s">
        <v>200</v>
      </c>
      <c r="C466" t="s">
        <v>91</v>
      </c>
      <c r="D466">
        <v>1</v>
      </c>
      <c r="E466" s="5">
        <v>43528</v>
      </c>
      <c r="F466">
        <v>11100501</v>
      </c>
      <c r="G466">
        <v>0</v>
      </c>
      <c r="H466" t="s">
        <v>1105</v>
      </c>
      <c r="I466" t="s">
        <v>1106</v>
      </c>
      <c r="J466">
        <v>1012</v>
      </c>
      <c r="K466">
        <v>1110</v>
      </c>
      <c r="L466" s="3">
        <v>-177382013.47999999</v>
      </c>
      <c r="M466" s="3">
        <v>7458912</v>
      </c>
      <c r="N466">
        <v>0</v>
      </c>
      <c r="O466">
        <v>0</v>
      </c>
      <c r="P466">
        <v>-169923101.47999999</v>
      </c>
      <c r="Q466" t="s">
        <v>30</v>
      </c>
      <c r="R466" t="s">
        <v>234</v>
      </c>
      <c r="S466" t="str">
        <v>#N/A</v>
      </c>
      <c r="T466" t="str">
        <v>#N/A</v>
      </c>
    </row>
    <row r="467" spans="1:20" ht="13.7" customHeight="1" x14ac:dyDescent="0.25">
      <c r="A467" t="s">
        <v>26</v>
      </c>
      <c r="B467" t="s">
        <v>27</v>
      </c>
      <c r="C467" t="s">
        <v>91</v>
      </c>
      <c r="D467">
        <v>23</v>
      </c>
      <c r="E467" s="5">
        <v>43531</v>
      </c>
      <c r="F467">
        <v>11100501</v>
      </c>
      <c r="G467">
        <v>0</v>
      </c>
      <c r="H467" t="s">
        <v>1105</v>
      </c>
      <c r="I467" t="s">
        <v>1106</v>
      </c>
      <c r="J467">
        <v>1012</v>
      </c>
      <c r="K467">
        <v>1110</v>
      </c>
      <c r="L467" s="3">
        <v>-169923101.47999999</v>
      </c>
      <c r="M467" s="3">
        <v>0</v>
      </c>
      <c r="N467">
        <v>198504</v>
      </c>
      <c r="O467">
        <v>0</v>
      </c>
      <c r="P467">
        <v>-170121605.47999999</v>
      </c>
      <c r="Q467" t="s">
        <v>30</v>
      </c>
      <c r="R467" t="s">
        <v>235</v>
      </c>
      <c r="S467" t="str">
        <v>#N/A</v>
      </c>
      <c r="T467" t="str">
        <v>#N/A</v>
      </c>
    </row>
    <row r="468" spans="1:20" ht="13.7" customHeight="1" x14ac:dyDescent="0.25">
      <c r="A468" t="s">
        <v>199</v>
      </c>
      <c r="B468" t="s">
        <v>200</v>
      </c>
      <c r="C468" t="s">
        <v>91</v>
      </c>
      <c r="D468">
        <v>2</v>
      </c>
      <c r="E468" s="5">
        <v>43531</v>
      </c>
      <c r="F468">
        <v>11100501</v>
      </c>
      <c r="G468">
        <v>0</v>
      </c>
      <c r="H468" t="s">
        <v>1105</v>
      </c>
      <c r="I468" t="s">
        <v>1106</v>
      </c>
      <c r="J468">
        <v>1012</v>
      </c>
      <c r="K468">
        <v>1110</v>
      </c>
      <c r="L468" s="3">
        <v>-170121605.47999999</v>
      </c>
      <c r="M468" s="3">
        <v>14446047</v>
      </c>
      <c r="N468">
        <v>0</v>
      </c>
      <c r="O468">
        <v>0</v>
      </c>
      <c r="P468">
        <v>-155675558.47999999</v>
      </c>
      <c r="Q468" t="s">
        <v>30</v>
      </c>
      <c r="R468" t="s">
        <v>229</v>
      </c>
      <c r="S468" t="str">
        <v>#N/A</v>
      </c>
      <c r="T468" t="str">
        <v>#N/A</v>
      </c>
    </row>
    <row r="469" spans="1:20" ht="13.7" customHeight="1" x14ac:dyDescent="0.25">
      <c r="A469" t="s">
        <v>26</v>
      </c>
      <c r="B469" t="s">
        <v>27</v>
      </c>
      <c r="C469" t="s">
        <v>91</v>
      </c>
      <c r="D469">
        <v>79</v>
      </c>
      <c r="E469" s="5">
        <v>43533</v>
      </c>
      <c r="F469">
        <v>11100501</v>
      </c>
      <c r="G469">
        <v>0</v>
      </c>
      <c r="H469" t="s">
        <v>1105</v>
      </c>
      <c r="I469" t="s">
        <v>1106</v>
      </c>
      <c r="J469">
        <v>1012</v>
      </c>
      <c r="K469">
        <v>1110</v>
      </c>
      <c r="L469" s="3">
        <v>-155675558.47999999</v>
      </c>
      <c r="M469" s="3">
        <v>0</v>
      </c>
      <c r="N469">
        <v>2135674</v>
      </c>
      <c r="O469">
        <v>0</v>
      </c>
      <c r="P469">
        <v>-157811232.47999999</v>
      </c>
      <c r="Q469" t="s">
        <v>30</v>
      </c>
      <c r="R469" t="s">
        <v>236</v>
      </c>
      <c r="S469" t="str">
        <v>#N/A</v>
      </c>
      <c r="T469" t="str">
        <v>#N/A</v>
      </c>
    </row>
    <row r="470" spans="1:20" ht="13.7" customHeight="1" x14ac:dyDescent="0.25">
      <c r="A470" t="s">
        <v>199</v>
      </c>
      <c r="B470" t="s">
        <v>200</v>
      </c>
      <c r="C470" t="s">
        <v>91</v>
      </c>
      <c r="D470">
        <v>3</v>
      </c>
      <c r="E470" s="5">
        <v>43538</v>
      </c>
      <c r="F470">
        <v>11100501</v>
      </c>
      <c r="G470">
        <v>0</v>
      </c>
      <c r="H470" t="s">
        <v>1105</v>
      </c>
      <c r="I470" t="s">
        <v>1106</v>
      </c>
      <c r="J470">
        <v>1012</v>
      </c>
      <c r="K470">
        <v>1110</v>
      </c>
      <c r="L470" s="3">
        <v>-157811232.47999999</v>
      </c>
      <c r="M470" s="3">
        <v>4058543</v>
      </c>
      <c r="N470">
        <v>0</v>
      </c>
      <c r="O470">
        <v>0</v>
      </c>
      <c r="P470">
        <v>-153752689.47999999</v>
      </c>
      <c r="Q470" t="s">
        <v>30</v>
      </c>
      <c r="R470" t="s">
        <v>224</v>
      </c>
      <c r="S470" t="str">
        <v>#N/A</v>
      </c>
      <c r="T470" t="str">
        <v>#N/A</v>
      </c>
    </row>
    <row r="471" spans="1:20" ht="13.7" customHeight="1" x14ac:dyDescent="0.25">
      <c r="A471" t="s">
        <v>26</v>
      </c>
      <c r="B471" t="s">
        <v>27</v>
      </c>
      <c r="C471" t="s">
        <v>91</v>
      </c>
      <c r="D471">
        <v>56</v>
      </c>
      <c r="E471" s="5">
        <v>43540</v>
      </c>
      <c r="F471">
        <v>11100501</v>
      </c>
      <c r="G471">
        <v>0</v>
      </c>
      <c r="H471" t="s">
        <v>1105</v>
      </c>
      <c r="I471" t="s">
        <v>1106</v>
      </c>
      <c r="J471">
        <v>1012</v>
      </c>
      <c r="K471">
        <v>1110</v>
      </c>
      <c r="L471" s="3">
        <v>-153752689.47999999</v>
      </c>
      <c r="M471" s="3">
        <v>0</v>
      </c>
      <c r="N471">
        <v>1500000</v>
      </c>
      <c r="O471">
        <v>0</v>
      </c>
      <c r="P471">
        <v>-155252689.47999999</v>
      </c>
      <c r="Q471" t="s">
        <v>30</v>
      </c>
      <c r="R471" t="s">
        <v>239</v>
      </c>
      <c r="S471" t="str">
        <v>#N/A</v>
      </c>
      <c r="T471" t="str">
        <v>#N/A</v>
      </c>
    </row>
    <row r="472" spans="1:20" ht="13.7" customHeight="1" x14ac:dyDescent="0.25">
      <c r="A472" t="s">
        <v>26</v>
      </c>
      <c r="B472" t="s">
        <v>27</v>
      </c>
      <c r="C472" t="s">
        <v>91</v>
      </c>
      <c r="D472">
        <v>70</v>
      </c>
      <c r="E472" s="5">
        <v>43544</v>
      </c>
      <c r="F472">
        <v>11100501</v>
      </c>
      <c r="G472">
        <v>0</v>
      </c>
      <c r="H472" t="s">
        <v>1105</v>
      </c>
      <c r="I472" t="s">
        <v>1106</v>
      </c>
      <c r="J472">
        <v>1012</v>
      </c>
      <c r="K472">
        <v>1110</v>
      </c>
      <c r="L472" s="3">
        <v>-155252689.47999999</v>
      </c>
      <c r="M472" s="3">
        <v>0</v>
      </c>
      <c r="N472">
        <v>836033</v>
      </c>
      <c r="O472">
        <v>0</v>
      </c>
      <c r="P472">
        <v>-156088722.47999999</v>
      </c>
      <c r="Q472" t="s">
        <v>30</v>
      </c>
      <c r="R472" t="s">
        <v>241</v>
      </c>
      <c r="S472" t="str">
        <v>#N/A</v>
      </c>
      <c r="T472" t="str">
        <v>#N/A</v>
      </c>
    </row>
    <row r="473" spans="1:20" ht="13.7" customHeight="1" x14ac:dyDescent="0.25">
      <c r="A473" t="s">
        <v>26</v>
      </c>
      <c r="B473" t="s">
        <v>27</v>
      </c>
      <c r="C473" t="s">
        <v>91</v>
      </c>
      <c r="D473">
        <v>78</v>
      </c>
      <c r="E473" s="5">
        <v>43544</v>
      </c>
      <c r="F473">
        <v>11100501</v>
      </c>
      <c r="G473">
        <v>0</v>
      </c>
      <c r="H473" t="s">
        <v>1105</v>
      </c>
      <c r="I473" t="s">
        <v>1106</v>
      </c>
      <c r="J473">
        <v>1012</v>
      </c>
      <c r="K473">
        <v>1110</v>
      </c>
      <c r="L473" s="3">
        <v>-156088722.47999999</v>
      </c>
      <c r="M473" s="3">
        <v>0</v>
      </c>
      <c r="N473">
        <v>138100</v>
      </c>
      <c r="O473">
        <v>0</v>
      </c>
      <c r="P473">
        <v>-156226822.47999999</v>
      </c>
      <c r="Q473" t="s">
        <v>30</v>
      </c>
      <c r="R473" t="s">
        <v>225</v>
      </c>
      <c r="S473" t="str">
        <v>#N/A</v>
      </c>
      <c r="T473" t="str">
        <v>#N/A</v>
      </c>
    </row>
    <row r="474" spans="1:20" ht="13.7" customHeight="1" x14ac:dyDescent="0.25">
      <c r="A474" t="s">
        <v>26</v>
      </c>
      <c r="B474" t="s">
        <v>27</v>
      </c>
      <c r="C474" t="s">
        <v>91</v>
      </c>
      <c r="D474">
        <v>50</v>
      </c>
      <c r="E474" s="5">
        <v>43546</v>
      </c>
      <c r="F474">
        <v>11100501</v>
      </c>
      <c r="G474">
        <v>0</v>
      </c>
      <c r="H474" t="s">
        <v>1105</v>
      </c>
      <c r="I474" t="s">
        <v>1106</v>
      </c>
      <c r="J474">
        <v>1012</v>
      </c>
      <c r="K474">
        <v>1110</v>
      </c>
      <c r="L474" s="3">
        <v>-156226822.47999999</v>
      </c>
      <c r="M474" s="3">
        <v>0</v>
      </c>
      <c r="N474">
        <v>891000</v>
      </c>
      <c r="O474">
        <v>0</v>
      </c>
      <c r="P474">
        <v>-157117822.47999999</v>
      </c>
      <c r="Q474" t="s">
        <v>30</v>
      </c>
      <c r="R474" t="s">
        <v>243</v>
      </c>
      <c r="S474" t="str">
        <v>#N/A</v>
      </c>
      <c r="T474" t="str">
        <v>#N/A</v>
      </c>
    </row>
    <row r="475" spans="1:20" ht="13.7" customHeight="1" x14ac:dyDescent="0.25">
      <c r="A475" t="s">
        <v>26</v>
      </c>
      <c r="B475" t="s">
        <v>27</v>
      </c>
      <c r="C475" t="s">
        <v>91</v>
      </c>
      <c r="D475">
        <v>80</v>
      </c>
      <c r="E475" s="5">
        <v>43547</v>
      </c>
      <c r="F475">
        <v>11100501</v>
      </c>
      <c r="G475">
        <v>0</v>
      </c>
      <c r="H475" t="s">
        <v>1105</v>
      </c>
      <c r="I475" t="s">
        <v>1106</v>
      </c>
      <c r="J475">
        <v>1012</v>
      </c>
      <c r="K475">
        <v>1110</v>
      </c>
      <c r="L475" s="3">
        <v>-157117822.47999999</v>
      </c>
      <c r="M475" s="3">
        <v>0</v>
      </c>
      <c r="N475">
        <v>2056748</v>
      </c>
      <c r="O475">
        <v>0</v>
      </c>
      <c r="P475">
        <v>-159174570.47999999</v>
      </c>
      <c r="Q475" t="s">
        <v>30</v>
      </c>
      <c r="R475" t="s">
        <v>244</v>
      </c>
      <c r="S475" t="str">
        <v>#N/A</v>
      </c>
      <c r="T475" t="str">
        <v>#N/A</v>
      </c>
    </row>
    <row r="476" spans="1:20" ht="13.7" customHeight="1" x14ac:dyDescent="0.25">
      <c r="A476" t="s">
        <v>219</v>
      </c>
      <c r="B476" t="s">
        <v>220</v>
      </c>
      <c r="C476" t="s">
        <v>232</v>
      </c>
      <c r="D476">
        <v>2</v>
      </c>
      <c r="E476" s="5">
        <v>43547</v>
      </c>
      <c r="F476">
        <v>11100501</v>
      </c>
      <c r="G476">
        <v>0</v>
      </c>
      <c r="H476" t="s">
        <v>1105</v>
      </c>
      <c r="I476" t="s">
        <v>1106</v>
      </c>
      <c r="J476">
        <v>1012</v>
      </c>
      <c r="K476">
        <v>1110</v>
      </c>
      <c r="L476" s="3">
        <v>-159174570.47999999</v>
      </c>
      <c r="M476" s="3">
        <v>836000</v>
      </c>
      <c r="N476">
        <v>0</v>
      </c>
      <c r="O476">
        <v>0</v>
      </c>
      <c r="P476">
        <v>-158338570.47999999</v>
      </c>
      <c r="Q476" t="s">
        <v>30</v>
      </c>
      <c r="R476" t="s">
        <v>233</v>
      </c>
      <c r="S476" t="str">
        <v>#N/A</v>
      </c>
      <c r="T476" t="str">
        <v>#N/A</v>
      </c>
    </row>
    <row r="477" spans="1:20" ht="13.7" customHeight="1" x14ac:dyDescent="0.25">
      <c r="A477" t="s">
        <v>199</v>
      </c>
      <c r="B477" t="s">
        <v>200</v>
      </c>
      <c r="C477" t="s">
        <v>91</v>
      </c>
      <c r="D477">
        <v>4</v>
      </c>
      <c r="E477" s="5">
        <v>43551</v>
      </c>
      <c r="F477">
        <v>11100501</v>
      </c>
      <c r="G477">
        <v>0</v>
      </c>
      <c r="H477" t="s">
        <v>1105</v>
      </c>
      <c r="I477" t="s">
        <v>1106</v>
      </c>
      <c r="J477">
        <v>1012</v>
      </c>
      <c r="K477">
        <v>1110</v>
      </c>
      <c r="L477" s="3">
        <v>-158338570.47999999</v>
      </c>
      <c r="M477" s="3">
        <v>6871583</v>
      </c>
      <c r="N477">
        <v>0</v>
      </c>
      <c r="O477">
        <v>0</v>
      </c>
      <c r="P477">
        <v>-151466987.47999999</v>
      </c>
      <c r="Q477" t="s">
        <v>30</v>
      </c>
      <c r="R477" t="s">
        <v>208</v>
      </c>
      <c r="S477" t="str">
        <v>#N/A</v>
      </c>
      <c r="T477" t="str">
        <v>#N/A</v>
      </c>
    </row>
    <row r="478" spans="1:20" ht="13.7" customHeight="1" x14ac:dyDescent="0.25">
      <c r="A478" t="s">
        <v>26</v>
      </c>
      <c r="B478" t="s">
        <v>27</v>
      </c>
      <c r="C478" t="s">
        <v>91</v>
      </c>
      <c r="D478">
        <v>76</v>
      </c>
      <c r="E478" s="5">
        <v>43552</v>
      </c>
      <c r="F478">
        <v>11100501</v>
      </c>
      <c r="G478">
        <v>0</v>
      </c>
      <c r="H478" t="s">
        <v>1105</v>
      </c>
      <c r="I478" t="s">
        <v>1106</v>
      </c>
      <c r="J478">
        <v>1012</v>
      </c>
      <c r="K478">
        <v>1110</v>
      </c>
      <c r="L478" s="3">
        <v>-151466987.47999999</v>
      </c>
      <c r="M478" s="3">
        <v>0</v>
      </c>
      <c r="N478">
        <v>10000000</v>
      </c>
      <c r="O478">
        <v>0</v>
      </c>
      <c r="P478">
        <v>-161466987.47999999</v>
      </c>
      <c r="Q478" t="s">
        <v>30</v>
      </c>
      <c r="R478" t="s">
        <v>246</v>
      </c>
      <c r="S478" t="str">
        <v>#N/A</v>
      </c>
      <c r="T478" t="str">
        <v>#N/A</v>
      </c>
    </row>
    <row r="479" spans="1:20" ht="13.7" customHeight="1" x14ac:dyDescent="0.25">
      <c r="A479" t="s">
        <v>199</v>
      </c>
      <c r="B479" t="s">
        <v>200</v>
      </c>
      <c r="C479" t="s">
        <v>91</v>
      </c>
      <c r="D479">
        <v>5</v>
      </c>
      <c r="E479" s="5">
        <v>43552</v>
      </c>
      <c r="F479">
        <v>11100501</v>
      </c>
      <c r="G479">
        <v>0</v>
      </c>
      <c r="H479" t="s">
        <v>1105</v>
      </c>
      <c r="I479" t="s">
        <v>1106</v>
      </c>
      <c r="J479">
        <v>1012</v>
      </c>
      <c r="K479">
        <v>1110</v>
      </c>
      <c r="L479" s="3">
        <v>-161466987.47999999</v>
      </c>
      <c r="M479" s="3">
        <v>2981329</v>
      </c>
      <c r="N479">
        <v>0</v>
      </c>
      <c r="O479">
        <v>0</v>
      </c>
      <c r="P479">
        <v>-158485658.47999999</v>
      </c>
      <c r="Q479" t="s">
        <v>30</v>
      </c>
      <c r="R479" t="s">
        <v>227</v>
      </c>
      <c r="S479" t="str">
        <v>#N/A</v>
      </c>
      <c r="T479" t="str">
        <v>#N/A</v>
      </c>
    </row>
    <row r="480" spans="1:20" ht="13.7" customHeight="1" x14ac:dyDescent="0.25">
      <c r="A480" t="s">
        <v>26</v>
      </c>
      <c r="B480" t="s">
        <v>27</v>
      </c>
      <c r="C480" t="s">
        <v>91</v>
      </c>
      <c r="D480">
        <v>65</v>
      </c>
      <c r="E480" s="5">
        <v>43554</v>
      </c>
      <c r="F480">
        <v>11100501</v>
      </c>
      <c r="G480">
        <v>0</v>
      </c>
      <c r="H480" t="s">
        <v>1105</v>
      </c>
      <c r="I480" t="s">
        <v>1106</v>
      </c>
      <c r="J480">
        <v>1012</v>
      </c>
      <c r="K480">
        <v>1110</v>
      </c>
      <c r="L480" s="3">
        <v>-158485658.47999999</v>
      </c>
      <c r="M480" s="3">
        <v>0</v>
      </c>
      <c r="N480">
        <v>1227891</v>
      </c>
      <c r="O480">
        <v>0</v>
      </c>
      <c r="P480">
        <v>-159713549.47999999</v>
      </c>
      <c r="Q480" t="s">
        <v>30</v>
      </c>
      <c r="R480" t="s">
        <v>239</v>
      </c>
      <c r="S480" t="str">
        <v>#N/A</v>
      </c>
      <c r="T480" t="str">
        <v>#N/A</v>
      </c>
    </row>
    <row r="481" spans="1:20" ht="13.7" customHeight="1" x14ac:dyDescent="0.25">
      <c r="A481" t="s">
        <v>219</v>
      </c>
      <c r="B481" t="s">
        <v>220</v>
      </c>
      <c r="C481" t="s">
        <v>248</v>
      </c>
      <c r="D481">
        <v>1</v>
      </c>
      <c r="E481" s="5">
        <v>43556</v>
      </c>
      <c r="F481">
        <v>11100501</v>
      </c>
      <c r="G481">
        <v>0</v>
      </c>
      <c r="H481" t="s">
        <v>1105</v>
      </c>
      <c r="I481" t="s">
        <v>1106</v>
      </c>
      <c r="J481">
        <v>1012</v>
      </c>
      <c r="K481">
        <v>1110</v>
      </c>
      <c r="L481" s="3">
        <v>-159713549.47999999</v>
      </c>
      <c r="M481" s="3">
        <v>800000</v>
      </c>
      <c r="N481">
        <v>0</v>
      </c>
      <c r="O481">
        <v>0</v>
      </c>
      <c r="P481">
        <v>-158913549.47999999</v>
      </c>
      <c r="Q481" t="s">
        <v>30</v>
      </c>
      <c r="R481" t="s">
        <v>233</v>
      </c>
      <c r="S481" t="str">
        <v>#N/A</v>
      </c>
      <c r="T481" t="str">
        <v>#N/A</v>
      </c>
    </row>
    <row r="482" spans="1:20" ht="13.7" customHeight="1" x14ac:dyDescent="0.25">
      <c r="A482" t="s">
        <v>26</v>
      </c>
      <c r="B482" t="s">
        <v>27</v>
      </c>
      <c r="C482" t="s">
        <v>34</v>
      </c>
      <c r="D482">
        <v>3</v>
      </c>
      <c r="E482" s="5">
        <v>43558</v>
      </c>
      <c r="F482">
        <v>11100501</v>
      </c>
      <c r="G482">
        <v>0</v>
      </c>
      <c r="H482" t="s">
        <v>1105</v>
      </c>
      <c r="I482" t="s">
        <v>1106</v>
      </c>
      <c r="J482">
        <v>1012</v>
      </c>
      <c r="K482">
        <v>1110</v>
      </c>
      <c r="L482" s="3">
        <v>-158913549.47999999</v>
      </c>
      <c r="M482" s="3">
        <v>0</v>
      </c>
      <c r="N482">
        <v>800000</v>
      </c>
      <c r="O482">
        <v>0</v>
      </c>
      <c r="P482">
        <v>-159713549.47999999</v>
      </c>
      <c r="Q482" t="s">
        <v>30</v>
      </c>
      <c r="R482" t="s">
        <v>249</v>
      </c>
      <c r="S482" t="str">
        <v>#N/A</v>
      </c>
      <c r="T482" t="str">
        <v>#N/A</v>
      </c>
    </row>
    <row r="483" spans="1:20" ht="13.7" customHeight="1" x14ac:dyDescent="0.25">
      <c r="A483" t="s">
        <v>26</v>
      </c>
      <c r="B483" t="s">
        <v>27</v>
      </c>
      <c r="C483" t="s">
        <v>34</v>
      </c>
      <c r="D483">
        <v>4</v>
      </c>
      <c r="E483" s="5">
        <v>43558</v>
      </c>
      <c r="F483">
        <v>11100501</v>
      </c>
      <c r="G483">
        <v>0</v>
      </c>
      <c r="H483" t="s">
        <v>1105</v>
      </c>
      <c r="I483" t="s">
        <v>1106</v>
      </c>
      <c r="J483">
        <v>1012</v>
      </c>
      <c r="K483">
        <v>1110</v>
      </c>
      <c r="L483" s="3">
        <v>-159713549.47999999</v>
      </c>
      <c r="M483" s="3">
        <v>0</v>
      </c>
      <c r="N483">
        <v>107340</v>
      </c>
      <c r="O483">
        <v>0</v>
      </c>
      <c r="P483">
        <v>-159820889.47999999</v>
      </c>
      <c r="Q483" t="s">
        <v>30</v>
      </c>
      <c r="R483" t="s">
        <v>210</v>
      </c>
      <c r="S483" t="str">
        <v>#N/A</v>
      </c>
      <c r="T483" t="str">
        <v>#N/A</v>
      </c>
    </row>
    <row r="484" spans="1:20" ht="13.7" customHeight="1" x14ac:dyDescent="0.25">
      <c r="A484" t="s">
        <v>26</v>
      </c>
      <c r="B484" t="s">
        <v>27</v>
      </c>
      <c r="C484" t="s">
        <v>34</v>
      </c>
      <c r="D484">
        <v>71</v>
      </c>
      <c r="E484" s="5">
        <v>43561</v>
      </c>
      <c r="F484">
        <v>11100501</v>
      </c>
      <c r="G484">
        <v>0</v>
      </c>
      <c r="H484" t="s">
        <v>1105</v>
      </c>
      <c r="I484" t="s">
        <v>1106</v>
      </c>
      <c r="J484">
        <v>1012</v>
      </c>
      <c r="K484">
        <v>1110</v>
      </c>
      <c r="L484" s="3">
        <v>-159820889.47999999</v>
      </c>
      <c r="M484" s="3">
        <v>0</v>
      </c>
      <c r="N484">
        <v>2013215</v>
      </c>
      <c r="O484">
        <v>0</v>
      </c>
      <c r="P484">
        <v>-161834104.47999999</v>
      </c>
      <c r="Q484" t="s">
        <v>30</v>
      </c>
      <c r="R484" t="s">
        <v>244</v>
      </c>
      <c r="S484" t="str">
        <v>#N/A</v>
      </c>
      <c r="T484" t="str">
        <v>#N/A</v>
      </c>
    </row>
    <row r="485" spans="1:20" ht="13.7" customHeight="1" x14ac:dyDescent="0.25">
      <c r="A485" t="s">
        <v>26</v>
      </c>
      <c r="B485" t="s">
        <v>27</v>
      </c>
      <c r="C485" t="s">
        <v>34</v>
      </c>
      <c r="D485">
        <v>20</v>
      </c>
      <c r="E485" s="5">
        <v>43565</v>
      </c>
      <c r="F485">
        <v>11100501</v>
      </c>
      <c r="G485">
        <v>0</v>
      </c>
      <c r="H485" t="s">
        <v>1105</v>
      </c>
      <c r="I485" t="s">
        <v>1106</v>
      </c>
      <c r="J485">
        <v>1012</v>
      </c>
      <c r="K485">
        <v>1110</v>
      </c>
      <c r="L485" s="3">
        <v>-161834104.47999999</v>
      </c>
      <c r="M485" s="3">
        <v>0</v>
      </c>
      <c r="N485">
        <v>238000</v>
      </c>
      <c r="O485">
        <v>0</v>
      </c>
      <c r="P485">
        <v>-162072104.47999999</v>
      </c>
      <c r="Q485" t="s">
        <v>30</v>
      </c>
      <c r="R485" t="s">
        <v>251</v>
      </c>
      <c r="S485" t="str">
        <v>#N/A</v>
      </c>
      <c r="T485" t="str">
        <v>#N/A</v>
      </c>
    </row>
    <row r="486" spans="1:20" ht="13.7" customHeight="1" x14ac:dyDescent="0.25">
      <c r="A486" t="s">
        <v>26</v>
      </c>
      <c r="B486" t="s">
        <v>27</v>
      </c>
      <c r="C486" t="s">
        <v>34</v>
      </c>
      <c r="D486">
        <v>24</v>
      </c>
      <c r="E486" s="5">
        <v>43567</v>
      </c>
      <c r="F486">
        <v>11100501</v>
      </c>
      <c r="G486">
        <v>0</v>
      </c>
      <c r="H486" t="s">
        <v>1105</v>
      </c>
      <c r="I486" t="s">
        <v>1106</v>
      </c>
      <c r="J486">
        <v>1012</v>
      </c>
      <c r="K486">
        <v>1110</v>
      </c>
      <c r="L486" s="3">
        <v>-162072104.47999999</v>
      </c>
      <c r="M486" s="3">
        <v>0</v>
      </c>
      <c r="N486">
        <v>362000</v>
      </c>
      <c r="O486">
        <v>0</v>
      </c>
      <c r="P486">
        <v>-162434104.47999999</v>
      </c>
      <c r="Q486" t="s">
        <v>30</v>
      </c>
      <c r="R486" t="s">
        <v>252</v>
      </c>
      <c r="S486" t="str">
        <v>#N/A</v>
      </c>
      <c r="T486" t="str">
        <v>#N/A</v>
      </c>
    </row>
    <row r="487" spans="1:20" ht="13.7" customHeight="1" x14ac:dyDescent="0.25">
      <c r="A487" t="s">
        <v>26</v>
      </c>
      <c r="B487" t="s">
        <v>27</v>
      </c>
      <c r="C487" t="s">
        <v>34</v>
      </c>
      <c r="D487">
        <v>28</v>
      </c>
      <c r="E487" s="5">
        <v>43568</v>
      </c>
      <c r="F487">
        <v>11100501</v>
      </c>
      <c r="G487">
        <v>0</v>
      </c>
      <c r="H487" t="s">
        <v>1105</v>
      </c>
      <c r="I487" t="s">
        <v>1106</v>
      </c>
      <c r="J487">
        <v>1012</v>
      </c>
      <c r="K487">
        <v>1110</v>
      </c>
      <c r="L487" s="3">
        <v>-162434104.47999999</v>
      </c>
      <c r="M487" s="3">
        <v>0</v>
      </c>
      <c r="N487">
        <v>120185</v>
      </c>
      <c r="O487">
        <v>0</v>
      </c>
      <c r="P487">
        <v>-162554289.47999999</v>
      </c>
      <c r="Q487" t="s">
        <v>30</v>
      </c>
      <c r="R487" t="s">
        <v>253</v>
      </c>
      <c r="S487" t="str">
        <v>#N/A</v>
      </c>
      <c r="T487" t="str">
        <v>#N/A</v>
      </c>
    </row>
    <row r="488" spans="1:20" ht="13.7" customHeight="1" x14ac:dyDescent="0.25">
      <c r="A488" t="s">
        <v>26</v>
      </c>
      <c r="B488" t="s">
        <v>27</v>
      </c>
      <c r="C488" t="s">
        <v>34</v>
      </c>
      <c r="D488">
        <v>33</v>
      </c>
      <c r="E488" s="5">
        <v>43570</v>
      </c>
      <c r="F488">
        <v>11100501</v>
      </c>
      <c r="G488">
        <v>0</v>
      </c>
      <c r="H488" t="s">
        <v>1105</v>
      </c>
      <c r="I488" t="s">
        <v>1106</v>
      </c>
      <c r="J488">
        <v>1012</v>
      </c>
      <c r="K488">
        <v>1110</v>
      </c>
      <c r="L488" s="3">
        <v>-162554289.47999999</v>
      </c>
      <c r="M488" s="3">
        <v>0</v>
      </c>
      <c r="N488">
        <v>130714</v>
      </c>
      <c r="O488">
        <v>0</v>
      </c>
      <c r="P488">
        <v>-162685003.47999999</v>
      </c>
      <c r="Q488" t="s">
        <v>30</v>
      </c>
      <c r="R488" t="s">
        <v>203</v>
      </c>
      <c r="S488" t="str">
        <v>#N/A</v>
      </c>
      <c r="T488" t="str">
        <v>#N/A</v>
      </c>
    </row>
    <row r="489" spans="1:20" ht="13.7" customHeight="1" x14ac:dyDescent="0.25">
      <c r="A489" t="s">
        <v>26</v>
      </c>
      <c r="B489" t="s">
        <v>27</v>
      </c>
      <c r="C489" t="s">
        <v>34</v>
      </c>
      <c r="D489">
        <v>34</v>
      </c>
      <c r="E489" s="5">
        <v>43570</v>
      </c>
      <c r="F489">
        <v>11100501</v>
      </c>
      <c r="G489">
        <v>0</v>
      </c>
      <c r="H489" t="s">
        <v>1105</v>
      </c>
      <c r="I489" t="s">
        <v>1106</v>
      </c>
      <c r="J489">
        <v>1012</v>
      </c>
      <c r="K489">
        <v>1110</v>
      </c>
      <c r="L489" s="3">
        <v>-162685003.47999999</v>
      </c>
      <c r="M489" s="3">
        <v>0</v>
      </c>
      <c r="N489">
        <v>1899585</v>
      </c>
      <c r="O489">
        <v>0</v>
      </c>
      <c r="P489">
        <v>-164584588.47999999</v>
      </c>
      <c r="Q489" t="s">
        <v>30</v>
      </c>
      <c r="R489" t="s">
        <v>69</v>
      </c>
      <c r="S489" t="str">
        <v>#N/A</v>
      </c>
      <c r="T489" t="str">
        <v>#N/A</v>
      </c>
    </row>
    <row r="490" spans="1:20" ht="13.7" customHeight="1" x14ac:dyDescent="0.25">
      <c r="A490" t="s">
        <v>26</v>
      </c>
      <c r="B490" t="s">
        <v>27</v>
      </c>
      <c r="C490" t="s">
        <v>34</v>
      </c>
      <c r="D490">
        <v>42</v>
      </c>
      <c r="E490" s="5">
        <v>43572</v>
      </c>
      <c r="F490">
        <v>11100501</v>
      </c>
      <c r="G490">
        <v>0</v>
      </c>
      <c r="H490" t="s">
        <v>1105</v>
      </c>
      <c r="I490" t="s">
        <v>1106</v>
      </c>
      <c r="J490">
        <v>1012</v>
      </c>
      <c r="K490">
        <v>1110</v>
      </c>
      <c r="L490" s="3">
        <v>-164584588.47999999</v>
      </c>
      <c r="M490" s="3">
        <v>0</v>
      </c>
      <c r="N490">
        <v>1789029</v>
      </c>
      <c r="O490">
        <v>0</v>
      </c>
      <c r="P490">
        <v>-166373617.47999999</v>
      </c>
      <c r="Q490" t="s">
        <v>30</v>
      </c>
      <c r="R490" t="s">
        <v>65</v>
      </c>
      <c r="S490" t="str">
        <v>#N/A</v>
      </c>
      <c r="T490" t="str">
        <v>#N/A</v>
      </c>
    </row>
    <row r="491" spans="1:20" ht="13.7" customHeight="1" x14ac:dyDescent="0.25">
      <c r="A491" t="s">
        <v>26</v>
      </c>
      <c r="B491" t="s">
        <v>27</v>
      </c>
      <c r="C491" t="s">
        <v>34</v>
      </c>
      <c r="D491">
        <v>72</v>
      </c>
      <c r="E491" s="5">
        <v>43575</v>
      </c>
      <c r="F491">
        <v>11100501</v>
      </c>
      <c r="G491">
        <v>0</v>
      </c>
      <c r="H491" t="s">
        <v>1105</v>
      </c>
      <c r="I491" t="s">
        <v>1106</v>
      </c>
      <c r="J491">
        <v>1012</v>
      </c>
      <c r="K491">
        <v>1110</v>
      </c>
      <c r="L491" s="3">
        <v>-166373617.47999999</v>
      </c>
      <c r="M491" s="3">
        <v>0</v>
      </c>
      <c r="N491">
        <v>1920061</v>
      </c>
      <c r="O491">
        <v>0</v>
      </c>
      <c r="P491">
        <v>-168293678.47999999</v>
      </c>
      <c r="Q491" t="s">
        <v>30</v>
      </c>
      <c r="R491" t="s">
        <v>254</v>
      </c>
      <c r="S491" t="str">
        <v>#N/A</v>
      </c>
      <c r="T491" t="str">
        <v>#N/A</v>
      </c>
    </row>
    <row r="492" spans="1:20" ht="13.7" customHeight="1" x14ac:dyDescent="0.25">
      <c r="A492" t="s">
        <v>26</v>
      </c>
      <c r="B492" t="s">
        <v>27</v>
      </c>
      <c r="C492" t="s">
        <v>34</v>
      </c>
      <c r="D492">
        <v>51</v>
      </c>
      <c r="E492" s="5">
        <v>43578</v>
      </c>
      <c r="F492">
        <v>11100501</v>
      </c>
      <c r="G492">
        <v>0</v>
      </c>
      <c r="H492" t="s">
        <v>1105</v>
      </c>
      <c r="I492" t="s">
        <v>1106</v>
      </c>
      <c r="J492">
        <v>1012</v>
      </c>
      <c r="K492">
        <v>1110</v>
      </c>
      <c r="L492" s="3">
        <v>-168293678.47999999</v>
      </c>
      <c r="M492" s="3">
        <v>0</v>
      </c>
      <c r="N492">
        <v>138100</v>
      </c>
      <c r="O492">
        <v>0</v>
      </c>
      <c r="P492">
        <v>-168431778.47999999</v>
      </c>
      <c r="Q492" t="s">
        <v>30</v>
      </c>
      <c r="R492" t="s">
        <v>225</v>
      </c>
      <c r="S492" t="str">
        <v>#N/A</v>
      </c>
      <c r="T492" t="str">
        <v>#N/A</v>
      </c>
    </row>
    <row r="493" spans="1:20" ht="13.7" customHeight="1" x14ac:dyDescent="0.25">
      <c r="A493" t="s">
        <v>26</v>
      </c>
      <c r="B493" t="s">
        <v>27</v>
      </c>
      <c r="C493" t="s">
        <v>34</v>
      </c>
      <c r="D493">
        <v>52</v>
      </c>
      <c r="E493" s="5">
        <v>43578</v>
      </c>
      <c r="F493">
        <v>11100501</v>
      </c>
      <c r="G493">
        <v>0</v>
      </c>
      <c r="H493" t="s">
        <v>1105</v>
      </c>
      <c r="I493" t="s">
        <v>1106</v>
      </c>
      <c r="J493">
        <v>1012</v>
      </c>
      <c r="K493">
        <v>1110</v>
      </c>
      <c r="L493" s="3">
        <v>-168431778.47999999</v>
      </c>
      <c r="M493" s="3">
        <v>0</v>
      </c>
      <c r="N493">
        <v>359669</v>
      </c>
      <c r="O493">
        <v>0</v>
      </c>
      <c r="P493">
        <v>-168791447.47999999</v>
      </c>
      <c r="Q493" t="s">
        <v>30</v>
      </c>
      <c r="R493" t="s">
        <v>31</v>
      </c>
      <c r="S493" t="str">
        <v>#N/A</v>
      </c>
      <c r="T493" t="str">
        <v>#N/A</v>
      </c>
    </row>
    <row r="494" spans="1:20" ht="13.7" customHeight="1" x14ac:dyDescent="0.25">
      <c r="A494" t="s">
        <v>26</v>
      </c>
      <c r="B494" t="s">
        <v>27</v>
      </c>
      <c r="C494" t="s">
        <v>34</v>
      </c>
      <c r="D494">
        <v>53</v>
      </c>
      <c r="E494" s="5">
        <v>43578</v>
      </c>
      <c r="F494">
        <v>11100501</v>
      </c>
      <c r="G494">
        <v>0</v>
      </c>
      <c r="H494" t="s">
        <v>1105</v>
      </c>
      <c r="I494" t="s">
        <v>1106</v>
      </c>
      <c r="J494">
        <v>1012</v>
      </c>
      <c r="K494">
        <v>1110</v>
      </c>
      <c r="L494" s="3">
        <v>-168791447.47999999</v>
      </c>
      <c r="M494" s="3">
        <v>0</v>
      </c>
      <c r="N494">
        <v>840000</v>
      </c>
      <c r="O494">
        <v>0</v>
      </c>
      <c r="P494">
        <v>-169631447.47999999</v>
      </c>
      <c r="Q494" t="s">
        <v>30</v>
      </c>
      <c r="R494" t="s">
        <v>86</v>
      </c>
      <c r="S494" t="str">
        <v>#N/A</v>
      </c>
      <c r="T494" t="str">
        <v>#N/A</v>
      </c>
    </row>
    <row r="495" spans="1:20" ht="13.7" customHeight="1" x14ac:dyDescent="0.25">
      <c r="A495" t="s">
        <v>26</v>
      </c>
      <c r="B495" t="s">
        <v>27</v>
      </c>
      <c r="C495" t="s">
        <v>34</v>
      </c>
      <c r="D495">
        <v>58</v>
      </c>
      <c r="E495" s="5">
        <v>43581</v>
      </c>
      <c r="F495">
        <v>11100501</v>
      </c>
      <c r="G495">
        <v>0</v>
      </c>
      <c r="H495" t="s">
        <v>1105</v>
      </c>
      <c r="I495" t="s">
        <v>1106</v>
      </c>
      <c r="J495">
        <v>1012</v>
      </c>
      <c r="K495">
        <v>1110</v>
      </c>
      <c r="L495" s="3">
        <v>-169631447.47999999</v>
      </c>
      <c r="M495" s="3">
        <v>0</v>
      </c>
      <c r="N495">
        <v>79900</v>
      </c>
      <c r="O495">
        <v>0</v>
      </c>
      <c r="P495">
        <v>-169711347.47999999</v>
      </c>
      <c r="Q495" t="s">
        <v>30</v>
      </c>
      <c r="R495" t="s">
        <v>204</v>
      </c>
      <c r="S495" t="str">
        <v>#N/A</v>
      </c>
      <c r="T495" t="str">
        <v>#N/A</v>
      </c>
    </row>
    <row r="496" spans="1:20" ht="13.7" customHeight="1" x14ac:dyDescent="0.25">
      <c r="A496" t="s">
        <v>26</v>
      </c>
      <c r="B496" t="s">
        <v>27</v>
      </c>
      <c r="C496" t="s">
        <v>35</v>
      </c>
      <c r="D496">
        <v>1</v>
      </c>
      <c r="E496" s="5">
        <v>43588</v>
      </c>
      <c r="F496">
        <v>11100501</v>
      </c>
      <c r="G496">
        <v>0</v>
      </c>
      <c r="H496" t="s">
        <v>1105</v>
      </c>
      <c r="I496" t="s">
        <v>1106</v>
      </c>
      <c r="J496">
        <v>1012</v>
      </c>
      <c r="K496">
        <v>1110</v>
      </c>
      <c r="L496" s="3">
        <v>-169711347.47999999</v>
      </c>
      <c r="M496" s="3">
        <v>0</v>
      </c>
      <c r="N496">
        <v>1500000</v>
      </c>
      <c r="O496">
        <v>0</v>
      </c>
      <c r="P496">
        <v>-171211347.47999999</v>
      </c>
      <c r="Q496" t="s">
        <v>30</v>
      </c>
      <c r="R496" t="s">
        <v>69</v>
      </c>
      <c r="S496" t="str">
        <v>#N/A</v>
      </c>
      <c r="T496" t="str">
        <v>#N/A</v>
      </c>
    </row>
    <row r="497" spans="1:20" ht="13.7" customHeight="1" x14ac:dyDescent="0.25">
      <c r="A497" t="s">
        <v>26</v>
      </c>
      <c r="B497" t="s">
        <v>27</v>
      </c>
      <c r="C497" t="s">
        <v>35</v>
      </c>
      <c r="D497">
        <v>14</v>
      </c>
      <c r="E497" s="5">
        <v>43588</v>
      </c>
      <c r="F497">
        <v>11100501</v>
      </c>
      <c r="G497">
        <v>0</v>
      </c>
      <c r="H497" t="s">
        <v>1105</v>
      </c>
      <c r="I497" t="s">
        <v>1106</v>
      </c>
      <c r="J497">
        <v>1012</v>
      </c>
      <c r="K497">
        <v>1110</v>
      </c>
      <c r="L497" s="3">
        <v>-171211347.47999999</v>
      </c>
      <c r="M497" s="3">
        <v>0</v>
      </c>
      <c r="N497">
        <v>440000</v>
      </c>
      <c r="O497">
        <v>0</v>
      </c>
      <c r="P497">
        <v>-171651347.47999999</v>
      </c>
      <c r="Q497" t="s">
        <v>30</v>
      </c>
      <c r="R497" t="s">
        <v>205</v>
      </c>
      <c r="S497" t="str">
        <v>#N/A</v>
      </c>
      <c r="T497" t="str">
        <v>#N/A</v>
      </c>
    </row>
    <row r="498" spans="1:20" ht="13.7" customHeight="1" x14ac:dyDescent="0.25">
      <c r="A498" t="s">
        <v>26</v>
      </c>
      <c r="B498" t="s">
        <v>27</v>
      </c>
      <c r="C498" t="s">
        <v>35</v>
      </c>
      <c r="D498">
        <v>97</v>
      </c>
      <c r="E498" s="5">
        <v>43589</v>
      </c>
      <c r="F498">
        <v>11100501</v>
      </c>
      <c r="G498">
        <v>0</v>
      </c>
      <c r="H498" t="s">
        <v>1105</v>
      </c>
      <c r="I498" t="s">
        <v>1106</v>
      </c>
      <c r="J498">
        <v>1012</v>
      </c>
      <c r="K498">
        <v>1110</v>
      </c>
      <c r="L498" s="3">
        <v>-171651347.47999999</v>
      </c>
      <c r="M498" s="3">
        <v>0</v>
      </c>
      <c r="N498">
        <v>2062780</v>
      </c>
      <c r="O498">
        <v>0</v>
      </c>
      <c r="P498">
        <v>-173714127.47999999</v>
      </c>
      <c r="Q498" t="s">
        <v>30</v>
      </c>
      <c r="R498" t="s">
        <v>256</v>
      </c>
      <c r="S498" t="str">
        <v>#N/A</v>
      </c>
      <c r="T498" t="str">
        <v>#N/A</v>
      </c>
    </row>
    <row r="499" spans="1:20" ht="13.7" customHeight="1" x14ac:dyDescent="0.25">
      <c r="A499" t="s">
        <v>26</v>
      </c>
      <c r="B499" t="s">
        <v>27</v>
      </c>
      <c r="C499" t="s">
        <v>35</v>
      </c>
      <c r="D499">
        <v>21</v>
      </c>
      <c r="E499" s="5">
        <v>43591</v>
      </c>
      <c r="F499">
        <v>11100501</v>
      </c>
      <c r="G499">
        <v>0</v>
      </c>
      <c r="H499" t="s">
        <v>1105</v>
      </c>
      <c r="I499" t="s">
        <v>1106</v>
      </c>
      <c r="J499">
        <v>1012</v>
      </c>
      <c r="K499">
        <v>1110</v>
      </c>
      <c r="L499" s="3">
        <v>-173714127.47999999</v>
      </c>
      <c r="M499" s="3">
        <v>0</v>
      </c>
      <c r="N499">
        <v>260000</v>
      </c>
      <c r="O499">
        <v>0</v>
      </c>
      <c r="P499">
        <v>-173974127.47999999</v>
      </c>
      <c r="Q499" t="s">
        <v>30</v>
      </c>
      <c r="R499" t="s">
        <v>205</v>
      </c>
      <c r="S499" t="str">
        <v>#N/A</v>
      </c>
      <c r="T499" t="str">
        <v>#N/A</v>
      </c>
    </row>
    <row r="500" spans="1:20" ht="13.7" customHeight="1" x14ac:dyDescent="0.25">
      <c r="A500" t="s">
        <v>26</v>
      </c>
      <c r="B500" t="s">
        <v>27</v>
      </c>
      <c r="C500" t="s">
        <v>35</v>
      </c>
      <c r="D500">
        <v>22</v>
      </c>
      <c r="E500" s="5">
        <v>43591</v>
      </c>
      <c r="F500">
        <v>11100501</v>
      </c>
      <c r="G500">
        <v>0</v>
      </c>
      <c r="H500" t="s">
        <v>1105</v>
      </c>
      <c r="I500" t="s">
        <v>1106</v>
      </c>
      <c r="J500">
        <v>1012</v>
      </c>
      <c r="K500">
        <v>1110</v>
      </c>
      <c r="L500" s="3">
        <v>-173974127.47999999</v>
      </c>
      <c r="M500" s="3">
        <v>0</v>
      </c>
      <c r="N500">
        <v>850000</v>
      </c>
      <c r="O500">
        <v>0</v>
      </c>
      <c r="P500">
        <v>-174824127.47999999</v>
      </c>
      <c r="Q500" t="s">
        <v>30</v>
      </c>
      <c r="R500" t="s">
        <v>205</v>
      </c>
      <c r="S500" t="str">
        <v>#N/A</v>
      </c>
      <c r="T500" t="str">
        <v>#N/A</v>
      </c>
    </row>
    <row r="501" spans="1:20" ht="13.7" customHeight="1" x14ac:dyDescent="0.25">
      <c r="A501" t="s">
        <v>26</v>
      </c>
      <c r="B501" t="s">
        <v>27</v>
      </c>
      <c r="C501" t="s">
        <v>35</v>
      </c>
      <c r="D501">
        <v>3</v>
      </c>
      <c r="E501" s="5">
        <v>43591</v>
      </c>
      <c r="F501">
        <v>11100501</v>
      </c>
      <c r="G501">
        <v>0</v>
      </c>
      <c r="H501" t="s">
        <v>1105</v>
      </c>
      <c r="I501" t="s">
        <v>1106</v>
      </c>
      <c r="J501">
        <v>1012</v>
      </c>
      <c r="K501">
        <v>1110</v>
      </c>
      <c r="L501" s="3">
        <v>-174824127.47999999</v>
      </c>
      <c r="M501" s="3">
        <v>0</v>
      </c>
      <c r="N501">
        <v>801000</v>
      </c>
      <c r="O501">
        <v>0</v>
      </c>
      <c r="P501">
        <v>-175625127.47999999</v>
      </c>
      <c r="Q501" t="s">
        <v>30</v>
      </c>
      <c r="R501" t="s">
        <v>257</v>
      </c>
      <c r="S501" t="str">
        <v>#N/A</v>
      </c>
      <c r="T501" t="str">
        <v>#N/A</v>
      </c>
    </row>
    <row r="502" spans="1:20" ht="13.7" customHeight="1" x14ac:dyDescent="0.25">
      <c r="A502" t="s">
        <v>219</v>
      </c>
      <c r="B502" t="s">
        <v>220</v>
      </c>
      <c r="C502" t="s">
        <v>35</v>
      </c>
      <c r="D502">
        <v>1</v>
      </c>
      <c r="E502" s="5">
        <v>43591</v>
      </c>
      <c r="F502">
        <v>11100501</v>
      </c>
      <c r="G502">
        <v>0</v>
      </c>
      <c r="H502" t="s">
        <v>1105</v>
      </c>
      <c r="I502" t="s">
        <v>1106</v>
      </c>
      <c r="J502">
        <v>1012</v>
      </c>
      <c r="K502">
        <v>1110</v>
      </c>
      <c r="L502" s="3">
        <v>-175625127.47999999</v>
      </c>
      <c r="M502" s="3">
        <v>800000</v>
      </c>
      <c r="N502">
        <v>0</v>
      </c>
      <c r="O502">
        <v>0</v>
      </c>
      <c r="P502">
        <v>-174825127.47999999</v>
      </c>
      <c r="Q502" t="s">
        <v>30</v>
      </c>
      <c r="R502" t="s">
        <v>233</v>
      </c>
      <c r="S502" t="str">
        <v>#N/A</v>
      </c>
      <c r="T502" t="str">
        <v>#N/A</v>
      </c>
    </row>
    <row r="503" spans="1:20" ht="13.7" customHeight="1" x14ac:dyDescent="0.25">
      <c r="A503" t="s">
        <v>26</v>
      </c>
      <c r="B503" t="s">
        <v>27</v>
      </c>
      <c r="C503" t="s">
        <v>35</v>
      </c>
      <c r="D503">
        <v>27</v>
      </c>
      <c r="E503" s="5">
        <v>43593</v>
      </c>
      <c r="F503">
        <v>11100501</v>
      </c>
      <c r="G503">
        <v>0</v>
      </c>
      <c r="H503" t="s">
        <v>1105</v>
      </c>
      <c r="I503" t="s">
        <v>1106</v>
      </c>
      <c r="J503">
        <v>1012</v>
      </c>
      <c r="K503">
        <v>1110</v>
      </c>
      <c r="L503" s="3">
        <v>-174825127.47999999</v>
      </c>
      <c r="M503" s="3">
        <v>0</v>
      </c>
      <c r="N503">
        <v>1044601</v>
      </c>
      <c r="O503">
        <v>0</v>
      </c>
      <c r="P503">
        <v>-175869728.47999999</v>
      </c>
      <c r="Q503" t="s">
        <v>30</v>
      </c>
      <c r="R503" t="s">
        <v>65</v>
      </c>
      <c r="S503" t="str">
        <v>#N/A</v>
      </c>
      <c r="T503" t="str">
        <v>#N/A</v>
      </c>
    </row>
    <row r="504" spans="1:20" ht="13.7" customHeight="1" x14ac:dyDescent="0.25">
      <c r="A504" t="s">
        <v>26</v>
      </c>
      <c r="B504" t="s">
        <v>27</v>
      </c>
      <c r="C504" t="s">
        <v>35</v>
      </c>
      <c r="D504">
        <v>31</v>
      </c>
      <c r="E504" s="5">
        <v>43595</v>
      </c>
      <c r="F504">
        <v>11100501</v>
      </c>
      <c r="G504">
        <v>0</v>
      </c>
      <c r="H504" t="s">
        <v>1105</v>
      </c>
      <c r="I504" t="s">
        <v>1106</v>
      </c>
      <c r="J504">
        <v>1012</v>
      </c>
      <c r="K504">
        <v>1110</v>
      </c>
      <c r="L504" s="3">
        <v>-175869728.47999999</v>
      </c>
      <c r="M504" s="3">
        <v>0</v>
      </c>
      <c r="N504">
        <v>2289000</v>
      </c>
      <c r="O504">
        <v>0</v>
      </c>
      <c r="P504">
        <v>-178158728.47999999</v>
      </c>
      <c r="Q504" t="s">
        <v>30</v>
      </c>
      <c r="R504" t="s">
        <v>258</v>
      </c>
      <c r="S504" t="str">
        <v>#N/A</v>
      </c>
      <c r="T504" t="str">
        <v>#N/A</v>
      </c>
    </row>
    <row r="505" spans="1:20" ht="13.7" customHeight="1" x14ac:dyDescent="0.25">
      <c r="A505" t="s">
        <v>26</v>
      </c>
      <c r="B505" t="s">
        <v>27</v>
      </c>
      <c r="C505" t="s">
        <v>35</v>
      </c>
      <c r="D505">
        <v>35</v>
      </c>
      <c r="E505" s="5">
        <v>43596</v>
      </c>
      <c r="F505">
        <v>11100501</v>
      </c>
      <c r="G505">
        <v>0</v>
      </c>
      <c r="H505" t="s">
        <v>1105</v>
      </c>
      <c r="I505" t="s">
        <v>1106</v>
      </c>
      <c r="J505">
        <v>1012</v>
      </c>
      <c r="K505">
        <v>1110</v>
      </c>
      <c r="L505" s="3">
        <v>-178158728.47999999</v>
      </c>
      <c r="M505" s="3">
        <v>0</v>
      </c>
      <c r="N505">
        <v>539078</v>
      </c>
      <c r="O505">
        <v>0</v>
      </c>
      <c r="P505">
        <v>-178697806.47999999</v>
      </c>
      <c r="Q505" t="s">
        <v>30</v>
      </c>
      <c r="R505" t="s">
        <v>241</v>
      </c>
      <c r="S505" t="str">
        <v>#N/A</v>
      </c>
      <c r="T505" t="str">
        <v>#N/A</v>
      </c>
    </row>
    <row r="506" spans="1:20" ht="13.7" customHeight="1" x14ac:dyDescent="0.25">
      <c r="A506" t="s">
        <v>26</v>
      </c>
      <c r="B506" t="s">
        <v>27</v>
      </c>
      <c r="C506" t="s">
        <v>35</v>
      </c>
      <c r="D506">
        <v>44</v>
      </c>
      <c r="E506" s="5">
        <v>43599</v>
      </c>
      <c r="F506">
        <v>11100501</v>
      </c>
      <c r="G506">
        <v>0</v>
      </c>
      <c r="H506" t="s">
        <v>1105</v>
      </c>
      <c r="I506" t="s">
        <v>1106</v>
      </c>
      <c r="J506">
        <v>1012</v>
      </c>
      <c r="K506">
        <v>1110</v>
      </c>
      <c r="L506" s="3">
        <v>-178697806.47999999</v>
      </c>
      <c r="M506" s="3">
        <v>0</v>
      </c>
      <c r="N506">
        <v>20418000</v>
      </c>
      <c r="O506">
        <v>0</v>
      </c>
      <c r="P506">
        <v>-199115806.47999999</v>
      </c>
      <c r="Q506" t="s">
        <v>30</v>
      </c>
      <c r="R506" t="s">
        <v>259</v>
      </c>
      <c r="S506" t="str">
        <v>#N/A</v>
      </c>
      <c r="T506" t="str">
        <v>#N/A</v>
      </c>
    </row>
    <row r="507" spans="1:20" ht="13.7" customHeight="1" x14ac:dyDescent="0.25">
      <c r="A507" t="s">
        <v>26</v>
      </c>
      <c r="B507" t="s">
        <v>27</v>
      </c>
      <c r="C507" t="s">
        <v>35</v>
      </c>
      <c r="D507">
        <v>45</v>
      </c>
      <c r="E507" s="5">
        <v>43599</v>
      </c>
      <c r="F507">
        <v>11100501</v>
      </c>
      <c r="G507">
        <v>0</v>
      </c>
      <c r="H507" t="s">
        <v>1105</v>
      </c>
      <c r="I507" t="s">
        <v>1106</v>
      </c>
      <c r="J507">
        <v>1012</v>
      </c>
      <c r="K507">
        <v>1110</v>
      </c>
      <c r="L507" s="3">
        <v>-199115806.47999999</v>
      </c>
      <c r="M507" s="3">
        <v>0</v>
      </c>
      <c r="N507">
        <v>679000</v>
      </c>
      <c r="O507">
        <v>0</v>
      </c>
      <c r="P507">
        <v>-199794806.47999999</v>
      </c>
      <c r="Q507" t="s">
        <v>30</v>
      </c>
      <c r="R507" t="s">
        <v>260</v>
      </c>
      <c r="S507" t="str">
        <v>#N/A</v>
      </c>
      <c r="T507" t="str">
        <v>#N/A</v>
      </c>
    </row>
    <row r="508" spans="1:20" ht="13.7" customHeight="1" x14ac:dyDescent="0.25">
      <c r="A508" t="s">
        <v>26</v>
      </c>
      <c r="B508" t="s">
        <v>27</v>
      </c>
      <c r="C508" t="s">
        <v>35</v>
      </c>
      <c r="D508">
        <v>46</v>
      </c>
      <c r="E508" s="5">
        <v>43599</v>
      </c>
      <c r="F508">
        <v>11100501</v>
      </c>
      <c r="G508">
        <v>0</v>
      </c>
      <c r="H508" t="s">
        <v>1105</v>
      </c>
      <c r="I508" t="s">
        <v>1106</v>
      </c>
      <c r="J508">
        <v>1012</v>
      </c>
      <c r="K508">
        <v>1110</v>
      </c>
      <c r="L508" s="3">
        <v>-199794806.47999999</v>
      </c>
      <c r="M508" s="3">
        <v>0</v>
      </c>
      <c r="N508">
        <v>1059433</v>
      </c>
      <c r="O508">
        <v>0</v>
      </c>
      <c r="P508">
        <v>-200854239.47999999</v>
      </c>
      <c r="Q508" t="s">
        <v>30</v>
      </c>
      <c r="R508" t="s">
        <v>65</v>
      </c>
      <c r="S508" t="str">
        <v>#N/A</v>
      </c>
      <c r="T508" t="str">
        <v>#N/A</v>
      </c>
    </row>
    <row r="509" spans="1:20" ht="13.7" customHeight="1" x14ac:dyDescent="0.25">
      <c r="A509" t="s">
        <v>26</v>
      </c>
      <c r="B509" t="s">
        <v>27</v>
      </c>
      <c r="C509" t="s">
        <v>35</v>
      </c>
      <c r="D509">
        <v>4</v>
      </c>
      <c r="E509" s="5">
        <v>43601</v>
      </c>
      <c r="F509">
        <v>11100501</v>
      </c>
      <c r="G509">
        <v>0</v>
      </c>
      <c r="H509" t="s">
        <v>1105</v>
      </c>
      <c r="I509" t="s">
        <v>1106</v>
      </c>
      <c r="J509">
        <v>1012</v>
      </c>
      <c r="K509">
        <v>1110</v>
      </c>
      <c r="L509" s="3">
        <v>-200854239.47999999</v>
      </c>
      <c r="M509" s="3">
        <v>0</v>
      </c>
      <c r="N509">
        <v>1500000</v>
      </c>
      <c r="O509">
        <v>0</v>
      </c>
      <c r="P509">
        <v>-202354239.47999999</v>
      </c>
      <c r="Q509" t="s">
        <v>30</v>
      </c>
      <c r="R509" t="s">
        <v>69</v>
      </c>
      <c r="S509" t="str">
        <v>#N/A</v>
      </c>
      <c r="T509" t="str">
        <v>#N/A</v>
      </c>
    </row>
    <row r="510" spans="1:20" ht="13.7" customHeight="1" x14ac:dyDescent="0.25">
      <c r="A510" t="s">
        <v>26</v>
      </c>
      <c r="B510" t="s">
        <v>27</v>
      </c>
      <c r="C510" t="s">
        <v>35</v>
      </c>
      <c r="D510">
        <v>52</v>
      </c>
      <c r="E510" s="5">
        <v>43601</v>
      </c>
      <c r="F510">
        <v>11100501</v>
      </c>
      <c r="G510">
        <v>0</v>
      </c>
      <c r="H510" t="s">
        <v>1105</v>
      </c>
      <c r="I510" t="s">
        <v>1106</v>
      </c>
      <c r="J510">
        <v>1012</v>
      </c>
      <c r="K510">
        <v>1110</v>
      </c>
      <c r="L510" s="3">
        <v>-202354239.47999999</v>
      </c>
      <c r="M510" s="3">
        <v>0</v>
      </c>
      <c r="N510">
        <v>130714</v>
      </c>
      <c r="O510">
        <v>0</v>
      </c>
      <c r="P510">
        <v>-202484953.47999999</v>
      </c>
      <c r="Q510" t="s">
        <v>30</v>
      </c>
      <c r="R510" t="s">
        <v>203</v>
      </c>
      <c r="S510" t="str">
        <v>#N/A</v>
      </c>
      <c r="T510" t="str">
        <v>#N/A</v>
      </c>
    </row>
    <row r="511" spans="1:20" ht="13.7" customHeight="1" x14ac:dyDescent="0.25">
      <c r="A511" t="s">
        <v>26</v>
      </c>
      <c r="B511" t="s">
        <v>27</v>
      </c>
      <c r="C511" t="s">
        <v>35</v>
      </c>
      <c r="D511">
        <v>98</v>
      </c>
      <c r="E511" s="5">
        <v>43603</v>
      </c>
      <c r="F511">
        <v>11100501</v>
      </c>
      <c r="G511">
        <v>0</v>
      </c>
      <c r="H511" t="s">
        <v>1105</v>
      </c>
      <c r="I511" t="s">
        <v>1106</v>
      </c>
      <c r="J511">
        <v>1012</v>
      </c>
      <c r="K511">
        <v>1110</v>
      </c>
      <c r="L511" s="3">
        <v>-202484953.47999999</v>
      </c>
      <c r="M511" s="3">
        <v>0</v>
      </c>
      <c r="N511">
        <v>2522801</v>
      </c>
      <c r="O511">
        <v>0</v>
      </c>
      <c r="P511">
        <v>-205007754.47999999</v>
      </c>
      <c r="Q511" t="s">
        <v>30</v>
      </c>
      <c r="R511" t="s">
        <v>261</v>
      </c>
      <c r="S511" t="str">
        <v>#N/A</v>
      </c>
      <c r="T511" t="str">
        <v>#N/A</v>
      </c>
    </row>
    <row r="512" spans="1:20" ht="13.7" customHeight="1" x14ac:dyDescent="0.25">
      <c r="A512" t="s">
        <v>26</v>
      </c>
      <c r="B512" t="s">
        <v>27</v>
      </c>
      <c r="C512" t="s">
        <v>35</v>
      </c>
      <c r="D512">
        <v>65</v>
      </c>
      <c r="E512" s="5">
        <v>43605</v>
      </c>
      <c r="F512">
        <v>11100501</v>
      </c>
      <c r="G512">
        <v>0</v>
      </c>
      <c r="H512" t="s">
        <v>1105</v>
      </c>
      <c r="I512" t="s">
        <v>1106</v>
      </c>
      <c r="J512">
        <v>1012</v>
      </c>
      <c r="K512">
        <v>1110</v>
      </c>
      <c r="L512" s="3">
        <v>-205007754.47999999</v>
      </c>
      <c r="M512" s="3">
        <v>0</v>
      </c>
      <c r="N512">
        <v>1075678</v>
      </c>
      <c r="O512">
        <v>0</v>
      </c>
      <c r="P512">
        <v>-206083432.47999999</v>
      </c>
      <c r="Q512" t="s">
        <v>30</v>
      </c>
      <c r="R512" t="s">
        <v>65</v>
      </c>
      <c r="S512" t="str">
        <v>#N/A</v>
      </c>
      <c r="T512" t="str">
        <v>#N/A</v>
      </c>
    </row>
    <row r="513" spans="1:20" ht="13.7" customHeight="1" x14ac:dyDescent="0.25">
      <c r="A513" t="s">
        <v>26</v>
      </c>
      <c r="B513" t="s">
        <v>27</v>
      </c>
      <c r="C513" t="s">
        <v>35</v>
      </c>
      <c r="D513">
        <v>68</v>
      </c>
      <c r="E513" s="5">
        <v>43606</v>
      </c>
      <c r="F513">
        <v>11100501</v>
      </c>
      <c r="G513">
        <v>0</v>
      </c>
      <c r="H513" t="s">
        <v>1105</v>
      </c>
      <c r="I513" t="s">
        <v>1106</v>
      </c>
      <c r="J513">
        <v>1012</v>
      </c>
      <c r="K513">
        <v>1110</v>
      </c>
      <c r="L513" s="3">
        <v>-206083432.47999999</v>
      </c>
      <c r="M513" s="3">
        <v>0</v>
      </c>
      <c r="N513">
        <v>335640</v>
      </c>
      <c r="O513">
        <v>0</v>
      </c>
      <c r="P513">
        <v>-206419072.47999999</v>
      </c>
      <c r="Q513" t="s">
        <v>30</v>
      </c>
      <c r="R513" t="s">
        <v>31</v>
      </c>
      <c r="S513" t="str">
        <v>#N/A</v>
      </c>
      <c r="T513" t="str">
        <v>#N/A</v>
      </c>
    </row>
    <row r="514" spans="1:20" ht="13.7" customHeight="1" x14ac:dyDescent="0.25">
      <c r="A514" t="s">
        <v>26</v>
      </c>
      <c r="B514" t="s">
        <v>27</v>
      </c>
      <c r="C514" t="s">
        <v>35</v>
      </c>
      <c r="D514">
        <v>69</v>
      </c>
      <c r="E514" s="5">
        <v>43606</v>
      </c>
      <c r="F514">
        <v>11100501</v>
      </c>
      <c r="G514">
        <v>0</v>
      </c>
      <c r="H514" t="s">
        <v>1105</v>
      </c>
      <c r="I514" t="s">
        <v>1106</v>
      </c>
      <c r="J514">
        <v>1012</v>
      </c>
      <c r="K514">
        <v>1110</v>
      </c>
      <c r="L514" s="3">
        <v>-206419072.47999999</v>
      </c>
      <c r="M514" s="3">
        <v>0</v>
      </c>
      <c r="N514">
        <v>138100</v>
      </c>
      <c r="O514">
        <v>0</v>
      </c>
      <c r="P514">
        <v>-206557172.47999999</v>
      </c>
      <c r="Q514" t="s">
        <v>30</v>
      </c>
      <c r="R514" t="s">
        <v>225</v>
      </c>
      <c r="S514" t="str">
        <v>#N/A</v>
      </c>
      <c r="T514" t="str">
        <v>#N/A</v>
      </c>
    </row>
    <row r="515" spans="1:20" ht="13.7" customHeight="1" x14ac:dyDescent="0.25">
      <c r="A515" t="s">
        <v>26</v>
      </c>
      <c r="B515" t="s">
        <v>27</v>
      </c>
      <c r="C515" t="s">
        <v>35</v>
      </c>
      <c r="D515">
        <v>70</v>
      </c>
      <c r="E515" s="5">
        <v>43606</v>
      </c>
      <c r="F515">
        <v>11100501</v>
      </c>
      <c r="G515">
        <v>0</v>
      </c>
      <c r="H515" t="s">
        <v>1105</v>
      </c>
      <c r="I515" t="s">
        <v>1106</v>
      </c>
      <c r="J515">
        <v>1012</v>
      </c>
      <c r="K515">
        <v>1110</v>
      </c>
      <c r="L515" s="3">
        <v>-206557172.47999999</v>
      </c>
      <c r="M515" s="3">
        <v>0</v>
      </c>
      <c r="N515">
        <v>142800</v>
      </c>
      <c r="O515">
        <v>0</v>
      </c>
      <c r="P515">
        <v>-206699972.47999999</v>
      </c>
      <c r="Q515" t="s">
        <v>30</v>
      </c>
      <c r="R515" t="s">
        <v>262</v>
      </c>
      <c r="S515" t="str">
        <v>#N/A</v>
      </c>
      <c r="T515" t="str">
        <v>#N/A</v>
      </c>
    </row>
    <row r="516" spans="1:20" ht="13.7" customHeight="1" x14ac:dyDescent="0.25">
      <c r="A516" t="s">
        <v>26</v>
      </c>
      <c r="B516" t="s">
        <v>27</v>
      </c>
      <c r="C516" t="s">
        <v>35</v>
      </c>
      <c r="D516">
        <v>5</v>
      </c>
      <c r="E516" s="5">
        <v>43612</v>
      </c>
      <c r="F516">
        <v>11100501</v>
      </c>
      <c r="G516">
        <v>0</v>
      </c>
      <c r="H516" t="s">
        <v>1105</v>
      </c>
      <c r="I516" t="s">
        <v>1106</v>
      </c>
      <c r="J516">
        <v>1012</v>
      </c>
      <c r="K516">
        <v>1110</v>
      </c>
      <c r="L516" s="3">
        <v>-206699972.47999999</v>
      </c>
      <c r="M516" s="3">
        <v>0</v>
      </c>
      <c r="N516">
        <v>840000</v>
      </c>
      <c r="O516">
        <v>0</v>
      </c>
      <c r="P516">
        <v>-207539972.47999999</v>
      </c>
      <c r="Q516" t="s">
        <v>30</v>
      </c>
      <c r="R516" t="s">
        <v>86</v>
      </c>
      <c r="S516" t="str">
        <v>#N/A</v>
      </c>
      <c r="T516" t="str">
        <v>#N/A</v>
      </c>
    </row>
    <row r="517" spans="1:20" ht="13.7" customHeight="1" x14ac:dyDescent="0.25">
      <c r="A517" t="s">
        <v>26</v>
      </c>
      <c r="B517" t="s">
        <v>27</v>
      </c>
      <c r="C517" t="s">
        <v>35</v>
      </c>
      <c r="D517">
        <v>87</v>
      </c>
      <c r="E517" s="5">
        <v>43612</v>
      </c>
      <c r="F517">
        <v>11100501</v>
      </c>
      <c r="G517">
        <v>0</v>
      </c>
      <c r="H517" t="s">
        <v>1105</v>
      </c>
      <c r="I517" t="s">
        <v>1106</v>
      </c>
      <c r="J517">
        <v>1012</v>
      </c>
      <c r="K517">
        <v>1110</v>
      </c>
      <c r="L517" s="3">
        <v>-207539972.47999999</v>
      </c>
      <c r="M517" s="3">
        <v>0</v>
      </c>
      <c r="N517">
        <v>60815</v>
      </c>
      <c r="O517">
        <v>0</v>
      </c>
      <c r="P517">
        <v>-207600787.47999999</v>
      </c>
      <c r="Q517" t="s">
        <v>30</v>
      </c>
      <c r="R517" t="s">
        <v>204</v>
      </c>
      <c r="S517" t="str">
        <v>#N/A</v>
      </c>
      <c r="T517" t="str">
        <v>#N/A</v>
      </c>
    </row>
    <row r="518" spans="1:20" ht="13.7" customHeight="1" x14ac:dyDescent="0.25">
      <c r="A518" t="s">
        <v>26</v>
      </c>
      <c r="B518" t="s">
        <v>27</v>
      </c>
      <c r="C518" t="s">
        <v>36</v>
      </c>
      <c r="D518">
        <v>7</v>
      </c>
      <c r="E518" s="5">
        <v>43617</v>
      </c>
      <c r="F518">
        <v>11100501</v>
      </c>
      <c r="G518">
        <v>0</v>
      </c>
      <c r="H518" t="s">
        <v>1105</v>
      </c>
      <c r="I518" t="s">
        <v>1106</v>
      </c>
      <c r="J518">
        <v>1012</v>
      </c>
      <c r="K518">
        <v>1110</v>
      </c>
      <c r="L518" s="3">
        <v>-207600787.47999999</v>
      </c>
      <c r="M518" s="3">
        <v>0</v>
      </c>
      <c r="N518">
        <v>1500000</v>
      </c>
      <c r="O518">
        <v>0</v>
      </c>
      <c r="P518">
        <v>-209100787.47999999</v>
      </c>
      <c r="Q518" t="s">
        <v>30</v>
      </c>
      <c r="R518" t="s">
        <v>263</v>
      </c>
      <c r="S518" t="str">
        <v>#N/A</v>
      </c>
      <c r="T518" t="str">
        <v>#N/A</v>
      </c>
    </row>
    <row r="519" spans="1:20" ht="13.7" customHeight="1" x14ac:dyDescent="0.25">
      <c r="A519" t="s">
        <v>26</v>
      </c>
      <c r="B519" t="s">
        <v>27</v>
      </c>
      <c r="C519" t="s">
        <v>36</v>
      </c>
      <c r="D519">
        <v>70</v>
      </c>
      <c r="E519" s="5">
        <v>43617</v>
      </c>
      <c r="F519">
        <v>11100501</v>
      </c>
      <c r="G519">
        <v>0</v>
      </c>
      <c r="H519" t="s">
        <v>1105</v>
      </c>
      <c r="I519" t="s">
        <v>1106</v>
      </c>
      <c r="J519">
        <v>1012</v>
      </c>
      <c r="K519">
        <v>1110</v>
      </c>
      <c r="L519" s="3">
        <v>-209100787.47999999</v>
      </c>
      <c r="M519" s="3">
        <v>0</v>
      </c>
      <c r="N519">
        <v>2499116</v>
      </c>
      <c r="O519">
        <v>0</v>
      </c>
      <c r="P519">
        <v>-211599903.47999999</v>
      </c>
      <c r="Q519" t="s">
        <v>30</v>
      </c>
      <c r="R519" t="s">
        <v>264</v>
      </c>
      <c r="S519" t="str">
        <v>#N/A</v>
      </c>
      <c r="T519" t="str">
        <v>#N/A</v>
      </c>
    </row>
    <row r="520" spans="1:20" ht="13.7" customHeight="1" x14ac:dyDescent="0.25">
      <c r="A520" t="s">
        <v>219</v>
      </c>
      <c r="B520" t="s">
        <v>220</v>
      </c>
      <c r="C520" t="s">
        <v>36</v>
      </c>
      <c r="D520">
        <v>1</v>
      </c>
      <c r="E520" s="5">
        <v>43617</v>
      </c>
      <c r="F520">
        <v>11100501</v>
      </c>
      <c r="G520">
        <v>0</v>
      </c>
      <c r="H520" t="s">
        <v>1105</v>
      </c>
      <c r="I520" t="s">
        <v>1106</v>
      </c>
      <c r="J520">
        <v>1012</v>
      </c>
      <c r="K520">
        <v>1110</v>
      </c>
      <c r="L520" s="3">
        <v>-211599903.47999999</v>
      </c>
      <c r="M520" s="3">
        <v>800000</v>
      </c>
      <c r="N520">
        <v>0</v>
      </c>
      <c r="O520">
        <v>0</v>
      </c>
      <c r="P520">
        <v>-210799903.47999999</v>
      </c>
      <c r="Q520" t="s">
        <v>30</v>
      </c>
      <c r="R520" t="s">
        <v>233</v>
      </c>
      <c r="S520" t="str">
        <v>#N/A</v>
      </c>
      <c r="T520" t="str">
        <v>#N/A</v>
      </c>
    </row>
    <row r="521" spans="1:20" ht="13.7" customHeight="1" x14ac:dyDescent="0.25">
      <c r="A521" t="s">
        <v>26</v>
      </c>
      <c r="B521" t="s">
        <v>27</v>
      </c>
      <c r="C521" t="s">
        <v>36</v>
      </c>
      <c r="D521">
        <v>10</v>
      </c>
      <c r="E521" s="5">
        <v>43621</v>
      </c>
      <c r="F521">
        <v>11100501</v>
      </c>
      <c r="G521">
        <v>0</v>
      </c>
      <c r="H521" t="s">
        <v>1105</v>
      </c>
      <c r="I521" t="s">
        <v>1106</v>
      </c>
      <c r="J521">
        <v>1012</v>
      </c>
      <c r="K521">
        <v>1110</v>
      </c>
      <c r="L521" s="3">
        <v>-210799903.47999999</v>
      </c>
      <c r="M521" s="3">
        <v>0</v>
      </c>
      <c r="N521">
        <v>97580</v>
      </c>
      <c r="O521">
        <v>0</v>
      </c>
      <c r="P521">
        <v>-210897483.47999999</v>
      </c>
      <c r="Q521" t="s">
        <v>30</v>
      </c>
      <c r="R521" t="s">
        <v>265</v>
      </c>
      <c r="S521" t="str">
        <v>#N/A</v>
      </c>
      <c r="T521" t="str">
        <v>#N/A</v>
      </c>
    </row>
    <row r="522" spans="1:20" ht="13.7" customHeight="1" x14ac:dyDescent="0.25">
      <c r="A522" t="s">
        <v>26</v>
      </c>
      <c r="B522" t="s">
        <v>27</v>
      </c>
      <c r="C522" t="s">
        <v>36</v>
      </c>
      <c r="D522">
        <v>12</v>
      </c>
      <c r="E522" s="5">
        <v>43621</v>
      </c>
      <c r="F522">
        <v>11100501</v>
      </c>
      <c r="G522">
        <v>0</v>
      </c>
      <c r="H522" t="s">
        <v>1105</v>
      </c>
      <c r="I522" t="s">
        <v>1106</v>
      </c>
      <c r="J522">
        <v>1012</v>
      </c>
      <c r="K522">
        <v>1110</v>
      </c>
      <c r="L522" s="3">
        <v>-210897483.47999999</v>
      </c>
      <c r="M522" s="3">
        <v>0</v>
      </c>
      <c r="N522">
        <v>37001</v>
      </c>
      <c r="O522">
        <v>0</v>
      </c>
      <c r="P522">
        <v>-210934484.47999999</v>
      </c>
      <c r="Q522" t="s">
        <v>30</v>
      </c>
      <c r="R522" t="s">
        <v>266</v>
      </c>
      <c r="S522" t="str">
        <v>#N/A</v>
      </c>
      <c r="T522" t="str">
        <v>#N/A</v>
      </c>
    </row>
    <row r="523" spans="1:20" ht="13.7" customHeight="1" x14ac:dyDescent="0.25">
      <c r="A523" t="s">
        <v>26</v>
      </c>
      <c r="B523" t="s">
        <v>27</v>
      </c>
      <c r="C523" t="s">
        <v>36</v>
      </c>
      <c r="D523">
        <v>13</v>
      </c>
      <c r="E523" s="5">
        <v>43621</v>
      </c>
      <c r="F523">
        <v>11100501</v>
      </c>
      <c r="G523">
        <v>0</v>
      </c>
      <c r="H523" t="s">
        <v>1105</v>
      </c>
      <c r="I523" t="s">
        <v>1106</v>
      </c>
      <c r="J523">
        <v>1012</v>
      </c>
      <c r="K523">
        <v>1110</v>
      </c>
      <c r="L523" s="3">
        <v>-210934484.47999999</v>
      </c>
      <c r="M523" s="3">
        <v>0</v>
      </c>
      <c r="N523">
        <v>106000</v>
      </c>
      <c r="O523">
        <v>0</v>
      </c>
      <c r="P523">
        <v>-211040484.47999999</v>
      </c>
      <c r="Q523" t="s">
        <v>30</v>
      </c>
      <c r="R523" t="s">
        <v>267</v>
      </c>
      <c r="S523" t="str">
        <v>#N/A</v>
      </c>
      <c r="T523" t="str">
        <v>#N/A</v>
      </c>
    </row>
    <row r="524" spans="1:20" ht="13.7" customHeight="1" x14ac:dyDescent="0.25">
      <c r="A524" t="s">
        <v>26</v>
      </c>
      <c r="B524" t="s">
        <v>27</v>
      </c>
      <c r="C524" t="s">
        <v>36</v>
      </c>
      <c r="D524">
        <v>22</v>
      </c>
      <c r="E524" s="5">
        <v>43629</v>
      </c>
      <c r="F524">
        <v>11100501</v>
      </c>
      <c r="G524">
        <v>0</v>
      </c>
      <c r="H524" t="s">
        <v>1105</v>
      </c>
      <c r="I524" t="s">
        <v>1106</v>
      </c>
      <c r="J524">
        <v>1012</v>
      </c>
      <c r="K524">
        <v>1110</v>
      </c>
      <c r="L524" s="3">
        <v>-211040484.47999999</v>
      </c>
      <c r="M524" s="3">
        <v>0</v>
      </c>
      <c r="N524">
        <v>1500000</v>
      </c>
      <c r="O524">
        <v>0</v>
      </c>
      <c r="P524">
        <v>-212540484.47999999</v>
      </c>
      <c r="Q524" t="s">
        <v>30</v>
      </c>
      <c r="R524" t="s">
        <v>263</v>
      </c>
      <c r="S524" t="str">
        <v>#N/A</v>
      </c>
      <c r="T524" t="str">
        <v>#N/A</v>
      </c>
    </row>
    <row r="525" spans="1:20" ht="13.7" customHeight="1" x14ac:dyDescent="0.25">
      <c r="A525" t="s">
        <v>26</v>
      </c>
      <c r="B525" t="s">
        <v>27</v>
      </c>
      <c r="C525" t="s">
        <v>36</v>
      </c>
      <c r="D525">
        <v>24</v>
      </c>
      <c r="E525" s="5">
        <v>43629</v>
      </c>
      <c r="F525">
        <v>11100501</v>
      </c>
      <c r="G525">
        <v>0</v>
      </c>
      <c r="H525" t="s">
        <v>1105</v>
      </c>
      <c r="I525" t="s">
        <v>1106</v>
      </c>
      <c r="J525">
        <v>1012</v>
      </c>
      <c r="K525">
        <v>1110</v>
      </c>
      <c r="L525" s="3">
        <v>-212540484.47999999</v>
      </c>
      <c r="M525" s="3">
        <v>0</v>
      </c>
      <c r="N525">
        <v>80970</v>
      </c>
      <c r="O525">
        <v>0</v>
      </c>
      <c r="P525">
        <v>-212621454.47999999</v>
      </c>
      <c r="Q525" t="s">
        <v>30</v>
      </c>
      <c r="R525" t="s">
        <v>268</v>
      </c>
      <c r="S525" t="str">
        <v>#N/A</v>
      </c>
      <c r="T525" t="str">
        <v>#N/A</v>
      </c>
    </row>
    <row r="526" spans="1:20" ht="13.7" customHeight="1" x14ac:dyDescent="0.25">
      <c r="A526" t="s">
        <v>26</v>
      </c>
      <c r="B526" t="s">
        <v>27</v>
      </c>
      <c r="C526" t="s">
        <v>36</v>
      </c>
      <c r="D526">
        <v>25</v>
      </c>
      <c r="E526" s="5">
        <v>43629</v>
      </c>
      <c r="F526">
        <v>11100501</v>
      </c>
      <c r="G526">
        <v>0</v>
      </c>
      <c r="H526" t="s">
        <v>1105</v>
      </c>
      <c r="I526" t="s">
        <v>1106</v>
      </c>
      <c r="J526">
        <v>1012</v>
      </c>
      <c r="K526">
        <v>1110</v>
      </c>
      <c r="L526" s="3">
        <v>-212621454.47999999</v>
      </c>
      <c r="M526" s="3">
        <v>0</v>
      </c>
      <c r="N526">
        <v>5542146</v>
      </c>
      <c r="O526">
        <v>0</v>
      </c>
      <c r="P526">
        <v>-218163600.47999999</v>
      </c>
      <c r="Q526" t="s">
        <v>30</v>
      </c>
      <c r="R526" t="s">
        <v>241</v>
      </c>
      <c r="S526" t="str">
        <v>#N/A</v>
      </c>
      <c r="T526" t="str">
        <v>#N/A</v>
      </c>
    </row>
    <row r="527" spans="1:20" ht="13.7" customHeight="1" x14ac:dyDescent="0.25">
      <c r="A527" t="s">
        <v>26</v>
      </c>
      <c r="B527" t="s">
        <v>27</v>
      </c>
      <c r="C527" t="s">
        <v>36</v>
      </c>
      <c r="D527">
        <v>26</v>
      </c>
      <c r="E527" s="5">
        <v>43629</v>
      </c>
      <c r="F527">
        <v>11100501</v>
      </c>
      <c r="G527">
        <v>0</v>
      </c>
      <c r="H527" t="s">
        <v>1105</v>
      </c>
      <c r="I527" t="s">
        <v>1106</v>
      </c>
      <c r="J527">
        <v>1012</v>
      </c>
      <c r="K527">
        <v>1110</v>
      </c>
      <c r="L527" s="3">
        <v>-218163600.47999999</v>
      </c>
      <c r="M527" s="3">
        <v>0</v>
      </c>
      <c r="N527">
        <v>1067908</v>
      </c>
      <c r="O527">
        <v>0</v>
      </c>
      <c r="P527">
        <v>-219231508.47999999</v>
      </c>
      <c r="Q527" t="s">
        <v>30</v>
      </c>
      <c r="R527" t="s">
        <v>65</v>
      </c>
      <c r="S527" t="str">
        <v>#N/A</v>
      </c>
      <c r="T527" t="str">
        <v>#N/A</v>
      </c>
    </row>
    <row r="528" spans="1:20" ht="13.7" customHeight="1" x14ac:dyDescent="0.25">
      <c r="A528" t="s">
        <v>26</v>
      </c>
      <c r="B528" t="s">
        <v>27</v>
      </c>
      <c r="C528" t="s">
        <v>36</v>
      </c>
      <c r="D528">
        <v>27</v>
      </c>
      <c r="E528" s="5">
        <v>43629</v>
      </c>
      <c r="F528">
        <v>11100501</v>
      </c>
      <c r="G528">
        <v>0</v>
      </c>
      <c r="H528" t="s">
        <v>1105</v>
      </c>
      <c r="I528" t="s">
        <v>1106</v>
      </c>
      <c r="J528">
        <v>1012</v>
      </c>
      <c r="K528">
        <v>1110</v>
      </c>
      <c r="L528" s="3">
        <v>-219231508.47999999</v>
      </c>
      <c r="M528" s="3">
        <v>0</v>
      </c>
      <c r="N528">
        <v>704876</v>
      </c>
      <c r="O528">
        <v>0</v>
      </c>
      <c r="P528">
        <v>-219936384.47999999</v>
      </c>
      <c r="Q528" t="s">
        <v>30</v>
      </c>
      <c r="R528" t="s">
        <v>65</v>
      </c>
      <c r="S528" t="str">
        <v>#N/A</v>
      </c>
      <c r="T528" t="str">
        <v>#N/A</v>
      </c>
    </row>
    <row r="529" spans="1:20" ht="13.7" customHeight="1" x14ac:dyDescent="0.25">
      <c r="A529" t="s">
        <v>26</v>
      </c>
      <c r="B529" t="s">
        <v>27</v>
      </c>
      <c r="C529" t="s">
        <v>36</v>
      </c>
      <c r="D529">
        <v>30</v>
      </c>
      <c r="E529" s="5">
        <v>43630</v>
      </c>
      <c r="F529">
        <v>11100501</v>
      </c>
      <c r="G529">
        <v>0</v>
      </c>
      <c r="H529" t="s">
        <v>1105</v>
      </c>
      <c r="I529" t="s">
        <v>1106</v>
      </c>
      <c r="J529">
        <v>1012</v>
      </c>
      <c r="K529">
        <v>1110</v>
      </c>
      <c r="L529" s="3">
        <v>-219936384.47999999</v>
      </c>
      <c r="M529" s="3">
        <v>0</v>
      </c>
      <c r="N529">
        <v>324000</v>
      </c>
      <c r="O529">
        <v>0</v>
      </c>
      <c r="P529">
        <v>-220260384.47999999</v>
      </c>
      <c r="Q529" t="s">
        <v>30</v>
      </c>
      <c r="R529" t="s">
        <v>269</v>
      </c>
      <c r="S529" t="str">
        <v>#N/A</v>
      </c>
      <c r="T529" t="str">
        <v>#N/A</v>
      </c>
    </row>
    <row r="530" spans="1:20" ht="13.7" customHeight="1" x14ac:dyDescent="0.25">
      <c r="A530" t="s">
        <v>26</v>
      </c>
      <c r="B530" t="s">
        <v>27</v>
      </c>
      <c r="C530" t="s">
        <v>36</v>
      </c>
      <c r="D530">
        <v>71</v>
      </c>
      <c r="E530" s="5">
        <v>43631</v>
      </c>
      <c r="F530">
        <v>11100501</v>
      </c>
      <c r="G530">
        <v>0</v>
      </c>
      <c r="H530" t="s">
        <v>1105</v>
      </c>
      <c r="I530" t="s">
        <v>1106</v>
      </c>
      <c r="J530">
        <v>1012</v>
      </c>
      <c r="K530">
        <v>1110</v>
      </c>
      <c r="L530" s="3">
        <v>-220260384.47999999</v>
      </c>
      <c r="M530" s="3">
        <v>0</v>
      </c>
      <c r="N530">
        <v>2231464</v>
      </c>
      <c r="O530">
        <v>0</v>
      </c>
      <c r="P530">
        <v>-222491848.47999999</v>
      </c>
      <c r="Q530" t="s">
        <v>30</v>
      </c>
      <c r="R530" t="s">
        <v>270</v>
      </c>
      <c r="S530" t="str">
        <v>#N/A</v>
      </c>
      <c r="T530" t="str">
        <v>#N/A</v>
      </c>
    </row>
    <row r="531" spans="1:20" ht="13.7" customHeight="1" x14ac:dyDescent="0.25">
      <c r="A531" t="s">
        <v>26</v>
      </c>
      <c r="B531" t="s">
        <v>27</v>
      </c>
      <c r="C531" t="s">
        <v>36</v>
      </c>
      <c r="D531">
        <v>35</v>
      </c>
      <c r="E531" s="5">
        <v>43633</v>
      </c>
      <c r="F531">
        <v>11100501</v>
      </c>
      <c r="G531">
        <v>0</v>
      </c>
      <c r="H531" t="s">
        <v>1105</v>
      </c>
      <c r="I531" t="s">
        <v>1106</v>
      </c>
      <c r="J531">
        <v>1012</v>
      </c>
      <c r="K531">
        <v>1110</v>
      </c>
      <c r="L531" s="3">
        <v>-222491848.47999999</v>
      </c>
      <c r="M531" s="3">
        <v>0</v>
      </c>
      <c r="N531">
        <v>107340</v>
      </c>
      <c r="O531">
        <v>0</v>
      </c>
      <c r="P531">
        <v>-222599188.47999999</v>
      </c>
      <c r="Q531" t="s">
        <v>30</v>
      </c>
      <c r="R531" t="s">
        <v>210</v>
      </c>
      <c r="S531" t="str">
        <v>#N/A</v>
      </c>
      <c r="T531" t="str">
        <v>#N/A</v>
      </c>
    </row>
    <row r="532" spans="1:20" ht="13.7" customHeight="1" x14ac:dyDescent="0.25">
      <c r="A532" t="s">
        <v>26</v>
      </c>
      <c r="B532" t="s">
        <v>27</v>
      </c>
      <c r="C532" t="s">
        <v>36</v>
      </c>
      <c r="D532">
        <v>38</v>
      </c>
      <c r="E532" s="5">
        <v>43633</v>
      </c>
      <c r="F532">
        <v>11100501</v>
      </c>
      <c r="G532">
        <v>0</v>
      </c>
      <c r="H532" t="s">
        <v>1105</v>
      </c>
      <c r="I532" t="s">
        <v>1106</v>
      </c>
      <c r="J532">
        <v>1012</v>
      </c>
      <c r="K532">
        <v>1110</v>
      </c>
      <c r="L532" s="3">
        <v>-222599188.47999999</v>
      </c>
      <c r="M532" s="3">
        <v>0</v>
      </c>
      <c r="N532">
        <v>274416</v>
      </c>
      <c r="O532">
        <v>0</v>
      </c>
      <c r="P532">
        <v>-222873604.47999999</v>
      </c>
      <c r="Q532" t="s">
        <v>30</v>
      </c>
      <c r="R532" t="s">
        <v>64</v>
      </c>
      <c r="S532" t="str">
        <v>#N/A</v>
      </c>
      <c r="T532" t="str">
        <v>#N/A</v>
      </c>
    </row>
    <row r="533" spans="1:20" ht="13.7" customHeight="1" x14ac:dyDescent="0.25">
      <c r="A533" t="s">
        <v>26</v>
      </c>
      <c r="B533" t="s">
        <v>27</v>
      </c>
      <c r="C533" t="s">
        <v>36</v>
      </c>
      <c r="D533">
        <v>40</v>
      </c>
      <c r="E533" s="5">
        <v>43634</v>
      </c>
      <c r="F533">
        <v>11100501</v>
      </c>
      <c r="G533">
        <v>0</v>
      </c>
      <c r="H533" t="s">
        <v>1105</v>
      </c>
      <c r="I533" t="s">
        <v>1106</v>
      </c>
      <c r="J533">
        <v>1012</v>
      </c>
      <c r="K533">
        <v>1110</v>
      </c>
      <c r="L533" s="3">
        <v>-222873604.47999999</v>
      </c>
      <c r="M533" s="3">
        <v>0</v>
      </c>
      <c r="N533">
        <v>240000</v>
      </c>
      <c r="O533">
        <v>0</v>
      </c>
      <c r="P533">
        <v>-223113604.47999999</v>
      </c>
      <c r="Q533" t="s">
        <v>30</v>
      </c>
      <c r="R533" t="s">
        <v>271</v>
      </c>
      <c r="S533" t="str">
        <v>#N/A</v>
      </c>
      <c r="T533" t="str">
        <v>#N/A</v>
      </c>
    </row>
    <row r="534" spans="1:20" ht="13.7" customHeight="1" x14ac:dyDescent="0.25">
      <c r="A534" t="s">
        <v>26</v>
      </c>
      <c r="B534" t="s">
        <v>27</v>
      </c>
      <c r="C534" t="s">
        <v>36</v>
      </c>
      <c r="D534">
        <v>41</v>
      </c>
      <c r="E534" s="5">
        <v>43634</v>
      </c>
      <c r="F534">
        <v>11100501</v>
      </c>
      <c r="G534">
        <v>0</v>
      </c>
      <c r="H534" t="s">
        <v>1105</v>
      </c>
      <c r="I534" t="s">
        <v>1106</v>
      </c>
      <c r="J534">
        <v>1012</v>
      </c>
      <c r="K534">
        <v>1110</v>
      </c>
      <c r="L534" s="3">
        <v>-223113604.47999999</v>
      </c>
      <c r="M534" s="3">
        <v>0</v>
      </c>
      <c r="N534">
        <v>130714</v>
      </c>
      <c r="O534">
        <v>0</v>
      </c>
      <c r="P534">
        <v>-223244318.47999999</v>
      </c>
      <c r="Q534" t="s">
        <v>30</v>
      </c>
      <c r="R534" t="s">
        <v>203</v>
      </c>
      <c r="S534" t="str">
        <v>#N/A</v>
      </c>
      <c r="T534" t="str">
        <v>#N/A</v>
      </c>
    </row>
    <row r="535" spans="1:20" ht="13.7" customHeight="1" x14ac:dyDescent="0.25">
      <c r="A535" t="s">
        <v>26</v>
      </c>
      <c r="B535" t="s">
        <v>27</v>
      </c>
      <c r="C535" t="s">
        <v>36</v>
      </c>
      <c r="D535">
        <v>42</v>
      </c>
      <c r="E535" s="5">
        <v>43636</v>
      </c>
      <c r="F535">
        <v>11100501</v>
      </c>
      <c r="G535">
        <v>0</v>
      </c>
      <c r="H535" t="s">
        <v>1105</v>
      </c>
      <c r="I535" t="s">
        <v>1106</v>
      </c>
      <c r="J535">
        <v>1012</v>
      </c>
      <c r="K535">
        <v>1110</v>
      </c>
      <c r="L535" s="3">
        <v>-223244318.47999999</v>
      </c>
      <c r="M535" s="3">
        <v>0</v>
      </c>
      <c r="N535">
        <v>298378</v>
      </c>
      <c r="O535">
        <v>0</v>
      </c>
      <c r="P535">
        <v>-223542696.47999999</v>
      </c>
      <c r="Q535" t="s">
        <v>30</v>
      </c>
      <c r="R535" t="s">
        <v>31</v>
      </c>
      <c r="S535" t="str">
        <v>#N/A</v>
      </c>
      <c r="T535" t="str">
        <v>#N/A</v>
      </c>
    </row>
    <row r="536" spans="1:20" ht="13.7" customHeight="1" x14ac:dyDescent="0.25">
      <c r="A536" t="s">
        <v>26</v>
      </c>
      <c r="B536" t="s">
        <v>27</v>
      </c>
      <c r="C536" t="s">
        <v>36</v>
      </c>
      <c r="D536">
        <v>47</v>
      </c>
      <c r="E536" s="5">
        <v>43637</v>
      </c>
      <c r="F536">
        <v>11100501</v>
      </c>
      <c r="G536">
        <v>0</v>
      </c>
      <c r="H536" t="s">
        <v>1105</v>
      </c>
      <c r="I536" t="s">
        <v>1106</v>
      </c>
      <c r="J536">
        <v>1012</v>
      </c>
      <c r="K536">
        <v>1110</v>
      </c>
      <c r="L536" s="3">
        <v>-223542696.47999999</v>
      </c>
      <c r="M536" s="3">
        <v>0</v>
      </c>
      <c r="N536">
        <v>85999</v>
      </c>
      <c r="O536">
        <v>0</v>
      </c>
      <c r="P536">
        <v>-223628695.47999999</v>
      </c>
      <c r="Q536" t="s">
        <v>30</v>
      </c>
      <c r="R536" t="s">
        <v>272</v>
      </c>
      <c r="S536" t="str">
        <v>#N/A</v>
      </c>
      <c r="T536" t="str">
        <v>#N/A</v>
      </c>
    </row>
    <row r="537" spans="1:20" ht="13.7" customHeight="1" x14ac:dyDescent="0.25">
      <c r="A537" t="s">
        <v>26</v>
      </c>
      <c r="B537" t="s">
        <v>27</v>
      </c>
      <c r="C537" t="s">
        <v>36</v>
      </c>
      <c r="D537">
        <v>48</v>
      </c>
      <c r="E537" s="5">
        <v>43637</v>
      </c>
      <c r="F537">
        <v>11100501</v>
      </c>
      <c r="G537">
        <v>0</v>
      </c>
      <c r="H537" t="s">
        <v>1105</v>
      </c>
      <c r="I537" t="s">
        <v>1106</v>
      </c>
      <c r="J537">
        <v>1012</v>
      </c>
      <c r="K537">
        <v>1110</v>
      </c>
      <c r="L537" s="3">
        <v>-223628695.47999999</v>
      </c>
      <c r="M537" s="3">
        <v>0</v>
      </c>
      <c r="N537">
        <v>247000</v>
      </c>
      <c r="O537">
        <v>0</v>
      </c>
      <c r="P537">
        <v>-223875695.47999999</v>
      </c>
      <c r="Q537" t="s">
        <v>30</v>
      </c>
      <c r="R537" t="s">
        <v>272</v>
      </c>
      <c r="S537" t="str">
        <v>#N/A</v>
      </c>
      <c r="T537" t="str">
        <v>#N/A</v>
      </c>
    </row>
    <row r="538" spans="1:20" ht="13.7" customHeight="1" x14ac:dyDescent="0.25">
      <c r="A538" t="s">
        <v>26</v>
      </c>
      <c r="B538" t="s">
        <v>27</v>
      </c>
      <c r="C538" t="s">
        <v>36</v>
      </c>
      <c r="D538">
        <v>50</v>
      </c>
      <c r="E538" s="5">
        <v>43638</v>
      </c>
      <c r="F538">
        <v>11100501</v>
      </c>
      <c r="G538">
        <v>0</v>
      </c>
      <c r="H538" t="s">
        <v>1105</v>
      </c>
      <c r="I538" t="s">
        <v>1106</v>
      </c>
      <c r="J538">
        <v>1012</v>
      </c>
      <c r="K538">
        <v>1110</v>
      </c>
      <c r="L538" s="3">
        <v>-223875695.47999999</v>
      </c>
      <c r="M538" s="3">
        <v>0</v>
      </c>
      <c r="N538">
        <v>500000</v>
      </c>
      <c r="O538">
        <v>0</v>
      </c>
      <c r="P538">
        <v>-224375695.47999999</v>
      </c>
      <c r="Q538" t="s">
        <v>30</v>
      </c>
      <c r="R538" t="s">
        <v>263</v>
      </c>
      <c r="S538" t="str">
        <v>#N/A</v>
      </c>
      <c r="T538" t="str">
        <v>#N/A</v>
      </c>
    </row>
    <row r="539" spans="1:20" ht="13.7" customHeight="1" x14ac:dyDescent="0.25">
      <c r="A539" t="s">
        <v>26</v>
      </c>
      <c r="B539" t="s">
        <v>27</v>
      </c>
      <c r="C539" t="s">
        <v>36</v>
      </c>
      <c r="D539">
        <v>72</v>
      </c>
      <c r="E539" s="5">
        <v>43638</v>
      </c>
      <c r="F539">
        <v>11100501</v>
      </c>
      <c r="G539">
        <v>0</v>
      </c>
      <c r="H539" t="s">
        <v>1105</v>
      </c>
      <c r="I539" t="s">
        <v>1106</v>
      </c>
      <c r="J539">
        <v>1012</v>
      </c>
      <c r="K539">
        <v>1110</v>
      </c>
      <c r="L539" s="3">
        <v>-224375695.47999999</v>
      </c>
      <c r="M539" s="3">
        <v>0</v>
      </c>
      <c r="N539">
        <v>2382306</v>
      </c>
      <c r="O539">
        <v>0</v>
      </c>
      <c r="P539">
        <v>-226758001.47999999</v>
      </c>
      <c r="Q539" t="s">
        <v>30</v>
      </c>
      <c r="R539" t="s">
        <v>273</v>
      </c>
      <c r="S539" t="str">
        <v>#N/A</v>
      </c>
      <c r="T539" t="str">
        <v>#N/A</v>
      </c>
    </row>
    <row r="540" spans="1:20" ht="13.7" customHeight="1" x14ac:dyDescent="0.25">
      <c r="A540" t="s">
        <v>26</v>
      </c>
      <c r="B540" t="s">
        <v>27</v>
      </c>
      <c r="C540" t="s">
        <v>36</v>
      </c>
      <c r="D540">
        <v>55</v>
      </c>
      <c r="E540" s="5">
        <v>43642</v>
      </c>
      <c r="F540">
        <v>11100501</v>
      </c>
      <c r="G540">
        <v>0</v>
      </c>
      <c r="H540" t="s">
        <v>1105</v>
      </c>
      <c r="I540" t="s">
        <v>1106</v>
      </c>
      <c r="J540">
        <v>1012</v>
      </c>
      <c r="K540">
        <v>1110</v>
      </c>
      <c r="L540" s="3">
        <v>-226758001.47999999</v>
      </c>
      <c r="M540" s="3">
        <v>0</v>
      </c>
      <c r="N540">
        <v>840000</v>
      </c>
      <c r="O540">
        <v>0</v>
      </c>
      <c r="P540">
        <v>-227598001.47999999</v>
      </c>
      <c r="Q540" t="s">
        <v>30</v>
      </c>
      <c r="R540" t="s">
        <v>86</v>
      </c>
      <c r="S540" t="str">
        <v>#N/A</v>
      </c>
      <c r="T540" t="str">
        <v>#N/A</v>
      </c>
    </row>
    <row r="541" spans="1:20" ht="13.7" customHeight="1" x14ac:dyDescent="0.25">
      <c r="A541" t="s">
        <v>26</v>
      </c>
      <c r="B541" t="s">
        <v>27</v>
      </c>
      <c r="C541" t="s">
        <v>36</v>
      </c>
      <c r="D541">
        <v>58</v>
      </c>
      <c r="E541" s="5">
        <v>43642</v>
      </c>
      <c r="F541">
        <v>11100501</v>
      </c>
      <c r="G541">
        <v>0</v>
      </c>
      <c r="H541" t="s">
        <v>1105</v>
      </c>
      <c r="I541" t="s">
        <v>1106</v>
      </c>
      <c r="J541">
        <v>1012</v>
      </c>
      <c r="K541">
        <v>1110</v>
      </c>
      <c r="L541" s="3">
        <v>-227598001.47999999</v>
      </c>
      <c r="M541" s="3">
        <v>0</v>
      </c>
      <c r="N541">
        <v>138100</v>
      </c>
      <c r="O541">
        <v>0</v>
      </c>
      <c r="P541">
        <v>-227736101.47999999</v>
      </c>
      <c r="Q541" t="s">
        <v>30</v>
      </c>
      <c r="R541" t="s">
        <v>225</v>
      </c>
      <c r="S541" t="str">
        <v>#N/A</v>
      </c>
      <c r="T541" t="str">
        <v>#N/A</v>
      </c>
    </row>
    <row r="542" spans="1:20" ht="13.7" customHeight="1" x14ac:dyDescent="0.25">
      <c r="A542" t="s">
        <v>26</v>
      </c>
      <c r="B542" t="s">
        <v>27</v>
      </c>
      <c r="C542" t="s">
        <v>36</v>
      </c>
      <c r="D542">
        <v>59</v>
      </c>
      <c r="E542" s="5">
        <v>43642</v>
      </c>
      <c r="F542">
        <v>11100501</v>
      </c>
      <c r="G542">
        <v>0</v>
      </c>
      <c r="H542" t="s">
        <v>1105</v>
      </c>
      <c r="I542" t="s">
        <v>1106</v>
      </c>
      <c r="J542">
        <v>1012</v>
      </c>
      <c r="K542">
        <v>1110</v>
      </c>
      <c r="L542" s="3">
        <v>-227736101.47999999</v>
      </c>
      <c r="M542" s="3">
        <v>0</v>
      </c>
      <c r="N542">
        <v>64899</v>
      </c>
      <c r="O542">
        <v>0</v>
      </c>
      <c r="P542">
        <v>-227801000.47999999</v>
      </c>
      <c r="Q542" t="s">
        <v>30</v>
      </c>
      <c r="R542" t="s">
        <v>204</v>
      </c>
      <c r="S542" t="str">
        <v>#N/A</v>
      </c>
      <c r="T542" t="str">
        <v>#N/A</v>
      </c>
    </row>
    <row r="543" spans="1:20" ht="13.7" customHeight="1" x14ac:dyDescent="0.25">
      <c r="A543" t="s">
        <v>26</v>
      </c>
      <c r="B543" t="s">
        <v>27</v>
      </c>
      <c r="C543" t="s">
        <v>36</v>
      </c>
      <c r="D543">
        <v>73</v>
      </c>
      <c r="E543" s="5">
        <v>43642</v>
      </c>
      <c r="F543">
        <v>11100501</v>
      </c>
      <c r="G543">
        <v>0</v>
      </c>
      <c r="H543" t="s">
        <v>1105</v>
      </c>
      <c r="I543" t="s">
        <v>1106</v>
      </c>
      <c r="J543">
        <v>1012</v>
      </c>
      <c r="K543">
        <v>1110</v>
      </c>
      <c r="L543" s="3">
        <v>-227801000.47999999</v>
      </c>
      <c r="M543" s="3">
        <v>0</v>
      </c>
      <c r="N543">
        <v>2038639</v>
      </c>
      <c r="O543">
        <v>0</v>
      </c>
      <c r="P543">
        <v>-229839639.47999999</v>
      </c>
      <c r="Q543" t="s">
        <v>30</v>
      </c>
      <c r="R543" t="s">
        <v>274</v>
      </c>
      <c r="S543" t="str">
        <v>#N/A</v>
      </c>
      <c r="T543" t="str">
        <v>#N/A</v>
      </c>
    </row>
    <row r="544" spans="1:20" ht="13.7" customHeight="1" x14ac:dyDescent="0.25">
      <c r="A544" t="s">
        <v>26</v>
      </c>
      <c r="B544" t="s">
        <v>27</v>
      </c>
      <c r="C544" t="s">
        <v>36</v>
      </c>
      <c r="D544">
        <v>60</v>
      </c>
      <c r="E544" s="5">
        <v>43643</v>
      </c>
      <c r="F544">
        <v>11100501</v>
      </c>
      <c r="G544">
        <v>0</v>
      </c>
      <c r="H544" t="s">
        <v>1105</v>
      </c>
      <c r="I544" t="s">
        <v>1106</v>
      </c>
      <c r="J544">
        <v>1012</v>
      </c>
      <c r="K544">
        <v>1110</v>
      </c>
      <c r="L544" s="3">
        <v>-229839639.47999999</v>
      </c>
      <c r="M544" s="3">
        <v>0</v>
      </c>
      <c r="N544">
        <v>548832</v>
      </c>
      <c r="O544">
        <v>0</v>
      </c>
      <c r="P544">
        <v>-230388471.47999999</v>
      </c>
      <c r="Q544" t="s">
        <v>30</v>
      </c>
      <c r="R544" t="s">
        <v>64</v>
      </c>
      <c r="S544" t="str">
        <v>#N/A</v>
      </c>
      <c r="T544" t="str">
        <v>#N/A</v>
      </c>
    </row>
    <row r="545" spans="1:20" ht="13.7" customHeight="1" x14ac:dyDescent="0.25">
      <c r="A545" t="s">
        <v>219</v>
      </c>
      <c r="B545" t="s">
        <v>220</v>
      </c>
      <c r="C545" t="s">
        <v>36</v>
      </c>
      <c r="D545">
        <v>2</v>
      </c>
      <c r="E545" s="5">
        <v>43643</v>
      </c>
      <c r="F545">
        <v>11100501</v>
      </c>
      <c r="G545">
        <v>0</v>
      </c>
      <c r="H545" t="s">
        <v>1105</v>
      </c>
      <c r="I545" t="s">
        <v>1106</v>
      </c>
      <c r="J545">
        <v>1012</v>
      </c>
      <c r="K545">
        <v>1110</v>
      </c>
      <c r="L545" s="3">
        <v>-230388471.47999999</v>
      </c>
      <c r="M545" s="3">
        <v>0</v>
      </c>
      <c r="N545">
        <v>500000</v>
      </c>
      <c r="O545">
        <v>0</v>
      </c>
      <c r="P545">
        <v>-230888471.47999999</v>
      </c>
      <c r="Q545" t="s">
        <v>30</v>
      </c>
      <c r="R545" t="s">
        <v>275</v>
      </c>
      <c r="S545" t="str">
        <v>#N/A</v>
      </c>
      <c r="T545" t="str">
        <v>#N/A</v>
      </c>
    </row>
    <row r="546" spans="1:20" ht="13.7" customHeight="1" x14ac:dyDescent="0.25">
      <c r="A546" t="s">
        <v>26</v>
      </c>
      <c r="B546" t="s">
        <v>27</v>
      </c>
      <c r="C546" t="s">
        <v>36</v>
      </c>
      <c r="D546">
        <v>64</v>
      </c>
      <c r="E546" s="5">
        <v>43645</v>
      </c>
      <c r="F546">
        <v>11100501</v>
      </c>
      <c r="G546">
        <v>0</v>
      </c>
      <c r="H546" t="s">
        <v>1105</v>
      </c>
      <c r="I546" t="s">
        <v>1106</v>
      </c>
      <c r="J546">
        <v>1012</v>
      </c>
      <c r="K546">
        <v>1110</v>
      </c>
      <c r="L546" s="3">
        <v>-230888471.47999999</v>
      </c>
      <c r="M546" s="3">
        <v>0</v>
      </c>
      <c r="N546">
        <v>1000000</v>
      </c>
      <c r="O546">
        <v>0</v>
      </c>
      <c r="P546">
        <v>-231888471.47999999</v>
      </c>
      <c r="Q546" t="s">
        <v>30</v>
      </c>
      <c r="R546" t="s">
        <v>276</v>
      </c>
      <c r="S546" t="str">
        <v>#N/A</v>
      </c>
      <c r="T546" t="str">
        <v>#N/A</v>
      </c>
    </row>
    <row r="547" spans="1:20" ht="13.7" customHeight="1" x14ac:dyDescent="0.25">
      <c r="A547" t="s">
        <v>26</v>
      </c>
      <c r="B547" t="s">
        <v>27</v>
      </c>
      <c r="C547" t="s">
        <v>37</v>
      </c>
      <c r="D547">
        <v>4</v>
      </c>
      <c r="E547" s="5">
        <v>43648</v>
      </c>
      <c r="F547">
        <v>11100501</v>
      </c>
      <c r="G547">
        <v>0</v>
      </c>
      <c r="H547" t="s">
        <v>1105</v>
      </c>
      <c r="I547" t="s">
        <v>1106</v>
      </c>
      <c r="J547">
        <v>1012</v>
      </c>
      <c r="K547">
        <v>1110</v>
      </c>
      <c r="L547" s="3">
        <v>-231888471.47999999</v>
      </c>
      <c r="M547" s="3">
        <v>0</v>
      </c>
      <c r="N547">
        <v>272016.98</v>
      </c>
      <c r="O547">
        <v>0</v>
      </c>
      <c r="P547">
        <v>-232160488.46000001</v>
      </c>
      <c r="Q547" t="s">
        <v>30</v>
      </c>
      <c r="R547" t="s">
        <v>147</v>
      </c>
      <c r="S547" t="str">
        <v>#N/A</v>
      </c>
      <c r="T547" t="str">
        <v>#N/A</v>
      </c>
    </row>
    <row r="548" spans="1:20" ht="13.7" customHeight="1" x14ac:dyDescent="0.25">
      <c r="A548" t="s">
        <v>219</v>
      </c>
      <c r="B548" t="s">
        <v>220</v>
      </c>
      <c r="C548" t="s">
        <v>37</v>
      </c>
      <c r="D548">
        <v>1</v>
      </c>
      <c r="E548" s="5">
        <v>43650</v>
      </c>
      <c r="F548">
        <v>11100501</v>
      </c>
      <c r="G548">
        <v>0</v>
      </c>
      <c r="H548" t="s">
        <v>1105</v>
      </c>
      <c r="I548" t="s">
        <v>1106</v>
      </c>
      <c r="J548">
        <v>1012</v>
      </c>
      <c r="K548">
        <v>1110</v>
      </c>
      <c r="L548" s="3">
        <v>-232160488.46000001</v>
      </c>
      <c r="M548" s="3">
        <v>800000</v>
      </c>
      <c r="N548">
        <v>0</v>
      </c>
      <c r="O548">
        <v>0</v>
      </c>
      <c r="P548">
        <v>-231360488.46000001</v>
      </c>
      <c r="Q548" t="s">
        <v>30</v>
      </c>
      <c r="R548" t="s">
        <v>233</v>
      </c>
      <c r="S548" t="str">
        <v>#N/A</v>
      </c>
      <c r="T548" t="str">
        <v>#N/A</v>
      </c>
    </row>
    <row r="549" spans="1:20" ht="13.7" customHeight="1" x14ac:dyDescent="0.25">
      <c r="A549" t="s">
        <v>26</v>
      </c>
      <c r="B549" t="s">
        <v>27</v>
      </c>
      <c r="C549" t="s">
        <v>37</v>
      </c>
      <c r="D549">
        <v>12</v>
      </c>
      <c r="E549" s="5">
        <v>43652</v>
      </c>
      <c r="F549">
        <v>11100501</v>
      </c>
      <c r="G549">
        <v>0</v>
      </c>
      <c r="H549" t="s">
        <v>1105</v>
      </c>
      <c r="I549" t="s">
        <v>1106</v>
      </c>
      <c r="J549">
        <v>1012</v>
      </c>
      <c r="K549">
        <v>1110</v>
      </c>
      <c r="L549" s="3">
        <v>-231360488.46000001</v>
      </c>
      <c r="M549" s="3">
        <v>0</v>
      </c>
      <c r="N549">
        <v>107340</v>
      </c>
      <c r="O549">
        <v>0</v>
      </c>
      <c r="P549">
        <v>-231467828.46000001</v>
      </c>
      <c r="Q549" t="s">
        <v>30</v>
      </c>
      <c r="R549" t="s">
        <v>210</v>
      </c>
      <c r="S549" t="str">
        <v>#N/A</v>
      </c>
      <c r="T549" t="str">
        <v>#N/A</v>
      </c>
    </row>
    <row r="550" spans="1:20" ht="13.7" customHeight="1" x14ac:dyDescent="0.25">
      <c r="A550" t="s">
        <v>26</v>
      </c>
      <c r="B550" t="s">
        <v>27</v>
      </c>
      <c r="C550" t="s">
        <v>37</v>
      </c>
      <c r="D550">
        <v>66</v>
      </c>
      <c r="E550" s="5">
        <v>43659</v>
      </c>
      <c r="F550">
        <v>11100501</v>
      </c>
      <c r="G550">
        <v>0</v>
      </c>
      <c r="H550" t="s">
        <v>1105</v>
      </c>
      <c r="I550" t="s">
        <v>1106</v>
      </c>
      <c r="J550">
        <v>1012</v>
      </c>
      <c r="K550">
        <v>1110</v>
      </c>
      <c r="L550" s="3">
        <v>-231467828.46000001</v>
      </c>
      <c r="M550" s="3">
        <v>0</v>
      </c>
      <c r="N550">
        <v>2485740</v>
      </c>
      <c r="O550">
        <v>0</v>
      </c>
      <c r="P550">
        <v>-233953568.46000001</v>
      </c>
      <c r="Q550" t="s">
        <v>30</v>
      </c>
      <c r="R550" t="s">
        <v>279</v>
      </c>
      <c r="S550" t="str">
        <v>#N/A</v>
      </c>
      <c r="T550" t="str">
        <v>#N/A</v>
      </c>
    </row>
    <row r="551" spans="1:20" ht="13.7" customHeight="1" x14ac:dyDescent="0.25">
      <c r="A551" t="s">
        <v>26</v>
      </c>
      <c r="B551" t="s">
        <v>27</v>
      </c>
      <c r="C551" t="s">
        <v>37</v>
      </c>
      <c r="D551">
        <v>35</v>
      </c>
      <c r="E551" s="5">
        <v>43660</v>
      </c>
      <c r="F551">
        <v>11100501</v>
      </c>
      <c r="G551">
        <v>0</v>
      </c>
      <c r="H551" t="s">
        <v>1105</v>
      </c>
      <c r="I551" t="s">
        <v>1106</v>
      </c>
      <c r="J551">
        <v>1012</v>
      </c>
      <c r="K551">
        <v>1110</v>
      </c>
      <c r="L551" s="3">
        <v>-233953568.46000001</v>
      </c>
      <c r="M551" s="3">
        <v>0</v>
      </c>
      <c r="N551">
        <v>165528</v>
      </c>
      <c r="O551">
        <v>0</v>
      </c>
      <c r="P551">
        <v>-234119096.46000001</v>
      </c>
      <c r="Q551" t="s">
        <v>30</v>
      </c>
      <c r="R551" t="s">
        <v>70</v>
      </c>
      <c r="S551" t="str">
        <v>#N/A</v>
      </c>
      <c r="T551" t="str">
        <v>#N/A</v>
      </c>
    </row>
    <row r="552" spans="1:20" ht="13.7" customHeight="1" x14ac:dyDescent="0.25">
      <c r="A552" t="s">
        <v>26</v>
      </c>
      <c r="B552" t="s">
        <v>27</v>
      </c>
      <c r="C552" t="s">
        <v>37</v>
      </c>
      <c r="D552">
        <v>44</v>
      </c>
      <c r="E552" s="5">
        <v>43663</v>
      </c>
      <c r="F552">
        <v>11100501</v>
      </c>
      <c r="G552">
        <v>0</v>
      </c>
      <c r="H552" t="s">
        <v>1105</v>
      </c>
      <c r="I552" t="s">
        <v>1106</v>
      </c>
      <c r="J552">
        <v>1012</v>
      </c>
      <c r="K552">
        <v>1110</v>
      </c>
      <c r="L552" s="3">
        <v>-234119096.46000001</v>
      </c>
      <c r="M552" s="3">
        <v>0</v>
      </c>
      <c r="N552">
        <v>1460606</v>
      </c>
      <c r="O552">
        <v>0</v>
      </c>
      <c r="P552">
        <v>-235579702.46000001</v>
      </c>
      <c r="Q552" t="s">
        <v>30</v>
      </c>
      <c r="R552" t="s">
        <v>65</v>
      </c>
      <c r="S552" t="str">
        <v>#N/A</v>
      </c>
      <c r="T552" t="str">
        <v>#N/A</v>
      </c>
    </row>
    <row r="553" spans="1:20" ht="13.7" customHeight="1" x14ac:dyDescent="0.25">
      <c r="A553" t="s">
        <v>26</v>
      </c>
      <c r="B553" t="s">
        <v>27</v>
      </c>
      <c r="C553" t="s">
        <v>37</v>
      </c>
      <c r="D553">
        <v>46</v>
      </c>
      <c r="E553" s="5">
        <v>43664</v>
      </c>
      <c r="F553">
        <v>11100501</v>
      </c>
      <c r="G553">
        <v>0</v>
      </c>
      <c r="H553" t="s">
        <v>1105</v>
      </c>
      <c r="I553" t="s">
        <v>1106</v>
      </c>
      <c r="J553">
        <v>1012</v>
      </c>
      <c r="K553">
        <v>1110</v>
      </c>
      <c r="L553" s="3">
        <v>-235579702.46000001</v>
      </c>
      <c r="M553" s="3">
        <v>0</v>
      </c>
      <c r="N553">
        <v>360074</v>
      </c>
      <c r="O553">
        <v>0</v>
      </c>
      <c r="P553">
        <v>-235939776.46000001</v>
      </c>
      <c r="Q553" t="s">
        <v>30</v>
      </c>
      <c r="R553" t="s">
        <v>280</v>
      </c>
      <c r="S553" t="str">
        <v>#N/A</v>
      </c>
      <c r="T553" t="str">
        <v>#N/A</v>
      </c>
    </row>
    <row r="554" spans="1:20" ht="13.7" customHeight="1" x14ac:dyDescent="0.25">
      <c r="A554" t="s">
        <v>26</v>
      </c>
      <c r="B554" t="s">
        <v>27</v>
      </c>
      <c r="C554" t="s">
        <v>37</v>
      </c>
      <c r="D554">
        <v>47</v>
      </c>
      <c r="E554" s="5">
        <v>43664</v>
      </c>
      <c r="F554">
        <v>11100501</v>
      </c>
      <c r="G554">
        <v>0</v>
      </c>
      <c r="H554" t="s">
        <v>1105</v>
      </c>
      <c r="I554" t="s">
        <v>1106</v>
      </c>
      <c r="J554">
        <v>1012</v>
      </c>
      <c r="K554">
        <v>1110</v>
      </c>
      <c r="L554" s="3">
        <v>-235939776.46000001</v>
      </c>
      <c r="M554" s="3">
        <v>0</v>
      </c>
      <c r="N554">
        <v>130714</v>
      </c>
      <c r="O554">
        <v>0</v>
      </c>
      <c r="P554">
        <v>-236070490.46000001</v>
      </c>
      <c r="Q554" t="s">
        <v>30</v>
      </c>
      <c r="R554" t="s">
        <v>203</v>
      </c>
      <c r="S554" t="str">
        <v>#N/A</v>
      </c>
      <c r="T554" t="str">
        <v>#N/A</v>
      </c>
    </row>
    <row r="555" spans="1:20" ht="13.7" customHeight="1" x14ac:dyDescent="0.25">
      <c r="A555" t="s">
        <v>26</v>
      </c>
      <c r="B555" t="s">
        <v>27</v>
      </c>
      <c r="C555" t="s">
        <v>37</v>
      </c>
      <c r="D555">
        <v>49</v>
      </c>
      <c r="E555" s="5">
        <v>43668</v>
      </c>
      <c r="F555">
        <v>11100501</v>
      </c>
      <c r="G555">
        <v>0</v>
      </c>
      <c r="H555" t="s">
        <v>1105</v>
      </c>
      <c r="I555" t="s">
        <v>1106</v>
      </c>
      <c r="J555">
        <v>1012</v>
      </c>
      <c r="K555">
        <v>1110</v>
      </c>
      <c r="L555" s="3">
        <v>-236070490.46000001</v>
      </c>
      <c r="M555" s="3">
        <v>0</v>
      </c>
      <c r="N555">
        <v>1500000</v>
      </c>
      <c r="O555">
        <v>0</v>
      </c>
      <c r="P555">
        <v>-237570490.46000001</v>
      </c>
      <c r="Q555" t="s">
        <v>30</v>
      </c>
      <c r="R555" t="s">
        <v>281</v>
      </c>
      <c r="S555" t="str">
        <v>#N/A</v>
      </c>
      <c r="T555" t="str">
        <v>#N/A</v>
      </c>
    </row>
    <row r="556" spans="1:20" ht="13.7" customHeight="1" x14ac:dyDescent="0.25">
      <c r="A556" t="s">
        <v>26</v>
      </c>
      <c r="B556" t="s">
        <v>27</v>
      </c>
      <c r="C556" t="s">
        <v>37</v>
      </c>
      <c r="D556">
        <v>50</v>
      </c>
      <c r="E556" s="5">
        <v>43668</v>
      </c>
      <c r="F556">
        <v>11100501</v>
      </c>
      <c r="G556">
        <v>0</v>
      </c>
      <c r="H556" t="s">
        <v>1105</v>
      </c>
      <c r="I556" t="s">
        <v>1106</v>
      </c>
      <c r="J556">
        <v>1012</v>
      </c>
      <c r="K556">
        <v>1110</v>
      </c>
      <c r="L556" s="3">
        <v>-237570490.46000001</v>
      </c>
      <c r="M556" s="3">
        <v>0</v>
      </c>
      <c r="N556">
        <v>840000</v>
      </c>
      <c r="O556">
        <v>0</v>
      </c>
      <c r="P556">
        <v>-238410490.46000001</v>
      </c>
      <c r="Q556" t="s">
        <v>30</v>
      </c>
      <c r="R556" t="s">
        <v>86</v>
      </c>
      <c r="S556" t="str">
        <v>#N/A</v>
      </c>
      <c r="T556" t="str">
        <v>#N/A</v>
      </c>
    </row>
    <row r="557" spans="1:20" ht="13.7" customHeight="1" x14ac:dyDescent="0.25">
      <c r="A557" t="s">
        <v>26</v>
      </c>
      <c r="B557" t="s">
        <v>27</v>
      </c>
      <c r="C557" t="s">
        <v>37</v>
      </c>
      <c r="D557">
        <v>55</v>
      </c>
      <c r="E557" s="5">
        <v>43672</v>
      </c>
      <c r="F557">
        <v>11100501</v>
      </c>
      <c r="G557">
        <v>0</v>
      </c>
      <c r="H557" t="s">
        <v>1105</v>
      </c>
      <c r="I557" t="s">
        <v>1106</v>
      </c>
      <c r="J557">
        <v>1012</v>
      </c>
      <c r="K557">
        <v>1110</v>
      </c>
      <c r="L557" s="3">
        <v>-238410490.46000001</v>
      </c>
      <c r="M557" s="3">
        <v>0</v>
      </c>
      <c r="N557">
        <v>138100</v>
      </c>
      <c r="O557">
        <v>0</v>
      </c>
      <c r="P557">
        <v>-238548590.46000001</v>
      </c>
      <c r="Q557" t="s">
        <v>30</v>
      </c>
      <c r="R557" t="s">
        <v>225</v>
      </c>
      <c r="S557" t="str">
        <v>#N/A</v>
      </c>
      <c r="T557" t="str">
        <v>#N/A</v>
      </c>
    </row>
    <row r="558" spans="1:20" ht="13.7" customHeight="1" x14ac:dyDescent="0.25">
      <c r="A558" t="s">
        <v>26</v>
      </c>
      <c r="B558" t="s">
        <v>27</v>
      </c>
      <c r="C558" t="s">
        <v>37</v>
      </c>
      <c r="D558">
        <v>56</v>
      </c>
      <c r="E558" s="5">
        <v>43672</v>
      </c>
      <c r="F558">
        <v>11100501</v>
      </c>
      <c r="G558">
        <v>0</v>
      </c>
      <c r="H558" t="s">
        <v>1105</v>
      </c>
      <c r="I558" t="s">
        <v>1106</v>
      </c>
      <c r="J558">
        <v>1012</v>
      </c>
      <c r="K558">
        <v>1110</v>
      </c>
      <c r="L558" s="3">
        <v>-238548590.46000001</v>
      </c>
      <c r="M558" s="3">
        <v>0</v>
      </c>
      <c r="N558">
        <v>399995</v>
      </c>
      <c r="O558">
        <v>0</v>
      </c>
      <c r="P558">
        <v>-238948585.46000001</v>
      </c>
      <c r="Q558" t="s">
        <v>30</v>
      </c>
      <c r="R558" t="s">
        <v>31</v>
      </c>
      <c r="S558" t="str">
        <v>#N/A</v>
      </c>
      <c r="T558" t="str">
        <v>#N/A</v>
      </c>
    </row>
    <row r="559" spans="1:20" ht="13.7" customHeight="1" x14ac:dyDescent="0.25">
      <c r="A559" t="s">
        <v>26</v>
      </c>
      <c r="B559" t="s">
        <v>27</v>
      </c>
      <c r="C559" t="s">
        <v>37</v>
      </c>
      <c r="D559">
        <v>67</v>
      </c>
      <c r="E559" s="5">
        <v>43673</v>
      </c>
      <c r="F559">
        <v>11100501</v>
      </c>
      <c r="G559">
        <v>0</v>
      </c>
      <c r="H559" t="s">
        <v>1105</v>
      </c>
      <c r="I559" t="s">
        <v>1106</v>
      </c>
      <c r="J559">
        <v>1012</v>
      </c>
      <c r="K559">
        <v>1110</v>
      </c>
      <c r="L559" s="3">
        <v>-238948585.46000001</v>
      </c>
      <c r="M559" s="3">
        <v>0</v>
      </c>
      <c r="N559">
        <v>2406827</v>
      </c>
      <c r="O559">
        <v>0</v>
      </c>
      <c r="P559">
        <v>-241355412.46000001</v>
      </c>
      <c r="Q559" t="s">
        <v>30</v>
      </c>
      <c r="R559" t="s">
        <v>282</v>
      </c>
      <c r="S559" t="str">
        <v>#N/A</v>
      </c>
      <c r="T559" t="str">
        <v>#N/A</v>
      </c>
    </row>
    <row r="560" spans="1:20" ht="13.7" customHeight="1" x14ac:dyDescent="0.25">
      <c r="A560" t="s">
        <v>26</v>
      </c>
      <c r="B560" t="s">
        <v>27</v>
      </c>
      <c r="C560" t="s">
        <v>37</v>
      </c>
      <c r="D560">
        <v>61</v>
      </c>
      <c r="E560" s="5">
        <v>43675</v>
      </c>
      <c r="F560">
        <v>11100501</v>
      </c>
      <c r="G560">
        <v>0</v>
      </c>
      <c r="H560" t="s">
        <v>1105</v>
      </c>
      <c r="I560" t="s">
        <v>1106</v>
      </c>
      <c r="J560">
        <v>1012</v>
      </c>
      <c r="K560">
        <v>1110</v>
      </c>
      <c r="L560" s="3">
        <v>-241355412.46000001</v>
      </c>
      <c r="M560" s="3">
        <v>0</v>
      </c>
      <c r="N560">
        <v>413055</v>
      </c>
      <c r="O560">
        <v>0</v>
      </c>
      <c r="P560">
        <v>-241768467.46000001</v>
      </c>
      <c r="Q560" t="s">
        <v>30</v>
      </c>
      <c r="R560" t="s">
        <v>241</v>
      </c>
      <c r="S560" t="str">
        <v>#N/A</v>
      </c>
      <c r="T560" t="str">
        <v>#N/A</v>
      </c>
    </row>
    <row r="561" spans="1:20" ht="13.7" customHeight="1" x14ac:dyDescent="0.25">
      <c r="A561" t="s">
        <v>26</v>
      </c>
      <c r="B561" t="s">
        <v>27</v>
      </c>
      <c r="C561" t="s">
        <v>38</v>
      </c>
      <c r="D561">
        <v>1</v>
      </c>
      <c r="E561" s="5">
        <v>43679</v>
      </c>
      <c r="F561">
        <v>11100501</v>
      </c>
      <c r="G561">
        <v>0</v>
      </c>
      <c r="H561" t="s">
        <v>1105</v>
      </c>
      <c r="I561" t="s">
        <v>1106</v>
      </c>
      <c r="J561">
        <v>1012</v>
      </c>
      <c r="K561">
        <v>1110</v>
      </c>
      <c r="L561" s="3">
        <v>-241768467.46000001</v>
      </c>
      <c r="M561" s="3">
        <v>0</v>
      </c>
      <c r="N561">
        <v>64900</v>
      </c>
      <c r="O561">
        <v>0</v>
      </c>
      <c r="P561">
        <v>-241833367.46000001</v>
      </c>
      <c r="Q561" t="s">
        <v>30</v>
      </c>
      <c r="R561" t="s">
        <v>204</v>
      </c>
      <c r="S561" t="str">
        <v>#N/A</v>
      </c>
      <c r="T561" t="str">
        <v>#N/A</v>
      </c>
    </row>
    <row r="562" spans="1:20" ht="13.7" customHeight="1" x14ac:dyDescent="0.25">
      <c r="A562" t="s">
        <v>26</v>
      </c>
      <c r="B562" t="s">
        <v>27</v>
      </c>
      <c r="C562" t="s">
        <v>38</v>
      </c>
      <c r="D562">
        <v>2</v>
      </c>
      <c r="E562" s="5">
        <v>43679</v>
      </c>
      <c r="F562">
        <v>11100501</v>
      </c>
      <c r="G562">
        <v>0</v>
      </c>
      <c r="H562" t="s">
        <v>1105</v>
      </c>
      <c r="I562" t="s">
        <v>1106</v>
      </c>
      <c r="J562">
        <v>1012</v>
      </c>
      <c r="K562">
        <v>1110</v>
      </c>
      <c r="L562" s="3">
        <v>-241833367.46000001</v>
      </c>
      <c r="M562" s="3">
        <v>0</v>
      </c>
      <c r="N562">
        <v>1500000</v>
      </c>
      <c r="O562">
        <v>0</v>
      </c>
      <c r="P562">
        <v>-243333367.46000001</v>
      </c>
      <c r="Q562" t="s">
        <v>30</v>
      </c>
      <c r="R562" t="s">
        <v>263</v>
      </c>
      <c r="S562" t="str">
        <v>#N/A</v>
      </c>
      <c r="T562" t="str">
        <v>#N/A</v>
      </c>
    </row>
    <row r="563" spans="1:20" ht="13.7" customHeight="1" x14ac:dyDescent="0.25">
      <c r="A563" t="s">
        <v>26</v>
      </c>
      <c r="B563" t="s">
        <v>27</v>
      </c>
      <c r="C563" t="s">
        <v>38</v>
      </c>
      <c r="D563">
        <v>12</v>
      </c>
      <c r="E563" s="5">
        <v>43685</v>
      </c>
      <c r="F563">
        <v>11100501</v>
      </c>
      <c r="G563">
        <v>0</v>
      </c>
      <c r="H563" t="s">
        <v>1105</v>
      </c>
      <c r="I563" t="s">
        <v>1106</v>
      </c>
      <c r="J563">
        <v>1012</v>
      </c>
      <c r="K563">
        <v>1110</v>
      </c>
      <c r="L563" s="3">
        <v>-243333367.46000001</v>
      </c>
      <c r="M563" s="3">
        <v>0</v>
      </c>
      <c r="N563">
        <v>802000</v>
      </c>
      <c r="O563">
        <v>0</v>
      </c>
      <c r="P563">
        <v>-244135367.46000001</v>
      </c>
      <c r="Q563" t="s">
        <v>30</v>
      </c>
      <c r="R563" t="s">
        <v>283</v>
      </c>
      <c r="S563" t="str">
        <v>#N/A</v>
      </c>
      <c r="T563" t="str">
        <v>#N/A</v>
      </c>
    </row>
    <row r="564" spans="1:20" ht="13.7" customHeight="1" x14ac:dyDescent="0.25">
      <c r="A564" t="s">
        <v>26</v>
      </c>
      <c r="B564" t="s">
        <v>27</v>
      </c>
      <c r="C564" t="s">
        <v>38</v>
      </c>
      <c r="D564">
        <v>56</v>
      </c>
      <c r="E564" s="5">
        <v>43687</v>
      </c>
      <c r="F564">
        <v>11100501</v>
      </c>
      <c r="G564">
        <v>0</v>
      </c>
      <c r="H564" t="s">
        <v>1105</v>
      </c>
      <c r="I564" t="s">
        <v>1106</v>
      </c>
      <c r="J564">
        <v>1012</v>
      </c>
      <c r="K564">
        <v>1110</v>
      </c>
      <c r="L564" s="3">
        <v>-244135367.46000001</v>
      </c>
      <c r="M564" s="3">
        <v>0</v>
      </c>
      <c r="N564">
        <v>2359713</v>
      </c>
      <c r="O564">
        <v>0</v>
      </c>
      <c r="P564">
        <v>-246495080.46000001</v>
      </c>
      <c r="Q564" t="s">
        <v>30</v>
      </c>
      <c r="R564" t="s">
        <v>284</v>
      </c>
      <c r="S564" t="str">
        <v>#N/A</v>
      </c>
      <c r="T564" t="str">
        <v>#N/A</v>
      </c>
    </row>
    <row r="565" spans="1:20" ht="13.7" customHeight="1" x14ac:dyDescent="0.25">
      <c r="A565" t="s">
        <v>26</v>
      </c>
      <c r="B565" t="s">
        <v>27</v>
      </c>
      <c r="C565" t="s">
        <v>38</v>
      </c>
      <c r="D565">
        <v>21</v>
      </c>
      <c r="E565" s="5">
        <v>43691</v>
      </c>
      <c r="F565">
        <v>11100501</v>
      </c>
      <c r="G565">
        <v>0</v>
      </c>
      <c r="H565" t="s">
        <v>1105</v>
      </c>
      <c r="I565" t="s">
        <v>1106</v>
      </c>
      <c r="J565">
        <v>1012</v>
      </c>
      <c r="K565">
        <v>1110</v>
      </c>
      <c r="L565" s="3">
        <v>-246495080.46000001</v>
      </c>
      <c r="M565" s="3">
        <v>0</v>
      </c>
      <c r="N565">
        <v>262000</v>
      </c>
      <c r="O565">
        <v>0</v>
      </c>
      <c r="P565">
        <v>-246757080.46000001</v>
      </c>
      <c r="Q565" t="s">
        <v>30</v>
      </c>
      <c r="R565" t="s">
        <v>285</v>
      </c>
      <c r="S565" t="str">
        <v>#N/A</v>
      </c>
      <c r="T565" t="str">
        <v>#N/A</v>
      </c>
    </row>
    <row r="566" spans="1:20" ht="13.7" customHeight="1" x14ac:dyDescent="0.25">
      <c r="A566" t="s">
        <v>26</v>
      </c>
      <c r="B566" t="s">
        <v>27</v>
      </c>
      <c r="C566" t="s">
        <v>38</v>
      </c>
      <c r="D566">
        <v>25</v>
      </c>
      <c r="E566" s="5">
        <v>43692</v>
      </c>
      <c r="F566">
        <v>11100501</v>
      </c>
      <c r="G566">
        <v>0</v>
      </c>
      <c r="H566" t="s">
        <v>1105</v>
      </c>
      <c r="I566" t="s">
        <v>1106</v>
      </c>
      <c r="J566">
        <v>1012</v>
      </c>
      <c r="K566">
        <v>1110</v>
      </c>
      <c r="L566" s="3">
        <v>-246757080.46000001</v>
      </c>
      <c r="M566" s="3">
        <v>0</v>
      </c>
      <c r="N566">
        <v>2181018</v>
      </c>
      <c r="O566">
        <v>0</v>
      </c>
      <c r="P566">
        <v>-248938098.46000001</v>
      </c>
      <c r="Q566" t="s">
        <v>30</v>
      </c>
      <c r="R566" t="s">
        <v>65</v>
      </c>
      <c r="S566" t="str">
        <v>#N/A</v>
      </c>
      <c r="T566" t="str">
        <v>#N/A</v>
      </c>
    </row>
    <row r="567" spans="1:20" ht="13.7" customHeight="1" x14ac:dyDescent="0.25">
      <c r="A567" t="s">
        <v>26</v>
      </c>
      <c r="B567" t="s">
        <v>27</v>
      </c>
      <c r="C567" t="s">
        <v>38</v>
      </c>
      <c r="D567">
        <v>31</v>
      </c>
      <c r="E567" s="5">
        <v>43694</v>
      </c>
      <c r="F567">
        <v>11100501</v>
      </c>
      <c r="G567">
        <v>0</v>
      </c>
      <c r="H567" t="s">
        <v>1105</v>
      </c>
      <c r="I567" t="s">
        <v>1106</v>
      </c>
      <c r="J567">
        <v>1012</v>
      </c>
      <c r="K567">
        <v>1110</v>
      </c>
      <c r="L567" s="3">
        <v>-248938098.46000001</v>
      </c>
      <c r="M567" s="3">
        <v>0</v>
      </c>
      <c r="N567">
        <v>130714</v>
      </c>
      <c r="O567">
        <v>0</v>
      </c>
      <c r="P567">
        <v>-249068812.46000001</v>
      </c>
      <c r="Q567" t="s">
        <v>30</v>
      </c>
      <c r="R567" t="s">
        <v>203</v>
      </c>
      <c r="S567" t="str">
        <v>#N/A</v>
      </c>
      <c r="T567" t="str">
        <v>#N/A</v>
      </c>
    </row>
    <row r="568" spans="1:20" ht="13.7" customHeight="1" x14ac:dyDescent="0.25">
      <c r="A568" t="s">
        <v>26</v>
      </c>
      <c r="B568" t="s">
        <v>27</v>
      </c>
      <c r="C568" t="s">
        <v>38</v>
      </c>
      <c r="D568">
        <v>36</v>
      </c>
      <c r="E568" s="5">
        <v>43701</v>
      </c>
      <c r="F568">
        <v>11100501</v>
      </c>
      <c r="G568">
        <v>0</v>
      </c>
      <c r="H568" t="s">
        <v>1105</v>
      </c>
      <c r="I568" t="s">
        <v>1106</v>
      </c>
      <c r="J568">
        <v>1012</v>
      </c>
      <c r="K568">
        <v>1110</v>
      </c>
      <c r="L568" s="3">
        <v>-249068812.46000001</v>
      </c>
      <c r="M568" s="3">
        <v>0</v>
      </c>
      <c r="N568">
        <v>3270100</v>
      </c>
      <c r="O568">
        <v>0</v>
      </c>
      <c r="P568">
        <v>-252338912.46000001</v>
      </c>
      <c r="Q568" t="s">
        <v>30</v>
      </c>
      <c r="R568" t="s">
        <v>286</v>
      </c>
      <c r="S568" t="str">
        <v>#N/A</v>
      </c>
      <c r="T568" t="str">
        <v>#N/A</v>
      </c>
    </row>
    <row r="569" spans="1:20" ht="13.7" customHeight="1" x14ac:dyDescent="0.25">
      <c r="A569" t="s">
        <v>26</v>
      </c>
      <c r="B569" t="s">
        <v>27</v>
      </c>
      <c r="C569" t="s">
        <v>38</v>
      </c>
      <c r="D569">
        <v>57</v>
      </c>
      <c r="E569" s="5">
        <v>43701</v>
      </c>
      <c r="F569">
        <v>11100501</v>
      </c>
      <c r="G569">
        <v>0</v>
      </c>
      <c r="H569" t="s">
        <v>1105</v>
      </c>
      <c r="I569" t="s">
        <v>1106</v>
      </c>
      <c r="J569">
        <v>1012</v>
      </c>
      <c r="K569">
        <v>1110</v>
      </c>
      <c r="L569" s="3">
        <v>-252338912.46000001</v>
      </c>
      <c r="M569" s="3">
        <v>0</v>
      </c>
      <c r="N569">
        <v>2372487</v>
      </c>
      <c r="O569">
        <v>0</v>
      </c>
      <c r="P569">
        <v>-254711399.46000001</v>
      </c>
      <c r="Q569" t="s">
        <v>30</v>
      </c>
      <c r="R569" t="s">
        <v>287</v>
      </c>
      <c r="S569" t="str">
        <v>#N/A</v>
      </c>
      <c r="T569" t="str">
        <v>#N/A</v>
      </c>
    </row>
    <row r="570" spans="1:20" ht="13.7" customHeight="1" x14ac:dyDescent="0.25">
      <c r="A570" t="s">
        <v>26</v>
      </c>
      <c r="B570" t="s">
        <v>27</v>
      </c>
      <c r="C570" t="s">
        <v>38</v>
      </c>
      <c r="D570">
        <v>48</v>
      </c>
      <c r="E570" s="5">
        <v>43704</v>
      </c>
      <c r="F570">
        <v>11100501</v>
      </c>
      <c r="G570">
        <v>0</v>
      </c>
      <c r="H570" t="s">
        <v>1105</v>
      </c>
      <c r="I570" t="s">
        <v>1106</v>
      </c>
      <c r="J570">
        <v>1012</v>
      </c>
      <c r="K570">
        <v>1110</v>
      </c>
      <c r="L570" s="3">
        <v>-254711399.46000001</v>
      </c>
      <c r="M570" s="3">
        <v>0</v>
      </c>
      <c r="N570">
        <v>840000</v>
      </c>
      <c r="O570">
        <v>0</v>
      </c>
      <c r="P570">
        <v>-255551399.46000001</v>
      </c>
      <c r="Q570" t="s">
        <v>30</v>
      </c>
      <c r="R570" t="s">
        <v>86</v>
      </c>
      <c r="S570" t="str">
        <v>#N/A</v>
      </c>
      <c r="T570" t="str">
        <v>#N/A</v>
      </c>
    </row>
    <row r="571" spans="1:20" ht="13.7" customHeight="1" x14ac:dyDescent="0.25">
      <c r="A571" t="s">
        <v>26</v>
      </c>
      <c r="B571" t="s">
        <v>27</v>
      </c>
      <c r="C571" t="s">
        <v>38</v>
      </c>
      <c r="D571">
        <v>49</v>
      </c>
      <c r="E571" s="5">
        <v>43704</v>
      </c>
      <c r="F571">
        <v>11100501</v>
      </c>
      <c r="G571">
        <v>0</v>
      </c>
      <c r="H571" t="s">
        <v>1105</v>
      </c>
      <c r="I571" t="s">
        <v>1106</v>
      </c>
      <c r="J571">
        <v>1012</v>
      </c>
      <c r="K571">
        <v>1110</v>
      </c>
      <c r="L571" s="3">
        <v>-255551399.46000001</v>
      </c>
      <c r="M571" s="3">
        <v>0</v>
      </c>
      <c r="N571">
        <v>316762</v>
      </c>
      <c r="O571">
        <v>0</v>
      </c>
      <c r="P571">
        <v>-255868161.46000001</v>
      </c>
      <c r="Q571" t="s">
        <v>30</v>
      </c>
      <c r="R571" t="s">
        <v>31</v>
      </c>
      <c r="S571" t="str">
        <v>#N/A</v>
      </c>
      <c r="T571" t="str">
        <v>#N/A</v>
      </c>
    </row>
    <row r="572" spans="1:20" ht="13.7" customHeight="1" x14ac:dyDescent="0.25">
      <c r="A572" t="s">
        <v>26</v>
      </c>
      <c r="B572" t="s">
        <v>27</v>
      </c>
      <c r="C572" t="s">
        <v>38</v>
      </c>
      <c r="D572">
        <v>50</v>
      </c>
      <c r="E572" s="5">
        <v>43704</v>
      </c>
      <c r="F572">
        <v>11100501</v>
      </c>
      <c r="G572">
        <v>0</v>
      </c>
      <c r="H572" t="s">
        <v>1105</v>
      </c>
      <c r="I572" t="s">
        <v>1106</v>
      </c>
      <c r="J572">
        <v>1012</v>
      </c>
      <c r="K572">
        <v>1110</v>
      </c>
      <c r="L572" s="3">
        <v>-255868161.46000001</v>
      </c>
      <c r="M572" s="3">
        <v>0</v>
      </c>
      <c r="N572">
        <v>138100</v>
      </c>
      <c r="O572">
        <v>0</v>
      </c>
      <c r="P572">
        <v>-256006261.46000001</v>
      </c>
      <c r="Q572" t="s">
        <v>30</v>
      </c>
      <c r="R572" t="s">
        <v>225</v>
      </c>
      <c r="S572" t="str">
        <v>#N/A</v>
      </c>
      <c r="T572" t="str">
        <v>#N/A</v>
      </c>
    </row>
    <row r="573" spans="1:20" ht="13.7" customHeight="1" x14ac:dyDescent="0.25">
      <c r="A573" t="s">
        <v>26</v>
      </c>
      <c r="B573" t="s">
        <v>27</v>
      </c>
      <c r="C573" t="s">
        <v>38</v>
      </c>
      <c r="D573">
        <v>52</v>
      </c>
      <c r="E573" s="5">
        <v>43706</v>
      </c>
      <c r="F573">
        <v>11100501</v>
      </c>
      <c r="G573">
        <v>0</v>
      </c>
      <c r="H573" t="s">
        <v>1105</v>
      </c>
      <c r="I573" t="s">
        <v>1106</v>
      </c>
      <c r="J573">
        <v>1012</v>
      </c>
      <c r="K573">
        <v>1110</v>
      </c>
      <c r="L573" s="3">
        <v>-256006261.46000001</v>
      </c>
      <c r="M573" s="3">
        <v>0</v>
      </c>
      <c r="N573">
        <v>1031181</v>
      </c>
      <c r="O573">
        <v>0</v>
      </c>
      <c r="P573">
        <v>-257037442.46000001</v>
      </c>
      <c r="Q573" t="s">
        <v>30</v>
      </c>
      <c r="R573" t="s">
        <v>65</v>
      </c>
      <c r="S573" t="str">
        <v>#N/A</v>
      </c>
      <c r="T573" t="str">
        <v>#N/A</v>
      </c>
    </row>
    <row r="574" spans="1:20" ht="13.7" customHeight="1" x14ac:dyDescent="0.25">
      <c r="A574" t="s">
        <v>26</v>
      </c>
      <c r="B574" t="s">
        <v>27</v>
      </c>
      <c r="C574" t="s">
        <v>39</v>
      </c>
      <c r="D574">
        <v>9</v>
      </c>
      <c r="E574" s="5">
        <v>43712</v>
      </c>
      <c r="F574">
        <v>11100501</v>
      </c>
      <c r="G574">
        <v>0</v>
      </c>
      <c r="H574" t="s">
        <v>1105</v>
      </c>
      <c r="I574" t="s">
        <v>1106</v>
      </c>
      <c r="J574">
        <v>1012</v>
      </c>
      <c r="K574">
        <v>1110</v>
      </c>
      <c r="L574" s="3">
        <v>-257037442.46000001</v>
      </c>
      <c r="M574" s="3">
        <v>0</v>
      </c>
      <c r="N574">
        <v>3516611</v>
      </c>
      <c r="O574">
        <v>0</v>
      </c>
      <c r="P574">
        <v>-260554053.46000001</v>
      </c>
      <c r="Q574" t="s">
        <v>30</v>
      </c>
      <c r="R574" t="s">
        <v>65</v>
      </c>
      <c r="S574" t="str">
        <v>#N/A</v>
      </c>
      <c r="T574" t="str">
        <v>#N/A</v>
      </c>
    </row>
    <row r="575" spans="1:20" ht="13.7" customHeight="1" x14ac:dyDescent="0.25">
      <c r="A575" t="s">
        <v>26</v>
      </c>
      <c r="B575" t="s">
        <v>27</v>
      </c>
      <c r="C575" t="s">
        <v>39</v>
      </c>
      <c r="D575">
        <v>68</v>
      </c>
      <c r="E575" s="5">
        <v>43715</v>
      </c>
      <c r="F575">
        <v>11100501</v>
      </c>
      <c r="G575">
        <v>0</v>
      </c>
      <c r="H575" t="s">
        <v>1105</v>
      </c>
      <c r="I575" t="s">
        <v>1106</v>
      </c>
      <c r="J575">
        <v>1012</v>
      </c>
      <c r="K575">
        <v>1110</v>
      </c>
      <c r="L575" s="3">
        <v>-260554053.46000001</v>
      </c>
      <c r="M575" s="3">
        <v>0</v>
      </c>
      <c r="N575">
        <v>2198097</v>
      </c>
      <c r="O575">
        <v>0</v>
      </c>
      <c r="P575">
        <v>-262752150.46000001</v>
      </c>
      <c r="Q575" t="s">
        <v>30</v>
      </c>
      <c r="R575" t="s">
        <v>288</v>
      </c>
      <c r="S575" t="str">
        <v>#N/A</v>
      </c>
      <c r="T575" t="str">
        <v>#N/A</v>
      </c>
    </row>
    <row r="576" spans="1:20" ht="13.7" customHeight="1" x14ac:dyDescent="0.25">
      <c r="A576" t="s">
        <v>26</v>
      </c>
      <c r="B576" t="s">
        <v>27</v>
      </c>
      <c r="C576" t="s">
        <v>39</v>
      </c>
      <c r="D576">
        <v>29</v>
      </c>
      <c r="E576" s="5">
        <v>43722</v>
      </c>
      <c r="F576">
        <v>11100501</v>
      </c>
      <c r="G576">
        <v>0</v>
      </c>
      <c r="H576" t="s">
        <v>1105</v>
      </c>
      <c r="I576" t="s">
        <v>1106</v>
      </c>
      <c r="J576">
        <v>1012</v>
      </c>
      <c r="K576">
        <v>1110</v>
      </c>
      <c r="L576" s="3">
        <v>-262752150.46000001</v>
      </c>
      <c r="M576" s="3">
        <v>0</v>
      </c>
      <c r="N576">
        <v>8441000</v>
      </c>
      <c r="O576">
        <v>0</v>
      </c>
      <c r="P576">
        <v>-271193150.45999998</v>
      </c>
      <c r="Q576" t="s">
        <v>30</v>
      </c>
      <c r="R576" t="s">
        <v>289</v>
      </c>
      <c r="S576" t="str">
        <v>#N/A</v>
      </c>
      <c r="T576" t="str">
        <v>#N/A</v>
      </c>
    </row>
    <row r="577" spans="1:20" ht="13.7" customHeight="1" x14ac:dyDescent="0.25">
      <c r="A577" t="s">
        <v>26</v>
      </c>
      <c r="B577" t="s">
        <v>27</v>
      </c>
      <c r="C577" t="s">
        <v>39</v>
      </c>
      <c r="D577">
        <v>30</v>
      </c>
      <c r="E577" s="5">
        <v>43722</v>
      </c>
      <c r="F577">
        <v>11100501</v>
      </c>
      <c r="G577">
        <v>0</v>
      </c>
      <c r="H577" t="s">
        <v>1105</v>
      </c>
      <c r="I577" t="s">
        <v>1106</v>
      </c>
      <c r="J577">
        <v>1012</v>
      </c>
      <c r="K577">
        <v>1110</v>
      </c>
      <c r="L577" s="3">
        <v>-271193150.45999998</v>
      </c>
      <c r="M577" s="3">
        <v>0</v>
      </c>
      <c r="N577">
        <v>285000</v>
      </c>
      <c r="O577">
        <v>0</v>
      </c>
      <c r="P577">
        <v>-271478150.45999998</v>
      </c>
      <c r="Q577" t="s">
        <v>30</v>
      </c>
      <c r="R577" t="s">
        <v>290</v>
      </c>
      <c r="S577" t="str">
        <v>#N/A</v>
      </c>
      <c r="T577" t="str">
        <v>#N/A</v>
      </c>
    </row>
    <row r="578" spans="1:20" ht="13.7" customHeight="1" x14ac:dyDescent="0.25">
      <c r="A578" t="s">
        <v>26</v>
      </c>
      <c r="B578" t="s">
        <v>27</v>
      </c>
      <c r="C578" t="s">
        <v>39</v>
      </c>
      <c r="D578">
        <v>62</v>
      </c>
      <c r="E578" s="5">
        <v>43722</v>
      </c>
      <c r="F578">
        <v>11100501</v>
      </c>
      <c r="G578">
        <v>0</v>
      </c>
      <c r="H578" t="s">
        <v>1105</v>
      </c>
      <c r="I578" t="s">
        <v>1106</v>
      </c>
      <c r="J578">
        <v>1012</v>
      </c>
      <c r="K578">
        <v>1110</v>
      </c>
      <c r="L578" s="3">
        <v>-271478150.45999998</v>
      </c>
      <c r="M578" s="3">
        <v>0</v>
      </c>
      <c r="N578">
        <v>14452408</v>
      </c>
      <c r="O578">
        <v>0</v>
      </c>
      <c r="P578">
        <v>-285930558.45999998</v>
      </c>
      <c r="Q578" t="s">
        <v>30</v>
      </c>
      <c r="R578" t="s">
        <v>241</v>
      </c>
      <c r="S578" t="str">
        <v>#N/A</v>
      </c>
      <c r="T578" t="str">
        <v>#N/A</v>
      </c>
    </row>
    <row r="579" spans="1:20" ht="13.7" customHeight="1" x14ac:dyDescent="0.25">
      <c r="A579" t="s">
        <v>26</v>
      </c>
      <c r="B579" t="s">
        <v>27</v>
      </c>
      <c r="C579" t="s">
        <v>39</v>
      </c>
      <c r="D579">
        <v>38</v>
      </c>
      <c r="E579" s="5">
        <v>43725</v>
      </c>
      <c r="F579">
        <v>11100501</v>
      </c>
      <c r="G579">
        <v>0</v>
      </c>
      <c r="H579" t="s">
        <v>1105</v>
      </c>
      <c r="I579" t="s">
        <v>1106</v>
      </c>
      <c r="J579">
        <v>1012</v>
      </c>
      <c r="K579">
        <v>1110</v>
      </c>
      <c r="L579" s="3">
        <v>-285930558.45999998</v>
      </c>
      <c r="M579" s="3">
        <v>0</v>
      </c>
      <c r="N579">
        <v>660000</v>
      </c>
      <c r="O579">
        <v>0</v>
      </c>
      <c r="P579">
        <v>-286590558.45999998</v>
      </c>
      <c r="Q579" t="s">
        <v>30</v>
      </c>
      <c r="R579" t="s">
        <v>205</v>
      </c>
      <c r="S579" t="str">
        <v>#N/A</v>
      </c>
      <c r="T579" t="str">
        <v>#N/A</v>
      </c>
    </row>
    <row r="580" spans="1:20" ht="13.7" customHeight="1" x14ac:dyDescent="0.25">
      <c r="A580" t="s">
        <v>26</v>
      </c>
      <c r="B580" t="s">
        <v>27</v>
      </c>
      <c r="C580" t="s">
        <v>39</v>
      </c>
      <c r="D580">
        <v>69</v>
      </c>
      <c r="E580" s="5">
        <v>43729</v>
      </c>
      <c r="F580">
        <v>11100501</v>
      </c>
      <c r="G580">
        <v>0</v>
      </c>
      <c r="H580" t="s">
        <v>1105</v>
      </c>
      <c r="I580" t="s">
        <v>1106</v>
      </c>
      <c r="J580">
        <v>1012</v>
      </c>
      <c r="K580">
        <v>1110</v>
      </c>
      <c r="L580" s="3">
        <v>-286590558.45999998</v>
      </c>
      <c r="M580" s="3">
        <v>0</v>
      </c>
      <c r="N580">
        <v>2033754</v>
      </c>
      <c r="O580">
        <v>0</v>
      </c>
      <c r="P580">
        <v>-288624312.45999998</v>
      </c>
      <c r="Q580" t="s">
        <v>30</v>
      </c>
      <c r="R580" t="s">
        <v>291</v>
      </c>
      <c r="S580" t="str">
        <v>#N/A</v>
      </c>
      <c r="T580" t="str">
        <v>#N/A</v>
      </c>
    </row>
    <row r="581" spans="1:20" ht="13.7" customHeight="1" x14ac:dyDescent="0.25">
      <c r="A581" t="s">
        <v>26</v>
      </c>
      <c r="B581" t="s">
        <v>27</v>
      </c>
      <c r="C581" t="s">
        <v>39</v>
      </c>
      <c r="D581">
        <v>58</v>
      </c>
      <c r="E581" s="5">
        <v>43736</v>
      </c>
      <c r="F581">
        <v>11100501</v>
      </c>
      <c r="G581">
        <v>0</v>
      </c>
      <c r="H581" t="s">
        <v>1105</v>
      </c>
      <c r="I581" t="s">
        <v>1106</v>
      </c>
      <c r="J581">
        <v>1012</v>
      </c>
      <c r="K581">
        <v>1110</v>
      </c>
      <c r="L581" s="3">
        <v>-288624312.45999998</v>
      </c>
      <c r="M581" s="3">
        <v>0</v>
      </c>
      <c r="N581">
        <v>840000</v>
      </c>
      <c r="O581">
        <v>0</v>
      </c>
      <c r="P581">
        <v>-289464312.45999998</v>
      </c>
      <c r="Q581" t="s">
        <v>30</v>
      </c>
      <c r="R581" t="s">
        <v>86</v>
      </c>
      <c r="S581" t="str">
        <v>#N/A</v>
      </c>
      <c r="T581" t="str">
        <v>#N/A</v>
      </c>
    </row>
    <row r="582" spans="1:20" ht="13.7" customHeight="1" x14ac:dyDescent="0.25">
      <c r="A582" t="s">
        <v>26</v>
      </c>
      <c r="B582" t="s">
        <v>27</v>
      </c>
      <c r="C582" t="s">
        <v>39</v>
      </c>
      <c r="D582">
        <v>59</v>
      </c>
      <c r="E582" s="5">
        <v>43736</v>
      </c>
      <c r="F582">
        <v>11100501</v>
      </c>
      <c r="G582">
        <v>0</v>
      </c>
      <c r="H582" t="s">
        <v>1105</v>
      </c>
      <c r="I582" t="s">
        <v>1106</v>
      </c>
      <c r="J582">
        <v>1012</v>
      </c>
      <c r="K582">
        <v>1110</v>
      </c>
      <c r="L582" s="3">
        <v>-289464312.45999998</v>
      </c>
      <c r="M582" s="3">
        <v>0</v>
      </c>
      <c r="N582">
        <v>348034</v>
      </c>
      <c r="O582">
        <v>0</v>
      </c>
      <c r="P582">
        <v>-289812346.45999998</v>
      </c>
      <c r="Q582" t="s">
        <v>30</v>
      </c>
      <c r="R582" t="s">
        <v>31</v>
      </c>
      <c r="S582" t="str">
        <v>#N/A</v>
      </c>
      <c r="T582" t="str">
        <v>#N/A</v>
      </c>
    </row>
    <row r="583" spans="1:20" ht="13.7" customHeight="1" x14ac:dyDescent="0.25">
      <c r="A583" t="s">
        <v>26</v>
      </c>
      <c r="B583" t="s">
        <v>27</v>
      </c>
      <c r="C583" t="s">
        <v>39</v>
      </c>
      <c r="D583">
        <v>60</v>
      </c>
      <c r="E583" s="5">
        <v>43736</v>
      </c>
      <c r="F583">
        <v>11100501</v>
      </c>
      <c r="G583">
        <v>0</v>
      </c>
      <c r="H583" t="s">
        <v>1105</v>
      </c>
      <c r="I583" t="s">
        <v>1106</v>
      </c>
      <c r="J583">
        <v>1012</v>
      </c>
      <c r="K583">
        <v>1110</v>
      </c>
      <c r="L583" s="3">
        <v>-289812346.45999998</v>
      </c>
      <c r="M583" s="3">
        <v>0</v>
      </c>
      <c r="N583">
        <v>138194</v>
      </c>
      <c r="O583">
        <v>0</v>
      </c>
      <c r="P583">
        <v>-289950540.45999998</v>
      </c>
      <c r="Q583" t="s">
        <v>30</v>
      </c>
      <c r="R583" t="s">
        <v>225</v>
      </c>
      <c r="S583" t="str">
        <v>#N/A</v>
      </c>
      <c r="T583" t="str">
        <v>#N/A</v>
      </c>
    </row>
    <row r="584" spans="1:20" ht="13.7" customHeight="1" x14ac:dyDescent="0.25">
      <c r="A584" t="s">
        <v>26</v>
      </c>
      <c r="B584" t="s">
        <v>27</v>
      </c>
      <c r="C584" t="s">
        <v>39</v>
      </c>
      <c r="D584">
        <v>61</v>
      </c>
      <c r="E584" s="5">
        <v>43736</v>
      </c>
      <c r="F584">
        <v>11100501</v>
      </c>
      <c r="G584">
        <v>0</v>
      </c>
      <c r="H584" t="s">
        <v>1105</v>
      </c>
      <c r="I584" t="s">
        <v>1106</v>
      </c>
      <c r="J584">
        <v>1012</v>
      </c>
      <c r="K584">
        <v>1110</v>
      </c>
      <c r="L584" s="3">
        <v>-289950540.45999998</v>
      </c>
      <c r="M584" s="3">
        <v>0</v>
      </c>
      <c r="N584">
        <v>130714</v>
      </c>
      <c r="O584">
        <v>0</v>
      </c>
      <c r="P584">
        <v>-290081254.45999998</v>
      </c>
      <c r="Q584" t="s">
        <v>30</v>
      </c>
      <c r="R584" t="s">
        <v>203</v>
      </c>
      <c r="S584" t="str">
        <v>#N/A</v>
      </c>
      <c r="T584" t="str">
        <v>#N/A</v>
      </c>
    </row>
    <row r="585" spans="1:20" ht="13.7" customHeight="1" x14ac:dyDescent="0.25">
      <c r="A585" t="s">
        <v>26</v>
      </c>
      <c r="B585" t="s">
        <v>27</v>
      </c>
      <c r="C585" t="s">
        <v>40</v>
      </c>
      <c r="D585">
        <v>5</v>
      </c>
      <c r="E585" s="5">
        <v>43743</v>
      </c>
      <c r="F585">
        <v>11100501</v>
      </c>
      <c r="G585">
        <v>0</v>
      </c>
      <c r="H585" t="s">
        <v>1105</v>
      </c>
      <c r="I585" t="s">
        <v>1106</v>
      </c>
      <c r="J585">
        <v>1012</v>
      </c>
      <c r="K585">
        <v>1110</v>
      </c>
      <c r="L585" s="3">
        <v>-290081254.45999998</v>
      </c>
      <c r="M585" s="3">
        <v>0</v>
      </c>
      <c r="N585">
        <v>2000000</v>
      </c>
      <c r="O585">
        <v>0</v>
      </c>
      <c r="P585">
        <v>-292081254.45999998</v>
      </c>
      <c r="Q585" t="s">
        <v>30</v>
      </c>
      <c r="R585" t="s">
        <v>292</v>
      </c>
      <c r="S585" t="str">
        <v>#N/A</v>
      </c>
      <c r="T585" t="str">
        <v>#N/A</v>
      </c>
    </row>
    <row r="586" spans="1:20" ht="13.7" customHeight="1" x14ac:dyDescent="0.25">
      <c r="A586" t="s">
        <v>26</v>
      </c>
      <c r="B586" t="s">
        <v>27</v>
      </c>
      <c r="C586" t="s">
        <v>40</v>
      </c>
      <c r="D586">
        <v>61</v>
      </c>
      <c r="E586" s="5">
        <v>43743</v>
      </c>
      <c r="F586">
        <v>11100501</v>
      </c>
      <c r="G586">
        <v>0</v>
      </c>
      <c r="H586" t="s">
        <v>1105</v>
      </c>
      <c r="I586" t="s">
        <v>1106</v>
      </c>
      <c r="J586">
        <v>1012</v>
      </c>
      <c r="K586">
        <v>1110</v>
      </c>
      <c r="L586" s="3">
        <v>-292081254.45999998</v>
      </c>
      <c r="M586" s="3">
        <v>0</v>
      </c>
      <c r="N586">
        <v>1997208</v>
      </c>
      <c r="O586">
        <v>0</v>
      </c>
      <c r="P586">
        <v>-294078462.45999998</v>
      </c>
      <c r="Q586" t="s">
        <v>30</v>
      </c>
      <c r="R586" t="s">
        <v>293</v>
      </c>
      <c r="S586" t="str">
        <v>#N/A</v>
      </c>
      <c r="T586" t="str">
        <v>#N/A</v>
      </c>
    </row>
    <row r="587" spans="1:20" ht="13.7" customHeight="1" x14ac:dyDescent="0.25">
      <c r="A587" t="s">
        <v>26</v>
      </c>
      <c r="B587" t="s">
        <v>27</v>
      </c>
      <c r="C587" t="s">
        <v>40</v>
      </c>
      <c r="D587">
        <v>33</v>
      </c>
      <c r="E587" s="5">
        <v>43748</v>
      </c>
      <c r="F587">
        <v>11100501</v>
      </c>
      <c r="G587">
        <v>0</v>
      </c>
      <c r="H587" t="s">
        <v>1105</v>
      </c>
      <c r="I587" t="s">
        <v>1106</v>
      </c>
      <c r="J587">
        <v>1012</v>
      </c>
      <c r="K587">
        <v>1110</v>
      </c>
      <c r="L587" s="3">
        <v>-294078462.45999998</v>
      </c>
      <c r="M587" s="3">
        <v>0</v>
      </c>
      <c r="N587">
        <v>182000</v>
      </c>
      <c r="O587">
        <v>0</v>
      </c>
      <c r="P587">
        <v>-294260462.45999998</v>
      </c>
      <c r="Q587" t="s">
        <v>30</v>
      </c>
      <c r="R587" t="s">
        <v>294</v>
      </c>
      <c r="S587" t="str">
        <v>#N/A</v>
      </c>
      <c r="T587" t="str">
        <v>#N/A</v>
      </c>
    </row>
    <row r="588" spans="1:20" ht="13.7" customHeight="1" x14ac:dyDescent="0.25">
      <c r="A588" t="s">
        <v>26</v>
      </c>
      <c r="B588" t="s">
        <v>27</v>
      </c>
      <c r="C588" t="s">
        <v>41</v>
      </c>
      <c r="D588">
        <v>17</v>
      </c>
      <c r="E588" s="5">
        <v>43748</v>
      </c>
      <c r="F588">
        <v>11100501</v>
      </c>
      <c r="G588">
        <v>0</v>
      </c>
      <c r="H588" t="s">
        <v>1105</v>
      </c>
      <c r="I588" t="s">
        <v>1106</v>
      </c>
      <c r="J588">
        <v>1012</v>
      </c>
      <c r="K588">
        <v>1110</v>
      </c>
      <c r="L588" s="3">
        <v>-294260462.45999998</v>
      </c>
      <c r="M588" s="3">
        <v>0</v>
      </c>
      <c r="N588">
        <v>755736</v>
      </c>
      <c r="O588">
        <v>0</v>
      </c>
      <c r="P588">
        <v>-295016198.45999998</v>
      </c>
      <c r="Q588" t="s">
        <v>30</v>
      </c>
      <c r="R588" t="s">
        <v>295</v>
      </c>
      <c r="S588" t="str">
        <v>#N/A</v>
      </c>
      <c r="T588" t="str">
        <v>#N/A</v>
      </c>
    </row>
    <row r="589" spans="1:20" ht="13.7" customHeight="1" x14ac:dyDescent="0.25">
      <c r="A589" t="s">
        <v>26</v>
      </c>
      <c r="B589" t="s">
        <v>27</v>
      </c>
      <c r="C589" t="s">
        <v>40</v>
      </c>
      <c r="D589">
        <v>18</v>
      </c>
      <c r="E589" s="5">
        <v>43749</v>
      </c>
      <c r="F589">
        <v>11100501</v>
      </c>
      <c r="G589">
        <v>0</v>
      </c>
      <c r="H589" t="s">
        <v>1105</v>
      </c>
      <c r="I589" t="s">
        <v>1106</v>
      </c>
      <c r="J589">
        <v>1012</v>
      </c>
      <c r="K589">
        <v>1110</v>
      </c>
      <c r="L589" s="3">
        <v>-295016198.45999998</v>
      </c>
      <c r="M589" s="3">
        <v>0</v>
      </c>
      <c r="N589">
        <v>105164</v>
      </c>
      <c r="O589">
        <v>0</v>
      </c>
      <c r="P589">
        <v>-295121362.45999998</v>
      </c>
      <c r="Q589" t="s">
        <v>30</v>
      </c>
      <c r="R589" t="s">
        <v>296</v>
      </c>
      <c r="S589" t="str">
        <v>#N/A</v>
      </c>
      <c r="T589" t="str">
        <v>#N/A</v>
      </c>
    </row>
    <row r="590" spans="1:20" ht="13.7" customHeight="1" x14ac:dyDescent="0.25">
      <c r="A590" t="s">
        <v>26</v>
      </c>
      <c r="B590" t="s">
        <v>27</v>
      </c>
      <c r="C590" t="s">
        <v>40</v>
      </c>
      <c r="D590">
        <v>27</v>
      </c>
      <c r="E590" s="5">
        <v>43754</v>
      </c>
      <c r="F590">
        <v>11100501</v>
      </c>
      <c r="G590">
        <v>0</v>
      </c>
      <c r="H590" t="s">
        <v>1105</v>
      </c>
      <c r="I590" t="s">
        <v>1106</v>
      </c>
      <c r="J590">
        <v>1012</v>
      </c>
      <c r="K590">
        <v>1110</v>
      </c>
      <c r="L590" s="3">
        <v>-295121362.45999998</v>
      </c>
      <c r="M590" s="3">
        <v>0</v>
      </c>
      <c r="N590">
        <v>6809718</v>
      </c>
      <c r="O590">
        <v>0</v>
      </c>
      <c r="P590">
        <v>-301931080.45999998</v>
      </c>
      <c r="Q590" t="s">
        <v>30</v>
      </c>
      <c r="R590" t="s">
        <v>263</v>
      </c>
      <c r="S590" t="str">
        <v>#N/A</v>
      </c>
      <c r="T590" t="str">
        <v>#N/A</v>
      </c>
    </row>
    <row r="591" spans="1:20" ht="13.7" customHeight="1" x14ac:dyDescent="0.25">
      <c r="A591" t="s">
        <v>26</v>
      </c>
      <c r="B591" t="s">
        <v>27</v>
      </c>
      <c r="C591" t="s">
        <v>40</v>
      </c>
      <c r="D591">
        <v>29</v>
      </c>
      <c r="E591" s="5">
        <v>43755</v>
      </c>
      <c r="F591">
        <v>11100501</v>
      </c>
      <c r="G591">
        <v>0</v>
      </c>
      <c r="H591" t="s">
        <v>1105</v>
      </c>
      <c r="I591" t="s">
        <v>1106</v>
      </c>
      <c r="J591">
        <v>1012</v>
      </c>
      <c r="K591">
        <v>1110</v>
      </c>
      <c r="L591" s="3">
        <v>-301931080.45999998</v>
      </c>
      <c r="M591" s="3">
        <v>0</v>
      </c>
      <c r="N591">
        <v>800000</v>
      </c>
      <c r="O591">
        <v>0</v>
      </c>
      <c r="P591">
        <v>-302731080.45999998</v>
      </c>
      <c r="Q591" t="s">
        <v>30</v>
      </c>
      <c r="R591" t="s">
        <v>283</v>
      </c>
      <c r="S591" t="str">
        <v>#N/A</v>
      </c>
      <c r="T591" t="str">
        <v>#N/A</v>
      </c>
    </row>
    <row r="592" spans="1:20" ht="13.7" customHeight="1" x14ac:dyDescent="0.25">
      <c r="A592" t="s">
        <v>26</v>
      </c>
      <c r="B592" t="s">
        <v>27</v>
      </c>
      <c r="C592" t="s">
        <v>40</v>
      </c>
      <c r="D592">
        <v>30</v>
      </c>
      <c r="E592" s="5">
        <v>43756</v>
      </c>
      <c r="F592">
        <v>11100501</v>
      </c>
      <c r="G592">
        <v>0</v>
      </c>
      <c r="H592" t="s">
        <v>1105</v>
      </c>
      <c r="I592" t="s">
        <v>1106</v>
      </c>
      <c r="J592">
        <v>1012</v>
      </c>
      <c r="K592">
        <v>1110</v>
      </c>
      <c r="L592" s="3">
        <v>-302731080.45999998</v>
      </c>
      <c r="M592" s="3">
        <v>0</v>
      </c>
      <c r="N592">
        <v>138288</v>
      </c>
      <c r="O592">
        <v>0</v>
      </c>
      <c r="P592">
        <v>-302869368.45999998</v>
      </c>
      <c r="Q592" t="s">
        <v>30</v>
      </c>
      <c r="R592" t="s">
        <v>225</v>
      </c>
      <c r="S592" t="str">
        <v>#N/A</v>
      </c>
      <c r="T592" t="str">
        <v>#N/A</v>
      </c>
    </row>
    <row r="593" spans="1:20" ht="13.7" customHeight="1" x14ac:dyDescent="0.25">
      <c r="A593" t="s">
        <v>26</v>
      </c>
      <c r="B593" t="s">
        <v>27</v>
      </c>
      <c r="C593" t="s">
        <v>40</v>
      </c>
      <c r="D593">
        <v>31</v>
      </c>
      <c r="E593" s="5">
        <v>43756</v>
      </c>
      <c r="F593">
        <v>11100501</v>
      </c>
      <c r="G593">
        <v>0</v>
      </c>
      <c r="H593" t="s">
        <v>1105</v>
      </c>
      <c r="I593" t="s">
        <v>1106</v>
      </c>
      <c r="J593">
        <v>1012</v>
      </c>
      <c r="K593">
        <v>1110</v>
      </c>
      <c r="L593" s="3">
        <v>-302869368.45999998</v>
      </c>
      <c r="M593" s="3">
        <v>0</v>
      </c>
      <c r="N593">
        <v>318611</v>
      </c>
      <c r="O593">
        <v>0</v>
      </c>
      <c r="P593">
        <v>-303187979.45999998</v>
      </c>
      <c r="Q593" t="s">
        <v>30</v>
      </c>
      <c r="R593" t="s">
        <v>31</v>
      </c>
      <c r="S593" t="str">
        <v>#N/A</v>
      </c>
      <c r="T593" t="str">
        <v>#N/A</v>
      </c>
    </row>
    <row r="594" spans="1:20" ht="13.7" customHeight="1" x14ac:dyDescent="0.25">
      <c r="A594" t="s">
        <v>26</v>
      </c>
      <c r="B594" t="s">
        <v>27</v>
      </c>
      <c r="C594" t="s">
        <v>40</v>
      </c>
      <c r="D594">
        <v>32</v>
      </c>
      <c r="E594" s="5">
        <v>43756</v>
      </c>
      <c r="F594">
        <v>11100501</v>
      </c>
      <c r="G594">
        <v>0</v>
      </c>
      <c r="H594" t="s">
        <v>1105</v>
      </c>
      <c r="I594" t="s">
        <v>1106</v>
      </c>
      <c r="J594">
        <v>1012</v>
      </c>
      <c r="K594">
        <v>1110</v>
      </c>
      <c r="L594" s="3">
        <v>-303187979.45999998</v>
      </c>
      <c r="M594" s="3">
        <v>0</v>
      </c>
      <c r="N594">
        <v>130714</v>
      </c>
      <c r="O594">
        <v>0</v>
      </c>
      <c r="P594">
        <v>-303318693.45999998</v>
      </c>
      <c r="Q594" t="s">
        <v>30</v>
      </c>
      <c r="R594" t="s">
        <v>203</v>
      </c>
      <c r="S594" t="str">
        <v>#N/A</v>
      </c>
      <c r="T594" t="str">
        <v>#N/A</v>
      </c>
    </row>
    <row r="595" spans="1:20" ht="13.7" customHeight="1" x14ac:dyDescent="0.25">
      <c r="A595" t="s">
        <v>26</v>
      </c>
      <c r="B595" t="s">
        <v>27</v>
      </c>
      <c r="C595" t="s">
        <v>40</v>
      </c>
      <c r="D595">
        <v>34</v>
      </c>
      <c r="E595" s="5">
        <v>43756</v>
      </c>
      <c r="F595">
        <v>11100501</v>
      </c>
      <c r="G595">
        <v>0</v>
      </c>
      <c r="H595" t="s">
        <v>1105</v>
      </c>
      <c r="I595" t="s">
        <v>1106</v>
      </c>
      <c r="J595">
        <v>1012</v>
      </c>
      <c r="K595">
        <v>1110</v>
      </c>
      <c r="L595" s="3">
        <v>-303318693.45999998</v>
      </c>
      <c r="M595" s="3">
        <v>0</v>
      </c>
      <c r="N595">
        <v>750000</v>
      </c>
      <c r="O595">
        <v>0</v>
      </c>
      <c r="P595">
        <v>-304068693.45999998</v>
      </c>
      <c r="Q595" t="s">
        <v>30</v>
      </c>
      <c r="R595" t="s">
        <v>297</v>
      </c>
      <c r="S595" t="str">
        <v>#N/A</v>
      </c>
      <c r="T595" t="str">
        <v>#N/A</v>
      </c>
    </row>
    <row r="596" spans="1:20" ht="13.7" customHeight="1" x14ac:dyDescent="0.25">
      <c r="A596" t="s">
        <v>26</v>
      </c>
      <c r="B596" t="s">
        <v>27</v>
      </c>
      <c r="C596" t="s">
        <v>40</v>
      </c>
      <c r="D596">
        <v>38</v>
      </c>
      <c r="E596" s="5">
        <v>43756</v>
      </c>
      <c r="F596">
        <v>11100501</v>
      </c>
      <c r="G596">
        <v>0</v>
      </c>
      <c r="H596" t="s">
        <v>1105</v>
      </c>
      <c r="I596" t="s">
        <v>1106</v>
      </c>
      <c r="J596">
        <v>1012</v>
      </c>
      <c r="K596">
        <v>1110</v>
      </c>
      <c r="L596" s="3">
        <v>-304068693.45999998</v>
      </c>
      <c r="M596" s="3">
        <v>0</v>
      </c>
      <c r="N596">
        <v>357650</v>
      </c>
      <c r="O596">
        <v>0</v>
      </c>
      <c r="P596">
        <v>-304426343.45999998</v>
      </c>
      <c r="Q596" t="s">
        <v>30</v>
      </c>
      <c r="R596" t="s">
        <v>298</v>
      </c>
      <c r="S596" t="str">
        <v>#N/A</v>
      </c>
      <c r="T596" t="str">
        <v>#N/A</v>
      </c>
    </row>
    <row r="597" spans="1:20" ht="13.7" customHeight="1" x14ac:dyDescent="0.25">
      <c r="A597" t="s">
        <v>26</v>
      </c>
      <c r="B597" t="s">
        <v>27</v>
      </c>
      <c r="C597" t="s">
        <v>40</v>
      </c>
      <c r="D597">
        <v>37</v>
      </c>
      <c r="E597" s="5">
        <v>43757</v>
      </c>
      <c r="F597">
        <v>11100501</v>
      </c>
      <c r="G597">
        <v>0</v>
      </c>
      <c r="H597" t="s">
        <v>1105</v>
      </c>
      <c r="I597" t="s">
        <v>1106</v>
      </c>
      <c r="J597">
        <v>1012</v>
      </c>
      <c r="K597">
        <v>1110</v>
      </c>
      <c r="L597" s="3">
        <v>-304426343.45999998</v>
      </c>
      <c r="M597" s="3">
        <v>0</v>
      </c>
      <c r="N597">
        <v>3549701.3250000002</v>
      </c>
      <c r="O597">
        <v>0</v>
      </c>
      <c r="P597">
        <v>-307976044.78500003</v>
      </c>
      <c r="Q597" t="s">
        <v>30</v>
      </c>
      <c r="R597" t="s">
        <v>319</v>
      </c>
      <c r="S597" t="str">
        <v>#N/A</v>
      </c>
      <c r="T597" t="str">
        <v>#N/A</v>
      </c>
    </row>
    <row r="598" spans="1:20" ht="13.7" customHeight="1" x14ac:dyDescent="0.25">
      <c r="A598" t="s">
        <v>26</v>
      </c>
      <c r="B598" t="s">
        <v>27</v>
      </c>
      <c r="C598" t="s">
        <v>40</v>
      </c>
      <c r="D598">
        <v>62</v>
      </c>
      <c r="E598" s="5">
        <v>43757</v>
      </c>
      <c r="F598">
        <v>11100501</v>
      </c>
      <c r="G598">
        <v>0</v>
      </c>
      <c r="H598" t="s">
        <v>1105</v>
      </c>
      <c r="I598" t="s">
        <v>1106</v>
      </c>
      <c r="J598">
        <v>1012</v>
      </c>
      <c r="K598">
        <v>1110</v>
      </c>
      <c r="L598" s="3">
        <v>-307976044.78500003</v>
      </c>
      <c r="M598" s="3">
        <v>0</v>
      </c>
      <c r="N598">
        <v>2098765</v>
      </c>
      <c r="O598">
        <v>0</v>
      </c>
      <c r="P598">
        <v>-310074809.78500003</v>
      </c>
      <c r="Q598" t="s">
        <v>30</v>
      </c>
      <c r="R598" t="s">
        <v>299</v>
      </c>
      <c r="S598" t="str">
        <v>#N/A</v>
      </c>
      <c r="T598" t="str">
        <v>#N/A</v>
      </c>
    </row>
    <row r="599" spans="1:20" ht="13.7" customHeight="1" x14ac:dyDescent="0.25">
      <c r="A599" t="s">
        <v>26</v>
      </c>
      <c r="B599" t="s">
        <v>27</v>
      </c>
      <c r="C599" t="s">
        <v>41</v>
      </c>
      <c r="D599">
        <v>50</v>
      </c>
      <c r="E599" s="5">
        <v>43758</v>
      </c>
      <c r="F599">
        <v>11100501</v>
      </c>
      <c r="G599">
        <v>0</v>
      </c>
      <c r="H599" t="s">
        <v>1105</v>
      </c>
      <c r="I599" t="s">
        <v>1106</v>
      </c>
      <c r="J599">
        <v>1012</v>
      </c>
      <c r="K599">
        <v>1110</v>
      </c>
      <c r="L599" s="3">
        <v>-310074809.78500003</v>
      </c>
      <c r="M599" s="3">
        <v>0</v>
      </c>
      <c r="N599">
        <v>130714</v>
      </c>
      <c r="O599">
        <v>0</v>
      </c>
      <c r="P599">
        <v>-310205523.78500003</v>
      </c>
      <c r="Q599" t="s">
        <v>30</v>
      </c>
      <c r="R599" t="s">
        <v>203</v>
      </c>
      <c r="S599" t="str">
        <v>#N/A</v>
      </c>
      <c r="T599" t="str">
        <v>#N/A</v>
      </c>
    </row>
    <row r="600" spans="1:20" ht="13.7" customHeight="1" x14ac:dyDescent="0.25">
      <c r="A600" t="s">
        <v>26</v>
      </c>
      <c r="B600" t="s">
        <v>27</v>
      </c>
      <c r="C600" t="s">
        <v>40</v>
      </c>
      <c r="D600">
        <v>43</v>
      </c>
      <c r="E600" s="5">
        <v>43759</v>
      </c>
      <c r="F600">
        <v>11100501</v>
      </c>
      <c r="G600">
        <v>0</v>
      </c>
      <c r="H600" t="s">
        <v>1105</v>
      </c>
      <c r="I600" t="s">
        <v>1106</v>
      </c>
      <c r="J600">
        <v>1012</v>
      </c>
      <c r="K600">
        <v>1110</v>
      </c>
      <c r="L600" s="3">
        <v>-310205523.78500003</v>
      </c>
      <c r="M600" s="3">
        <v>0</v>
      </c>
      <c r="N600">
        <v>840000</v>
      </c>
      <c r="O600">
        <v>0</v>
      </c>
      <c r="P600">
        <v>-311045523.78500003</v>
      </c>
      <c r="Q600" t="s">
        <v>30</v>
      </c>
      <c r="R600" t="s">
        <v>86</v>
      </c>
      <c r="S600" t="str">
        <v>#N/A</v>
      </c>
      <c r="T600" t="str">
        <v>#N/A</v>
      </c>
    </row>
    <row r="601" spans="1:20" ht="13.7" customHeight="1" x14ac:dyDescent="0.25">
      <c r="A601" t="s">
        <v>26</v>
      </c>
      <c r="B601" t="s">
        <v>27</v>
      </c>
      <c r="C601" t="s">
        <v>40</v>
      </c>
      <c r="D601">
        <v>50</v>
      </c>
      <c r="E601" s="5">
        <v>43767</v>
      </c>
      <c r="F601">
        <v>11100501</v>
      </c>
      <c r="G601">
        <v>0</v>
      </c>
      <c r="H601" t="s">
        <v>1105</v>
      </c>
      <c r="I601" t="s">
        <v>1106</v>
      </c>
      <c r="J601">
        <v>1012</v>
      </c>
      <c r="K601">
        <v>1110</v>
      </c>
      <c r="L601" s="3">
        <v>-311045523.78500003</v>
      </c>
      <c r="M601" s="3">
        <v>0</v>
      </c>
      <c r="N601">
        <v>1485326</v>
      </c>
      <c r="O601">
        <v>0</v>
      </c>
      <c r="P601">
        <v>-312530849.78500003</v>
      </c>
      <c r="Q601" t="s">
        <v>30</v>
      </c>
      <c r="R601" t="s">
        <v>65</v>
      </c>
      <c r="S601" t="str">
        <v>#N/A</v>
      </c>
      <c r="T601" t="str">
        <v>#N/A</v>
      </c>
    </row>
    <row r="602" spans="1:20" ht="13.7" customHeight="1" x14ac:dyDescent="0.25">
      <c r="A602" t="s">
        <v>26</v>
      </c>
      <c r="B602" t="s">
        <v>27</v>
      </c>
      <c r="C602" t="s">
        <v>40</v>
      </c>
      <c r="D602">
        <v>60</v>
      </c>
      <c r="E602" s="5">
        <v>43769</v>
      </c>
      <c r="F602">
        <v>11100501</v>
      </c>
      <c r="G602">
        <v>0</v>
      </c>
      <c r="H602" t="s">
        <v>1105</v>
      </c>
      <c r="I602" t="s">
        <v>1106</v>
      </c>
      <c r="J602">
        <v>1012</v>
      </c>
      <c r="K602">
        <v>1110</v>
      </c>
      <c r="L602" s="3">
        <v>-312530849.78500003</v>
      </c>
      <c r="M602" s="3">
        <v>0</v>
      </c>
      <c r="N602">
        <v>1500000</v>
      </c>
      <c r="O602">
        <v>0</v>
      </c>
      <c r="P602">
        <v>-314030849.78500003</v>
      </c>
      <c r="Q602" t="s">
        <v>30</v>
      </c>
      <c r="R602" t="s">
        <v>263</v>
      </c>
      <c r="S602" t="str">
        <v>#N/A</v>
      </c>
      <c r="T602" t="str">
        <v>#N/A</v>
      </c>
    </row>
    <row r="603" spans="1:20" ht="13.7" customHeight="1" x14ac:dyDescent="0.25">
      <c r="A603" t="s">
        <v>26</v>
      </c>
      <c r="B603" t="s">
        <v>27</v>
      </c>
      <c r="C603" t="s">
        <v>41</v>
      </c>
      <c r="D603">
        <v>3</v>
      </c>
      <c r="E603" s="5">
        <v>43770</v>
      </c>
      <c r="F603">
        <v>11100501</v>
      </c>
      <c r="G603">
        <v>0</v>
      </c>
      <c r="H603" t="s">
        <v>1105</v>
      </c>
      <c r="I603" t="s">
        <v>1106</v>
      </c>
      <c r="J603">
        <v>1012</v>
      </c>
      <c r="K603">
        <v>1110</v>
      </c>
      <c r="L603" s="3">
        <v>-314030849.78500003</v>
      </c>
      <c r="M603" s="3">
        <v>0</v>
      </c>
      <c r="N603">
        <v>491746</v>
      </c>
      <c r="O603">
        <v>0</v>
      </c>
      <c r="P603">
        <v>-314522595.78500003</v>
      </c>
      <c r="Q603" t="s">
        <v>30</v>
      </c>
      <c r="R603" t="s">
        <v>300</v>
      </c>
      <c r="S603" t="str">
        <v>#N/A</v>
      </c>
      <c r="T603" t="str">
        <v>#N/A</v>
      </c>
    </row>
    <row r="604" spans="1:20" ht="13.7" customHeight="1" x14ac:dyDescent="0.25">
      <c r="A604" t="s">
        <v>26</v>
      </c>
      <c r="B604" t="s">
        <v>27</v>
      </c>
      <c r="C604" t="s">
        <v>41</v>
      </c>
      <c r="D604">
        <v>76</v>
      </c>
      <c r="E604" s="5">
        <v>43771</v>
      </c>
      <c r="F604">
        <v>11100501</v>
      </c>
      <c r="G604">
        <v>0</v>
      </c>
      <c r="H604" t="s">
        <v>1105</v>
      </c>
      <c r="I604" t="s">
        <v>1106</v>
      </c>
      <c r="J604">
        <v>1012</v>
      </c>
      <c r="K604">
        <v>1110</v>
      </c>
      <c r="L604" s="3">
        <v>-314522595.78500003</v>
      </c>
      <c r="M604" s="3">
        <v>0</v>
      </c>
      <c r="N604">
        <v>2069677</v>
      </c>
      <c r="O604">
        <v>0</v>
      </c>
      <c r="P604">
        <v>-316592272.78500003</v>
      </c>
      <c r="Q604" t="s">
        <v>30</v>
      </c>
      <c r="R604" t="s">
        <v>301</v>
      </c>
      <c r="S604" t="str">
        <v>#N/A</v>
      </c>
      <c r="T604" t="str">
        <v>#N/A</v>
      </c>
    </row>
    <row r="605" spans="1:20" ht="13.7" customHeight="1" x14ac:dyDescent="0.25">
      <c r="A605" t="s">
        <v>26</v>
      </c>
      <c r="B605" t="s">
        <v>27</v>
      </c>
      <c r="C605" t="s">
        <v>41</v>
      </c>
      <c r="D605">
        <v>24</v>
      </c>
      <c r="E605" s="5">
        <v>43781</v>
      </c>
      <c r="F605">
        <v>11100501</v>
      </c>
      <c r="G605">
        <v>0</v>
      </c>
      <c r="H605" t="s">
        <v>1105</v>
      </c>
      <c r="I605" t="s">
        <v>1106</v>
      </c>
      <c r="J605">
        <v>1012</v>
      </c>
      <c r="K605">
        <v>1110</v>
      </c>
      <c r="L605" s="3">
        <v>-316592272.78500003</v>
      </c>
      <c r="M605" s="3">
        <v>0</v>
      </c>
      <c r="N605">
        <v>1506334</v>
      </c>
      <c r="O605">
        <v>0</v>
      </c>
      <c r="P605">
        <v>-318098606.78500003</v>
      </c>
      <c r="Q605" t="s">
        <v>30</v>
      </c>
      <c r="R605" t="s">
        <v>302</v>
      </c>
      <c r="S605" t="str">
        <v>#N/A</v>
      </c>
      <c r="T605" t="str">
        <v>#N/A</v>
      </c>
    </row>
    <row r="606" spans="1:20" ht="13.7" customHeight="1" x14ac:dyDescent="0.25">
      <c r="A606" t="s">
        <v>26</v>
      </c>
      <c r="B606" t="s">
        <v>27</v>
      </c>
      <c r="C606" t="s">
        <v>41</v>
      </c>
      <c r="D606">
        <v>25</v>
      </c>
      <c r="E606" s="5">
        <v>43781</v>
      </c>
      <c r="F606">
        <v>11100501</v>
      </c>
      <c r="G606">
        <v>0</v>
      </c>
      <c r="H606" t="s">
        <v>1105</v>
      </c>
      <c r="I606" t="s">
        <v>1106</v>
      </c>
      <c r="J606">
        <v>1012</v>
      </c>
      <c r="K606">
        <v>1110</v>
      </c>
      <c r="L606" s="3">
        <v>-318098606.78500003</v>
      </c>
      <c r="M606" s="3">
        <v>0</v>
      </c>
      <c r="N606">
        <v>129500</v>
      </c>
      <c r="O606">
        <v>0</v>
      </c>
      <c r="P606">
        <v>-318228106.78500003</v>
      </c>
      <c r="Q606" t="s">
        <v>30</v>
      </c>
      <c r="R606" t="s">
        <v>303</v>
      </c>
      <c r="S606" t="str">
        <v>#N/A</v>
      </c>
      <c r="T606" t="str">
        <v>#N/A</v>
      </c>
    </row>
    <row r="607" spans="1:20" ht="13.7" customHeight="1" x14ac:dyDescent="0.25">
      <c r="A607" t="s">
        <v>26</v>
      </c>
      <c r="B607" t="s">
        <v>27</v>
      </c>
      <c r="C607" t="s">
        <v>41</v>
      </c>
      <c r="D607">
        <v>39</v>
      </c>
      <c r="E607" s="5">
        <v>43785</v>
      </c>
      <c r="F607">
        <v>11100501</v>
      </c>
      <c r="G607">
        <v>0</v>
      </c>
      <c r="H607" t="s">
        <v>1105</v>
      </c>
      <c r="I607" t="s">
        <v>1106</v>
      </c>
      <c r="J607">
        <v>1012</v>
      </c>
      <c r="K607">
        <v>1110</v>
      </c>
      <c r="L607" s="3">
        <v>-318228106.78500003</v>
      </c>
      <c r="M607" s="3">
        <v>0</v>
      </c>
      <c r="N607">
        <v>456000</v>
      </c>
      <c r="O607">
        <v>0</v>
      </c>
      <c r="P607">
        <v>-318684106.78500003</v>
      </c>
      <c r="Q607" t="s">
        <v>30</v>
      </c>
      <c r="R607" t="s">
        <v>304</v>
      </c>
      <c r="S607" t="str">
        <v>#N/A</v>
      </c>
      <c r="T607" t="str">
        <v>#N/A</v>
      </c>
    </row>
    <row r="608" spans="1:20" ht="13.7" customHeight="1" x14ac:dyDescent="0.25">
      <c r="A608" t="s">
        <v>26</v>
      </c>
      <c r="B608" t="s">
        <v>27</v>
      </c>
      <c r="C608" t="s">
        <v>41</v>
      </c>
      <c r="D608">
        <v>40</v>
      </c>
      <c r="E608" s="5">
        <v>43785</v>
      </c>
      <c r="F608">
        <v>11100501</v>
      </c>
      <c r="G608">
        <v>0</v>
      </c>
      <c r="H608" t="s">
        <v>1105</v>
      </c>
      <c r="I608" t="s">
        <v>1106</v>
      </c>
      <c r="J608">
        <v>1012</v>
      </c>
      <c r="K608">
        <v>1110</v>
      </c>
      <c r="L608" s="3">
        <v>-318684106.78500003</v>
      </c>
      <c r="M608" s="3">
        <v>0</v>
      </c>
      <c r="N608">
        <v>1500000</v>
      </c>
      <c r="O608">
        <v>0</v>
      </c>
      <c r="P608">
        <v>-320184106.78500003</v>
      </c>
      <c r="Q608" t="s">
        <v>30</v>
      </c>
      <c r="R608" t="s">
        <v>69</v>
      </c>
      <c r="S608" t="str">
        <v>#N/A</v>
      </c>
      <c r="T608" t="str">
        <v>#N/A</v>
      </c>
    </row>
    <row r="609" spans="1:20" ht="13.7" customHeight="1" x14ac:dyDescent="0.25">
      <c r="A609" t="s">
        <v>26</v>
      </c>
      <c r="B609" t="s">
        <v>27</v>
      </c>
      <c r="C609" t="s">
        <v>41</v>
      </c>
      <c r="D609">
        <v>77</v>
      </c>
      <c r="E609" s="5">
        <v>43785</v>
      </c>
      <c r="F609">
        <v>11100501</v>
      </c>
      <c r="G609">
        <v>0</v>
      </c>
      <c r="H609" t="s">
        <v>1105</v>
      </c>
      <c r="I609" t="s">
        <v>1106</v>
      </c>
      <c r="J609">
        <v>1012</v>
      </c>
      <c r="K609">
        <v>1110</v>
      </c>
      <c r="L609" s="3">
        <v>-320184106.78500003</v>
      </c>
      <c r="M609" s="3">
        <v>0</v>
      </c>
      <c r="N609">
        <v>2164862</v>
      </c>
      <c r="O609">
        <v>0</v>
      </c>
      <c r="P609">
        <v>-322348968.78500003</v>
      </c>
      <c r="Q609" t="s">
        <v>30</v>
      </c>
      <c r="R609" t="s">
        <v>305</v>
      </c>
      <c r="S609" t="str">
        <v>#N/A</v>
      </c>
      <c r="T609" t="str">
        <v>#N/A</v>
      </c>
    </row>
    <row r="610" spans="1:20" ht="13.7" customHeight="1" x14ac:dyDescent="0.25">
      <c r="A610" t="s">
        <v>26</v>
      </c>
      <c r="B610" t="s">
        <v>27</v>
      </c>
      <c r="C610" t="s">
        <v>41</v>
      </c>
      <c r="D610">
        <v>46</v>
      </c>
      <c r="E610" s="5">
        <v>43787</v>
      </c>
      <c r="F610">
        <v>11100501</v>
      </c>
      <c r="G610">
        <v>0</v>
      </c>
      <c r="H610" t="s">
        <v>1105</v>
      </c>
      <c r="I610" t="s">
        <v>1106</v>
      </c>
      <c r="J610">
        <v>1012</v>
      </c>
      <c r="K610">
        <v>1110</v>
      </c>
      <c r="L610" s="3">
        <v>-322348968.78500003</v>
      </c>
      <c r="M610" s="3">
        <v>0</v>
      </c>
      <c r="N610">
        <v>282130</v>
      </c>
      <c r="O610">
        <v>0</v>
      </c>
      <c r="P610">
        <v>-322631098.78500003</v>
      </c>
      <c r="Q610" t="s">
        <v>30</v>
      </c>
      <c r="R610" t="s">
        <v>42</v>
      </c>
      <c r="S610" t="str">
        <v>#N/A</v>
      </c>
      <c r="T610" t="str">
        <v>#N/A</v>
      </c>
    </row>
    <row r="611" spans="1:20" ht="13.7" customHeight="1" x14ac:dyDescent="0.25">
      <c r="A611" t="s">
        <v>26</v>
      </c>
      <c r="B611" t="s">
        <v>27</v>
      </c>
      <c r="C611" t="s">
        <v>41</v>
      </c>
      <c r="D611">
        <v>51</v>
      </c>
      <c r="E611" s="5">
        <v>43788</v>
      </c>
      <c r="F611">
        <v>11100501</v>
      </c>
      <c r="G611">
        <v>0</v>
      </c>
      <c r="H611" t="s">
        <v>1105</v>
      </c>
      <c r="I611" t="s">
        <v>1106</v>
      </c>
      <c r="J611">
        <v>1012</v>
      </c>
      <c r="K611">
        <v>1110</v>
      </c>
      <c r="L611" s="3">
        <v>-322631098.78500003</v>
      </c>
      <c r="M611" s="3">
        <v>0</v>
      </c>
      <c r="N611">
        <v>10000000</v>
      </c>
      <c r="O611">
        <v>0</v>
      </c>
      <c r="P611">
        <v>-332631098.78500003</v>
      </c>
      <c r="Q611" t="s">
        <v>30</v>
      </c>
      <c r="R611" t="s">
        <v>306</v>
      </c>
      <c r="S611" t="str">
        <v>#N/A</v>
      </c>
      <c r="T611" t="str">
        <v>#N/A</v>
      </c>
    </row>
    <row r="612" spans="1:20" ht="13.7" customHeight="1" x14ac:dyDescent="0.25">
      <c r="A612" t="s">
        <v>26</v>
      </c>
      <c r="B612" t="s">
        <v>27</v>
      </c>
      <c r="C612" t="s">
        <v>41</v>
      </c>
      <c r="D612">
        <v>49</v>
      </c>
      <c r="E612" s="5">
        <v>43789</v>
      </c>
      <c r="F612">
        <v>11100501</v>
      </c>
      <c r="G612">
        <v>0</v>
      </c>
      <c r="H612" t="s">
        <v>1105</v>
      </c>
      <c r="I612" t="s">
        <v>1106</v>
      </c>
      <c r="J612">
        <v>1012</v>
      </c>
      <c r="K612">
        <v>1110</v>
      </c>
      <c r="L612" s="3">
        <v>-332631098.78500003</v>
      </c>
      <c r="M612" s="3">
        <v>0</v>
      </c>
      <c r="N612">
        <v>1465888.87</v>
      </c>
      <c r="O612">
        <v>0</v>
      </c>
      <c r="P612">
        <v>-334096987.65499997</v>
      </c>
      <c r="Q612" t="s">
        <v>30</v>
      </c>
      <c r="R612" t="s">
        <v>307</v>
      </c>
      <c r="S612" t="str">
        <v>#N/A</v>
      </c>
      <c r="T612" t="str">
        <v>#N/A</v>
      </c>
    </row>
    <row r="613" spans="1:20" ht="13.7" customHeight="1" x14ac:dyDescent="0.25">
      <c r="A613" t="s">
        <v>26</v>
      </c>
      <c r="B613" t="s">
        <v>27</v>
      </c>
      <c r="C613" t="s">
        <v>41</v>
      </c>
      <c r="D613">
        <v>56</v>
      </c>
      <c r="E613" s="5">
        <v>43792</v>
      </c>
      <c r="F613">
        <v>11100501</v>
      </c>
      <c r="G613">
        <v>0</v>
      </c>
      <c r="H613" t="s">
        <v>1105</v>
      </c>
      <c r="I613" t="s">
        <v>1106</v>
      </c>
      <c r="J613">
        <v>1012</v>
      </c>
      <c r="K613">
        <v>1110</v>
      </c>
      <c r="L613" s="3">
        <v>-334096987.65499997</v>
      </c>
      <c r="M613" s="3">
        <v>0</v>
      </c>
      <c r="N613">
        <v>840000</v>
      </c>
      <c r="O613">
        <v>0</v>
      </c>
      <c r="P613">
        <v>-334936987.65499997</v>
      </c>
      <c r="Q613" t="s">
        <v>30</v>
      </c>
      <c r="R613" t="s">
        <v>86</v>
      </c>
      <c r="S613" t="str">
        <v>#N/A</v>
      </c>
      <c r="T613" t="str">
        <v>#N/A</v>
      </c>
    </row>
    <row r="614" spans="1:20" ht="13.7" customHeight="1" x14ac:dyDescent="0.25">
      <c r="A614" t="s">
        <v>26</v>
      </c>
      <c r="B614" t="s">
        <v>27</v>
      </c>
      <c r="C614" t="s">
        <v>41</v>
      </c>
      <c r="D614">
        <v>61</v>
      </c>
      <c r="E614" s="5">
        <v>43794</v>
      </c>
      <c r="F614">
        <v>11100501</v>
      </c>
      <c r="G614">
        <v>0</v>
      </c>
      <c r="H614" t="s">
        <v>1105</v>
      </c>
      <c r="I614" t="s">
        <v>1106</v>
      </c>
      <c r="J614">
        <v>1012</v>
      </c>
      <c r="K614">
        <v>1110</v>
      </c>
      <c r="L614" s="3">
        <v>-334936987.65499997</v>
      </c>
      <c r="M614" s="3">
        <v>0</v>
      </c>
      <c r="N614">
        <v>64899</v>
      </c>
      <c r="O614">
        <v>0</v>
      </c>
      <c r="P614">
        <v>-335001886.65499997</v>
      </c>
      <c r="Q614" t="s">
        <v>30</v>
      </c>
      <c r="R614" t="s">
        <v>204</v>
      </c>
      <c r="S614" t="str">
        <v>#N/A</v>
      </c>
      <c r="T614" t="str">
        <v>#N/A</v>
      </c>
    </row>
    <row r="615" spans="1:20" ht="13.7" customHeight="1" x14ac:dyDescent="0.25">
      <c r="A615" t="s">
        <v>26</v>
      </c>
      <c r="B615" t="s">
        <v>27</v>
      </c>
      <c r="C615" t="s">
        <v>41</v>
      </c>
      <c r="D615">
        <v>62</v>
      </c>
      <c r="E615" s="5">
        <v>43794</v>
      </c>
      <c r="F615">
        <v>11100501</v>
      </c>
      <c r="G615">
        <v>0</v>
      </c>
      <c r="H615" t="s">
        <v>1105</v>
      </c>
      <c r="I615" t="s">
        <v>1106</v>
      </c>
      <c r="J615">
        <v>1012</v>
      </c>
      <c r="K615">
        <v>1110</v>
      </c>
      <c r="L615" s="3">
        <v>-335001886.65499997</v>
      </c>
      <c r="M615" s="3">
        <v>0</v>
      </c>
      <c r="N615">
        <v>138100</v>
      </c>
      <c r="O615">
        <v>0</v>
      </c>
      <c r="P615">
        <v>-335139986.65499997</v>
      </c>
      <c r="Q615" t="s">
        <v>30</v>
      </c>
      <c r="R615" t="s">
        <v>225</v>
      </c>
      <c r="S615" t="str">
        <v>#N/A</v>
      </c>
      <c r="T615" t="str">
        <v>#N/A</v>
      </c>
    </row>
    <row r="616" spans="1:20" ht="13.7" customHeight="1" x14ac:dyDescent="0.25">
      <c r="A616" t="s">
        <v>26</v>
      </c>
      <c r="B616" t="s">
        <v>27</v>
      </c>
      <c r="C616" t="s">
        <v>41</v>
      </c>
      <c r="D616">
        <v>75</v>
      </c>
      <c r="E616" s="5">
        <v>43799</v>
      </c>
      <c r="F616">
        <v>11100501</v>
      </c>
      <c r="G616">
        <v>0</v>
      </c>
      <c r="H616" t="s">
        <v>1105</v>
      </c>
      <c r="I616" t="s">
        <v>1106</v>
      </c>
      <c r="J616">
        <v>1012</v>
      </c>
      <c r="K616">
        <v>1110</v>
      </c>
      <c r="L616" s="3">
        <v>-335139986.65499997</v>
      </c>
      <c r="M616" s="3">
        <v>0</v>
      </c>
      <c r="N616">
        <v>880000</v>
      </c>
      <c r="O616">
        <v>0</v>
      </c>
      <c r="P616">
        <v>-336019986.65499997</v>
      </c>
      <c r="Q616" t="s">
        <v>30</v>
      </c>
      <c r="R616" t="s">
        <v>308</v>
      </c>
      <c r="S616" t="str">
        <v>#N/A</v>
      </c>
      <c r="T616" t="str">
        <v>#N/A</v>
      </c>
    </row>
    <row r="617" spans="1:20" ht="13.7" customHeight="1" x14ac:dyDescent="0.25">
      <c r="A617" t="s">
        <v>26</v>
      </c>
      <c r="B617" t="s">
        <v>27</v>
      </c>
      <c r="C617" t="s">
        <v>41</v>
      </c>
      <c r="D617">
        <v>78</v>
      </c>
      <c r="E617" s="5">
        <v>43799</v>
      </c>
      <c r="F617">
        <v>11100501</v>
      </c>
      <c r="G617">
        <v>0</v>
      </c>
      <c r="H617" t="s">
        <v>1105</v>
      </c>
      <c r="I617" t="s">
        <v>1106</v>
      </c>
      <c r="J617">
        <v>1012</v>
      </c>
      <c r="K617">
        <v>1110</v>
      </c>
      <c r="L617" s="3">
        <v>-336019986.65499997</v>
      </c>
      <c r="M617" s="3">
        <v>0</v>
      </c>
      <c r="N617">
        <v>1971584</v>
      </c>
      <c r="O617">
        <v>0</v>
      </c>
      <c r="P617">
        <v>-337991570.65499997</v>
      </c>
      <c r="Q617" t="s">
        <v>30</v>
      </c>
      <c r="R617" t="s">
        <v>309</v>
      </c>
      <c r="S617" t="str">
        <v>#N/A</v>
      </c>
      <c r="T617" t="str">
        <v>#N/A</v>
      </c>
    </row>
    <row r="618" spans="1:20" ht="13.7" customHeight="1" x14ac:dyDescent="0.25">
      <c r="A618" t="s">
        <v>26</v>
      </c>
      <c r="B618" t="s">
        <v>27</v>
      </c>
      <c r="C618" t="s">
        <v>41</v>
      </c>
      <c r="D618">
        <v>7</v>
      </c>
      <c r="E618" s="5">
        <v>43803</v>
      </c>
      <c r="F618">
        <v>11100501</v>
      </c>
      <c r="G618">
        <v>0</v>
      </c>
      <c r="H618" t="s">
        <v>1105</v>
      </c>
      <c r="I618" t="s">
        <v>1106</v>
      </c>
      <c r="J618">
        <v>1012</v>
      </c>
      <c r="K618">
        <v>1110</v>
      </c>
      <c r="L618" s="3">
        <v>-337991570.65499997</v>
      </c>
      <c r="M618" s="3">
        <v>0</v>
      </c>
      <c r="N618">
        <v>327200</v>
      </c>
      <c r="O618">
        <v>0</v>
      </c>
      <c r="P618">
        <v>-338318770.65499997</v>
      </c>
      <c r="Q618" t="s">
        <v>30</v>
      </c>
      <c r="R618" t="s">
        <v>88</v>
      </c>
      <c r="S618" t="str">
        <v>#N/A</v>
      </c>
      <c r="T618" t="str">
        <v>#N/A</v>
      </c>
    </row>
    <row r="619" spans="1:20" ht="13.7" customHeight="1" x14ac:dyDescent="0.25">
      <c r="A619" t="s">
        <v>26</v>
      </c>
      <c r="B619" t="s">
        <v>27</v>
      </c>
      <c r="C619" t="s">
        <v>180</v>
      </c>
      <c r="D619">
        <v>7</v>
      </c>
      <c r="E619" s="5">
        <v>43804</v>
      </c>
      <c r="F619">
        <v>11100501</v>
      </c>
      <c r="G619">
        <v>0</v>
      </c>
      <c r="H619" t="s">
        <v>1105</v>
      </c>
      <c r="I619" t="s">
        <v>1106</v>
      </c>
      <c r="J619">
        <v>1012</v>
      </c>
      <c r="K619">
        <v>1110</v>
      </c>
      <c r="L619" s="3">
        <v>-338318770.65499997</v>
      </c>
      <c r="M619" s="3">
        <v>0</v>
      </c>
      <c r="N619">
        <v>1815871</v>
      </c>
      <c r="O619">
        <v>0</v>
      </c>
      <c r="P619">
        <v>-340134641.65499997</v>
      </c>
      <c r="Q619" t="s">
        <v>30</v>
      </c>
      <c r="R619" t="s">
        <v>310</v>
      </c>
      <c r="S619" t="str">
        <v>#N/A</v>
      </c>
      <c r="T619" t="str">
        <v>#N/A</v>
      </c>
    </row>
    <row r="620" spans="1:20" ht="13.7" customHeight="1" x14ac:dyDescent="0.25">
      <c r="A620" t="s">
        <v>26</v>
      </c>
      <c r="B620" t="s">
        <v>27</v>
      </c>
      <c r="C620" t="s">
        <v>180</v>
      </c>
      <c r="D620">
        <v>8</v>
      </c>
      <c r="E620" s="5">
        <v>43805</v>
      </c>
      <c r="F620">
        <v>11100501</v>
      </c>
      <c r="G620">
        <v>0</v>
      </c>
      <c r="H620" t="s">
        <v>1105</v>
      </c>
      <c r="I620" t="s">
        <v>1106</v>
      </c>
      <c r="J620">
        <v>1012</v>
      </c>
      <c r="K620">
        <v>1110</v>
      </c>
      <c r="L620" s="3">
        <v>-340134641.65499997</v>
      </c>
      <c r="M620" s="3">
        <v>0</v>
      </c>
      <c r="N620">
        <v>880000</v>
      </c>
      <c r="O620">
        <v>0</v>
      </c>
      <c r="P620">
        <v>-341014641.65499997</v>
      </c>
      <c r="Q620" t="s">
        <v>30</v>
      </c>
      <c r="R620" t="s">
        <v>311</v>
      </c>
      <c r="S620" t="str">
        <v>#N/A</v>
      </c>
      <c r="T620" t="str">
        <v>#N/A</v>
      </c>
    </row>
    <row r="621" spans="1:20" ht="13.7" customHeight="1" x14ac:dyDescent="0.25">
      <c r="A621" t="s">
        <v>26</v>
      </c>
      <c r="B621" t="s">
        <v>27</v>
      </c>
      <c r="C621" t="s">
        <v>180</v>
      </c>
      <c r="D621">
        <v>9</v>
      </c>
      <c r="E621" s="5">
        <v>43805</v>
      </c>
      <c r="F621">
        <v>11100501</v>
      </c>
      <c r="G621">
        <v>0</v>
      </c>
      <c r="H621" t="s">
        <v>1105</v>
      </c>
      <c r="I621" t="s">
        <v>1106</v>
      </c>
      <c r="J621">
        <v>1012</v>
      </c>
      <c r="K621">
        <v>1110</v>
      </c>
      <c r="L621" s="3">
        <v>-341014641.65499997</v>
      </c>
      <c r="M621" s="3">
        <v>0</v>
      </c>
      <c r="N621">
        <v>709380</v>
      </c>
      <c r="O621">
        <v>0</v>
      </c>
      <c r="P621">
        <v>-341724021.65499997</v>
      </c>
      <c r="Q621" t="s">
        <v>30</v>
      </c>
      <c r="R621" t="s">
        <v>312</v>
      </c>
      <c r="S621" t="str">
        <v>#N/A</v>
      </c>
      <c r="T621" t="str">
        <v>#N/A</v>
      </c>
    </row>
    <row r="622" spans="1:20" ht="13.7" customHeight="1" x14ac:dyDescent="0.25">
      <c r="A622" t="s">
        <v>26</v>
      </c>
      <c r="B622" t="s">
        <v>27</v>
      </c>
      <c r="C622" t="s">
        <v>180</v>
      </c>
      <c r="D622">
        <v>16</v>
      </c>
      <c r="E622" s="5">
        <v>43806</v>
      </c>
      <c r="F622">
        <v>11100501</v>
      </c>
      <c r="G622">
        <v>0</v>
      </c>
      <c r="H622" t="s">
        <v>1105</v>
      </c>
      <c r="I622" t="s">
        <v>1106</v>
      </c>
      <c r="J622">
        <v>1012</v>
      </c>
      <c r="K622">
        <v>1110</v>
      </c>
      <c r="L622" s="3">
        <v>-341724021.65499997</v>
      </c>
      <c r="M622" s="3">
        <v>0</v>
      </c>
      <c r="N622">
        <v>350000</v>
      </c>
      <c r="O622">
        <v>0</v>
      </c>
      <c r="P622">
        <v>-342074021.65499997</v>
      </c>
      <c r="Q622" t="s">
        <v>30</v>
      </c>
      <c r="R622" t="s">
        <v>313</v>
      </c>
      <c r="S622" t="str">
        <v>#N/A</v>
      </c>
      <c r="T622" t="str">
        <v>#N/A</v>
      </c>
    </row>
    <row r="623" spans="1:20" ht="13.7" customHeight="1" x14ac:dyDescent="0.25">
      <c r="A623" t="s">
        <v>26</v>
      </c>
      <c r="B623" t="s">
        <v>27</v>
      </c>
      <c r="C623" t="s">
        <v>180</v>
      </c>
      <c r="D623">
        <v>21</v>
      </c>
      <c r="E623" s="5">
        <v>43810</v>
      </c>
      <c r="F623">
        <v>11100501</v>
      </c>
      <c r="G623">
        <v>0</v>
      </c>
      <c r="H623" t="s">
        <v>1105</v>
      </c>
      <c r="I623" t="s">
        <v>1106</v>
      </c>
      <c r="J623">
        <v>1012</v>
      </c>
      <c r="K623">
        <v>1110</v>
      </c>
      <c r="L623" s="3">
        <v>-342074021.65499997</v>
      </c>
      <c r="M623" s="3">
        <v>0</v>
      </c>
      <c r="N623">
        <v>1237401</v>
      </c>
      <c r="O623">
        <v>0</v>
      </c>
      <c r="P623">
        <v>-343311422.65499997</v>
      </c>
      <c r="Q623" t="s">
        <v>30</v>
      </c>
      <c r="R623" t="s">
        <v>314</v>
      </c>
      <c r="S623" t="str">
        <v>#N/A</v>
      </c>
      <c r="T623" t="str">
        <v>#N/A</v>
      </c>
    </row>
    <row r="624" spans="1:20" ht="13.7" customHeight="1" x14ac:dyDescent="0.25">
      <c r="A624" t="s">
        <v>26</v>
      </c>
      <c r="B624" t="s">
        <v>27</v>
      </c>
      <c r="C624" t="s">
        <v>180</v>
      </c>
      <c r="D624">
        <v>22</v>
      </c>
      <c r="E624" s="5">
        <v>43810</v>
      </c>
      <c r="F624">
        <v>11100501</v>
      </c>
      <c r="G624">
        <v>0</v>
      </c>
      <c r="H624" t="s">
        <v>1105</v>
      </c>
      <c r="I624" t="s">
        <v>1106</v>
      </c>
      <c r="J624">
        <v>1012</v>
      </c>
      <c r="K624">
        <v>1110</v>
      </c>
      <c r="L624" s="3">
        <v>-343311422.65499997</v>
      </c>
      <c r="M624" s="3">
        <v>0</v>
      </c>
      <c r="N624">
        <v>372715</v>
      </c>
      <c r="O624">
        <v>0</v>
      </c>
      <c r="P624">
        <v>-343684137.65499997</v>
      </c>
      <c r="Q624" t="s">
        <v>30</v>
      </c>
      <c r="R624" t="s">
        <v>188</v>
      </c>
      <c r="S624" t="str">
        <v>#N/A</v>
      </c>
      <c r="T624" t="str">
        <v>#N/A</v>
      </c>
    </row>
    <row r="625" spans="1:20" ht="13.7" customHeight="1" x14ac:dyDescent="0.25">
      <c r="A625" t="s">
        <v>26</v>
      </c>
      <c r="B625" t="s">
        <v>27</v>
      </c>
      <c r="C625" t="s">
        <v>180</v>
      </c>
      <c r="D625">
        <v>23</v>
      </c>
      <c r="E625" s="5">
        <v>43810</v>
      </c>
      <c r="F625">
        <v>11100501</v>
      </c>
      <c r="G625">
        <v>0</v>
      </c>
      <c r="H625" t="s">
        <v>1105</v>
      </c>
      <c r="I625" t="s">
        <v>1106</v>
      </c>
      <c r="J625">
        <v>1012</v>
      </c>
      <c r="K625">
        <v>1110</v>
      </c>
      <c r="L625" s="3">
        <v>-343684137.65499997</v>
      </c>
      <c r="M625" s="3">
        <v>0</v>
      </c>
      <c r="N625">
        <v>1095596</v>
      </c>
      <c r="O625">
        <v>0</v>
      </c>
      <c r="P625">
        <v>-344779733.65499997</v>
      </c>
      <c r="Q625" t="s">
        <v>30</v>
      </c>
      <c r="R625" t="s">
        <v>314</v>
      </c>
      <c r="S625" t="str">
        <v>#N/A</v>
      </c>
      <c r="T625" t="str">
        <v>#N/A</v>
      </c>
    </row>
    <row r="626" spans="1:20" ht="13.7" customHeight="1" x14ac:dyDescent="0.25">
      <c r="A626" t="s">
        <v>26</v>
      </c>
      <c r="B626" t="s">
        <v>27</v>
      </c>
      <c r="C626" t="s">
        <v>180</v>
      </c>
      <c r="D626">
        <v>27</v>
      </c>
      <c r="E626" s="5">
        <v>43811</v>
      </c>
      <c r="F626">
        <v>11100501</v>
      </c>
      <c r="G626">
        <v>0</v>
      </c>
      <c r="H626" t="s">
        <v>1105</v>
      </c>
      <c r="I626" t="s">
        <v>1106</v>
      </c>
      <c r="J626">
        <v>1012</v>
      </c>
      <c r="K626">
        <v>1110</v>
      </c>
      <c r="L626" s="3">
        <v>-344779733.65499997</v>
      </c>
      <c r="M626" s="3">
        <v>0</v>
      </c>
      <c r="N626">
        <v>542000</v>
      </c>
      <c r="O626">
        <v>0</v>
      </c>
      <c r="P626">
        <v>-345321733.65499997</v>
      </c>
      <c r="Q626" t="s">
        <v>30</v>
      </c>
      <c r="R626" t="s">
        <v>315</v>
      </c>
      <c r="S626" t="str">
        <v>#N/A</v>
      </c>
      <c r="T626" t="str">
        <v>#N/A</v>
      </c>
    </row>
    <row r="627" spans="1:20" ht="13.7" customHeight="1" x14ac:dyDescent="0.25">
      <c r="A627" t="s">
        <v>26</v>
      </c>
      <c r="B627" t="s">
        <v>27</v>
      </c>
      <c r="C627" t="s">
        <v>180</v>
      </c>
      <c r="D627">
        <v>1</v>
      </c>
      <c r="E627" s="5">
        <v>43813</v>
      </c>
      <c r="F627">
        <v>11100501</v>
      </c>
      <c r="G627">
        <v>0</v>
      </c>
      <c r="H627" t="s">
        <v>1105</v>
      </c>
      <c r="I627" t="s">
        <v>1106</v>
      </c>
      <c r="J627">
        <v>1012</v>
      </c>
      <c r="K627">
        <v>1110</v>
      </c>
      <c r="L627" s="3">
        <v>-345321733.65499997</v>
      </c>
      <c r="M627" s="3">
        <v>0</v>
      </c>
      <c r="N627">
        <v>1927833</v>
      </c>
      <c r="O627">
        <v>0</v>
      </c>
      <c r="P627">
        <v>-347249566.65499997</v>
      </c>
      <c r="Q627" t="s">
        <v>30</v>
      </c>
      <c r="R627" t="s">
        <v>316</v>
      </c>
      <c r="S627" t="str">
        <v>#N/A</v>
      </c>
      <c r="T627" t="str">
        <v>#N/A</v>
      </c>
    </row>
    <row r="628" spans="1:20" ht="13.7" customHeight="1" x14ac:dyDescent="0.25">
      <c r="A628" t="s">
        <v>26</v>
      </c>
      <c r="B628" t="s">
        <v>27</v>
      </c>
      <c r="C628" t="s">
        <v>180</v>
      </c>
      <c r="D628">
        <v>45</v>
      </c>
      <c r="E628" s="5">
        <v>43816</v>
      </c>
      <c r="F628">
        <v>11100501</v>
      </c>
      <c r="G628">
        <v>0</v>
      </c>
      <c r="H628" t="s">
        <v>1105</v>
      </c>
      <c r="I628" t="s">
        <v>1106</v>
      </c>
      <c r="J628">
        <v>1012</v>
      </c>
      <c r="K628">
        <v>1110</v>
      </c>
      <c r="L628" s="3">
        <v>-347249566.65499997</v>
      </c>
      <c r="M628" s="3">
        <v>0</v>
      </c>
      <c r="N628">
        <v>1500000</v>
      </c>
      <c r="O628">
        <v>0</v>
      </c>
      <c r="P628">
        <v>-348749566.65499997</v>
      </c>
      <c r="Q628" t="s">
        <v>30</v>
      </c>
      <c r="R628" t="s">
        <v>69</v>
      </c>
      <c r="S628" t="str">
        <v>#N/A</v>
      </c>
      <c r="T628" t="str">
        <v>#N/A</v>
      </c>
    </row>
    <row r="629" spans="1:20" ht="13.7" customHeight="1" x14ac:dyDescent="0.25">
      <c r="A629" t="s">
        <v>26</v>
      </c>
      <c r="B629" t="s">
        <v>27</v>
      </c>
      <c r="C629" t="s">
        <v>180</v>
      </c>
      <c r="D629">
        <v>48</v>
      </c>
      <c r="E629" s="5">
        <v>43817</v>
      </c>
      <c r="F629">
        <v>11100501</v>
      </c>
      <c r="G629">
        <v>0</v>
      </c>
      <c r="H629" t="s">
        <v>1105</v>
      </c>
      <c r="I629" t="s">
        <v>1106</v>
      </c>
      <c r="J629">
        <v>1012</v>
      </c>
      <c r="K629">
        <v>1110</v>
      </c>
      <c r="L629" s="3">
        <v>-348749566.65499997</v>
      </c>
      <c r="M629" s="3">
        <v>0</v>
      </c>
      <c r="N629">
        <v>130714</v>
      </c>
      <c r="O629">
        <v>0</v>
      </c>
      <c r="P629">
        <v>-348880280.65499997</v>
      </c>
      <c r="Q629" t="s">
        <v>30</v>
      </c>
      <c r="R629" t="s">
        <v>203</v>
      </c>
      <c r="S629" t="str">
        <v>#N/A</v>
      </c>
      <c r="T629" t="str">
        <v>#N/A</v>
      </c>
    </row>
    <row r="630" spans="1:20" ht="13.7" customHeight="1" x14ac:dyDescent="0.25">
      <c r="A630" t="s">
        <v>26</v>
      </c>
      <c r="B630" t="s">
        <v>27</v>
      </c>
      <c r="C630" t="s">
        <v>180</v>
      </c>
      <c r="D630">
        <v>52</v>
      </c>
      <c r="E630" s="5">
        <v>43818</v>
      </c>
      <c r="F630">
        <v>11100501</v>
      </c>
      <c r="G630">
        <v>0</v>
      </c>
      <c r="H630" t="s">
        <v>1105</v>
      </c>
      <c r="I630" t="s">
        <v>1106</v>
      </c>
      <c r="J630">
        <v>1012</v>
      </c>
      <c r="K630">
        <v>1110</v>
      </c>
      <c r="L630" s="3">
        <v>-348880280.65499997</v>
      </c>
      <c r="M630" s="3">
        <v>0</v>
      </c>
      <c r="N630">
        <v>94370</v>
      </c>
      <c r="O630">
        <v>0</v>
      </c>
      <c r="P630">
        <v>-348974650.65499997</v>
      </c>
      <c r="Q630" t="s">
        <v>30</v>
      </c>
      <c r="R630" t="s">
        <v>147</v>
      </c>
      <c r="S630" t="str">
        <v>#N/A</v>
      </c>
      <c r="T630" t="str">
        <v>#N/A</v>
      </c>
    </row>
    <row r="631" spans="1:20" ht="13.7" customHeight="1" x14ac:dyDescent="0.25">
      <c r="A631" t="s">
        <v>26</v>
      </c>
      <c r="B631" t="s">
        <v>27</v>
      </c>
      <c r="C631" t="s">
        <v>180</v>
      </c>
      <c r="D631">
        <v>55</v>
      </c>
      <c r="E631" s="5">
        <v>43819</v>
      </c>
      <c r="F631">
        <v>11100501</v>
      </c>
      <c r="G631">
        <v>0</v>
      </c>
      <c r="H631" t="s">
        <v>1105</v>
      </c>
      <c r="I631" t="s">
        <v>1106</v>
      </c>
      <c r="J631">
        <v>1012</v>
      </c>
      <c r="K631">
        <v>1110</v>
      </c>
      <c r="L631" s="3">
        <v>-348974650.65499997</v>
      </c>
      <c r="M631" s="3">
        <v>0</v>
      </c>
      <c r="N631">
        <v>383895</v>
      </c>
      <c r="O631">
        <v>0</v>
      </c>
      <c r="P631">
        <v>-349358545.65499997</v>
      </c>
      <c r="Q631" t="s">
        <v>30</v>
      </c>
      <c r="R631" t="s">
        <v>317</v>
      </c>
      <c r="S631" t="str">
        <v>#N/A</v>
      </c>
      <c r="T631" t="str">
        <v>#N/A</v>
      </c>
    </row>
    <row r="632" spans="1:20" ht="13.7" customHeight="1" x14ac:dyDescent="0.25">
      <c r="A632" t="s">
        <v>26</v>
      </c>
      <c r="B632" t="s">
        <v>27</v>
      </c>
      <c r="C632" t="s">
        <v>180</v>
      </c>
      <c r="D632">
        <v>90</v>
      </c>
      <c r="E632" s="5">
        <v>43819</v>
      </c>
      <c r="F632">
        <v>11100501</v>
      </c>
      <c r="G632">
        <v>0</v>
      </c>
      <c r="H632" t="s">
        <v>1105</v>
      </c>
      <c r="I632" t="s">
        <v>1106</v>
      </c>
      <c r="J632" t="e">
        <v>#N/A</v>
      </c>
      <c r="K632" t="e">
        <v>#N/A</v>
      </c>
      <c r="L632" s="3">
        <v>-349358545.65499997</v>
      </c>
      <c r="M632" s="3">
        <v>0</v>
      </c>
      <c r="N632">
        <v>889344</v>
      </c>
      <c r="O632">
        <v>0</v>
      </c>
      <c r="P632">
        <v>-350247889.65499997</v>
      </c>
      <c r="Q632" t="s">
        <v>30</v>
      </c>
      <c r="R632" t="s">
        <v>1503</v>
      </c>
      <c r="S632" t="str">
        <v>#N/A</v>
      </c>
      <c r="T632" t="str">
        <v>#N/A</v>
      </c>
    </row>
    <row r="633" spans="1:20" ht="13.7" customHeight="1" x14ac:dyDescent="0.25">
      <c r="A633" t="s">
        <v>26</v>
      </c>
      <c r="B633" t="s">
        <v>27</v>
      </c>
      <c r="C633" t="s">
        <v>180</v>
      </c>
      <c r="D633">
        <v>91</v>
      </c>
      <c r="E633" s="5">
        <v>43819</v>
      </c>
      <c r="F633">
        <v>11100501</v>
      </c>
      <c r="G633">
        <v>0</v>
      </c>
      <c r="H633" t="s">
        <v>1105</v>
      </c>
      <c r="I633" t="s">
        <v>1106</v>
      </c>
      <c r="J633" t="e">
        <v>#N/A</v>
      </c>
      <c r="K633" t="e">
        <v>#N/A</v>
      </c>
      <c r="L633" s="3">
        <v>-350247889.65499997</v>
      </c>
      <c r="M633" s="3">
        <v>0</v>
      </c>
      <c r="N633">
        <v>2340117</v>
      </c>
      <c r="O633">
        <v>0</v>
      </c>
      <c r="P633">
        <v>-352588006.65499997</v>
      </c>
      <c r="Q633" t="s">
        <v>30</v>
      </c>
      <c r="R633" t="s">
        <v>1504</v>
      </c>
      <c r="S633" t="str">
        <v>#N/A</v>
      </c>
      <c r="T633" t="str">
        <v>#N/A</v>
      </c>
    </row>
    <row r="634" spans="1:20" ht="13.7" customHeight="1" x14ac:dyDescent="0.25">
      <c r="A634" t="s">
        <v>26</v>
      </c>
      <c r="B634" t="s">
        <v>27</v>
      </c>
      <c r="C634" t="s">
        <v>180</v>
      </c>
      <c r="D634">
        <v>61</v>
      </c>
      <c r="E634" s="5">
        <v>43822</v>
      </c>
      <c r="F634">
        <v>11100501</v>
      </c>
      <c r="G634">
        <v>0</v>
      </c>
      <c r="H634" t="s">
        <v>1105</v>
      </c>
      <c r="I634" t="s">
        <v>1106</v>
      </c>
      <c r="J634">
        <v>1012</v>
      </c>
      <c r="K634">
        <v>1110</v>
      </c>
      <c r="L634" s="3">
        <v>-352588006.65499997</v>
      </c>
      <c r="M634" s="3">
        <v>0</v>
      </c>
      <c r="N634">
        <v>890000</v>
      </c>
      <c r="O634">
        <v>0</v>
      </c>
      <c r="P634">
        <v>-353478006.65499997</v>
      </c>
      <c r="Q634" t="s">
        <v>30</v>
      </c>
      <c r="R634" t="s">
        <v>318</v>
      </c>
      <c r="S634" t="str">
        <v>#N/A</v>
      </c>
      <c r="T634" t="str">
        <v>#N/A</v>
      </c>
    </row>
    <row r="635" spans="1:20" ht="13.7" customHeight="1" x14ac:dyDescent="0.25">
      <c r="E635" s="5">
        <v>43465</v>
      </c>
      <c r="F635">
        <v>13050501</v>
      </c>
      <c r="G635">
        <v>0</v>
      </c>
      <c r="H635" t="s">
        <v>1115</v>
      </c>
      <c r="I635" t="s">
        <v>1116</v>
      </c>
      <c r="J635">
        <v>0</v>
      </c>
      <c r="K635">
        <v>0</v>
      </c>
      <c r="L635" s="3">
        <v>0</v>
      </c>
      <c r="M635" s="3">
        <v>0</v>
      </c>
      <c r="N635">
        <v>0</v>
      </c>
      <c r="O635">
        <v>0</v>
      </c>
      <c r="P635">
        <v>0</v>
      </c>
      <c r="R635" t="s">
        <v>1100</v>
      </c>
      <c r="S635" t="str">
        <v>#N/A</v>
      </c>
      <c r="T635" t="str">
        <v>13</v>
      </c>
    </row>
    <row r="636" spans="1:20" ht="13.7" customHeight="1" x14ac:dyDescent="0.25">
      <c r="A636" t="s">
        <v>26</v>
      </c>
      <c r="B636" t="s">
        <v>27</v>
      </c>
      <c r="C636" t="s">
        <v>91</v>
      </c>
      <c r="D636">
        <v>9</v>
      </c>
      <c r="E636" s="5">
        <v>43527</v>
      </c>
      <c r="F636">
        <v>13050501</v>
      </c>
      <c r="G636">
        <v>0</v>
      </c>
      <c r="H636" t="s">
        <v>1115</v>
      </c>
      <c r="I636" t="s">
        <v>1116</v>
      </c>
      <c r="J636">
        <v>1008</v>
      </c>
      <c r="K636">
        <v>1315</v>
      </c>
      <c r="L636" s="3">
        <v>0</v>
      </c>
      <c r="M636" s="3">
        <v>0</v>
      </c>
      <c r="N636">
        <v>124307</v>
      </c>
      <c r="O636">
        <v>0</v>
      </c>
      <c r="P636">
        <v>-124307</v>
      </c>
      <c r="Q636" t="s">
        <v>30</v>
      </c>
      <c r="R636" t="s">
        <v>158</v>
      </c>
      <c r="S636" t="str">
        <v>#N/A</v>
      </c>
      <c r="T636" t="str">
        <v>13</v>
      </c>
    </row>
    <row r="637" spans="1:20" ht="13.7" customHeight="1" x14ac:dyDescent="0.25">
      <c r="A637" t="s">
        <v>26</v>
      </c>
      <c r="B637" t="s">
        <v>27</v>
      </c>
      <c r="C637" t="s">
        <v>34</v>
      </c>
      <c r="D637">
        <v>16</v>
      </c>
      <c r="E637" s="5">
        <v>43563</v>
      </c>
      <c r="F637">
        <v>13050501</v>
      </c>
      <c r="G637">
        <v>0</v>
      </c>
      <c r="H637" t="s">
        <v>1115</v>
      </c>
      <c r="I637" t="s">
        <v>1116</v>
      </c>
      <c r="J637">
        <v>1008</v>
      </c>
      <c r="K637">
        <v>1315</v>
      </c>
      <c r="L637" s="3">
        <v>-124307</v>
      </c>
      <c r="M637" s="3">
        <v>0</v>
      </c>
      <c r="N637">
        <v>3700</v>
      </c>
      <c r="O637">
        <v>0</v>
      </c>
      <c r="P637">
        <v>-128007</v>
      </c>
      <c r="Q637" t="s">
        <v>30</v>
      </c>
      <c r="R637" t="s">
        <v>68</v>
      </c>
      <c r="S637" t="str">
        <v>#N/A</v>
      </c>
      <c r="T637" t="str">
        <v>13</v>
      </c>
    </row>
    <row r="638" spans="1:20" ht="13.7" customHeight="1" x14ac:dyDescent="0.25">
      <c r="E638" s="5">
        <v>43465</v>
      </c>
      <c r="F638">
        <v>13050501</v>
      </c>
      <c r="G638">
        <v>0</v>
      </c>
      <c r="H638" t="s">
        <v>1145</v>
      </c>
      <c r="I638" t="s">
        <v>1146</v>
      </c>
      <c r="J638">
        <v>0</v>
      </c>
      <c r="K638">
        <v>0</v>
      </c>
      <c r="L638" s="3">
        <v>484330</v>
      </c>
      <c r="M638" s="3">
        <v>0</v>
      </c>
      <c r="N638">
        <v>0</v>
      </c>
      <c r="O638">
        <v>0</v>
      </c>
      <c r="P638">
        <v>484330</v>
      </c>
      <c r="R638" t="s">
        <v>1100</v>
      </c>
      <c r="S638" t="str">
        <v>#N/A</v>
      </c>
      <c r="T638" t="str">
        <v>#N/A</v>
      </c>
    </row>
    <row r="639" spans="1:20" ht="13.7" customHeight="1" x14ac:dyDescent="0.25">
      <c r="E639" s="5">
        <v>43465</v>
      </c>
      <c r="F639">
        <v>13050501</v>
      </c>
      <c r="G639">
        <v>0</v>
      </c>
      <c r="H639" t="s">
        <v>1127</v>
      </c>
      <c r="I639" t="s">
        <v>1128</v>
      </c>
      <c r="J639">
        <v>0</v>
      </c>
      <c r="K639">
        <v>0</v>
      </c>
      <c r="L639" s="3">
        <v>37472866.755999997</v>
      </c>
      <c r="M639" s="3">
        <v>0</v>
      </c>
      <c r="N639">
        <v>0</v>
      </c>
      <c r="O639">
        <v>0</v>
      </c>
      <c r="P639">
        <v>37472866.755999997</v>
      </c>
      <c r="R639" t="s">
        <v>1100</v>
      </c>
      <c r="S639" t="str">
        <v>#N/A</v>
      </c>
      <c r="T639" t="str">
        <v>#N/A</v>
      </c>
    </row>
    <row r="640" spans="1:20" ht="13.7" customHeight="1" x14ac:dyDescent="0.25">
      <c r="A640" t="s">
        <v>320</v>
      </c>
      <c r="B640" t="s">
        <v>321</v>
      </c>
      <c r="C640" t="s">
        <v>142</v>
      </c>
      <c r="D640">
        <v>335</v>
      </c>
      <c r="E640" s="5">
        <v>43466</v>
      </c>
      <c r="F640">
        <v>13050501</v>
      </c>
      <c r="G640">
        <v>0</v>
      </c>
      <c r="H640" t="s">
        <v>1127</v>
      </c>
      <c r="I640" t="s">
        <v>1128</v>
      </c>
      <c r="J640">
        <v>1008</v>
      </c>
      <c r="K640">
        <v>1315</v>
      </c>
      <c r="L640" s="3">
        <v>37472866.755999997</v>
      </c>
      <c r="M640" s="3">
        <v>299499.2</v>
      </c>
      <c r="N640">
        <v>0</v>
      </c>
      <c r="O640">
        <v>0</v>
      </c>
      <c r="P640">
        <v>37772365.956</v>
      </c>
      <c r="Q640" t="s">
        <v>30</v>
      </c>
      <c r="R640" t="s">
        <v>323</v>
      </c>
      <c r="S640" t="str">
        <v>#N/A</v>
      </c>
      <c r="T640" t="str">
        <v>#N/A</v>
      </c>
    </row>
    <row r="641" spans="1:20" ht="13.7" customHeight="1" x14ac:dyDescent="0.25">
      <c r="A641" t="s">
        <v>320</v>
      </c>
      <c r="B641" t="s">
        <v>321</v>
      </c>
      <c r="C641" t="s">
        <v>142</v>
      </c>
      <c r="D641">
        <v>337</v>
      </c>
      <c r="E641" s="5">
        <v>43481</v>
      </c>
      <c r="F641">
        <v>13050501</v>
      </c>
      <c r="G641">
        <v>0</v>
      </c>
      <c r="H641" t="s">
        <v>1127</v>
      </c>
      <c r="I641" t="s">
        <v>1128</v>
      </c>
      <c r="J641">
        <v>1008</v>
      </c>
      <c r="K641">
        <v>1315</v>
      </c>
      <c r="L641" s="3">
        <v>37772365.956</v>
      </c>
      <c r="M641" s="3">
        <v>473753.28</v>
      </c>
      <c r="N641">
        <v>0</v>
      </c>
      <c r="O641">
        <v>0</v>
      </c>
      <c r="P641">
        <v>38246119.236000001</v>
      </c>
      <c r="Q641" t="s">
        <v>30</v>
      </c>
      <c r="R641" t="s">
        <v>325</v>
      </c>
      <c r="S641" t="str">
        <v>#N/A</v>
      </c>
      <c r="T641" t="str">
        <v>#N/A</v>
      </c>
    </row>
    <row r="642" spans="1:20" ht="13.7" customHeight="1" x14ac:dyDescent="0.25">
      <c r="A642" t="s">
        <v>320</v>
      </c>
      <c r="B642" t="s">
        <v>321</v>
      </c>
      <c r="C642" t="s">
        <v>142</v>
      </c>
      <c r="D642">
        <v>340</v>
      </c>
      <c r="E642" s="5">
        <v>43482</v>
      </c>
      <c r="F642">
        <v>13050501</v>
      </c>
      <c r="G642">
        <v>0</v>
      </c>
      <c r="H642" t="s">
        <v>1127</v>
      </c>
      <c r="I642" t="s">
        <v>1128</v>
      </c>
      <c r="J642">
        <v>1008</v>
      </c>
      <c r="K642">
        <v>1315</v>
      </c>
      <c r="L642" s="3">
        <v>38246119.236000001</v>
      </c>
      <c r="M642" s="3">
        <v>323070.71999999997</v>
      </c>
      <c r="N642">
        <v>0</v>
      </c>
      <c r="O642">
        <v>0</v>
      </c>
      <c r="P642">
        <v>38569189.956</v>
      </c>
      <c r="Q642" t="s">
        <v>30</v>
      </c>
      <c r="R642" t="s">
        <v>328</v>
      </c>
      <c r="S642" t="str">
        <v>#N/A</v>
      </c>
      <c r="T642" t="str">
        <v>#N/A</v>
      </c>
    </row>
    <row r="643" spans="1:20" ht="13.7" customHeight="1" x14ac:dyDescent="0.25">
      <c r="A643" t="s">
        <v>320</v>
      </c>
      <c r="B643" t="s">
        <v>321</v>
      </c>
      <c r="C643" t="s">
        <v>142</v>
      </c>
      <c r="D643">
        <v>342</v>
      </c>
      <c r="E643" s="5">
        <v>43484</v>
      </c>
      <c r="F643">
        <v>13050501</v>
      </c>
      <c r="G643">
        <v>0</v>
      </c>
      <c r="H643" t="s">
        <v>1127</v>
      </c>
      <c r="I643" t="s">
        <v>1128</v>
      </c>
      <c r="J643">
        <v>1008</v>
      </c>
      <c r="K643">
        <v>1315</v>
      </c>
      <c r="L643" s="3">
        <v>38569189.956</v>
      </c>
      <c r="M643" s="3">
        <v>329868</v>
      </c>
      <c r="N643">
        <v>0</v>
      </c>
      <c r="O643">
        <v>0</v>
      </c>
      <c r="P643">
        <v>38899057.956</v>
      </c>
      <c r="Q643" t="s">
        <v>30</v>
      </c>
      <c r="R643" t="s">
        <v>330</v>
      </c>
      <c r="S643" t="str">
        <v>#N/A</v>
      </c>
      <c r="T643" t="str">
        <v>#N/A</v>
      </c>
    </row>
    <row r="644" spans="1:20" ht="13.7" customHeight="1" x14ac:dyDescent="0.25">
      <c r="A644" t="s">
        <v>320</v>
      </c>
      <c r="B644" t="s">
        <v>321</v>
      </c>
      <c r="C644" t="s">
        <v>142</v>
      </c>
      <c r="D644">
        <v>343</v>
      </c>
      <c r="E644" s="5">
        <v>43486</v>
      </c>
      <c r="F644">
        <v>13050501</v>
      </c>
      <c r="G644">
        <v>0</v>
      </c>
      <c r="H644" t="s">
        <v>1127</v>
      </c>
      <c r="I644" t="s">
        <v>1128</v>
      </c>
      <c r="J644">
        <v>1008</v>
      </c>
      <c r="K644">
        <v>1315</v>
      </c>
      <c r="L644" s="3">
        <v>38899057.956</v>
      </c>
      <c r="M644" s="3">
        <v>546686</v>
      </c>
      <c r="N644">
        <v>0</v>
      </c>
      <c r="O644">
        <v>0</v>
      </c>
      <c r="P644">
        <v>39445743.956</v>
      </c>
      <c r="Q644" t="s">
        <v>30</v>
      </c>
      <c r="R644" t="s">
        <v>331</v>
      </c>
      <c r="S644" t="str">
        <v>#N/A</v>
      </c>
      <c r="T644" t="str">
        <v>#N/A</v>
      </c>
    </row>
    <row r="645" spans="1:20" ht="13.7" customHeight="1" x14ac:dyDescent="0.25">
      <c r="A645" t="s">
        <v>320</v>
      </c>
      <c r="B645" t="s">
        <v>321</v>
      </c>
      <c r="C645" t="s">
        <v>142</v>
      </c>
      <c r="D645">
        <v>345</v>
      </c>
      <c r="E645" s="5">
        <v>43487</v>
      </c>
      <c r="F645">
        <v>13050501</v>
      </c>
      <c r="G645">
        <v>0</v>
      </c>
      <c r="H645" t="s">
        <v>1127</v>
      </c>
      <c r="I645" t="s">
        <v>1128</v>
      </c>
      <c r="J645">
        <v>1008</v>
      </c>
      <c r="K645">
        <v>1315</v>
      </c>
      <c r="L645" s="3">
        <v>39445743.956</v>
      </c>
      <c r="M645" s="3">
        <v>476952</v>
      </c>
      <c r="N645">
        <v>0</v>
      </c>
      <c r="O645">
        <v>0</v>
      </c>
      <c r="P645">
        <v>39922695.956</v>
      </c>
      <c r="Q645" t="s">
        <v>30</v>
      </c>
      <c r="R645" t="s">
        <v>333</v>
      </c>
      <c r="S645" t="str">
        <v>#N/A</v>
      </c>
      <c r="T645" t="str">
        <v>#N/A</v>
      </c>
    </row>
    <row r="646" spans="1:20" ht="13.7" customHeight="1" x14ac:dyDescent="0.25">
      <c r="A646" t="s">
        <v>320</v>
      </c>
      <c r="B646" t="s">
        <v>321</v>
      </c>
      <c r="C646" t="s">
        <v>142</v>
      </c>
      <c r="D646">
        <v>346</v>
      </c>
      <c r="E646" s="5">
        <v>43489</v>
      </c>
      <c r="F646">
        <v>13050501</v>
      </c>
      <c r="G646">
        <v>0</v>
      </c>
      <c r="H646" t="s">
        <v>1127</v>
      </c>
      <c r="I646" t="s">
        <v>1128</v>
      </c>
      <c r="J646">
        <v>1008</v>
      </c>
      <c r="K646">
        <v>1315</v>
      </c>
      <c r="L646" s="3">
        <v>39922695.956</v>
      </c>
      <c r="M646" s="3">
        <v>461577.2</v>
      </c>
      <c r="N646">
        <v>0</v>
      </c>
      <c r="O646">
        <v>0</v>
      </c>
      <c r="P646">
        <v>40384273.156000003</v>
      </c>
      <c r="Q646" t="s">
        <v>30</v>
      </c>
      <c r="R646" t="s">
        <v>334</v>
      </c>
      <c r="S646" t="str">
        <v>#N/A</v>
      </c>
      <c r="T646" t="str">
        <v>#N/A</v>
      </c>
    </row>
    <row r="647" spans="1:20" ht="13.7" customHeight="1" x14ac:dyDescent="0.25">
      <c r="A647" t="s">
        <v>320</v>
      </c>
      <c r="B647" t="s">
        <v>321</v>
      </c>
      <c r="C647" t="s">
        <v>142</v>
      </c>
      <c r="D647">
        <v>347</v>
      </c>
      <c r="E647" s="5">
        <v>43490</v>
      </c>
      <c r="F647">
        <v>13050501</v>
      </c>
      <c r="G647">
        <v>0</v>
      </c>
      <c r="H647" t="s">
        <v>1127</v>
      </c>
      <c r="I647" t="s">
        <v>1128</v>
      </c>
      <c r="J647">
        <v>1008</v>
      </c>
      <c r="K647">
        <v>1315</v>
      </c>
      <c r="L647" s="3">
        <v>40384273.156000003</v>
      </c>
      <c r="M647" s="3">
        <v>96913.600000000006</v>
      </c>
      <c r="N647">
        <v>0</v>
      </c>
      <c r="O647">
        <v>0</v>
      </c>
      <c r="P647">
        <v>40481186.755999997</v>
      </c>
      <c r="Q647" t="s">
        <v>30</v>
      </c>
      <c r="R647" t="s">
        <v>335</v>
      </c>
      <c r="S647" t="str">
        <v>#N/A</v>
      </c>
      <c r="T647" t="str">
        <v>#N/A</v>
      </c>
    </row>
    <row r="648" spans="1:20" ht="13.7" customHeight="1" x14ac:dyDescent="0.25">
      <c r="A648" t="s">
        <v>320</v>
      </c>
      <c r="B648" t="s">
        <v>321</v>
      </c>
      <c r="C648" t="s">
        <v>142</v>
      </c>
      <c r="D648">
        <v>350</v>
      </c>
      <c r="E648" s="5">
        <v>43495</v>
      </c>
      <c r="F648">
        <v>13050501</v>
      </c>
      <c r="G648">
        <v>0</v>
      </c>
      <c r="H648" t="s">
        <v>1127</v>
      </c>
      <c r="I648" t="s">
        <v>1128</v>
      </c>
      <c r="J648">
        <v>1008</v>
      </c>
      <c r="K648">
        <v>1315</v>
      </c>
      <c r="L648" s="3">
        <v>40481186.755999997</v>
      </c>
      <c r="M648" s="3">
        <v>583671.19999999995</v>
      </c>
      <c r="N648">
        <v>0</v>
      </c>
      <c r="O648">
        <v>0</v>
      </c>
      <c r="P648">
        <v>41064857.956</v>
      </c>
      <c r="Q648" t="s">
        <v>30</v>
      </c>
      <c r="R648" t="s">
        <v>344</v>
      </c>
      <c r="S648" t="str">
        <v>#N/A</v>
      </c>
      <c r="T648" t="str">
        <v>#N/A</v>
      </c>
    </row>
    <row r="649" spans="1:20" ht="13.7" customHeight="1" x14ac:dyDescent="0.25">
      <c r="A649" t="s">
        <v>320</v>
      </c>
      <c r="B649" t="s">
        <v>321</v>
      </c>
      <c r="C649" t="s">
        <v>142</v>
      </c>
      <c r="D649">
        <v>355</v>
      </c>
      <c r="E649" s="5">
        <v>43501</v>
      </c>
      <c r="F649">
        <v>13050501</v>
      </c>
      <c r="G649">
        <v>0</v>
      </c>
      <c r="H649" t="s">
        <v>1127</v>
      </c>
      <c r="I649" t="s">
        <v>1128</v>
      </c>
      <c r="J649">
        <v>1008</v>
      </c>
      <c r="K649">
        <v>1315</v>
      </c>
      <c r="L649" s="3">
        <v>41064857.956</v>
      </c>
      <c r="M649" s="3">
        <v>1042788.6</v>
      </c>
      <c r="N649">
        <v>0</v>
      </c>
      <c r="O649">
        <v>0</v>
      </c>
      <c r="P649">
        <v>42107646.556000002</v>
      </c>
      <c r="Q649" t="s">
        <v>30</v>
      </c>
      <c r="R649" t="s">
        <v>348</v>
      </c>
      <c r="S649" t="str">
        <v>#N/A</v>
      </c>
      <c r="T649" t="str">
        <v>#N/A</v>
      </c>
    </row>
    <row r="650" spans="1:20" ht="13.7" customHeight="1" x14ac:dyDescent="0.25">
      <c r="A650" t="s">
        <v>320</v>
      </c>
      <c r="B650" t="s">
        <v>321</v>
      </c>
      <c r="C650" t="s">
        <v>142</v>
      </c>
      <c r="D650">
        <v>356</v>
      </c>
      <c r="E650" s="5">
        <v>43504</v>
      </c>
      <c r="F650">
        <v>13050501</v>
      </c>
      <c r="G650">
        <v>0</v>
      </c>
      <c r="H650" t="s">
        <v>1127</v>
      </c>
      <c r="I650" t="s">
        <v>1128</v>
      </c>
      <c r="J650">
        <v>1008</v>
      </c>
      <c r="K650">
        <v>1315</v>
      </c>
      <c r="L650" s="3">
        <v>42107646.556000002</v>
      </c>
      <c r="M650" s="3">
        <v>645062.88</v>
      </c>
      <c r="N650">
        <v>0</v>
      </c>
      <c r="O650">
        <v>0</v>
      </c>
      <c r="P650">
        <v>42752709.435999997</v>
      </c>
      <c r="Q650" t="s">
        <v>30</v>
      </c>
      <c r="R650" t="s">
        <v>349</v>
      </c>
      <c r="S650" t="str">
        <v>#N/A</v>
      </c>
      <c r="T650" t="str">
        <v>#N/A</v>
      </c>
    </row>
    <row r="651" spans="1:20" ht="13.7" customHeight="1" x14ac:dyDescent="0.25">
      <c r="A651" t="s">
        <v>320</v>
      </c>
      <c r="B651" t="s">
        <v>321</v>
      </c>
      <c r="C651" t="s">
        <v>142</v>
      </c>
      <c r="D651">
        <v>365</v>
      </c>
      <c r="E651" s="5">
        <v>43511</v>
      </c>
      <c r="F651">
        <v>13050501</v>
      </c>
      <c r="G651">
        <v>0</v>
      </c>
      <c r="H651" t="s">
        <v>1127</v>
      </c>
      <c r="I651" t="s">
        <v>1128</v>
      </c>
      <c r="J651">
        <v>1008</v>
      </c>
      <c r="K651">
        <v>1315</v>
      </c>
      <c r="L651" s="3">
        <v>42752709.435999997</v>
      </c>
      <c r="M651" s="3">
        <v>3143504.5520000001</v>
      </c>
      <c r="N651">
        <v>0</v>
      </c>
      <c r="O651">
        <v>0</v>
      </c>
      <c r="P651">
        <v>45896213.987999998</v>
      </c>
      <c r="Q651" t="s">
        <v>30</v>
      </c>
      <c r="R651" t="s">
        <v>357</v>
      </c>
      <c r="S651" t="str">
        <v>#N/A</v>
      </c>
      <c r="T651" t="str">
        <v>#N/A</v>
      </c>
    </row>
    <row r="652" spans="1:20" ht="13.7" customHeight="1" x14ac:dyDescent="0.25">
      <c r="A652" t="s">
        <v>320</v>
      </c>
      <c r="B652" t="s">
        <v>321</v>
      </c>
      <c r="C652" t="s">
        <v>142</v>
      </c>
      <c r="D652">
        <v>366</v>
      </c>
      <c r="E652" s="5">
        <v>43512</v>
      </c>
      <c r="F652">
        <v>13050501</v>
      </c>
      <c r="G652">
        <v>0</v>
      </c>
      <c r="H652" t="s">
        <v>1127</v>
      </c>
      <c r="I652" t="s">
        <v>1128</v>
      </c>
      <c r="J652">
        <v>1008</v>
      </c>
      <c r="K652">
        <v>1315</v>
      </c>
      <c r="L652" s="3">
        <v>45896213.987999998</v>
      </c>
      <c r="M652" s="3">
        <v>479808</v>
      </c>
      <c r="N652">
        <v>0</v>
      </c>
      <c r="O652">
        <v>0</v>
      </c>
      <c r="P652">
        <v>46376021.987999998</v>
      </c>
      <c r="Q652" t="s">
        <v>30</v>
      </c>
      <c r="R652" t="s">
        <v>358</v>
      </c>
      <c r="S652" t="str">
        <v>#N/A</v>
      </c>
      <c r="T652" t="str">
        <v>#N/A</v>
      </c>
    </row>
    <row r="653" spans="1:20" ht="13.7" customHeight="1" x14ac:dyDescent="0.25">
      <c r="A653" t="s">
        <v>320</v>
      </c>
      <c r="B653" t="s">
        <v>321</v>
      </c>
      <c r="C653" t="s">
        <v>142</v>
      </c>
      <c r="D653">
        <v>372</v>
      </c>
      <c r="E653" s="5">
        <v>43517</v>
      </c>
      <c r="F653">
        <v>13050501</v>
      </c>
      <c r="G653">
        <v>0</v>
      </c>
      <c r="H653" t="s">
        <v>1127</v>
      </c>
      <c r="I653" t="s">
        <v>1128</v>
      </c>
      <c r="J653">
        <v>1008</v>
      </c>
      <c r="K653">
        <v>1315</v>
      </c>
      <c r="L653" s="3">
        <v>46376021.987999998</v>
      </c>
      <c r="M653" s="3">
        <v>170646</v>
      </c>
      <c r="N653">
        <v>0</v>
      </c>
      <c r="O653">
        <v>0</v>
      </c>
      <c r="P653">
        <v>46546667.987999998</v>
      </c>
      <c r="Q653" t="s">
        <v>30</v>
      </c>
      <c r="R653" t="s">
        <v>363</v>
      </c>
      <c r="S653" t="str">
        <v>#N/A</v>
      </c>
      <c r="T653" t="str">
        <v>#N/A</v>
      </c>
    </row>
    <row r="654" spans="1:20" ht="13.7" customHeight="1" x14ac:dyDescent="0.25">
      <c r="A654" t="s">
        <v>199</v>
      </c>
      <c r="B654" t="s">
        <v>200</v>
      </c>
      <c r="C654" t="s">
        <v>32</v>
      </c>
      <c r="D654">
        <v>6</v>
      </c>
      <c r="E654" s="5">
        <v>43521</v>
      </c>
      <c r="F654">
        <v>13050501</v>
      </c>
      <c r="G654">
        <v>0</v>
      </c>
      <c r="H654" t="s">
        <v>1127</v>
      </c>
      <c r="I654" t="s">
        <v>1128</v>
      </c>
      <c r="J654">
        <v>1008</v>
      </c>
      <c r="K654">
        <v>1315</v>
      </c>
      <c r="L654" s="3">
        <v>46546667.987999998</v>
      </c>
      <c r="M654" s="3">
        <v>0</v>
      </c>
      <c r="N654">
        <v>299499</v>
      </c>
      <c r="O654">
        <v>0</v>
      </c>
      <c r="P654">
        <v>46247168.987999998</v>
      </c>
      <c r="Q654" t="s">
        <v>30</v>
      </c>
      <c r="R654" t="s">
        <v>369</v>
      </c>
      <c r="S654" t="str">
        <v>#N/A</v>
      </c>
      <c r="T654" t="str">
        <v>#N/A</v>
      </c>
    </row>
    <row r="655" spans="1:20" ht="13.7" customHeight="1" x14ac:dyDescent="0.25">
      <c r="A655" t="s">
        <v>199</v>
      </c>
      <c r="B655" t="s">
        <v>200</v>
      </c>
      <c r="C655" t="s">
        <v>32</v>
      </c>
      <c r="D655">
        <v>6</v>
      </c>
      <c r="E655" s="5">
        <v>43521</v>
      </c>
      <c r="F655">
        <v>13050501</v>
      </c>
      <c r="G655">
        <v>0</v>
      </c>
      <c r="H655" t="s">
        <v>1127</v>
      </c>
      <c r="I655" t="s">
        <v>1128</v>
      </c>
      <c r="J655">
        <v>1008</v>
      </c>
      <c r="K655">
        <v>1315</v>
      </c>
      <c r="L655" s="3">
        <v>46247168.987999998</v>
      </c>
      <c r="M655" s="3">
        <v>0</v>
      </c>
      <c r="N655">
        <v>473753</v>
      </c>
      <c r="O655">
        <v>0</v>
      </c>
      <c r="P655">
        <v>45773415.987999998</v>
      </c>
      <c r="Q655" t="s">
        <v>30</v>
      </c>
      <c r="R655" t="s">
        <v>370</v>
      </c>
      <c r="S655" t="str">
        <v>#N/A</v>
      </c>
      <c r="T655" t="str">
        <v>#N/A</v>
      </c>
    </row>
    <row r="656" spans="1:20" ht="13.7" customHeight="1" x14ac:dyDescent="0.25">
      <c r="A656" t="s">
        <v>199</v>
      </c>
      <c r="B656" t="s">
        <v>200</v>
      </c>
      <c r="C656" t="s">
        <v>32</v>
      </c>
      <c r="D656">
        <v>6</v>
      </c>
      <c r="E656" s="5">
        <v>43521</v>
      </c>
      <c r="F656">
        <v>13050501</v>
      </c>
      <c r="G656">
        <v>0</v>
      </c>
      <c r="H656" t="s">
        <v>1127</v>
      </c>
      <c r="I656" t="s">
        <v>1128</v>
      </c>
      <c r="J656">
        <v>1008</v>
      </c>
      <c r="K656">
        <v>1315</v>
      </c>
      <c r="L656" s="3">
        <v>45773415.987999998</v>
      </c>
      <c r="M656" s="3">
        <v>0</v>
      </c>
      <c r="N656">
        <v>323071</v>
      </c>
      <c r="O656">
        <v>0</v>
      </c>
      <c r="P656">
        <v>45450344.987999998</v>
      </c>
      <c r="Q656" t="s">
        <v>30</v>
      </c>
      <c r="R656" t="s">
        <v>371</v>
      </c>
      <c r="S656" t="str">
        <v>#N/A</v>
      </c>
      <c r="T656" t="str">
        <v>#N/A</v>
      </c>
    </row>
    <row r="657" spans="1:20" ht="13.7" customHeight="1" x14ac:dyDescent="0.25">
      <c r="A657" t="s">
        <v>199</v>
      </c>
      <c r="B657" t="s">
        <v>200</v>
      </c>
      <c r="C657" t="s">
        <v>32</v>
      </c>
      <c r="D657">
        <v>6</v>
      </c>
      <c r="E657" s="5">
        <v>43521</v>
      </c>
      <c r="F657">
        <v>13050501</v>
      </c>
      <c r="G657">
        <v>0</v>
      </c>
      <c r="H657" t="s">
        <v>1127</v>
      </c>
      <c r="I657" t="s">
        <v>1128</v>
      </c>
      <c r="J657">
        <v>1008</v>
      </c>
      <c r="K657">
        <v>1315</v>
      </c>
      <c r="L657" s="3">
        <v>45450344.987999998</v>
      </c>
      <c r="M657" s="3">
        <v>0</v>
      </c>
      <c r="N657">
        <v>329868</v>
      </c>
      <c r="O657">
        <v>0</v>
      </c>
      <c r="P657">
        <v>45120476.987999998</v>
      </c>
      <c r="Q657" t="s">
        <v>30</v>
      </c>
      <c r="R657" t="s">
        <v>372</v>
      </c>
      <c r="S657" t="str">
        <v>#N/A</v>
      </c>
      <c r="T657" t="str">
        <v>#N/A</v>
      </c>
    </row>
    <row r="658" spans="1:20" ht="13.7" customHeight="1" x14ac:dyDescent="0.25">
      <c r="A658" t="s">
        <v>199</v>
      </c>
      <c r="B658" t="s">
        <v>200</v>
      </c>
      <c r="C658" t="s">
        <v>32</v>
      </c>
      <c r="D658">
        <v>6</v>
      </c>
      <c r="E658" s="5">
        <v>43521</v>
      </c>
      <c r="F658">
        <v>13050501</v>
      </c>
      <c r="G658">
        <v>0</v>
      </c>
      <c r="H658" t="s">
        <v>1127</v>
      </c>
      <c r="I658" t="s">
        <v>1128</v>
      </c>
      <c r="J658">
        <v>1008</v>
      </c>
      <c r="K658">
        <v>1315</v>
      </c>
      <c r="L658" s="3">
        <v>45120476.987999998</v>
      </c>
      <c r="M658" s="3">
        <v>0</v>
      </c>
      <c r="N658">
        <v>546686</v>
      </c>
      <c r="O658">
        <v>0</v>
      </c>
      <c r="P658">
        <v>44573790.987999998</v>
      </c>
      <c r="Q658" t="s">
        <v>30</v>
      </c>
      <c r="R658" t="s">
        <v>373</v>
      </c>
      <c r="S658" t="str">
        <v>#N/A</v>
      </c>
      <c r="T658" t="str">
        <v>#N/A</v>
      </c>
    </row>
    <row r="659" spans="1:20" ht="13.7" customHeight="1" x14ac:dyDescent="0.25">
      <c r="A659" t="s">
        <v>199</v>
      </c>
      <c r="B659" t="s">
        <v>200</v>
      </c>
      <c r="C659" t="s">
        <v>32</v>
      </c>
      <c r="D659">
        <v>6</v>
      </c>
      <c r="E659" s="5">
        <v>43521</v>
      </c>
      <c r="F659">
        <v>13050501</v>
      </c>
      <c r="G659">
        <v>0</v>
      </c>
      <c r="H659" t="s">
        <v>1127</v>
      </c>
      <c r="I659" t="s">
        <v>1128</v>
      </c>
      <c r="J659">
        <v>1008</v>
      </c>
      <c r="K659">
        <v>1315</v>
      </c>
      <c r="L659" s="3">
        <v>44573790.987999998</v>
      </c>
      <c r="M659" s="3">
        <v>0</v>
      </c>
      <c r="N659">
        <v>476952</v>
      </c>
      <c r="O659">
        <v>0</v>
      </c>
      <c r="P659">
        <v>44096838.987999998</v>
      </c>
      <c r="Q659" t="s">
        <v>30</v>
      </c>
      <c r="R659" t="s">
        <v>374</v>
      </c>
      <c r="S659" t="str">
        <v>#N/A</v>
      </c>
      <c r="T659" t="str">
        <v>#N/A</v>
      </c>
    </row>
    <row r="660" spans="1:20" ht="13.7" customHeight="1" x14ac:dyDescent="0.25">
      <c r="A660" t="s">
        <v>199</v>
      </c>
      <c r="B660" t="s">
        <v>200</v>
      </c>
      <c r="C660" t="s">
        <v>32</v>
      </c>
      <c r="D660">
        <v>6</v>
      </c>
      <c r="E660" s="5">
        <v>43521</v>
      </c>
      <c r="F660">
        <v>13050501</v>
      </c>
      <c r="G660">
        <v>0</v>
      </c>
      <c r="H660" t="s">
        <v>1127</v>
      </c>
      <c r="I660" t="s">
        <v>1128</v>
      </c>
      <c r="J660">
        <v>1008</v>
      </c>
      <c r="K660">
        <v>1315</v>
      </c>
      <c r="L660" s="3">
        <v>44096838.987999998</v>
      </c>
      <c r="M660" s="3">
        <v>0</v>
      </c>
      <c r="N660">
        <v>461577</v>
      </c>
      <c r="O660">
        <v>0</v>
      </c>
      <c r="P660">
        <v>43635261.987999998</v>
      </c>
      <c r="Q660" t="s">
        <v>30</v>
      </c>
      <c r="R660" t="s">
        <v>375</v>
      </c>
      <c r="S660" t="str">
        <v>#N/A</v>
      </c>
      <c r="T660" t="str">
        <v>#N/A</v>
      </c>
    </row>
    <row r="661" spans="1:20" ht="13.7" customHeight="1" x14ac:dyDescent="0.25">
      <c r="A661" t="s">
        <v>199</v>
      </c>
      <c r="B661" t="s">
        <v>200</v>
      </c>
      <c r="C661" t="s">
        <v>32</v>
      </c>
      <c r="D661">
        <v>6</v>
      </c>
      <c r="E661" s="5">
        <v>43521</v>
      </c>
      <c r="F661">
        <v>13050501</v>
      </c>
      <c r="G661">
        <v>0</v>
      </c>
      <c r="H661" t="s">
        <v>1127</v>
      </c>
      <c r="I661" t="s">
        <v>1128</v>
      </c>
      <c r="J661">
        <v>1008</v>
      </c>
      <c r="K661">
        <v>1315</v>
      </c>
      <c r="L661" s="3">
        <v>43635261.987999998</v>
      </c>
      <c r="M661" s="3">
        <v>0</v>
      </c>
      <c r="N661">
        <v>96914</v>
      </c>
      <c r="O661">
        <v>0</v>
      </c>
      <c r="P661">
        <v>43538347.987999998</v>
      </c>
      <c r="Q661" t="s">
        <v>30</v>
      </c>
      <c r="R661" t="s">
        <v>376</v>
      </c>
      <c r="S661" t="str">
        <v>#N/A</v>
      </c>
      <c r="T661" t="str">
        <v>#N/A</v>
      </c>
    </row>
    <row r="662" spans="1:20" ht="13.7" customHeight="1" x14ac:dyDescent="0.25">
      <c r="A662" t="s">
        <v>199</v>
      </c>
      <c r="B662" t="s">
        <v>200</v>
      </c>
      <c r="C662" t="s">
        <v>32</v>
      </c>
      <c r="D662">
        <v>7</v>
      </c>
      <c r="E662" s="5">
        <v>43521</v>
      </c>
      <c r="F662">
        <v>13050501</v>
      </c>
      <c r="G662">
        <v>0</v>
      </c>
      <c r="H662" t="s">
        <v>1127</v>
      </c>
      <c r="I662" t="s">
        <v>1128</v>
      </c>
      <c r="J662">
        <v>1008</v>
      </c>
      <c r="K662">
        <v>1315</v>
      </c>
      <c r="L662" s="3">
        <v>43538347.987999998</v>
      </c>
      <c r="M662" s="3">
        <v>0</v>
      </c>
      <c r="N662">
        <v>583670</v>
      </c>
      <c r="O662">
        <v>0</v>
      </c>
      <c r="P662">
        <v>42954677.987999998</v>
      </c>
      <c r="Q662" t="s">
        <v>30</v>
      </c>
      <c r="R662" t="s">
        <v>377</v>
      </c>
      <c r="S662" t="str">
        <v>#N/A</v>
      </c>
      <c r="T662" t="str">
        <v>#N/A</v>
      </c>
    </row>
    <row r="663" spans="1:20" ht="13.7" customHeight="1" x14ac:dyDescent="0.25">
      <c r="A663" t="s">
        <v>199</v>
      </c>
      <c r="B663" t="s">
        <v>200</v>
      </c>
      <c r="C663" t="s">
        <v>32</v>
      </c>
      <c r="D663">
        <v>7</v>
      </c>
      <c r="E663" s="5">
        <v>43521</v>
      </c>
      <c r="F663">
        <v>13050501</v>
      </c>
      <c r="G663">
        <v>0</v>
      </c>
      <c r="H663" t="s">
        <v>1127</v>
      </c>
      <c r="I663" t="s">
        <v>1128</v>
      </c>
      <c r="J663">
        <v>1008</v>
      </c>
      <c r="K663">
        <v>1315</v>
      </c>
      <c r="L663" s="3">
        <v>42954677.987999998</v>
      </c>
      <c r="M663" s="3">
        <v>0</v>
      </c>
      <c r="N663">
        <v>1042789</v>
      </c>
      <c r="O663">
        <v>0</v>
      </c>
      <c r="P663">
        <v>41911888.987999998</v>
      </c>
      <c r="Q663" t="s">
        <v>30</v>
      </c>
      <c r="R663" t="s">
        <v>378</v>
      </c>
      <c r="S663" t="str">
        <v>#N/A</v>
      </c>
      <c r="T663" t="str">
        <v>#N/A</v>
      </c>
    </row>
    <row r="664" spans="1:20" ht="13.7" customHeight="1" x14ac:dyDescent="0.25">
      <c r="A664" t="s">
        <v>199</v>
      </c>
      <c r="B664" t="s">
        <v>200</v>
      </c>
      <c r="C664" t="s">
        <v>32</v>
      </c>
      <c r="D664">
        <v>7</v>
      </c>
      <c r="E664" s="5">
        <v>43521</v>
      </c>
      <c r="F664">
        <v>13050501</v>
      </c>
      <c r="G664">
        <v>0</v>
      </c>
      <c r="H664" t="s">
        <v>1127</v>
      </c>
      <c r="I664" t="s">
        <v>1128</v>
      </c>
      <c r="J664">
        <v>1008</v>
      </c>
      <c r="K664">
        <v>1315</v>
      </c>
      <c r="L664" s="3">
        <v>41911888.987999998</v>
      </c>
      <c r="M664" s="3">
        <v>0</v>
      </c>
      <c r="N664">
        <v>645063</v>
      </c>
      <c r="O664">
        <v>0</v>
      </c>
      <c r="P664">
        <v>41266825.987999998</v>
      </c>
      <c r="Q664" t="s">
        <v>30</v>
      </c>
      <c r="R664" t="s">
        <v>379</v>
      </c>
      <c r="S664" t="str">
        <v>#N/A</v>
      </c>
      <c r="T664" t="str">
        <v>#N/A</v>
      </c>
    </row>
    <row r="665" spans="1:20" ht="13.7" customHeight="1" x14ac:dyDescent="0.25">
      <c r="A665" t="s">
        <v>199</v>
      </c>
      <c r="B665" t="s">
        <v>200</v>
      </c>
      <c r="C665" t="s">
        <v>32</v>
      </c>
      <c r="D665">
        <v>7</v>
      </c>
      <c r="E665" s="5">
        <v>43521</v>
      </c>
      <c r="F665">
        <v>13050501</v>
      </c>
      <c r="G665">
        <v>0</v>
      </c>
      <c r="H665" t="s">
        <v>1127</v>
      </c>
      <c r="I665" t="s">
        <v>1128</v>
      </c>
      <c r="J665">
        <v>1008</v>
      </c>
      <c r="K665">
        <v>1315</v>
      </c>
      <c r="L665" s="3">
        <v>41266825.987999998</v>
      </c>
      <c r="M665" s="3">
        <v>0</v>
      </c>
      <c r="N665">
        <v>831239</v>
      </c>
      <c r="O665">
        <v>0</v>
      </c>
      <c r="P665">
        <v>40435586.987999998</v>
      </c>
      <c r="Q665" t="s">
        <v>30</v>
      </c>
      <c r="R665" t="s">
        <v>379</v>
      </c>
      <c r="S665" t="str">
        <v>#N/A</v>
      </c>
      <c r="T665" t="str">
        <v>#N/A</v>
      </c>
    </row>
    <row r="666" spans="1:20" ht="13.7" customHeight="1" x14ac:dyDescent="0.25">
      <c r="A666" t="s">
        <v>320</v>
      </c>
      <c r="B666" t="s">
        <v>321</v>
      </c>
      <c r="C666" t="s">
        <v>142</v>
      </c>
      <c r="D666">
        <v>378</v>
      </c>
      <c r="E666" s="5">
        <v>43530</v>
      </c>
      <c r="F666">
        <v>13050501</v>
      </c>
      <c r="G666">
        <v>0</v>
      </c>
      <c r="H666" t="s">
        <v>1127</v>
      </c>
      <c r="I666" t="s">
        <v>1128</v>
      </c>
      <c r="J666">
        <v>1008</v>
      </c>
      <c r="K666">
        <v>1315</v>
      </c>
      <c r="L666" s="3">
        <v>40435586.987999998</v>
      </c>
      <c r="M666" s="3">
        <v>1546094.9350000001</v>
      </c>
      <c r="N666">
        <v>0</v>
      </c>
      <c r="O666">
        <v>0</v>
      </c>
      <c r="P666">
        <v>41981681.923</v>
      </c>
      <c r="Q666" t="s">
        <v>30</v>
      </c>
      <c r="R666" t="s">
        <v>394</v>
      </c>
      <c r="S666" t="str">
        <v>#N/A</v>
      </c>
      <c r="T666" t="str">
        <v>#N/A</v>
      </c>
    </row>
    <row r="667" spans="1:20" ht="13.7" customHeight="1" x14ac:dyDescent="0.25">
      <c r="A667" t="s">
        <v>320</v>
      </c>
      <c r="B667" t="s">
        <v>321</v>
      </c>
      <c r="C667" t="s">
        <v>142</v>
      </c>
      <c r="D667">
        <v>380</v>
      </c>
      <c r="E667" s="5">
        <v>43533</v>
      </c>
      <c r="F667">
        <v>13050501</v>
      </c>
      <c r="G667">
        <v>0</v>
      </c>
      <c r="H667" t="s">
        <v>1127</v>
      </c>
      <c r="I667" t="s">
        <v>1128</v>
      </c>
      <c r="J667">
        <v>1008</v>
      </c>
      <c r="K667">
        <v>1315</v>
      </c>
      <c r="L667" s="3">
        <v>41981681.923</v>
      </c>
      <c r="M667" s="3">
        <v>1511896.72</v>
      </c>
      <c r="N667">
        <v>0</v>
      </c>
      <c r="O667">
        <v>0</v>
      </c>
      <c r="P667">
        <v>43493578.642999999</v>
      </c>
      <c r="Q667" t="s">
        <v>30</v>
      </c>
      <c r="R667" t="s">
        <v>398</v>
      </c>
      <c r="S667" t="str">
        <v>#N/A</v>
      </c>
      <c r="T667" t="str">
        <v>#N/A</v>
      </c>
    </row>
    <row r="668" spans="1:20" ht="13.7" customHeight="1" x14ac:dyDescent="0.25">
      <c r="A668" t="s">
        <v>320</v>
      </c>
      <c r="B668" t="s">
        <v>321</v>
      </c>
      <c r="C668" t="s">
        <v>142</v>
      </c>
      <c r="D668">
        <v>382</v>
      </c>
      <c r="E668" s="5">
        <v>43536</v>
      </c>
      <c r="F668">
        <v>13050501</v>
      </c>
      <c r="G668">
        <v>0</v>
      </c>
      <c r="H668" t="s">
        <v>1127</v>
      </c>
      <c r="I668" t="s">
        <v>1128</v>
      </c>
      <c r="J668">
        <v>1008</v>
      </c>
      <c r="K668">
        <v>1315</v>
      </c>
      <c r="L668" s="3">
        <v>43493578.642999999</v>
      </c>
      <c r="M668" s="3">
        <v>588785.4</v>
      </c>
      <c r="N668">
        <v>0</v>
      </c>
      <c r="O668">
        <v>0</v>
      </c>
      <c r="P668">
        <v>44082364.042999998</v>
      </c>
      <c r="Q668" t="s">
        <v>30</v>
      </c>
      <c r="R668" t="s">
        <v>400</v>
      </c>
      <c r="S668" t="str">
        <v>#N/A</v>
      </c>
      <c r="T668" t="str">
        <v>#N/A</v>
      </c>
    </row>
    <row r="669" spans="1:20" ht="13.7" customHeight="1" x14ac:dyDescent="0.25">
      <c r="A669" t="s">
        <v>320</v>
      </c>
      <c r="B669" t="s">
        <v>321</v>
      </c>
      <c r="C669" t="s">
        <v>142</v>
      </c>
      <c r="D669">
        <v>384</v>
      </c>
      <c r="E669" s="5">
        <v>43542</v>
      </c>
      <c r="F669">
        <v>13050501</v>
      </c>
      <c r="G669">
        <v>0</v>
      </c>
      <c r="H669" t="s">
        <v>1127</v>
      </c>
      <c r="I669" t="s">
        <v>1128</v>
      </c>
      <c r="J669">
        <v>1008</v>
      </c>
      <c r="K669">
        <v>1315</v>
      </c>
      <c r="L669" s="3">
        <v>44082364.042999998</v>
      </c>
      <c r="M669" s="3">
        <v>77231</v>
      </c>
      <c r="N669">
        <v>0</v>
      </c>
      <c r="O669">
        <v>0</v>
      </c>
      <c r="P669">
        <v>44159595.042999998</v>
      </c>
      <c r="Q669" t="s">
        <v>30</v>
      </c>
      <c r="R669" t="s">
        <v>406</v>
      </c>
      <c r="S669" t="str">
        <v>#N/A</v>
      </c>
      <c r="T669" t="str">
        <v>#N/A</v>
      </c>
    </row>
    <row r="670" spans="1:20" ht="13.7" customHeight="1" x14ac:dyDescent="0.25">
      <c r="A670" t="s">
        <v>199</v>
      </c>
      <c r="B670" t="s">
        <v>200</v>
      </c>
      <c r="C670" t="s">
        <v>91</v>
      </c>
      <c r="D670">
        <v>5</v>
      </c>
      <c r="E670" s="5">
        <v>43552</v>
      </c>
      <c r="F670">
        <v>13050501</v>
      </c>
      <c r="G670">
        <v>0</v>
      </c>
      <c r="H670" t="s">
        <v>1127</v>
      </c>
      <c r="I670" t="s">
        <v>1128</v>
      </c>
      <c r="J670">
        <v>1008</v>
      </c>
      <c r="K670">
        <v>1315</v>
      </c>
      <c r="L670" s="3">
        <v>44159595.042999998</v>
      </c>
      <c r="M670" s="3">
        <v>0</v>
      </c>
      <c r="N670">
        <v>2312266</v>
      </c>
      <c r="O670">
        <v>0</v>
      </c>
      <c r="P670">
        <v>41847329.042999998</v>
      </c>
      <c r="Q670" t="s">
        <v>30</v>
      </c>
      <c r="R670" t="s">
        <v>414</v>
      </c>
      <c r="S670" t="str">
        <v>#N/A</v>
      </c>
      <c r="T670" t="str">
        <v>#N/A</v>
      </c>
    </row>
    <row r="671" spans="1:20" ht="13.7" customHeight="1" x14ac:dyDescent="0.25">
      <c r="A671" t="s">
        <v>199</v>
      </c>
      <c r="B671" t="s">
        <v>200</v>
      </c>
      <c r="C671" t="s">
        <v>91</v>
      </c>
      <c r="D671">
        <v>5</v>
      </c>
      <c r="E671" s="5">
        <v>43552</v>
      </c>
      <c r="F671">
        <v>13050501</v>
      </c>
      <c r="G671">
        <v>0</v>
      </c>
      <c r="H671" t="s">
        <v>1127</v>
      </c>
      <c r="I671" t="s">
        <v>1128</v>
      </c>
      <c r="J671">
        <v>1008</v>
      </c>
      <c r="K671">
        <v>1315</v>
      </c>
      <c r="L671" s="3">
        <v>41847329.042999998</v>
      </c>
      <c r="M671" s="3">
        <v>0</v>
      </c>
      <c r="N671">
        <v>479808</v>
      </c>
      <c r="O671">
        <v>0</v>
      </c>
      <c r="P671">
        <v>41367521.042999998</v>
      </c>
      <c r="Q671" t="s">
        <v>30</v>
      </c>
      <c r="R671" t="s">
        <v>415</v>
      </c>
      <c r="S671" t="str">
        <v>#N/A</v>
      </c>
      <c r="T671" t="str">
        <v>#N/A</v>
      </c>
    </row>
    <row r="672" spans="1:20" ht="13.7" customHeight="1" x14ac:dyDescent="0.25">
      <c r="A672" t="s">
        <v>199</v>
      </c>
      <c r="B672" t="s">
        <v>200</v>
      </c>
      <c r="C672" t="s">
        <v>91</v>
      </c>
      <c r="D672">
        <v>5</v>
      </c>
      <c r="E672" s="5">
        <v>43552</v>
      </c>
      <c r="F672">
        <v>13050501</v>
      </c>
      <c r="G672">
        <v>0</v>
      </c>
      <c r="H672" t="s">
        <v>1127</v>
      </c>
      <c r="I672" t="s">
        <v>1128</v>
      </c>
      <c r="J672">
        <v>1008</v>
      </c>
      <c r="K672">
        <v>1315</v>
      </c>
      <c r="L672" s="3">
        <v>41367521.042999998</v>
      </c>
      <c r="M672" s="3">
        <v>0</v>
      </c>
      <c r="N672">
        <v>170646</v>
      </c>
      <c r="O672">
        <v>0</v>
      </c>
      <c r="P672">
        <v>41196875.042999998</v>
      </c>
      <c r="Q672" t="s">
        <v>30</v>
      </c>
      <c r="R672" t="s">
        <v>416</v>
      </c>
      <c r="S672" t="str">
        <v>#N/A</v>
      </c>
      <c r="T672" t="str">
        <v>#N/A</v>
      </c>
    </row>
    <row r="673" spans="1:20" ht="13.7" customHeight="1" x14ac:dyDescent="0.25">
      <c r="A673" t="s">
        <v>199</v>
      </c>
      <c r="B673" t="s">
        <v>200</v>
      </c>
      <c r="C673" t="s">
        <v>91</v>
      </c>
      <c r="D673">
        <v>5</v>
      </c>
      <c r="E673" s="5">
        <v>43552</v>
      </c>
      <c r="F673">
        <v>13050501</v>
      </c>
      <c r="G673">
        <v>0</v>
      </c>
      <c r="H673" t="s">
        <v>1127</v>
      </c>
      <c r="I673" t="s">
        <v>1128</v>
      </c>
      <c r="J673">
        <v>1008</v>
      </c>
      <c r="K673">
        <v>1315</v>
      </c>
      <c r="L673" s="3">
        <v>41196875.042999998</v>
      </c>
      <c r="M673" s="3">
        <v>0</v>
      </c>
      <c r="N673">
        <v>18609</v>
      </c>
      <c r="O673">
        <v>0</v>
      </c>
      <c r="P673">
        <v>41178266.042999998</v>
      </c>
      <c r="Q673" t="s">
        <v>30</v>
      </c>
      <c r="R673" t="s">
        <v>417</v>
      </c>
      <c r="S673" t="str">
        <v>#N/A</v>
      </c>
      <c r="T673" t="str">
        <v>#N/A</v>
      </c>
    </row>
    <row r="674" spans="1:20" ht="13.7" customHeight="1" x14ac:dyDescent="0.25">
      <c r="A674" t="s">
        <v>320</v>
      </c>
      <c r="B674" t="s">
        <v>321</v>
      </c>
      <c r="C674" t="s">
        <v>142</v>
      </c>
      <c r="D674">
        <v>392</v>
      </c>
      <c r="E674" s="5">
        <v>43553</v>
      </c>
      <c r="F674">
        <v>13050501</v>
      </c>
      <c r="G674">
        <v>0</v>
      </c>
      <c r="H674" t="s">
        <v>1127</v>
      </c>
      <c r="I674" t="s">
        <v>1128</v>
      </c>
      <c r="J674">
        <v>1008</v>
      </c>
      <c r="K674">
        <v>1315</v>
      </c>
      <c r="L674" s="3">
        <v>41178266.042999998</v>
      </c>
      <c r="M674" s="3">
        <v>148750</v>
      </c>
      <c r="N674">
        <v>0</v>
      </c>
      <c r="O674">
        <v>0</v>
      </c>
      <c r="P674">
        <v>41327016.042999998</v>
      </c>
      <c r="Q674" t="s">
        <v>30</v>
      </c>
      <c r="R674" t="s">
        <v>418</v>
      </c>
      <c r="S674" t="str">
        <v>#N/A</v>
      </c>
      <c r="T674" t="str">
        <v>#N/A</v>
      </c>
    </row>
    <row r="675" spans="1:20" ht="13.7" customHeight="1" x14ac:dyDescent="0.25">
      <c r="A675" t="s">
        <v>320</v>
      </c>
      <c r="B675" t="s">
        <v>321</v>
      </c>
      <c r="C675" t="s">
        <v>142</v>
      </c>
      <c r="D675">
        <v>394</v>
      </c>
      <c r="E675" s="5">
        <v>43554</v>
      </c>
      <c r="F675">
        <v>13050501</v>
      </c>
      <c r="G675">
        <v>0</v>
      </c>
      <c r="H675" t="s">
        <v>1127</v>
      </c>
      <c r="I675" t="s">
        <v>1128</v>
      </c>
      <c r="J675">
        <v>1008</v>
      </c>
      <c r="K675">
        <v>1315</v>
      </c>
      <c r="L675" s="3">
        <v>41327016.042999998</v>
      </c>
      <c r="M675" s="3">
        <v>523838</v>
      </c>
      <c r="N675">
        <v>0</v>
      </c>
      <c r="O675">
        <v>0</v>
      </c>
      <c r="P675">
        <v>41850854.042999998</v>
      </c>
      <c r="Q675" t="s">
        <v>30</v>
      </c>
      <c r="R675" t="s">
        <v>420</v>
      </c>
      <c r="S675" t="str">
        <v>#N/A</v>
      </c>
      <c r="T675" t="str">
        <v>#N/A</v>
      </c>
    </row>
    <row r="676" spans="1:20" ht="13.7" customHeight="1" x14ac:dyDescent="0.25">
      <c r="A676" t="s">
        <v>320</v>
      </c>
      <c r="B676" t="s">
        <v>321</v>
      </c>
      <c r="C676" t="s">
        <v>142</v>
      </c>
      <c r="D676">
        <v>408</v>
      </c>
      <c r="E676" s="5">
        <v>43566</v>
      </c>
      <c r="F676">
        <v>13050501</v>
      </c>
      <c r="G676">
        <v>0</v>
      </c>
      <c r="H676" t="s">
        <v>1127</v>
      </c>
      <c r="I676" t="s">
        <v>1128</v>
      </c>
      <c r="J676">
        <v>1008</v>
      </c>
      <c r="K676">
        <v>1315</v>
      </c>
      <c r="L676" s="3">
        <v>41850854.042999998</v>
      </c>
      <c r="M676" s="3">
        <v>302736</v>
      </c>
      <c r="N676">
        <v>0</v>
      </c>
      <c r="O676">
        <v>0</v>
      </c>
      <c r="P676">
        <v>42153590.042999998</v>
      </c>
      <c r="Q676" t="s">
        <v>30</v>
      </c>
      <c r="R676" t="s">
        <v>428</v>
      </c>
      <c r="S676" t="str">
        <v>#N/A</v>
      </c>
      <c r="T676" t="str">
        <v>#N/A</v>
      </c>
    </row>
    <row r="677" spans="1:20" ht="13.7" customHeight="1" x14ac:dyDescent="0.25">
      <c r="A677" t="s">
        <v>320</v>
      </c>
      <c r="B677" t="s">
        <v>321</v>
      </c>
      <c r="C677" t="s">
        <v>142</v>
      </c>
      <c r="D677">
        <v>413</v>
      </c>
      <c r="E677" s="5">
        <v>43572</v>
      </c>
      <c r="F677">
        <v>13050501</v>
      </c>
      <c r="G677">
        <v>0</v>
      </c>
      <c r="H677" t="s">
        <v>1127</v>
      </c>
      <c r="I677" t="s">
        <v>1128</v>
      </c>
      <c r="J677">
        <v>1008</v>
      </c>
      <c r="K677">
        <v>1315</v>
      </c>
      <c r="L677" s="3">
        <v>42153590.042999998</v>
      </c>
      <c r="M677" s="3">
        <v>1737280.895</v>
      </c>
      <c r="N677">
        <v>0</v>
      </c>
      <c r="O677">
        <v>0</v>
      </c>
      <c r="P677">
        <v>43890870.938000001</v>
      </c>
      <c r="Q677" t="s">
        <v>30</v>
      </c>
      <c r="R677" t="s">
        <v>432</v>
      </c>
      <c r="S677" t="str">
        <v>#N/A</v>
      </c>
      <c r="T677" t="str">
        <v>#N/A</v>
      </c>
    </row>
    <row r="678" spans="1:20" ht="13.7" customHeight="1" x14ac:dyDescent="0.25">
      <c r="A678" t="s">
        <v>320</v>
      </c>
      <c r="B678" t="s">
        <v>321</v>
      </c>
      <c r="C678" t="s">
        <v>142</v>
      </c>
      <c r="D678">
        <v>418</v>
      </c>
      <c r="E678" s="5">
        <v>43581</v>
      </c>
      <c r="F678">
        <v>13050501</v>
      </c>
      <c r="G678">
        <v>0</v>
      </c>
      <c r="H678" t="s">
        <v>1127</v>
      </c>
      <c r="I678" t="s">
        <v>1128</v>
      </c>
      <c r="J678">
        <v>1008</v>
      </c>
      <c r="K678">
        <v>1315</v>
      </c>
      <c r="L678" s="3">
        <v>43890870.938000001</v>
      </c>
      <c r="M678" s="3">
        <v>1095916.808</v>
      </c>
      <c r="N678">
        <v>0</v>
      </c>
      <c r="O678">
        <v>0</v>
      </c>
      <c r="P678">
        <v>44986787.745999999</v>
      </c>
      <c r="Q678" t="s">
        <v>30</v>
      </c>
      <c r="R678" t="s">
        <v>437</v>
      </c>
      <c r="S678" t="str">
        <v>#N/A</v>
      </c>
      <c r="T678" t="str">
        <v>#N/A</v>
      </c>
    </row>
    <row r="679" spans="1:20" ht="13.7" customHeight="1" x14ac:dyDescent="0.25">
      <c r="A679" t="s">
        <v>320</v>
      </c>
      <c r="B679" t="s">
        <v>321</v>
      </c>
      <c r="C679" t="s">
        <v>142</v>
      </c>
      <c r="D679">
        <v>421</v>
      </c>
      <c r="E679" s="5">
        <v>43589</v>
      </c>
      <c r="F679">
        <v>13050501</v>
      </c>
      <c r="G679">
        <v>0</v>
      </c>
      <c r="H679" t="s">
        <v>1127</v>
      </c>
      <c r="I679" t="s">
        <v>1128</v>
      </c>
      <c r="J679">
        <v>1008</v>
      </c>
      <c r="K679">
        <v>1315</v>
      </c>
      <c r="L679" s="3">
        <v>44986787.745999999</v>
      </c>
      <c r="M679" s="3">
        <v>158508</v>
      </c>
      <c r="N679">
        <v>0</v>
      </c>
      <c r="O679">
        <v>0</v>
      </c>
      <c r="P679">
        <v>45145295.745999999</v>
      </c>
      <c r="Q679" t="s">
        <v>30</v>
      </c>
      <c r="R679" t="s">
        <v>440</v>
      </c>
      <c r="S679" t="str">
        <v>#N/A</v>
      </c>
      <c r="T679" t="str">
        <v>#N/A</v>
      </c>
    </row>
    <row r="680" spans="1:20" ht="13.7" customHeight="1" x14ac:dyDescent="0.25">
      <c r="A680" t="s">
        <v>320</v>
      </c>
      <c r="B680" t="s">
        <v>321</v>
      </c>
      <c r="C680" t="s">
        <v>142</v>
      </c>
      <c r="D680">
        <v>424</v>
      </c>
      <c r="E680" s="5">
        <v>43591</v>
      </c>
      <c r="F680">
        <v>13050501</v>
      </c>
      <c r="G680">
        <v>0</v>
      </c>
      <c r="H680" t="s">
        <v>1127</v>
      </c>
      <c r="I680" t="s">
        <v>1128</v>
      </c>
      <c r="J680">
        <v>1008</v>
      </c>
      <c r="K680">
        <v>1315</v>
      </c>
      <c r="L680" s="3">
        <v>45145295.745999999</v>
      </c>
      <c r="M680" s="3">
        <v>412692</v>
      </c>
      <c r="N680">
        <v>0</v>
      </c>
      <c r="O680">
        <v>0</v>
      </c>
      <c r="P680">
        <v>45557987.745999999</v>
      </c>
      <c r="Q680" t="s">
        <v>30</v>
      </c>
      <c r="R680" t="s">
        <v>441</v>
      </c>
      <c r="S680" t="str">
        <v>#N/A</v>
      </c>
      <c r="T680" t="str">
        <v>#N/A</v>
      </c>
    </row>
    <row r="681" spans="1:20" ht="13.7" customHeight="1" x14ac:dyDescent="0.25">
      <c r="A681" t="s">
        <v>320</v>
      </c>
      <c r="B681" t="s">
        <v>321</v>
      </c>
      <c r="C681" t="s">
        <v>142</v>
      </c>
      <c r="D681">
        <v>426</v>
      </c>
      <c r="E681" s="5">
        <v>43593</v>
      </c>
      <c r="F681">
        <v>13050501</v>
      </c>
      <c r="G681">
        <v>0</v>
      </c>
      <c r="H681" t="s">
        <v>1127</v>
      </c>
      <c r="I681" t="s">
        <v>1128</v>
      </c>
      <c r="J681">
        <v>1008</v>
      </c>
      <c r="K681">
        <v>1315</v>
      </c>
      <c r="L681" s="3">
        <v>45557987.745999999</v>
      </c>
      <c r="M681" s="3">
        <v>297738</v>
      </c>
      <c r="N681">
        <v>0</v>
      </c>
      <c r="O681">
        <v>0</v>
      </c>
      <c r="P681">
        <v>45855725.745999999</v>
      </c>
      <c r="Q681" t="s">
        <v>30</v>
      </c>
      <c r="R681" t="s">
        <v>443</v>
      </c>
      <c r="S681" t="str">
        <v>#N/A</v>
      </c>
      <c r="T681" t="str">
        <v>#N/A</v>
      </c>
    </row>
    <row r="682" spans="1:20" ht="13.7" customHeight="1" x14ac:dyDescent="0.25">
      <c r="A682" t="s">
        <v>320</v>
      </c>
      <c r="B682" t="s">
        <v>321</v>
      </c>
      <c r="C682" t="s">
        <v>142</v>
      </c>
      <c r="D682">
        <v>431</v>
      </c>
      <c r="E682" s="5">
        <v>43596</v>
      </c>
      <c r="F682">
        <v>13050501</v>
      </c>
      <c r="G682">
        <v>0</v>
      </c>
      <c r="H682" t="s">
        <v>1127</v>
      </c>
      <c r="I682" t="s">
        <v>1128</v>
      </c>
      <c r="J682">
        <v>1008</v>
      </c>
      <c r="K682">
        <v>1315</v>
      </c>
      <c r="L682" s="3">
        <v>45855725.745999999</v>
      </c>
      <c r="M682" s="3">
        <v>156366</v>
      </c>
      <c r="N682">
        <v>0</v>
      </c>
      <c r="O682">
        <v>0</v>
      </c>
      <c r="P682">
        <v>46012091.745999999</v>
      </c>
      <c r="Q682" t="s">
        <v>30</v>
      </c>
      <c r="R682" t="s">
        <v>448</v>
      </c>
      <c r="S682" t="str">
        <v>#N/A</v>
      </c>
      <c r="T682" t="str">
        <v>#N/A</v>
      </c>
    </row>
    <row r="683" spans="1:20" ht="13.7" customHeight="1" x14ac:dyDescent="0.25">
      <c r="A683" t="s">
        <v>320</v>
      </c>
      <c r="B683" t="s">
        <v>321</v>
      </c>
      <c r="C683" t="s">
        <v>142</v>
      </c>
      <c r="D683">
        <v>432</v>
      </c>
      <c r="E683" s="5">
        <v>43599</v>
      </c>
      <c r="F683">
        <v>13050501</v>
      </c>
      <c r="G683">
        <v>0</v>
      </c>
      <c r="H683" t="s">
        <v>1127</v>
      </c>
      <c r="I683" t="s">
        <v>1128</v>
      </c>
      <c r="J683">
        <v>1008</v>
      </c>
      <c r="K683">
        <v>1315</v>
      </c>
      <c r="L683" s="3">
        <v>46012091.745999999</v>
      </c>
      <c r="M683" s="3">
        <v>104958</v>
      </c>
      <c r="N683">
        <v>0</v>
      </c>
      <c r="O683">
        <v>0</v>
      </c>
      <c r="P683">
        <v>46117049.745999999</v>
      </c>
      <c r="Q683" t="s">
        <v>30</v>
      </c>
      <c r="R683" t="s">
        <v>449</v>
      </c>
      <c r="S683" t="str">
        <v>#N/A</v>
      </c>
      <c r="T683" t="str">
        <v>#N/A</v>
      </c>
    </row>
    <row r="684" spans="1:20" ht="13.7" customHeight="1" x14ac:dyDescent="0.25">
      <c r="A684" t="s">
        <v>320</v>
      </c>
      <c r="B684" t="s">
        <v>321</v>
      </c>
      <c r="C684" t="s">
        <v>142</v>
      </c>
      <c r="D684">
        <v>433</v>
      </c>
      <c r="E684" s="5">
        <v>43602</v>
      </c>
      <c r="F684">
        <v>13050501</v>
      </c>
      <c r="G684">
        <v>0</v>
      </c>
      <c r="H684" t="s">
        <v>1127</v>
      </c>
      <c r="I684" t="s">
        <v>1128</v>
      </c>
      <c r="J684">
        <v>1008</v>
      </c>
      <c r="K684">
        <v>1315</v>
      </c>
      <c r="L684" s="3">
        <v>46117049.745999999</v>
      </c>
      <c r="M684" s="3">
        <v>311304</v>
      </c>
      <c r="N684">
        <v>0</v>
      </c>
      <c r="O684">
        <v>0</v>
      </c>
      <c r="P684">
        <v>46428353.745999999</v>
      </c>
      <c r="Q684" t="s">
        <v>30</v>
      </c>
      <c r="R684" t="s">
        <v>450</v>
      </c>
      <c r="S684" t="str">
        <v>#N/A</v>
      </c>
      <c r="T684" t="str">
        <v>#N/A</v>
      </c>
    </row>
    <row r="685" spans="1:20" ht="13.7" customHeight="1" x14ac:dyDescent="0.25">
      <c r="A685" t="s">
        <v>320</v>
      </c>
      <c r="B685" t="s">
        <v>321</v>
      </c>
      <c r="C685" t="s">
        <v>142</v>
      </c>
      <c r="D685">
        <v>438</v>
      </c>
      <c r="E685" s="5">
        <v>43607</v>
      </c>
      <c r="F685">
        <v>13050501</v>
      </c>
      <c r="G685">
        <v>0</v>
      </c>
      <c r="H685" t="s">
        <v>1127</v>
      </c>
      <c r="I685" t="s">
        <v>1128</v>
      </c>
      <c r="J685">
        <v>1008</v>
      </c>
      <c r="K685">
        <v>1315</v>
      </c>
      <c r="L685" s="3">
        <v>46428353.745999999</v>
      </c>
      <c r="M685" s="3">
        <v>345576</v>
      </c>
      <c r="N685">
        <v>0</v>
      </c>
      <c r="O685">
        <v>0</v>
      </c>
      <c r="P685">
        <v>46773929.745999999</v>
      </c>
      <c r="Q685" t="s">
        <v>30</v>
      </c>
      <c r="R685" t="s">
        <v>452</v>
      </c>
      <c r="S685" t="str">
        <v>#N/A</v>
      </c>
      <c r="T685" t="str">
        <v>#N/A</v>
      </c>
    </row>
    <row r="686" spans="1:20" ht="13.7" customHeight="1" x14ac:dyDescent="0.25">
      <c r="A686" t="s">
        <v>320</v>
      </c>
      <c r="B686" t="s">
        <v>321</v>
      </c>
      <c r="C686" t="s">
        <v>142</v>
      </c>
      <c r="D686">
        <v>460</v>
      </c>
      <c r="E686" s="5">
        <v>43645</v>
      </c>
      <c r="F686">
        <v>13050501</v>
      </c>
      <c r="G686">
        <v>0</v>
      </c>
      <c r="H686" t="s">
        <v>1127</v>
      </c>
      <c r="I686" t="s">
        <v>1128</v>
      </c>
      <c r="J686">
        <v>1008</v>
      </c>
      <c r="K686">
        <v>1315</v>
      </c>
      <c r="L686" s="3">
        <v>46773929.745999999</v>
      </c>
      <c r="M686" s="3">
        <v>166362</v>
      </c>
      <c r="N686">
        <v>0</v>
      </c>
      <c r="O686">
        <v>0</v>
      </c>
      <c r="P686">
        <v>46940291.745999999</v>
      </c>
      <c r="Q686" t="s">
        <v>30</v>
      </c>
      <c r="R686" t="s">
        <v>466</v>
      </c>
      <c r="S686" t="str">
        <v>#N/A</v>
      </c>
      <c r="T686" t="str">
        <v>#N/A</v>
      </c>
    </row>
    <row r="687" spans="1:20" ht="13.7" customHeight="1" x14ac:dyDescent="0.25">
      <c r="A687" t="s">
        <v>320</v>
      </c>
      <c r="B687" t="s">
        <v>321</v>
      </c>
      <c r="C687" t="s">
        <v>142</v>
      </c>
      <c r="D687">
        <v>472</v>
      </c>
      <c r="E687" s="5">
        <v>43676</v>
      </c>
      <c r="F687">
        <v>13050501</v>
      </c>
      <c r="G687">
        <v>0</v>
      </c>
      <c r="H687" t="s">
        <v>1127</v>
      </c>
      <c r="I687" t="s">
        <v>1128</v>
      </c>
      <c r="J687">
        <v>1008</v>
      </c>
      <c r="K687">
        <v>1315</v>
      </c>
      <c r="L687" s="3">
        <v>46940291.745999999</v>
      </c>
      <c r="M687" s="3">
        <v>550494</v>
      </c>
      <c r="N687">
        <v>0</v>
      </c>
      <c r="O687">
        <v>0</v>
      </c>
      <c r="P687">
        <v>47490785.745999999</v>
      </c>
      <c r="Q687" t="s">
        <v>30</v>
      </c>
      <c r="R687" t="s">
        <v>472</v>
      </c>
      <c r="S687" t="str">
        <v>#N/A</v>
      </c>
      <c r="T687" t="str">
        <v>#N/A</v>
      </c>
    </row>
    <row r="688" spans="1:20" ht="13.7" customHeight="1" x14ac:dyDescent="0.25">
      <c r="A688" t="s">
        <v>320</v>
      </c>
      <c r="B688" t="s">
        <v>321</v>
      </c>
      <c r="C688" t="s">
        <v>142</v>
      </c>
      <c r="D688">
        <v>494</v>
      </c>
      <c r="E688" s="5">
        <v>43722</v>
      </c>
      <c r="F688">
        <v>13050501</v>
      </c>
      <c r="G688">
        <v>0</v>
      </c>
      <c r="H688" t="s">
        <v>1127</v>
      </c>
      <c r="I688" t="s">
        <v>1128</v>
      </c>
      <c r="J688">
        <v>1008</v>
      </c>
      <c r="K688">
        <v>1315</v>
      </c>
      <c r="L688" s="3">
        <v>47490785.745999999</v>
      </c>
      <c r="M688" s="3">
        <v>160650</v>
      </c>
      <c r="N688">
        <v>0</v>
      </c>
      <c r="O688">
        <v>0</v>
      </c>
      <c r="P688">
        <v>47651435.745999999</v>
      </c>
      <c r="Q688" t="s">
        <v>30</v>
      </c>
      <c r="R688" t="s">
        <v>479</v>
      </c>
      <c r="S688" t="str">
        <v>#N/A</v>
      </c>
      <c r="T688" t="str">
        <v>#N/A</v>
      </c>
    </row>
    <row r="689" spans="1:20" ht="13.7" customHeight="1" x14ac:dyDescent="0.25">
      <c r="A689" t="s">
        <v>320</v>
      </c>
      <c r="B689" t="s">
        <v>321</v>
      </c>
      <c r="C689" t="s">
        <v>142</v>
      </c>
      <c r="D689">
        <v>499</v>
      </c>
      <c r="E689" s="5">
        <v>43734</v>
      </c>
      <c r="F689">
        <v>13050501</v>
      </c>
      <c r="G689">
        <v>0</v>
      </c>
      <c r="H689" t="s">
        <v>1127</v>
      </c>
      <c r="I689" t="s">
        <v>1128</v>
      </c>
      <c r="J689">
        <v>1008</v>
      </c>
      <c r="K689">
        <v>1315</v>
      </c>
      <c r="L689" s="3">
        <v>47651435.745999999</v>
      </c>
      <c r="M689" s="3">
        <v>332010</v>
      </c>
      <c r="N689">
        <v>0</v>
      </c>
      <c r="O689">
        <v>0</v>
      </c>
      <c r="P689">
        <v>47983445.745999999</v>
      </c>
      <c r="Q689" t="s">
        <v>30</v>
      </c>
      <c r="R689" t="s">
        <v>484</v>
      </c>
      <c r="S689" t="str">
        <v>#N/A</v>
      </c>
      <c r="T689" t="str">
        <v>#N/A</v>
      </c>
    </row>
    <row r="690" spans="1:20" ht="13.7" customHeight="1" x14ac:dyDescent="0.25">
      <c r="A690" t="s">
        <v>320</v>
      </c>
      <c r="B690" t="s">
        <v>321</v>
      </c>
      <c r="C690" t="s">
        <v>142</v>
      </c>
      <c r="D690">
        <v>503</v>
      </c>
      <c r="E690" s="5">
        <v>43739</v>
      </c>
      <c r="F690">
        <v>13050501</v>
      </c>
      <c r="G690">
        <v>0</v>
      </c>
      <c r="H690" t="s">
        <v>1127</v>
      </c>
      <c r="I690" t="s">
        <v>1128</v>
      </c>
      <c r="J690">
        <v>1008</v>
      </c>
      <c r="K690">
        <v>1315</v>
      </c>
      <c r="L690" s="3">
        <v>47983445.745999999</v>
      </c>
      <c r="M690" s="3">
        <v>1287380.52</v>
      </c>
      <c r="N690">
        <v>0</v>
      </c>
      <c r="O690">
        <v>0</v>
      </c>
      <c r="P690">
        <v>49270826.266000003</v>
      </c>
      <c r="Q690" t="s">
        <v>30</v>
      </c>
      <c r="R690" t="s">
        <v>488</v>
      </c>
      <c r="S690" t="str">
        <v>#N/A</v>
      </c>
      <c r="T690" t="str">
        <v>#N/A</v>
      </c>
    </row>
    <row r="691" spans="1:20" ht="13.7" customHeight="1" x14ac:dyDescent="0.25">
      <c r="A691" t="s">
        <v>320</v>
      </c>
      <c r="B691" t="s">
        <v>321</v>
      </c>
      <c r="C691" t="s">
        <v>142</v>
      </c>
      <c r="D691">
        <v>505</v>
      </c>
      <c r="E691" s="5">
        <v>43742</v>
      </c>
      <c r="F691">
        <v>13050501</v>
      </c>
      <c r="G691">
        <v>0</v>
      </c>
      <c r="H691" t="s">
        <v>1127</v>
      </c>
      <c r="I691" t="s">
        <v>1128</v>
      </c>
      <c r="J691">
        <v>1008</v>
      </c>
      <c r="K691">
        <v>1315</v>
      </c>
      <c r="L691" s="3">
        <v>49270826.266000003</v>
      </c>
      <c r="M691" s="3">
        <v>476000</v>
      </c>
      <c r="N691">
        <v>0</v>
      </c>
      <c r="O691">
        <v>0</v>
      </c>
      <c r="P691">
        <v>49746826.266000003</v>
      </c>
      <c r="Q691" t="s">
        <v>30</v>
      </c>
      <c r="R691" t="s">
        <v>490</v>
      </c>
      <c r="S691" t="str">
        <v>#N/A</v>
      </c>
      <c r="T691" t="str">
        <v>#N/A</v>
      </c>
    </row>
    <row r="692" spans="1:20" ht="13.7" customHeight="1" x14ac:dyDescent="0.25">
      <c r="A692" t="s">
        <v>320</v>
      </c>
      <c r="B692" t="s">
        <v>321</v>
      </c>
      <c r="C692" t="s">
        <v>142</v>
      </c>
      <c r="D692">
        <v>509</v>
      </c>
      <c r="E692" s="5">
        <v>43749</v>
      </c>
      <c r="F692">
        <v>13050501</v>
      </c>
      <c r="G692">
        <v>0</v>
      </c>
      <c r="H692" t="s">
        <v>1127</v>
      </c>
      <c r="I692" t="s">
        <v>1128</v>
      </c>
      <c r="J692">
        <v>1008</v>
      </c>
      <c r="K692">
        <v>1315</v>
      </c>
      <c r="L692" s="3">
        <v>49746826.266000003</v>
      </c>
      <c r="M692" s="3">
        <v>302022</v>
      </c>
      <c r="N692">
        <v>0</v>
      </c>
      <c r="O692">
        <v>0</v>
      </c>
      <c r="P692">
        <v>50048848.266000003</v>
      </c>
      <c r="Q692" t="s">
        <v>30</v>
      </c>
      <c r="R692" t="s">
        <v>494</v>
      </c>
      <c r="S692" t="str">
        <v>#N/A</v>
      </c>
      <c r="T692" t="str">
        <v>#N/A</v>
      </c>
    </row>
    <row r="693" spans="1:20" ht="13.7" customHeight="1" x14ac:dyDescent="0.25">
      <c r="A693" t="s">
        <v>320</v>
      </c>
      <c r="B693" t="s">
        <v>321</v>
      </c>
      <c r="C693" t="s">
        <v>142</v>
      </c>
      <c r="D693">
        <v>512</v>
      </c>
      <c r="E693" s="5">
        <v>43755</v>
      </c>
      <c r="F693">
        <v>13050501</v>
      </c>
      <c r="G693">
        <v>0</v>
      </c>
      <c r="H693" t="s">
        <v>1127</v>
      </c>
      <c r="I693" t="s">
        <v>1128</v>
      </c>
      <c r="J693">
        <v>1008</v>
      </c>
      <c r="K693">
        <v>1315</v>
      </c>
      <c r="L693" s="3">
        <v>50048848.266000003</v>
      </c>
      <c r="M693" s="3">
        <v>157080</v>
      </c>
      <c r="N693">
        <v>0</v>
      </c>
      <c r="O693">
        <v>0</v>
      </c>
      <c r="P693">
        <v>50205928.266000003</v>
      </c>
      <c r="Q693" t="s">
        <v>30</v>
      </c>
      <c r="R693" t="s">
        <v>497</v>
      </c>
      <c r="S693" t="str">
        <v>#N/A</v>
      </c>
      <c r="T693" t="str">
        <v>#N/A</v>
      </c>
    </row>
    <row r="694" spans="1:20" ht="13.7" customHeight="1" x14ac:dyDescent="0.25">
      <c r="A694" t="s">
        <v>320</v>
      </c>
      <c r="B694" t="s">
        <v>321</v>
      </c>
      <c r="C694" t="s">
        <v>142</v>
      </c>
      <c r="D694">
        <v>519</v>
      </c>
      <c r="E694" s="5">
        <v>43766</v>
      </c>
      <c r="F694">
        <v>13050501</v>
      </c>
      <c r="G694">
        <v>0</v>
      </c>
      <c r="H694" t="s">
        <v>1127</v>
      </c>
      <c r="I694" t="s">
        <v>1128</v>
      </c>
      <c r="J694">
        <v>1008</v>
      </c>
      <c r="K694">
        <v>1315</v>
      </c>
      <c r="L694" s="3">
        <v>50205928.266000003</v>
      </c>
      <c r="M694" s="3">
        <v>1222498</v>
      </c>
      <c r="N694">
        <v>0</v>
      </c>
      <c r="O694">
        <v>0</v>
      </c>
      <c r="P694">
        <v>51428426.266000003</v>
      </c>
      <c r="Q694" t="s">
        <v>30</v>
      </c>
      <c r="R694" t="s">
        <v>503</v>
      </c>
      <c r="S694" t="str">
        <v>#N/A</v>
      </c>
      <c r="T694" t="str">
        <v>#N/A</v>
      </c>
    </row>
    <row r="695" spans="1:20" ht="13.7" customHeight="1" x14ac:dyDescent="0.25">
      <c r="A695" t="s">
        <v>320</v>
      </c>
      <c r="B695" t="s">
        <v>321</v>
      </c>
      <c r="C695" t="s">
        <v>142</v>
      </c>
      <c r="D695">
        <v>526</v>
      </c>
      <c r="E695" s="5">
        <v>43774</v>
      </c>
      <c r="F695">
        <v>13050501</v>
      </c>
      <c r="G695">
        <v>0</v>
      </c>
      <c r="H695" t="s">
        <v>1127</v>
      </c>
      <c r="I695" t="s">
        <v>1128</v>
      </c>
      <c r="J695">
        <v>1008</v>
      </c>
      <c r="K695">
        <v>1315</v>
      </c>
      <c r="L695" s="3">
        <v>51428426.266000003</v>
      </c>
      <c r="M695" s="3">
        <v>620707.5</v>
      </c>
      <c r="N695">
        <v>0</v>
      </c>
      <c r="O695">
        <v>0</v>
      </c>
      <c r="P695">
        <v>52049133.766000003</v>
      </c>
      <c r="Q695" t="s">
        <v>30</v>
      </c>
      <c r="R695" t="s">
        <v>508</v>
      </c>
      <c r="S695" t="str">
        <v>#N/A</v>
      </c>
      <c r="T695" t="str">
        <v>#N/A</v>
      </c>
    </row>
    <row r="696" spans="1:20" ht="13.7" customHeight="1" x14ac:dyDescent="0.25">
      <c r="A696" t="s">
        <v>320</v>
      </c>
      <c r="B696" t="s">
        <v>321</v>
      </c>
      <c r="C696" t="s">
        <v>142</v>
      </c>
      <c r="D696">
        <v>528</v>
      </c>
      <c r="E696" s="5">
        <v>43783</v>
      </c>
      <c r="F696">
        <v>13050501</v>
      </c>
      <c r="G696">
        <v>0</v>
      </c>
      <c r="H696" t="s">
        <v>1127</v>
      </c>
      <c r="I696" t="s">
        <v>1128</v>
      </c>
      <c r="J696">
        <v>1008</v>
      </c>
      <c r="K696">
        <v>1315</v>
      </c>
      <c r="L696" s="3">
        <v>52049133.766000003</v>
      </c>
      <c r="M696" s="3">
        <v>154938</v>
      </c>
      <c r="N696">
        <v>0</v>
      </c>
      <c r="O696">
        <v>0</v>
      </c>
      <c r="P696">
        <v>52204071.766000003</v>
      </c>
      <c r="Q696" t="s">
        <v>30</v>
      </c>
      <c r="R696" t="s">
        <v>510</v>
      </c>
      <c r="S696" t="str">
        <v>#N/A</v>
      </c>
      <c r="T696" t="str">
        <v>#N/A</v>
      </c>
    </row>
    <row r="697" spans="1:20" ht="13.7" customHeight="1" x14ac:dyDescent="0.25">
      <c r="A697" t="s">
        <v>518</v>
      </c>
      <c r="B697" t="s">
        <v>519</v>
      </c>
      <c r="C697" t="s">
        <v>520</v>
      </c>
      <c r="D697">
        <v>2</v>
      </c>
      <c r="E697" s="5">
        <v>43804</v>
      </c>
      <c r="F697">
        <v>13050501</v>
      </c>
      <c r="G697">
        <v>0</v>
      </c>
      <c r="H697" t="s">
        <v>1127</v>
      </c>
      <c r="I697" t="s">
        <v>1128</v>
      </c>
      <c r="J697">
        <v>1008</v>
      </c>
      <c r="K697">
        <v>1315</v>
      </c>
      <c r="L697" s="3">
        <v>52204071.766000003</v>
      </c>
      <c r="M697" s="3">
        <v>889622</v>
      </c>
      <c r="N697">
        <v>0</v>
      </c>
      <c r="O697">
        <v>0</v>
      </c>
      <c r="P697">
        <v>53093693.766000003</v>
      </c>
      <c r="Q697" t="s">
        <v>30</v>
      </c>
      <c r="R697" t="s">
        <v>522</v>
      </c>
      <c r="S697" t="str">
        <v>#N/A</v>
      </c>
      <c r="T697" t="str">
        <v>#N/A</v>
      </c>
    </row>
    <row r="698" spans="1:20" ht="13.7" customHeight="1" x14ac:dyDescent="0.25">
      <c r="A698" t="s">
        <v>518</v>
      </c>
      <c r="B698" t="s">
        <v>519</v>
      </c>
      <c r="C698" t="s">
        <v>520</v>
      </c>
      <c r="D698">
        <v>3</v>
      </c>
      <c r="E698" s="5">
        <v>43806</v>
      </c>
      <c r="F698">
        <v>13050501</v>
      </c>
      <c r="G698">
        <v>0</v>
      </c>
      <c r="H698" t="s">
        <v>1127</v>
      </c>
      <c r="I698" t="s">
        <v>1128</v>
      </c>
      <c r="J698">
        <v>1008</v>
      </c>
      <c r="K698">
        <v>1315</v>
      </c>
      <c r="L698" s="3">
        <v>53093693.766000003</v>
      </c>
      <c r="M698" s="3">
        <v>195458</v>
      </c>
      <c r="N698">
        <v>0</v>
      </c>
      <c r="O698">
        <v>0</v>
      </c>
      <c r="P698">
        <v>53289151.766000003</v>
      </c>
      <c r="Q698" t="s">
        <v>30</v>
      </c>
      <c r="R698" t="s">
        <v>522</v>
      </c>
      <c r="S698" t="str">
        <v>#N/A</v>
      </c>
      <c r="T698" t="str">
        <v>#N/A</v>
      </c>
    </row>
    <row r="699" spans="1:20" ht="13.7" customHeight="1" x14ac:dyDescent="0.25">
      <c r="A699" t="s">
        <v>518</v>
      </c>
      <c r="B699" t="s">
        <v>519</v>
      </c>
      <c r="C699" t="s">
        <v>520</v>
      </c>
      <c r="D699">
        <v>5</v>
      </c>
      <c r="E699" s="5">
        <v>43812</v>
      </c>
      <c r="F699">
        <v>13050501</v>
      </c>
      <c r="G699">
        <v>0</v>
      </c>
      <c r="H699" t="s">
        <v>1127</v>
      </c>
      <c r="I699" t="s">
        <v>1128</v>
      </c>
      <c r="J699">
        <v>1008</v>
      </c>
      <c r="K699">
        <v>1315</v>
      </c>
      <c r="L699" s="3">
        <v>53289151.766000003</v>
      </c>
      <c r="M699" s="3">
        <v>181713</v>
      </c>
      <c r="N699">
        <v>0</v>
      </c>
      <c r="O699">
        <v>0</v>
      </c>
      <c r="P699">
        <v>53470864.766000003</v>
      </c>
      <c r="Q699" t="s">
        <v>30</v>
      </c>
      <c r="R699" t="s">
        <v>524</v>
      </c>
      <c r="S699" t="str">
        <v>#N/A</v>
      </c>
      <c r="T699" t="str">
        <v>#N/A</v>
      </c>
    </row>
    <row r="700" spans="1:20" ht="13.7" customHeight="1" x14ac:dyDescent="0.25">
      <c r="A700" t="s">
        <v>518</v>
      </c>
      <c r="B700" t="s">
        <v>519</v>
      </c>
      <c r="C700" t="s">
        <v>520</v>
      </c>
      <c r="D700">
        <v>6</v>
      </c>
      <c r="E700" s="5">
        <v>43813</v>
      </c>
      <c r="F700">
        <v>13050501</v>
      </c>
      <c r="G700">
        <v>0</v>
      </c>
      <c r="H700" t="s">
        <v>1127</v>
      </c>
      <c r="I700" t="s">
        <v>1128</v>
      </c>
      <c r="J700">
        <v>1008</v>
      </c>
      <c r="K700">
        <v>1315</v>
      </c>
      <c r="L700" s="3">
        <v>53470864.766000003</v>
      </c>
      <c r="M700" s="3">
        <v>85680</v>
      </c>
      <c r="N700">
        <v>0</v>
      </c>
      <c r="O700">
        <v>0</v>
      </c>
      <c r="P700">
        <v>53556544.766000003</v>
      </c>
      <c r="Q700" t="s">
        <v>30</v>
      </c>
      <c r="R700" t="s">
        <v>525</v>
      </c>
      <c r="S700" t="str">
        <v>#N/A</v>
      </c>
      <c r="T700" t="str">
        <v>#N/A</v>
      </c>
    </row>
    <row r="701" spans="1:20" ht="13.7" customHeight="1" x14ac:dyDescent="0.25">
      <c r="A701" t="s">
        <v>518</v>
      </c>
      <c r="B701" t="s">
        <v>519</v>
      </c>
      <c r="C701" t="s">
        <v>520</v>
      </c>
      <c r="D701">
        <v>9</v>
      </c>
      <c r="E701" s="5">
        <v>43819</v>
      </c>
      <c r="F701">
        <v>13050501</v>
      </c>
      <c r="G701">
        <v>0</v>
      </c>
      <c r="H701" t="s">
        <v>1127</v>
      </c>
      <c r="I701" t="s">
        <v>1128</v>
      </c>
      <c r="J701">
        <v>1008</v>
      </c>
      <c r="K701">
        <v>1315</v>
      </c>
      <c r="L701" s="3">
        <v>53556544.766000003</v>
      </c>
      <c r="M701" s="3">
        <v>219555</v>
      </c>
      <c r="N701">
        <v>0</v>
      </c>
      <c r="O701">
        <v>0</v>
      </c>
      <c r="P701">
        <v>53776099.766000003</v>
      </c>
      <c r="Q701" t="s">
        <v>30</v>
      </c>
      <c r="R701" t="s">
        <v>522</v>
      </c>
      <c r="S701" t="str">
        <v>#N/A</v>
      </c>
      <c r="T701" t="str">
        <v>#N/A</v>
      </c>
    </row>
    <row r="702" spans="1:20" ht="13.7" customHeight="1" x14ac:dyDescent="0.25">
      <c r="E702" s="5">
        <v>43465</v>
      </c>
      <c r="F702">
        <v>13050501</v>
      </c>
      <c r="G702">
        <v>0</v>
      </c>
      <c r="H702" t="s">
        <v>1135</v>
      </c>
      <c r="I702" t="s">
        <v>1136</v>
      </c>
      <c r="J702">
        <v>0</v>
      </c>
      <c r="K702">
        <v>0</v>
      </c>
      <c r="L702" s="3">
        <v>-76617.009999999995</v>
      </c>
      <c r="M702" s="3">
        <v>0</v>
      </c>
      <c r="N702">
        <v>0</v>
      </c>
      <c r="O702">
        <v>0</v>
      </c>
      <c r="P702">
        <v>-76617.009999999995</v>
      </c>
      <c r="R702" t="s">
        <v>1100</v>
      </c>
      <c r="S702" t="str">
        <v>#N/A</v>
      </c>
      <c r="T702" t="str">
        <v>#N/A</v>
      </c>
    </row>
    <row r="703" spans="1:20" ht="13.7" customHeight="1" x14ac:dyDescent="0.25">
      <c r="A703" t="s">
        <v>320</v>
      </c>
      <c r="B703" t="s">
        <v>321</v>
      </c>
      <c r="C703" t="s">
        <v>142</v>
      </c>
      <c r="D703">
        <v>385</v>
      </c>
      <c r="E703" s="5">
        <v>43543</v>
      </c>
      <c r="F703">
        <v>13050501</v>
      </c>
      <c r="G703">
        <v>0</v>
      </c>
      <c r="H703" t="s">
        <v>1135</v>
      </c>
      <c r="I703" t="s">
        <v>1136</v>
      </c>
      <c r="J703">
        <v>1008</v>
      </c>
      <c r="K703">
        <v>1315</v>
      </c>
      <c r="L703" s="3">
        <v>-76617.009999999995</v>
      </c>
      <c r="M703" s="3">
        <v>2525916.64</v>
      </c>
      <c r="N703">
        <v>0</v>
      </c>
      <c r="O703">
        <v>0</v>
      </c>
      <c r="P703">
        <v>2449299.63</v>
      </c>
      <c r="Q703" t="s">
        <v>30</v>
      </c>
      <c r="R703" t="s">
        <v>407</v>
      </c>
      <c r="S703" t="str">
        <v>#N/A</v>
      </c>
      <c r="T703" t="str">
        <v>#N/A</v>
      </c>
    </row>
    <row r="704" spans="1:20" ht="13.7" customHeight="1" x14ac:dyDescent="0.25">
      <c r="A704" t="s">
        <v>320</v>
      </c>
      <c r="B704" t="s">
        <v>321</v>
      </c>
      <c r="C704" t="s">
        <v>142</v>
      </c>
      <c r="D704">
        <v>398</v>
      </c>
      <c r="E704" s="5">
        <v>43556</v>
      </c>
      <c r="F704">
        <v>13050501</v>
      </c>
      <c r="G704">
        <v>0</v>
      </c>
      <c r="H704" t="s">
        <v>1135</v>
      </c>
      <c r="I704" t="s">
        <v>1136</v>
      </c>
      <c r="J704">
        <v>1008</v>
      </c>
      <c r="K704">
        <v>1315</v>
      </c>
      <c r="L704" s="3">
        <v>2449299.63</v>
      </c>
      <c r="M704" s="3">
        <v>2486904.6105</v>
      </c>
      <c r="N704">
        <v>0</v>
      </c>
      <c r="O704">
        <v>0</v>
      </c>
      <c r="P704">
        <v>4936204.2405000003</v>
      </c>
      <c r="Q704" t="s">
        <v>30</v>
      </c>
      <c r="R704" t="s">
        <v>422</v>
      </c>
      <c r="S704" t="str">
        <v>#N/A</v>
      </c>
      <c r="T704" t="str">
        <v>#N/A</v>
      </c>
    </row>
    <row r="705" spans="1:20" ht="13.7" customHeight="1" x14ac:dyDescent="0.25">
      <c r="E705" s="5">
        <v>43465</v>
      </c>
      <c r="F705">
        <v>13050501</v>
      </c>
      <c r="G705">
        <v>0</v>
      </c>
      <c r="H705" t="s">
        <v>1103</v>
      </c>
      <c r="I705" t="s">
        <v>1104</v>
      </c>
      <c r="J705">
        <v>0</v>
      </c>
      <c r="K705">
        <v>0</v>
      </c>
      <c r="L705" s="3">
        <v>0</v>
      </c>
      <c r="M705" s="3">
        <v>0</v>
      </c>
      <c r="N705">
        <v>0</v>
      </c>
      <c r="O705">
        <v>0</v>
      </c>
      <c r="P705">
        <v>0</v>
      </c>
      <c r="R705" t="s">
        <v>1100</v>
      </c>
      <c r="S705" t="str">
        <v>#N/A</v>
      </c>
      <c r="T705" t="str">
        <v>31</v>
      </c>
    </row>
    <row r="706" spans="1:20" ht="13.7" customHeight="1" x14ac:dyDescent="0.25">
      <c r="A706" t="s">
        <v>320</v>
      </c>
      <c r="B706" t="s">
        <v>321</v>
      </c>
      <c r="C706" t="s">
        <v>142</v>
      </c>
      <c r="D706">
        <v>491</v>
      </c>
      <c r="E706" s="5">
        <v>43720</v>
      </c>
      <c r="F706">
        <v>13050501</v>
      </c>
      <c r="G706">
        <v>0</v>
      </c>
      <c r="H706" t="s">
        <v>1103</v>
      </c>
      <c r="I706" t="s">
        <v>1104</v>
      </c>
      <c r="J706">
        <v>1008</v>
      </c>
      <c r="K706">
        <v>1315</v>
      </c>
      <c r="L706" s="3">
        <v>0</v>
      </c>
      <c r="M706" s="3">
        <v>2444340</v>
      </c>
      <c r="N706">
        <v>0</v>
      </c>
      <c r="O706">
        <v>0</v>
      </c>
      <c r="P706">
        <v>2444340</v>
      </c>
      <c r="Q706" t="s">
        <v>30</v>
      </c>
      <c r="R706" t="s">
        <v>477</v>
      </c>
      <c r="S706" t="str">
        <v>#N/A</v>
      </c>
      <c r="T706" t="str">
        <v>31</v>
      </c>
    </row>
    <row r="707" spans="1:20" ht="13.7" customHeight="1" x14ac:dyDescent="0.25">
      <c r="E707" s="5">
        <v>43465</v>
      </c>
      <c r="F707">
        <v>13050501</v>
      </c>
      <c r="G707">
        <v>0</v>
      </c>
      <c r="H707" t="s">
        <v>1129</v>
      </c>
      <c r="I707" t="s">
        <v>1130</v>
      </c>
      <c r="J707">
        <v>0</v>
      </c>
      <c r="K707">
        <v>0</v>
      </c>
      <c r="L707" s="3">
        <v>81797202</v>
      </c>
      <c r="M707" s="3">
        <v>0</v>
      </c>
      <c r="N707">
        <v>0</v>
      </c>
      <c r="O707">
        <v>0</v>
      </c>
      <c r="P707">
        <v>81797202</v>
      </c>
      <c r="R707" t="s">
        <v>1100</v>
      </c>
      <c r="S707" t="str">
        <v>#N/A</v>
      </c>
      <c r="T707" t="str">
        <v>#N/A</v>
      </c>
    </row>
    <row r="708" spans="1:20" ht="13.7" customHeight="1" x14ac:dyDescent="0.25">
      <c r="A708" t="s">
        <v>320</v>
      </c>
      <c r="B708" t="s">
        <v>321</v>
      </c>
      <c r="C708" t="s">
        <v>142</v>
      </c>
      <c r="D708">
        <v>336</v>
      </c>
      <c r="E708" s="5">
        <v>43466</v>
      </c>
      <c r="F708">
        <v>13050501</v>
      </c>
      <c r="G708">
        <v>0</v>
      </c>
      <c r="H708" t="s">
        <v>1129</v>
      </c>
      <c r="I708" t="s">
        <v>1130</v>
      </c>
      <c r="J708">
        <v>1008</v>
      </c>
      <c r="K708">
        <v>1315</v>
      </c>
      <c r="L708" s="3">
        <v>81797202</v>
      </c>
      <c r="M708" s="3">
        <v>8155000</v>
      </c>
      <c r="N708">
        <v>0</v>
      </c>
      <c r="O708">
        <v>0</v>
      </c>
      <c r="P708">
        <v>89952202</v>
      </c>
      <c r="Q708" t="s">
        <v>30</v>
      </c>
      <c r="R708" t="s">
        <v>324</v>
      </c>
      <c r="S708" t="str">
        <v>#N/A</v>
      </c>
      <c r="T708" t="str">
        <v>#N/A</v>
      </c>
    </row>
    <row r="709" spans="1:20" ht="13.7" customHeight="1" x14ac:dyDescent="0.25">
      <c r="A709" t="s">
        <v>320</v>
      </c>
      <c r="B709" t="s">
        <v>321</v>
      </c>
      <c r="C709" t="s">
        <v>142</v>
      </c>
      <c r="D709">
        <v>338</v>
      </c>
      <c r="E709" s="5">
        <v>43482</v>
      </c>
      <c r="F709">
        <v>13050501</v>
      </c>
      <c r="G709">
        <v>0</v>
      </c>
      <c r="H709" t="s">
        <v>1129</v>
      </c>
      <c r="I709" t="s">
        <v>1130</v>
      </c>
      <c r="J709">
        <v>1008</v>
      </c>
      <c r="K709">
        <v>1315</v>
      </c>
      <c r="L709" s="3">
        <v>89952202</v>
      </c>
      <c r="M709" s="3">
        <v>4602635.4000000004</v>
      </c>
      <c r="N709">
        <v>0</v>
      </c>
      <c r="O709">
        <v>0</v>
      </c>
      <c r="P709">
        <v>94554837.400000006</v>
      </c>
      <c r="Q709" t="s">
        <v>30</v>
      </c>
      <c r="R709" t="s">
        <v>326</v>
      </c>
      <c r="S709" t="str">
        <v>#N/A</v>
      </c>
      <c r="T709" t="str">
        <v>#N/A</v>
      </c>
    </row>
    <row r="710" spans="1:20" ht="13.7" customHeight="1" x14ac:dyDescent="0.25">
      <c r="A710" t="s">
        <v>320</v>
      </c>
      <c r="B710" t="s">
        <v>321</v>
      </c>
      <c r="C710" t="s">
        <v>142</v>
      </c>
      <c r="D710">
        <v>344</v>
      </c>
      <c r="E710" s="5">
        <v>43487</v>
      </c>
      <c r="F710">
        <v>13050501</v>
      </c>
      <c r="G710">
        <v>0</v>
      </c>
      <c r="H710" t="s">
        <v>1129</v>
      </c>
      <c r="I710" t="s">
        <v>1130</v>
      </c>
      <c r="J710">
        <v>1008</v>
      </c>
      <c r="K710">
        <v>1315</v>
      </c>
      <c r="L710" s="3">
        <v>94554837.400000006</v>
      </c>
      <c r="M710" s="3">
        <v>886835.6</v>
      </c>
      <c r="N710">
        <v>0</v>
      </c>
      <c r="O710">
        <v>0</v>
      </c>
      <c r="P710">
        <v>95441673</v>
      </c>
      <c r="Q710" t="s">
        <v>30</v>
      </c>
      <c r="R710" t="s">
        <v>332</v>
      </c>
      <c r="S710" t="str">
        <v>#N/A</v>
      </c>
      <c r="T710" t="str">
        <v>#N/A</v>
      </c>
    </row>
    <row r="711" spans="1:20" ht="13.7" customHeight="1" x14ac:dyDescent="0.25">
      <c r="A711" t="s">
        <v>199</v>
      </c>
      <c r="B711" t="s">
        <v>200</v>
      </c>
      <c r="C711" t="s">
        <v>28</v>
      </c>
      <c r="D711">
        <v>3</v>
      </c>
      <c r="E711" s="5">
        <v>43493</v>
      </c>
      <c r="F711">
        <v>13050501</v>
      </c>
      <c r="G711">
        <v>0</v>
      </c>
      <c r="H711" t="s">
        <v>1129</v>
      </c>
      <c r="I711" t="s">
        <v>1130</v>
      </c>
      <c r="J711">
        <v>1008</v>
      </c>
      <c r="K711">
        <v>1315</v>
      </c>
      <c r="L711" s="3">
        <v>95441673</v>
      </c>
      <c r="M711" s="3">
        <v>0</v>
      </c>
      <c r="N711">
        <v>8155000</v>
      </c>
      <c r="O711">
        <v>0</v>
      </c>
      <c r="P711">
        <v>87286673</v>
      </c>
      <c r="Q711" t="s">
        <v>30</v>
      </c>
      <c r="R711" t="s">
        <v>342</v>
      </c>
      <c r="S711" t="str">
        <v>#N/A</v>
      </c>
      <c r="T711" t="str">
        <v>#N/A</v>
      </c>
    </row>
    <row r="712" spans="1:20" ht="13.7" customHeight="1" x14ac:dyDescent="0.25">
      <c r="A712" t="s">
        <v>199</v>
      </c>
      <c r="B712" t="s">
        <v>200</v>
      </c>
      <c r="C712" t="s">
        <v>28</v>
      </c>
      <c r="D712">
        <v>3</v>
      </c>
      <c r="E712" s="5">
        <v>43493</v>
      </c>
      <c r="F712">
        <v>13050501</v>
      </c>
      <c r="G712">
        <v>0</v>
      </c>
      <c r="H712" t="s">
        <v>1129</v>
      </c>
      <c r="I712" t="s">
        <v>1130</v>
      </c>
      <c r="J712">
        <v>1008</v>
      </c>
      <c r="K712">
        <v>1315</v>
      </c>
      <c r="L712" s="3">
        <v>87286673</v>
      </c>
      <c r="M712" s="3">
        <v>0</v>
      </c>
      <c r="N712">
        <v>4602635</v>
      </c>
      <c r="O712">
        <v>0</v>
      </c>
      <c r="P712">
        <v>82684038</v>
      </c>
      <c r="Q712" t="s">
        <v>30</v>
      </c>
      <c r="R712" t="s">
        <v>343</v>
      </c>
      <c r="S712" t="str">
        <v>#N/A</v>
      </c>
      <c r="T712" t="str">
        <v>#N/A</v>
      </c>
    </row>
    <row r="713" spans="1:20" ht="13.7" customHeight="1" x14ac:dyDescent="0.25">
      <c r="A713" t="s">
        <v>199</v>
      </c>
      <c r="B713" t="s">
        <v>200</v>
      </c>
      <c r="C713" t="s">
        <v>32</v>
      </c>
      <c r="D713">
        <v>2</v>
      </c>
      <c r="E713" s="5">
        <v>43504</v>
      </c>
      <c r="F713">
        <v>13050501</v>
      </c>
      <c r="G713">
        <v>0</v>
      </c>
      <c r="H713" t="s">
        <v>1129</v>
      </c>
      <c r="I713" t="s">
        <v>1130</v>
      </c>
      <c r="J713">
        <v>1008</v>
      </c>
      <c r="K713">
        <v>1315</v>
      </c>
      <c r="L713" s="3">
        <v>82684038</v>
      </c>
      <c r="M713" s="3">
        <v>0</v>
      </c>
      <c r="N713">
        <v>886836</v>
      </c>
      <c r="O713">
        <v>0</v>
      </c>
      <c r="P713">
        <v>81797202</v>
      </c>
      <c r="Q713" t="s">
        <v>30</v>
      </c>
      <c r="R713" t="s">
        <v>214</v>
      </c>
      <c r="S713" t="str">
        <v>#N/A</v>
      </c>
      <c r="T713" t="str">
        <v>#N/A</v>
      </c>
    </row>
    <row r="714" spans="1:20" ht="13.7" customHeight="1" x14ac:dyDescent="0.25">
      <c r="A714" t="s">
        <v>320</v>
      </c>
      <c r="B714" t="s">
        <v>321</v>
      </c>
      <c r="C714" t="s">
        <v>142</v>
      </c>
      <c r="D714">
        <v>360</v>
      </c>
      <c r="E714" s="5">
        <v>43507</v>
      </c>
      <c r="F714">
        <v>13050501</v>
      </c>
      <c r="G714">
        <v>0</v>
      </c>
      <c r="H714" t="s">
        <v>1129</v>
      </c>
      <c r="I714" t="s">
        <v>1130</v>
      </c>
      <c r="J714">
        <v>1008</v>
      </c>
      <c r="K714">
        <v>1315</v>
      </c>
      <c r="L714" s="3">
        <v>81797202</v>
      </c>
      <c r="M714" s="3">
        <v>13269350</v>
      </c>
      <c r="N714">
        <v>0</v>
      </c>
      <c r="O714">
        <v>0</v>
      </c>
      <c r="P714">
        <v>95066552</v>
      </c>
      <c r="Q714" t="s">
        <v>30</v>
      </c>
      <c r="R714" t="s">
        <v>352</v>
      </c>
      <c r="S714" t="str">
        <v>#N/A</v>
      </c>
      <c r="T714" t="str">
        <v>#N/A</v>
      </c>
    </row>
    <row r="715" spans="1:20" ht="13.7" customHeight="1" x14ac:dyDescent="0.25">
      <c r="A715" t="s">
        <v>320</v>
      </c>
      <c r="B715" t="s">
        <v>321</v>
      </c>
      <c r="C715" t="s">
        <v>142</v>
      </c>
      <c r="D715">
        <v>363</v>
      </c>
      <c r="E715" s="5">
        <v>43508</v>
      </c>
      <c r="F715">
        <v>13050501</v>
      </c>
      <c r="G715">
        <v>0</v>
      </c>
      <c r="H715" t="s">
        <v>1129</v>
      </c>
      <c r="I715" t="s">
        <v>1130</v>
      </c>
      <c r="J715">
        <v>1008</v>
      </c>
      <c r="K715">
        <v>1315</v>
      </c>
      <c r="L715" s="3">
        <v>95066552</v>
      </c>
      <c r="M715" s="3">
        <v>1176696.6000000001</v>
      </c>
      <c r="N715">
        <v>0</v>
      </c>
      <c r="O715">
        <v>0</v>
      </c>
      <c r="P715">
        <v>96243248.599999994</v>
      </c>
      <c r="Q715" t="s">
        <v>30</v>
      </c>
      <c r="R715" t="s">
        <v>355</v>
      </c>
      <c r="S715" t="str">
        <v>#N/A</v>
      </c>
      <c r="T715" t="str">
        <v>#N/A</v>
      </c>
    </row>
    <row r="716" spans="1:20" ht="13.7" customHeight="1" x14ac:dyDescent="0.25">
      <c r="A716" t="s">
        <v>320</v>
      </c>
      <c r="B716" t="s">
        <v>321</v>
      </c>
      <c r="C716" t="s">
        <v>142</v>
      </c>
      <c r="D716">
        <v>364</v>
      </c>
      <c r="E716" s="5">
        <v>43511</v>
      </c>
      <c r="F716">
        <v>13050501</v>
      </c>
      <c r="G716">
        <v>0</v>
      </c>
      <c r="H716" t="s">
        <v>1129</v>
      </c>
      <c r="I716" t="s">
        <v>1130</v>
      </c>
      <c r="J716">
        <v>1008</v>
      </c>
      <c r="K716">
        <v>1315</v>
      </c>
      <c r="L716" s="3">
        <v>96243248.599999994</v>
      </c>
      <c r="M716" s="3">
        <v>1724200</v>
      </c>
      <c r="N716">
        <v>0</v>
      </c>
      <c r="O716">
        <v>0</v>
      </c>
      <c r="P716">
        <v>97967448.599999994</v>
      </c>
      <c r="Q716" t="s">
        <v>30</v>
      </c>
      <c r="R716" t="s">
        <v>356</v>
      </c>
      <c r="S716" t="str">
        <v>#N/A</v>
      </c>
      <c r="T716" t="str">
        <v>#N/A</v>
      </c>
    </row>
    <row r="717" spans="1:20" ht="13.7" customHeight="1" x14ac:dyDescent="0.25">
      <c r="A717" t="s">
        <v>199</v>
      </c>
      <c r="B717" t="s">
        <v>200</v>
      </c>
      <c r="C717" t="s">
        <v>91</v>
      </c>
      <c r="D717">
        <v>1</v>
      </c>
      <c r="E717" s="5">
        <v>43528</v>
      </c>
      <c r="F717">
        <v>13050501</v>
      </c>
      <c r="G717">
        <v>0</v>
      </c>
      <c r="H717" t="s">
        <v>1129</v>
      </c>
      <c r="I717" t="s">
        <v>1130</v>
      </c>
      <c r="J717">
        <v>1008</v>
      </c>
      <c r="K717">
        <v>1315</v>
      </c>
      <c r="L717" s="3">
        <v>97967448.599999994</v>
      </c>
      <c r="M717" s="3">
        <v>0</v>
      </c>
      <c r="N717">
        <v>7458912</v>
      </c>
      <c r="O717">
        <v>0</v>
      </c>
      <c r="P717">
        <v>90508536.599999994</v>
      </c>
      <c r="Q717" t="s">
        <v>30</v>
      </c>
      <c r="R717" t="s">
        <v>393</v>
      </c>
      <c r="S717" t="str">
        <v>#N/A</v>
      </c>
      <c r="T717" t="str">
        <v>#N/A</v>
      </c>
    </row>
    <row r="718" spans="1:20" ht="13.7" customHeight="1" x14ac:dyDescent="0.25">
      <c r="A718" t="s">
        <v>199</v>
      </c>
      <c r="B718" t="s">
        <v>200</v>
      </c>
      <c r="C718" t="s">
        <v>91</v>
      </c>
      <c r="D718">
        <v>2</v>
      </c>
      <c r="E718" s="5">
        <v>43531</v>
      </c>
      <c r="F718">
        <v>13050501</v>
      </c>
      <c r="G718">
        <v>0</v>
      </c>
      <c r="H718" t="s">
        <v>1129</v>
      </c>
      <c r="I718" t="s">
        <v>1130</v>
      </c>
      <c r="J718">
        <v>1008</v>
      </c>
      <c r="K718">
        <v>1315</v>
      </c>
      <c r="L718" s="3">
        <v>90508536.599999994</v>
      </c>
      <c r="M718" s="3">
        <v>0</v>
      </c>
      <c r="N718">
        <v>13269350</v>
      </c>
      <c r="O718">
        <v>0</v>
      </c>
      <c r="P718">
        <v>77239186.599999994</v>
      </c>
      <c r="Q718" t="s">
        <v>30</v>
      </c>
      <c r="R718" t="s">
        <v>396</v>
      </c>
      <c r="S718" t="str">
        <v>#N/A</v>
      </c>
      <c r="T718" t="str">
        <v>#N/A</v>
      </c>
    </row>
    <row r="719" spans="1:20" ht="13.7" customHeight="1" x14ac:dyDescent="0.25">
      <c r="A719" t="s">
        <v>199</v>
      </c>
      <c r="B719" t="s">
        <v>200</v>
      </c>
      <c r="C719" t="s">
        <v>91</v>
      </c>
      <c r="D719">
        <v>2</v>
      </c>
      <c r="E719" s="5">
        <v>43531</v>
      </c>
      <c r="F719">
        <v>13050501</v>
      </c>
      <c r="G719">
        <v>0</v>
      </c>
      <c r="H719" t="s">
        <v>1129</v>
      </c>
      <c r="I719" t="s">
        <v>1130</v>
      </c>
      <c r="J719">
        <v>1008</v>
      </c>
      <c r="K719">
        <v>1315</v>
      </c>
      <c r="L719" s="3">
        <v>77239186.599999994</v>
      </c>
      <c r="M719" s="3">
        <v>0</v>
      </c>
      <c r="N719">
        <v>1176697</v>
      </c>
      <c r="O719">
        <v>0</v>
      </c>
      <c r="P719">
        <v>76062489.599999994</v>
      </c>
      <c r="Q719" t="s">
        <v>30</v>
      </c>
      <c r="R719" t="s">
        <v>397</v>
      </c>
      <c r="S719" t="str">
        <v>#N/A</v>
      </c>
      <c r="T719" t="str">
        <v>#N/A</v>
      </c>
    </row>
    <row r="720" spans="1:20" ht="13.7" customHeight="1" x14ac:dyDescent="0.25">
      <c r="A720" t="s">
        <v>320</v>
      </c>
      <c r="B720" t="s">
        <v>321</v>
      </c>
      <c r="C720" t="s">
        <v>142</v>
      </c>
      <c r="D720">
        <v>401</v>
      </c>
      <c r="E720" s="5">
        <v>43559</v>
      </c>
      <c r="F720">
        <v>13050501</v>
      </c>
      <c r="G720">
        <v>0</v>
      </c>
      <c r="H720" t="s">
        <v>1129</v>
      </c>
      <c r="I720" t="s">
        <v>1130</v>
      </c>
      <c r="J720">
        <v>1008</v>
      </c>
      <c r="K720">
        <v>1315</v>
      </c>
      <c r="L720" s="3">
        <v>76062489.599999994</v>
      </c>
      <c r="M720" s="3">
        <v>295120</v>
      </c>
      <c r="N720">
        <v>0</v>
      </c>
      <c r="O720">
        <v>0</v>
      </c>
      <c r="P720">
        <v>76357609.599999994</v>
      </c>
      <c r="Q720" t="s">
        <v>30</v>
      </c>
      <c r="R720" t="s">
        <v>424</v>
      </c>
      <c r="S720" t="str">
        <v>#N/A</v>
      </c>
      <c r="T720" t="str">
        <v>#N/A</v>
      </c>
    </row>
    <row r="721" spans="1:20" ht="13.7" customHeight="1" x14ac:dyDescent="0.25">
      <c r="A721" t="s">
        <v>320</v>
      </c>
      <c r="B721" t="s">
        <v>321</v>
      </c>
      <c r="C721" t="s">
        <v>142</v>
      </c>
      <c r="D721">
        <v>406</v>
      </c>
      <c r="E721" s="5">
        <v>43565</v>
      </c>
      <c r="F721">
        <v>13050501</v>
      </c>
      <c r="G721">
        <v>0</v>
      </c>
      <c r="H721" t="s">
        <v>1129</v>
      </c>
      <c r="I721" t="s">
        <v>1130</v>
      </c>
      <c r="J721">
        <v>1008</v>
      </c>
      <c r="K721">
        <v>1315</v>
      </c>
      <c r="L721" s="3">
        <v>76357609.599999994</v>
      </c>
      <c r="M721" s="3">
        <v>13515165</v>
      </c>
      <c r="N721">
        <v>0</v>
      </c>
      <c r="O721">
        <v>0</v>
      </c>
      <c r="P721">
        <v>89872774.599999994</v>
      </c>
      <c r="Q721" t="s">
        <v>30</v>
      </c>
      <c r="R721" t="s">
        <v>427</v>
      </c>
      <c r="S721" t="str">
        <v>#N/A</v>
      </c>
      <c r="T721" t="str">
        <v>#N/A</v>
      </c>
    </row>
    <row r="722" spans="1:20" ht="13.7" customHeight="1" x14ac:dyDescent="0.25">
      <c r="A722" t="s">
        <v>320</v>
      </c>
      <c r="B722" t="s">
        <v>321</v>
      </c>
      <c r="C722" t="s">
        <v>142</v>
      </c>
      <c r="D722">
        <v>414</v>
      </c>
      <c r="E722" s="5">
        <v>43577</v>
      </c>
      <c r="F722">
        <v>13050501</v>
      </c>
      <c r="G722">
        <v>0</v>
      </c>
      <c r="H722" t="s">
        <v>1129</v>
      </c>
      <c r="I722" t="s">
        <v>1130</v>
      </c>
      <c r="J722">
        <v>1008</v>
      </c>
      <c r="K722">
        <v>1315</v>
      </c>
      <c r="L722" s="3">
        <v>89872774.599999994</v>
      </c>
      <c r="M722" s="3">
        <v>399840</v>
      </c>
      <c r="N722">
        <v>0</v>
      </c>
      <c r="O722">
        <v>0</v>
      </c>
      <c r="P722">
        <v>90272614.599999994</v>
      </c>
      <c r="Q722" t="s">
        <v>30</v>
      </c>
      <c r="R722" t="s">
        <v>433</v>
      </c>
      <c r="S722" t="str">
        <v>#N/A</v>
      </c>
      <c r="T722" t="str">
        <v>#N/A</v>
      </c>
    </row>
    <row r="723" spans="1:20" ht="13.7" customHeight="1" x14ac:dyDescent="0.25">
      <c r="A723" t="s">
        <v>320</v>
      </c>
      <c r="B723" t="s">
        <v>321</v>
      </c>
      <c r="C723" t="s">
        <v>142</v>
      </c>
      <c r="D723">
        <v>415</v>
      </c>
      <c r="E723" s="5">
        <v>43577</v>
      </c>
      <c r="F723">
        <v>13050501</v>
      </c>
      <c r="G723">
        <v>0</v>
      </c>
      <c r="H723" t="s">
        <v>1129</v>
      </c>
      <c r="I723" t="s">
        <v>1130</v>
      </c>
      <c r="J723">
        <v>1008</v>
      </c>
      <c r="K723">
        <v>1315</v>
      </c>
      <c r="L723" s="3">
        <v>90272614.599999994</v>
      </c>
      <c r="M723" s="3">
        <v>175406</v>
      </c>
      <c r="N723">
        <v>0</v>
      </c>
      <c r="O723">
        <v>0</v>
      </c>
      <c r="P723">
        <v>90448020.599999994</v>
      </c>
      <c r="Q723" t="s">
        <v>30</v>
      </c>
      <c r="R723" t="s">
        <v>434</v>
      </c>
      <c r="S723" t="str">
        <v>#N/A</v>
      </c>
      <c r="T723" t="str">
        <v>#N/A</v>
      </c>
    </row>
    <row r="724" spans="1:20" ht="13.7" customHeight="1" x14ac:dyDescent="0.25">
      <c r="A724" t="s">
        <v>320</v>
      </c>
      <c r="B724" t="s">
        <v>321</v>
      </c>
      <c r="C724" t="s">
        <v>142</v>
      </c>
      <c r="D724">
        <v>416</v>
      </c>
      <c r="E724" s="5">
        <v>43577</v>
      </c>
      <c r="F724">
        <v>13050501</v>
      </c>
      <c r="G724">
        <v>0</v>
      </c>
      <c r="H724" t="s">
        <v>1129</v>
      </c>
      <c r="I724" t="s">
        <v>1130</v>
      </c>
      <c r="J724">
        <v>1008</v>
      </c>
      <c r="K724">
        <v>1315</v>
      </c>
      <c r="L724" s="3">
        <v>90448020.599999994</v>
      </c>
      <c r="M724" s="3">
        <v>1939725</v>
      </c>
      <c r="N724">
        <v>0</v>
      </c>
      <c r="O724">
        <v>0</v>
      </c>
      <c r="P724">
        <v>92387745.599999994</v>
      </c>
      <c r="Q724" t="s">
        <v>30</v>
      </c>
      <c r="R724" t="s">
        <v>435</v>
      </c>
      <c r="S724" t="str">
        <v>#N/A</v>
      </c>
      <c r="T724" t="str">
        <v>#N/A</v>
      </c>
    </row>
    <row r="725" spans="1:20" ht="13.7" customHeight="1" x14ac:dyDescent="0.25">
      <c r="A725" t="s">
        <v>320</v>
      </c>
      <c r="B725" t="s">
        <v>321</v>
      </c>
      <c r="C725" t="s">
        <v>142</v>
      </c>
      <c r="D725">
        <v>417</v>
      </c>
      <c r="E725" s="5">
        <v>43577</v>
      </c>
      <c r="F725">
        <v>13050501</v>
      </c>
      <c r="G725">
        <v>0</v>
      </c>
      <c r="H725" t="s">
        <v>1129</v>
      </c>
      <c r="I725" t="s">
        <v>1130</v>
      </c>
      <c r="J725">
        <v>1008</v>
      </c>
      <c r="K725">
        <v>1315</v>
      </c>
      <c r="L725" s="3">
        <v>92387745.599999994</v>
      </c>
      <c r="M725" s="3">
        <v>836570</v>
      </c>
      <c r="N725">
        <v>0</v>
      </c>
      <c r="O725">
        <v>0</v>
      </c>
      <c r="P725">
        <v>93224315.599999994</v>
      </c>
      <c r="Q725" t="s">
        <v>30</v>
      </c>
      <c r="R725" t="s">
        <v>436</v>
      </c>
      <c r="S725" t="str">
        <v>#N/A</v>
      </c>
      <c r="T725" t="str">
        <v>#N/A</v>
      </c>
    </row>
    <row r="726" spans="1:20" ht="13.7" customHeight="1" x14ac:dyDescent="0.25">
      <c r="A726" t="s">
        <v>320</v>
      </c>
      <c r="B726" t="s">
        <v>321</v>
      </c>
      <c r="C726" t="s">
        <v>142</v>
      </c>
      <c r="D726">
        <v>434</v>
      </c>
      <c r="E726" s="5">
        <v>43593</v>
      </c>
      <c r="F726">
        <v>13050501</v>
      </c>
      <c r="G726">
        <v>0</v>
      </c>
      <c r="H726" t="s">
        <v>1129</v>
      </c>
      <c r="I726" t="s">
        <v>1130</v>
      </c>
      <c r="J726">
        <v>1008</v>
      </c>
      <c r="K726">
        <v>1315</v>
      </c>
      <c r="L726" s="3">
        <v>93224315.599999994</v>
      </c>
      <c r="M726" s="3">
        <v>13281000</v>
      </c>
      <c r="N726">
        <v>0</v>
      </c>
      <c r="O726">
        <v>0</v>
      </c>
      <c r="P726">
        <v>106505315.59999999</v>
      </c>
      <c r="Q726" t="s">
        <v>30</v>
      </c>
      <c r="R726" t="s">
        <v>445</v>
      </c>
      <c r="S726" t="str">
        <v>#N/A</v>
      </c>
      <c r="T726" t="str">
        <v>#N/A</v>
      </c>
    </row>
    <row r="727" spans="1:20" ht="13.7" customHeight="1" x14ac:dyDescent="0.25">
      <c r="A727" t="s">
        <v>320</v>
      </c>
      <c r="B727" t="s">
        <v>321</v>
      </c>
      <c r="C727" t="s">
        <v>142</v>
      </c>
      <c r="D727">
        <v>441</v>
      </c>
      <c r="E727" s="5">
        <v>43612</v>
      </c>
      <c r="F727">
        <v>13050501</v>
      </c>
      <c r="G727">
        <v>0</v>
      </c>
      <c r="H727" t="s">
        <v>1129</v>
      </c>
      <c r="I727" t="s">
        <v>1130</v>
      </c>
      <c r="J727">
        <v>1008</v>
      </c>
      <c r="K727">
        <v>1315</v>
      </c>
      <c r="L727" s="3">
        <v>106505315.59999999</v>
      </c>
      <c r="M727" s="3">
        <v>1724200</v>
      </c>
      <c r="N727">
        <v>0</v>
      </c>
      <c r="O727">
        <v>0</v>
      </c>
      <c r="P727">
        <v>108229515.59999999</v>
      </c>
      <c r="Q727" t="s">
        <v>30</v>
      </c>
      <c r="R727" t="s">
        <v>454</v>
      </c>
      <c r="S727" t="str">
        <v>#N/A</v>
      </c>
      <c r="T727" t="str">
        <v>#N/A</v>
      </c>
    </row>
    <row r="728" spans="1:20" ht="13.7" customHeight="1" x14ac:dyDescent="0.25">
      <c r="A728" t="s">
        <v>320</v>
      </c>
      <c r="B728" t="s">
        <v>321</v>
      </c>
      <c r="C728" t="s">
        <v>142</v>
      </c>
      <c r="D728">
        <v>445</v>
      </c>
      <c r="E728" s="5">
        <v>43617</v>
      </c>
      <c r="F728">
        <v>13050501</v>
      </c>
      <c r="G728">
        <v>0</v>
      </c>
      <c r="H728" t="s">
        <v>1129</v>
      </c>
      <c r="I728" t="s">
        <v>1130</v>
      </c>
      <c r="J728">
        <v>1008</v>
      </c>
      <c r="K728">
        <v>1315</v>
      </c>
      <c r="L728" s="3">
        <v>108229515.59999999</v>
      </c>
      <c r="M728" s="3">
        <v>3448400</v>
      </c>
      <c r="N728">
        <v>0</v>
      </c>
      <c r="O728">
        <v>0</v>
      </c>
      <c r="P728">
        <v>111677915.59999999</v>
      </c>
      <c r="Q728" t="s">
        <v>30</v>
      </c>
      <c r="R728" t="s">
        <v>456</v>
      </c>
      <c r="S728" t="str">
        <v>#N/A</v>
      </c>
      <c r="T728" t="str">
        <v>#N/A</v>
      </c>
    </row>
    <row r="729" spans="1:20" ht="13.7" customHeight="1" x14ac:dyDescent="0.25">
      <c r="A729" t="s">
        <v>320</v>
      </c>
      <c r="B729" t="s">
        <v>321</v>
      </c>
      <c r="C729" t="s">
        <v>142</v>
      </c>
      <c r="D729">
        <v>446</v>
      </c>
      <c r="E729" s="5">
        <v>43617</v>
      </c>
      <c r="F729">
        <v>13050501</v>
      </c>
      <c r="G729">
        <v>0</v>
      </c>
      <c r="H729" t="s">
        <v>1129</v>
      </c>
      <c r="I729" t="s">
        <v>1130</v>
      </c>
      <c r="J729">
        <v>1008</v>
      </c>
      <c r="K729">
        <v>1315</v>
      </c>
      <c r="L729" s="3">
        <v>111677915.59999999</v>
      </c>
      <c r="M729" s="3">
        <v>3200255</v>
      </c>
      <c r="N729">
        <v>0</v>
      </c>
      <c r="O729">
        <v>0</v>
      </c>
      <c r="P729">
        <v>114878170.59999999</v>
      </c>
      <c r="Q729" t="s">
        <v>30</v>
      </c>
      <c r="R729" t="s">
        <v>457</v>
      </c>
      <c r="S729" t="str">
        <v>#N/A</v>
      </c>
      <c r="T729" t="str">
        <v>#N/A</v>
      </c>
    </row>
    <row r="730" spans="1:20" ht="13.7" customHeight="1" x14ac:dyDescent="0.25">
      <c r="A730" t="s">
        <v>320</v>
      </c>
      <c r="B730" t="s">
        <v>321</v>
      </c>
      <c r="C730" t="s">
        <v>142</v>
      </c>
      <c r="D730">
        <v>489</v>
      </c>
      <c r="E730" s="5">
        <v>43710</v>
      </c>
      <c r="F730">
        <v>13050501</v>
      </c>
      <c r="G730">
        <v>0</v>
      </c>
      <c r="H730" t="s">
        <v>1129</v>
      </c>
      <c r="I730" t="s">
        <v>1130</v>
      </c>
      <c r="J730">
        <v>1008</v>
      </c>
      <c r="K730">
        <v>1315</v>
      </c>
      <c r="L730" s="3">
        <v>114878170.59999999</v>
      </c>
      <c r="M730" s="3">
        <v>13281000</v>
      </c>
      <c r="N730">
        <v>0</v>
      </c>
      <c r="O730">
        <v>0</v>
      </c>
      <c r="P730">
        <v>128159170.59999999</v>
      </c>
      <c r="Q730" t="s">
        <v>30</v>
      </c>
      <c r="R730" t="s">
        <v>475</v>
      </c>
      <c r="S730" t="str">
        <v>#N/A</v>
      </c>
      <c r="T730" t="str">
        <v>#N/A</v>
      </c>
    </row>
    <row r="731" spans="1:20" ht="13.7" customHeight="1" x14ac:dyDescent="0.25">
      <c r="A731" t="s">
        <v>320</v>
      </c>
      <c r="B731" t="s">
        <v>321</v>
      </c>
      <c r="C731" t="s">
        <v>142</v>
      </c>
      <c r="D731">
        <v>506</v>
      </c>
      <c r="E731" s="5">
        <v>43743</v>
      </c>
      <c r="F731">
        <v>13050501</v>
      </c>
      <c r="G731">
        <v>0</v>
      </c>
      <c r="H731" t="s">
        <v>1129</v>
      </c>
      <c r="I731" t="s">
        <v>1130</v>
      </c>
      <c r="J731">
        <v>1008</v>
      </c>
      <c r="K731">
        <v>1315</v>
      </c>
      <c r="L731" s="3">
        <v>128159170.59999999</v>
      </c>
      <c r="M731" s="3">
        <v>13281000</v>
      </c>
      <c r="N731">
        <v>0</v>
      </c>
      <c r="O731">
        <v>0</v>
      </c>
      <c r="P731">
        <v>141440170.59999999</v>
      </c>
      <c r="Q731" t="s">
        <v>30</v>
      </c>
      <c r="R731" t="s">
        <v>491</v>
      </c>
      <c r="S731" t="str">
        <v>#N/A</v>
      </c>
      <c r="T731" t="str">
        <v>#N/A</v>
      </c>
    </row>
    <row r="732" spans="1:20" ht="13.7" customHeight="1" x14ac:dyDescent="0.25">
      <c r="A732" t="s">
        <v>320</v>
      </c>
      <c r="B732" t="s">
        <v>321</v>
      </c>
      <c r="C732" t="s">
        <v>142</v>
      </c>
      <c r="D732">
        <v>525</v>
      </c>
      <c r="E732" s="5">
        <v>43771</v>
      </c>
      <c r="F732">
        <v>13050501</v>
      </c>
      <c r="G732">
        <v>0</v>
      </c>
      <c r="H732" t="s">
        <v>1129</v>
      </c>
      <c r="I732" t="s">
        <v>1130</v>
      </c>
      <c r="J732">
        <v>1008</v>
      </c>
      <c r="K732">
        <v>1315</v>
      </c>
      <c r="L732" s="3">
        <v>141440170.59999999</v>
      </c>
      <c r="M732" s="3">
        <v>9063700</v>
      </c>
      <c r="N732">
        <v>0</v>
      </c>
      <c r="O732">
        <v>0</v>
      </c>
      <c r="P732">
        <v>150503870.59999999</v>
      </c>
      <c r="Q732" t="s">
        <v>30</v>
      </c>
      <c r="R732" t="s">
        <v>507</v>
      </c>
      <c r="S732" t="str">
        <v>#N/A</v>
      </c>
      <c r="T732" t="str">
        <v>#N/A</v>
      </c>
    </row>
    <row r="733" spans="1:20" ht="13.7" customHeight="1" x14ac:dyDescent="0.25">
      <c r="A733" t="s">
        <v>320</v>
      </c>
      <c r="B733" t="s">
        <v>321</v>
      </c>
      <c r="C733" t="s">
        <v>142</v>
      </c>
      <c r="D733">
        <v>534</v>
      </c>
      <c r="E733" s="5">
        <v>43795</v>
      </c>
      <c r="F733">
        <v>13050501</v>
      </c>
      <c r="G733">
        <v>0</v>
      </c>
      <c r="H733" t="s">
        <v>1129</v>
      </c>
      <c r="I733" t="s">
        <v>1130</v>
      </c>
      <c r="J733">
        <v>1008</v>
      </c>
      <c r="K733">
        <v>1315</v>
      </c>
      <c r="L733" s="3">
        <v>150503870.59999999</v>
      </c>
      <c r="M733" s="3">
        <v>13281000</v>
      </c>
      <c r="N733">
        <v>0</v>
      </c>
      <c r="O733">
        <v>0</v>
      </c>
      <c r="P733">
        <v>163784870.59999999</v>
      </c>
      <c r="Q733" t="s">
        <v>30</v>
      </c>
      <c r="R733" t="s">
        <v>516</v>
      </c>
      <c r="S733" t="str">
        <v>#N/A</v>
      </c>
      <c r="T733" t="str">
        <v>#N/A</v>
      </c>
    </row>
    <row r="734" spans="1:20" ht="13.7" customHeight="1" x14ac:dyDescent="0.25">
      <c r="A734" t="s">
        <v>219</v>
      </c>
      <c r="B734" t="s">
        <v>220</v>
      </c>
      <c r="C734" t="s">
        <v>180</v>
      </c>
      <c r="D734">
        <v>1</v>
      </c>
      <c r="E734" s="5">
        <v>43829</v>
      </c>
      <c r="F734">
        <v>13050501</v>
      </c>
      <c r="G734">
        <v>0</v>
      </c>
      <c r="H734" t="s">
        <v>1129</v>
      </c>
      <c r="I734" t="s">
        <v>1130</v>
      </c>
      <c r="J734">
        <v>1008</v>
      </c>
      <c r="K734">
        <v>1315</v>
      </c>
      <c r="L734" s="3">
        <v>163784870.59999999</v>
      </c>
      <c r="M734" s="3">
        <v>0</v>
      </c>
      <c r="N734">
        <v>8155000</v>
      </c>
      <c r="O734">
        <v>0</v>
      </c>
      <c r="P734">
        <v>155629870.59999999</v>
      </c>
      <c r="Q734" t="s">
        <v>30</v>
      </c>
      <c r="R734" t="s">
        <v>528</v>
      </c>
      <c r="S734" t="str">
        <v>#N/A</v>
      </c>
      <c r="T734" t="str">
        <v>#N/A</v>
      </c>
    </row>
    <row r="735" spans="1:20" ht="13.7" customHeight="1" x14ac:dyDescent="0.25">
      <c r="E735" s="5">
        <v>43465</v>
      </c>
      <c r="F735">
        <v>13050501</v>
      </c>
      <c r="G735">
        <v>0</v>
      </c>
      <c r="H735" t="s">
        <v>1139</v>
      </c>
      <c r="I735" t="s">
        <v>1140</v>
      </c>
      <c r="J735">
        <v>0</v>
      </c>
      <c r="K735">
        <v>0</v>
      </c>
      <c r="L735" s="3">
        <v>21719219.403999999</v>
      </c>
      <c r="M735" s="3">
        <v>0</v>
      </c>
      <c r="N735">
        <v>0</v>
      </c>
      <c r="O735">
        <v>0</v>
      </c>
      <c r="P735">
        <v>21719219.403999999</v>
      </c>
      <c r="R735" t="s">
        <v>1100</v>
      </c>
      <c r="S735" t="str">
        <v>#N/A</v>
      </c>
      <c r="T735" t="str">
        <v>#N/A</v>
      </c>
    </row>
    <row r="736" spans="1:20" ht="13.7" customHeight="1" x14ac:dyDescent="0.25">
      <c r="A736" t="s">
        <v>199</v>
      </c>
      <c r="B736" t="s">
        <v>200</v>
      </c>
      <c r="C736" t="s">
        <v>28</v>
      </c>
      <c r="D736">
        <v>1</v>
      </c>
      <c r="E736" s="5">
        <v>43490</v>
      </c>
      <c r="F736">
        <v>13050501</v>
      </c>
      <c r="G736">
        <v>0</v>
      </c>
      <c r="H736" t="s">
        <v>1139</v>
      </c>
      <c r="I736" t="s">
        <v>1140</v>
      </c>
      <c r="J736">
        <v>1008</v>
      </c>
      <c r="K736">
        <v>1315</v>
      </c>
      <c r="L736" s="3">
        <v>21719219.403999999</v>
      </c>
      <c r="M736" s="3">
        <v>0</v>
      </c>
      <c r="N736">
        <v>2327053</v>
      </c>
      <c r="O736">
        <v>0</v>
      </c>
      <c r="P736">
        <v>19392166.403999999</v>
      </c>
      <c r="Q736" t="s">
        <v>30</v>
      </c>
      <c r="R736" t="s">
        <v>201</v>
      </c>
      <c r="S736" t="str">
        <v>#N/A</v>
      </c>
      <c r="T736" t="str">
        <v>#N/A</v>
      </c>
    </row>
    <row r="737" spans="1:20" ht="13.7" customHeight="1" x14ac:dyDescent="0.25">
      <c r="A737" t="s">
        <v>320</v>
      </c>
      <c r="B737" t="s">
        <v>321</v>
      </c>
      <c r="C737" t="s">
        <v>142</v>
      </c>
      <c r="D737">
        <v>465</v>
      </c>
      <c r="E737" s="5">
        <v>43653</v>
      </c>
      <c r="F737">
        <v>13050501</v>
      </c>
      <c r="G737">
        <v>0</v>
      </c>
      <c r="H737" t="s">
        <v>1139</v>
      </c>
      <c r="I737" t="s">
        <v>1140</v>
      </c>
      <c r="J737">
        <v>1008</v>
      </c>
      <c r="K737">
        <v>1315</v>
      </c>
      <c r="L737" s="3">
        <v>19392166.403999999</v>
      </c>
      <c r="M737" s="3">
        <v>752510.3</v>
      </c>
      <c r="N737">
        <v>0</v>
      </c>
      <c r="O737">
        <v>0</v>
      </c>
      <c r="P737">
        <v>20144676.704</v>
      </c>
      <c r="Q737" t="s">
        <v>30</v>
      </c>
      <c r="R737" t="s">
        <v>468</v>
      </c>
      <c r="S737" t="str">
        <v>#N/A</v>
      </c>
      <c r="T737" t="str">
        <v>#N/A</v>
      </c>
    </row>
    <row r="738" spans="1:20" ht="13.7" customHeight="1" x14ac:dyDescent="0.25">
      <c r="E738" s="5">
        <v>43465</v>
      </c>
      <c r="F738">
        <v>13050501</v>
      </c>
      <c r="G738">
        <v>0</v>
      </c>
      <c r="H738" t="s">
        <v>1125</v>
      </c>
      <c r="I738" t="s">
        <v>1126</v>
      </c>
      <c r="J738">
        <v>0</v>
      </c>
      <c r="K738">
        <v>0</v>
      </c>
      <c r="L738" s="3">
        <v>120387524.98379999</v>
      </c>
      <c r="M738" s="3">
        <v>0</v>
      </c>
      <c r="N738">
        <v>0</v>
      </c>
      <c r="O738">
        <v>0</v>
      </c>
      <c r="P738">
        <v>120387524.98379999</v>
      </c>
      <c r="R738" t="s">
        <v>1100</v>
      </c>
      <c r="S738" t="str">
        <v>#N/A</v>
      </c>
      <c r="T738" t="str">
        <v>31</v>
      </c>
    </row>
    <row r="739" spans="1:20" ht="13.7" customHeight="1" x14ac:dyDescent="0.25">
      <c r="A739" t="s">
        <v>320</v>
      </c>
      <c r="B739" t="s">
        <v>321</v>
      </c>
      <c r="C739" t="s">
        <v>142</v>
      </c>
      <c r="D739">
        <v>334</v>
      </c>
      <c r="E739" s="5">
        <v>43466</v>
      </c>
      <c r="F739">
        <v>13050501</v>
      </c>
      <c r="G739">
        <v>0</v>
      </c>
      <c r="H739" t="s">
        <v>1125</v>
      </c>
      <c r="I739" t="s">
        <v>1126</v>
      </c>
      <c r="J739">
        <v>1008</v>
      </c>
      <c r="K739">
        <v>1315</v>
      </c>
      <c r="L739" s="3">
        <v>120387524.98379999</v>
      </c>
      <c r="M739" s="3">
        <v>14871582.752</v>
      </c>
      <c r="N739">
        <v>0</v>
      </c>
      <c r="O739">
        <v>0</v>
      </c>
      <c r="P739">
        <v>135259107.7358</v>
      </c>
      <c r="Q739" t="s">
        <v>30</v>
      </c>
      <c r="R739" t="s">
        <v>322</v>
      </c>
      <c r="S739" t="str">
        <v>#N/A</v>
      </c>
      <c r="T739" t="str">
        <v>31</v>
      </c>
    </row>
    <row r="740" spans="1:20" ht="13.7" customHeight="1" x14ac:dyDescent="0.25">
      <c r="A740" t="s">
        <v>320</v>
      </c>
      <c r="B740" t="s">
        <v>321</v>
      </c>
      <c r="C740" t="s">
        <v>142</v>
      </c>
      <c r="D740">
        <v>339</v>
      </c>
      <c r="E740" s="5">
        <v>43482</v>
      </c>
      <c r="F740">
        <v>13050501</v>
      </c>
      <c r="G740">
        <v>0</v>
      </c>
      <c r="H740" t="s">
        <v>1125</v>
      </c>
      <c r="I740" t="s">
        <v>1126</v>
      </c>
      <c r="J740">
        <v>1008</v>
      </c>
      <c r="K740">
        <v>1315</v>
      </c>
      <c r="L740" s="3">
        <v>135259107.7358</v>
      </c>
      <c r="M740" s="3">
        <v>556277.4</v>
      </c>
      <c r="N740">
        <v>0</v>
      </c>
      <c r="O740">
        <v>0</v>
      </c>
      <c r="P740">
        <v>135815385.1358</v>
      </c>
      <c r="Q740" t="s">
        <v>30</v>
      </c>
      <c r="R740" t="s">
        <v>327</v>
      </c>
      <c r="S740" t="str">
        <v>#N/A</v>
      </c>
      <c r="T740" t="str">
        <v>31</v>
      </c>
    </row>
    <row r="741" spans="1:20" ht="13.7" customHeight="1" x14ac:dyDescent="0.25">
      <c r="A741" t="s">
        <v>320</v>
      </c>
      <c r="B741" t="s">
        <v>321</v>
      </c>
      <c r="C741" t="s">
        <v>142</v>
      </c>
      <c r="D741">
        <v>341</v>
      </c>
      <c r="E741" s="5">
        <v>43484</v>
      </c>
      <c r="F741">
        <v>13050501</v>
      </c>
      <c r="G741">
        <v>0</v>
      </c>
      <c r="H741" t="s">
        <v>1125</v>
      </c>
      <c r="I741" t="s">
        <v>1126</v>
      </c>
      <c r="J741">
        <v>1008</v>
      </c>
      <c r="K741">
        <v>1315</v>
      </c>
      <c r="L741" s="3">
        <v>135815385.1358</v>
      </c>
      <c r="M741" s="3">
        <v>247520</v>
      </c>
      <c r="N741">
        <v>0</v>
      </c>
      <c r="O741">
        <v>0</v>
      </c>
      <c r="P741">
        <v>136062905.1358</v>
      </c>
      <c r="Q741" t="s">
        <v>30</v>
      </c>
      <c r="R741" t="s">
        <v>329</v>
      </c>
      <c r="S741" t="str">
        <v>#N/A</v>
      </c>
      <c r="T741" t="str">
        <v>31</v>
      </c>
    </row>
    <row r="742" spans="1:20" ht="13.7" customHeight="1" x14ac:dyDescent="0.25">
      <c r="A742" t="s">
        <v>199</v>
      </c>
      <c r="B742" t="s">
        <v>200</v>
      </c>
      <c r="C742" t="s">
        <v>28</v>
      </c>
      <c r="D742">
        <v>2</v>
      </c>
      <c r="E742" s="5">
        <v>43493</v>
      </c>
      <c r="F742">
        <v>13050501</v>
      </c>
      <c r="G742">
        <v>0</v>
      </c>
      <c r="H742" t="s">
        <v>1125</v>
      </c>
      <c r="I742" t="s">
        <v>1126</v>
      </c>
      <c r="J742">
        <v>1008</v>
      </c>
      <c r="K742">
        <v>1315</v>
      </c>
      <c r="L742" s="3">
        <v>136062905.1358</v>
      </c>
      <c r="M742" s="3">
        <v>0</v>
      </c>
      <c r="N742">
        <v>376310</v>
      </c>
      <c r="O742">
        <v>0</v>
      </c>
      <c r="P742">
        <v>135686595.1358</v>
      </c>
      <c r="Q742" t="s">
        <v>30</v>
      </c>
      <c r="R742" t="s">
        <v>336</v>
      </c>
      <c r="S742" t="str">
        <v>#N/A</v>
      </c>
      <c r="T742" t="str">
        <v>31</v>
      </c>
    </row>
    <row r="743" spans="1:20" ht="13.7" customHeight="1" x14ac:dyDescent="0.25">
      <c r="A743" t="s">
        <v>199</v>
      </c>
      <c r="B743" t="s">
        <v>200</v>
      </c>
      <c r="C743" t="s">
        <v>28</v>
      </c>
      <c r="D743">
        <v>2</v>
      </c>
      <c r="E743" s="5">
        <v>43493</v>
      </c>
      <c r="F743">
        <v>13050501</v>
      </c>
      <c r="G743">
        <v>0</v>
      </c>
      <c r="H743" t="s">
        <v>1125</v>
      </c>
      <c r="I743" t="s">
        <v>1126</v>
      </c>
      <c r="J743">
        <v>1008</v>
      </c>
      <c r="K743">
        <v>1315</v>
      </c>
      <c r="L743" s="3">
        <v>135686595.1358</v>
      </c>
      <c r="M743" s="3">
        <v>0</v>
      </c>
      <c r="N743">
        <v>435957</v>
      </c>
      <c r="O743">
        <v>0</v>
      </c>
      <c r="P743">
        <v>135250638.1358</v>
      </c>
      <c r="Q743" t="s">
        <v>30</v>
      </c>
      <c r="R743" t="s">
        <v>337</v>
      </c>
      <c r="S743" t="str">
        <v>#N/A</v>
      </c>
      <c r="T743" t="str">
        <v>31</v>
      </c>
    </row>
    <row r="744" spans="1:20" ht="13.7" customHeight="1" x14ac:dyDescent="0.25">
      <c r="A744" t="s">
        <v>199</v>
      </c>
      <c r="B744" t="s">
        <v>200</v>
      </c>
      <c r="C744" t="s">
        <v>28</v>
      </c>
      <c r="D744">
        <v>2</v>
      </c>
      <c r="E744" s="5">
        <v>43493</v>
      </c>
      <c r="F744">
        <v>13050501</v>
      </c>
      <c r="G744">
        <v>0</v>
      </c>
      <c r="H744" t="s">
        <v>1125</v>
      </c>
      <c r="I744" t="s">
        <v>1126</v>
      </c>
      <c r="J744">
        <v>1008</v>
      </c>
      <c r="K744">
        <v>1315</v>
      </c>
      <c r="L744" s="3">
        <v>135250638.1358</v>
      </c>
      <c r="M744" s="3">
        <v>0</v>
      </c>
      <c r="N744">
        <v>2327325</v>
      </c>
      <c r="O744">
        <v>0</v>
      </c>
      <c r="P744">
        <v>132923313.1358</v>
      </c>
      <c r="Q744" t="s">
        <v>30</v>
      </c>
      <c r="R744" t="s">
        <v>338</v>
      </c>
      <c r="S744" t="str">
        <v>#N/A</v>
      </c>
      <c r="T744" t="str">
        <v>31</v>
      </c>
    </row>
    <row r="745" spans="1:20" ht="13.7" customHeight="1" x14ac:dyDescent="0.25">
      <c r="A745" t="s">
        <v>199</v>
      </c>
      <c r="B745" t="s">
        <v>200</v>
      </c>
      <c r="C745" t="s">
        <v>28</v>
      </c>
      <c r="D745">
        <v>2</v>
      </c>
      <c r="E745" s="5">
        <v>43493</v>
      </c>
      <c r="F745">
        <v>13050501</v>
      </c>
      <c r="G745">
        <v>0</v>
      </c>
      <c r="H745" t="s">
        <v>1125</v>
      </c>
      <c r="I745" t="s">
        <v>1126</v>
      </c>
      <c r="J745">
        <v>1008</v>
      </c>
      <c r="K745">
        <v>1315</v>
      </c>
      <c r="L745" s="3">
        <v>132923313.1358</v>
      </c>
      <c r="M745" s="3">
        <v>0</v>
      </c>
      <c r="N745">
        <v>2519211</v>
      </c>
      <c r="O745">
        <v>0</v>
      </c>
      <c r="P745">
        <v>130404102.1358</v>
      </c>
      <c r="Q745" t="s">
        <v>30</v>
      </c>
      <c r="R745" t="s">
        <v>339</v>
      </c>
      <c r="S745" t="str">
        <v>#N/A</v>
      </c>
      <c r="T745" t="str">
        <v>31</v>
      </c>
    </row>
    <row r="746" spans="1:20" ht="13.7" customHeight="1" x14ac:dyDescent="0.25">
      <c r="A746" t="s">
        <v>199</v>
      </c>
      <c r="B746" t="s">
        <v>200</v>
      </c>
      <c r="C746" t="s">
        <v>28</v>
      </c>
      <c r="D746">
        <v>2</v>
      </c>
      <c r="E746" s="5">
        <v>43493</v>
      </c>
      <c r="F746">
        <v>13050501</v>
      </c>
      <c r="G746">
        <v>0</v>
      </c>
      <c r="H746" t="s">
        <v>1125</v>
      </c>
      <c r="I746" t="s">
        <v>1126</v>
      </c>
      <c r="J746">
        <v>1008</v>
      </c>
      <c r="K746">
        <v>1315</v>
      </c>
      <c r="L746" s="3">
        <v>130404102.1358</v>
      </c>
      <c r="M746" s="3">
        <v>0</v>
      </c>
      <c r="N746">
        <v>86632</v>
      </c>
      <c r="O746">
        <v>0</v>
      </c>
      <c r="P746">
        <v>130317470.1358</v>
      </c>
      <c r="Q746" t="s">
        <v>30</v>
      </c>
      <c r="R746" t="s">
        <v>340</v>
      </c>
      <c r="S746" t="str">
        <v>#N/A</v>
      </c>
      <c r="T746" t="str">
        <v>31</v>
      </c>
    </row>
    <row r="747" spans="1:20" ht="13.7" customHeight="1" x14ac:dyDescent="0.25">
      <c r="A747" t="s">
        <v>199</v>
      </c>
      <c r="B747" t="s">
        <v>200</v>
      </c>
      <c r="C747" t="s">
        <v>28</v>
      </c>
      <c r="D747">
        <v>2</v>
      </c>
      <c r="E747" s="5">
        <v>43493</v>
      </c>
      <c r="F747">
        <v>13050501</v>
      </c>
      <c r="G747">
        <v>0</v>
      </c>
      <c r="H747" t="s">
        <v>1125</v>
      </c>
      <c r="I747" t="s">
        <v>1126</v>
      </c>
      <c r="J747">
        <v>1008</v>
      </c>
      <c r="K747">
        <v>1315</v>
      </c>
      <c r="L747" s="3">
        <v>130317470.1358</v>
      </c>
      <c r="M747" s="3">
        <v>0</v>
      </c>
      <c r="N747">
        <v>2398429</v>
      </c>
      <c r="O747">
        <v>0</v>
      </c>
      <c r="P747">
        <v>127919041.1358</v>
      </c>
      <c r="Q747" t="s">
        <v>30</v>
      </c>
      <c r="R747" t="s">
        <v>341</v>
      </c>
      <c r="S747" t="str">
        <v>#N/A</v>
      </c>
      <c r="T747" t="str">
        <v>31</v>
      </c>
    </row>
    <row r="748" spans="1:20" ht="13.7" customHeight="1" x14ac:dyDescent="0.25">
      <c r="A748" t="s">
        <v>320</v>
      </c>
      <c r="B748" t="s">
        <v>321</v>
      </c>
      <c r="C748" t="s">
        <v>142</v>
      </c>
      <c r="D748">
        <v>351</v>
      </c>
      <c r="E748" s="5">
        <v>43497</v>
      </c>
      <c r="F748">
        <v>13050501</v>
      </c>
      <c r="G748">
        <v>0</v>
      </c>
      <c r="H748" t="s">
        <v>1125</v>
      </c>
      <c r="I748" t="s">
        <v>1126</v>
      </c>
      <c r="J748">
        <v>1008</v>
      </c>
      <c r="K748">
        <v>1315</v>
      </c>
      <c r="L748" s="3">
        <v>127919041.1358</v>
      </c>
      <c r="M748" s="3">
        <v>135660</v>
      </c>
      <c r="N748">
        <v>0</v>
      </c>
      <c r="O748">
        <v>0</v>
      </c>
      <c r="P748">
        <v>128054701.1358</v>
      </c>
      <c r="Q748" t="s">
        <v>30</v>
      </c>
      <c r="R748" t="s">
        <v>345</v>
      </c>
      <c r="S748" t="str">
        <v>#N/A</v>
      </c>
      <c r="T748" t="str">
        <v>31</v>
      </c>
    </row>
    <row r="749" spans="1:20" ht="13.7" customHeight="1" x14ac:dyDescent="0.25">
      <c r="A749" t="s">
        <v>320</v>
      </c>
      <c r="B749" t="s">
        <v>321</v>
      </c>
      <c r="C749" t="s">
        <v>142</v>
      </c>
      <c r="D749">
        <v>353</v>
      </c>
      <c r="E749" s="5">
        <v>43500</v>
      </c>
      <c r="F749">
        <v>13050501</v>
      </c>
      <c r="G749">
        <v>0</v>
      </c>
      <c r="H749" t="s">
        <v>1125</v>
      </c>
      <c r="I749" t="s">
        <v>1126</v>
      </c>
      <c r="J749">
        <v>1008</v>
      </c>
      <c r="K749">
        <v>1315</v>
      </c>
      <c r="L749" s="3">
        <v>128054701.1358</v>
      </c>
      <c r="M749" s="3">
        <v>9684281.7708000001</v>
      </c>
      <c r="N749">
        <v>0</v>
      </c>
      <c r="O749">
        <v>0</v>
      </c>
      <c r="P749">
        <v>137738982.9066</v>
      </c>
      <c r="Q749" t="s">
        <v>30</v>
      </c>
      <c r="R749" t="s">
        <v>346</v>
      </c>
      <c r="S749" t="str">
        <v>#N/A</v>
      </c>
      <c r="T749" t="str">
        <v>31</v>
      </c>
    </row>
    <row r="750" spans="1:20" ht="13.7" customHeight="1" x14ac:dyDescent="0.25">
      <c r="A750" t="s">
        <v>320</v>
      </c>
      <c r="B750" t="s">
        <v>321</v>
      </c>
      <c r="C750" t="s">
        <v>142</v>
      </c>
      <c r="D750">
        <v>357</v>
      </c>
      <c r="E750" s="5">
        <v>43504</v>
      </c>
      <c r="F750">
        <v>13050501</v>
      </c>
      <c r="G750">
        <v>0</v>
      </c>
      <c r="H750" t="s">
        <v>1125</v>
      </c>
      <c r="I750" t="s">
        <v>1126</v>
      </c>
      <c r="J750">
        <v>1008</v>
      </c>
      <c r="K750">
        <v>1315</v>
      </c>
      <c r="L750" s="3">
        <v>137738982.9066</v>
      </c>
      <c r="M750" s="3">
        <v>23800</v>
      </c>
      <c r="N750">
        <v>0</v>
      </c>
      <c r="O750">
        <v>0</v>
      </c>
      <c r="P750">
        <v>137762782.9066</v>
      </c>
      <c r="Q750" t="s">
        <v>30</v>
      </c>
      <c r="R750" t="s">
        <v>350</v>
      </c>
      <c r="S750" t="str">
        <v>#N/A</v>
      </c>
      <c r="T750" t="str">
        <v>31</v>
      </c>
    </row>
    <row r="751" spans="1:20" ht="13.7" customHeight="1" x14ac:dyDescent="0.25">
      <c r="A751" t="s">
        <v>320</v>
      </c>
      <c r="B751" t="s">
        <v>321</v>
      </c>
      <c r="C751" t="s">
        <v>142</v>
      </c>
      <c r="D751">
        <v>358</v>
      </c>
      <c r="E751" s="5">
        <v>43507</v>
      </c>
      <c r="F751">
        <v>13050501</v>
      </c>
      <c r="G751">
        <v>0</v>
      </c>
      <c r="H751" t="s">
        <v>1125</v>
      </c>
      <c r="I751" t="s">
        <v>1126</v>
      </c>
      <c r="J751">
        <v>1008</v>
      </c>
      <c r="K751">
        <v>1315</v>
      </c>
      <c r="L751" s="3">
        <v>137762782.9066</v>
      </c>
      <c r="M751" s="3">
        <v>2055364.8</v>
      </c>
      <c r="N751">
        <v>0</v>
      </c>
      <c r="O751">
        <v>0</v>
      </c>
      <c r="P751">
        <v>139818147.70660001</v>
      </c>
      <c r="Q751" t="s">
        <v>30</v>
      </c>
      <c r="R751" t="s">
        <v>351</v>
      </c>
      <c r="S751" t="str">
        <v>#N/A</v>
      </c>
      <c r="T751" t="str">
        <v>31</v>
      </c>
    </row>
    <row r="752" spans="1:20" ht="13.7" customHeight="1" x14ac:dyDescent="0.25">
      <c r="A752" t="s">
        <v>320</v>
      </c>
      <c r="B752" t="s">
        <v>321</v>
      </c>
      <c r="C752" t="s">
        <v>142</v>
      </c>
      <c r="D752">
        <v>361</v>
      </c>
      <c r="E752" s="5">
        <v>43507</v>
      </c>
      <c r="F752">
        <v>13050501</v>
      </c>
      <c r="G752">
        <v>0</v>
      </c>
      <c r="H752" t="s">
        <v>1125</v>
      </c>
      <c r="I752" t="s">
        <v>1126</v>
      </c>
      <c r="J752">
        <v>1008</v>
      </c>
      <c r="K752">
        <v>1315</v>
      </c>
      <c r="L752" s="3">
        <v>139818147.70660001</v>
      </c>
      <c r="M752" s="3">
        <v>1284603</v>
      </c>
      <c r="N752">
        <v>0</v>
      </c>
      <c r="O752">
        <v>0</v>
      </c>
      <c r="P752">
        <v>141102750.70660001</v>
      </c>
      <c r="Q752" t="s">
        <v>30</v>
      </c>
      <c r="R752" t="s">
        <v>353</v>
      </c>
      <c r="S752" t="str">
        <v>#N/A</v>
      </c>
      <c r="T752" t="str">
        <v>31</v>
      </c>
    </row>
    <row r="753" spans="1:20" ht="13.7" customHeight="1" x14ac:dyDescent="0.25">
      <c r="A753" t="s">
        <v>320</v>
      </c>
      <c r="B753" t="s">
        <v>321</v>
      </c>
      <c r="C753" t="s">
        <v>142</v>
      </c>
      <c r="D753">
        <v>362</v>
      </c>
      <c r="E753" s="5">
        <v>43508</v>
      </c>
      <c r="F753">
        <v>13050501</v>
      </c>
      <c r="G753">
        <v>0</v>
      </c>
      <c r="H753" t="s">
        <v>1125</v>
      </c>
      <c r="I753" t="s">
        <v>1126</v>
      </c>
      <c r="J753">
        <v>1008</v>
      </c>
      <c r="K753">
        <v>1315</v>
      </c>
      <c r="L753" s="3">
        <v>141102750.70660001</v>
      </c>
      <c r="M753" s="3">
        <v>603434.09699999995</v>
      </c>
      <c r="N753">
        <v>0</v>
      </c>
      <c r="O753">
        <v>0</v>
      </c>
      <c r="P753">
        <v>141706184.80360001</v>
      </c>
      <c r="Q753" t="s">
        <v>30</v>
      </c>
      <c r="R753" t="s">
        <v>354</v>
      </c>
      <c r="S753" t="str">
        <v>#N/A</v>
      </c>
      <c r="T753" t="str">
        <v>31</v>
      </c>
    </row>
    <row r="754" spans="1:20" ht="13.7" customHeight="1" x14ac:dyDescent="0.25">
      <c r="A754" t="s">
        <v>199</v>
      </c>
      <c r="B754" t="s">
        <v>200</v>
      </c>
      <c r="C754" t="s">
        <v>32</v>
      </c>
      <c r="D754">
        <v>5</v>
      </c>
      <c r="E754" s="5">
        <v>43517</v>
      </c>
      <c r="F754">
        <v>13050501</v>
      </c>
      <c r="G754">
        <v>0</v>
      </c>
      <c r="H754" t="s">
        <v>1125</v>
      </c>
      <c r="I754" t="s">
        <v>1126</v>
      </c>
      <c r="J754">
        <v>1008</v>
      </c>
      <c r="K754">
        <v>1315</v>
      </c>
      <c r="L754" s="3">
        <v>141706184.80360001</v>
      </c>
      <c r="M754" s="3">
        <v>0</v>
      </c>
      <c r="N754">
        <v>812268</v>
      </c>
      <c r="O754">
        <v>0</v>
      </c>
      <c r="P754">
        <v>140893916.80360001</v>
      </c>
      <c r="Q754" t="s">
        <v>30</v>
      </c>
      <c r="R754" t="s">
        <v>364</v>
      </c>
      <c r="S754" t="str">
        <v>#N/A</v>
      </c>
      <c r="T754" t="str">
        <v>31</v>
      </c>
    </row>
    <row r="755" spans="1:20" ht="13.7" customHeight="1" x14ac:dyDescent="0.25">
      <c r="A755" t="s">
        <v>199</v>
      </c>
      <c r="B755" t="s">
        <v>200</v>
      </c>
      <c r="C755" t="s">
        <v>32</v>
      </c>
      <c r="D755">
        <v>5</v>
      </c>
      <c r="E755" s="5">
        <v>43517</v>
      </c>
      <c r="F755">
        <v>13050501</v>
      </c>
      <c r="G755">
        <v>0</v>
      </c>
      <c r="H755" t="s">
        <v>1125</v>
      </c>
      <c r="I755" t="s">
        <v>1126</v>
      </c>
      <c r="J755">
        <v>1008</v>
      </c>
      <c r="K755">
        <v>1315</v>
      </c>
      <c r="L755" s="3">
        <v>140893916.80360001</v>
      </c>
      <c r="M755" s="3">
        <v>0</v>
      </c>
      <c r="N755">
        <v>1704703</v>
      </c>
      <c r="O755">
        <v>0</v>
      </c>
      <c r="P755">
        <v>139189213.80360001</v>
      </c>
      <c r="Q755" t="s">
        <v>30</v>
      </c>
      <c r="R755" t="s">
        <v>365</v>
      </c>
      <c r="S755" t="str">
        <v>#N/A</v>
      </c>
      <c r="T755" t="str">
        <v>31</v>
      </c>
    </row>
    <row r="756" spans="1:20" ht="13.7" customHeight="1" x14ac:dyDescent="0.25">
      <c r="A756" t="s">
        <v>199</v>
      </c>
      <c r="B756" t="s">
        <v>200</v>
      </c>
      <c r="C756" t="s">
        <v>32</v>
      </c>
      <c r="D756">
        <v>5</v>
      </c>
      <c r="E756" s="5">
        <v>43517</v>
      </c>
      <c r="F756">
        <v>13050501</v>
      </c>
      <c r="G756">
        <v>0</v>
      </c>
      <c r="H756" t="s">
        <v>1125</v>
      </c>
      <c r="I756" t="s">
        <v>1126</v>
      </c>
      <c r="J756">
        <v>1008</v>
      </c>
      <c r="K756">
        <v>1315</v>
      </c>
      <c r="L756" s="3">
        <v>139189213.80360001</v>
      </c>
      <c r="M756" s="3">
        <v>0</v>
      </c>
      <c r="N756">
        <v>663270</v>
      </c>
      <c r="O756">
        <v>0</v>
      </c>
      <c r="P756">
        <v>138525943.80360001</v>
      </c>
      <c r="Q756" t="s">
        <v>30</v>
      </c>
      <c r="R756" t="s">
        <v>366</v>
      </c>
      <c r="S756" t="str">
        <v>#N/A</v>
      </c>
      <c r="T756" t="str">
        <v>31</v>
      </c>
    </row>
    <row r="757" spans="1:20" ht="13.7" customHeight="1" x14ac:dyDescent="0.25">
      <c r="A757" t="s">
        <v>199</v>
      </c>
      <c r="B757" t="s">
        <v>200</v>
      </c>
      <c r="C757" t="s">
        <v>32</v>
      </c>
      <c r="D757">
        <v>5</v>
      </c>
      <c r="E757" s="5">
        <v>43517</v>
      </c>
      <c r="F757">
        <v>13050501</v>
      </c>
      <c r="G757">
        <v>0</v>
      </c>
      <c r="H757" t="s">
        <v>1125</v>
      </c>
      <c r="I757" t="s">
        <v>1126</v>
      </c>
      <c r="J757">
        <v>1008</v>
      </c>
      <c r="K757">
        <v>1315</v>
      </c>
      <c r="L757" s="3">
        <v>138525943.80360001</v>
      </c>
      <c r="M757" s="3">
        <v>0</v>
      </c>
      <c r="N757">
        <v>1642228</v>
      </c>
      <c r="O757">
        <v>0</v>
      </c>
      <c r="P757">
        <v>136883715.80360001</v>
      </c>
      <c r="Q757" t="s">
        <v>30</v>
      </c>
      <c r="R757" t="s">
        <v>367</v>
      </c>
      <c r="S757" t="str">
        <v>#N/A</v>
      </c>
      <c r="T757" t="str">
        <v>31</v>
      </c>
    </row>
    <row r="758" spans="1:20" ht="13.7" customHeight="1" x14ac:dyDescent="0.25">
      <c r="A758" t="s">
        <v>320</v>
      </c>
      <c r="B758" t="s">
        <v>321</v>
      </c>
      <c r="C758" t="s">
        <v>142</v>
      </c>
      <c r="D758">
        <v>374</v>
      </c>
      <c r="E758" s="5">
        <v>43519</v>
      </c>
      <c r="F758">
        <v>13050501</v>
      </c>
      <c r="G758">
        <v>0</v>
      </c>
      <c r="H758" t="s">
        <v>1125</v>
      </c>
      <c r="I758" t="s">
        <v>1126</v>
      </c>
      <c r="J758">
        <v>1008</v>
      </c>
      <c r="K758">
        <v>1315</v>
      </c>
      <c r="L758" s="3">
        <v>136883715.80360001</v>
      </c>
      <c r="M758" s="3">
        <v>3601980.52</v>
      </c>
      <c r="N758">
        <v>0</v>
      </c>
      <c r="O758">
        <v>0</v>
      </c>
      <c r="P758">
        <v>140485696.32359999</v>
      </c>
      <c r="Q758" t="s">
        <v>30</v>
      </c>
      <c r="R758" t="s">
        <v>368</v>
      </c>
      <c r="S758" t="str">
        <v>#N/A</v>
      </c>
      <c r="T758" t="str">
        <v>31</v>
      </c>
    </row>
    <row r="759" spans="1:20" ht="13.7" customHeight="1" x14ac:dyDescent="0.25">
      <c r="A759" t="s">
        <v>199</v>
      </c>
      <c r="B759" t="s">
        <v>200</v>
      </c>
      <c r="C759" t="s">
        <v>32</v>
      </c>
      <c r="D759">
        <v>8</v>
      </c>
      <c r="E759" s="5">
        <v>43522</v>
      </c>
      <c r="F759">
        <v>13050501</v>
      </c>
      <c r="G759">
        <v>0</v>
      </c>
      <c r="H759" t="s">
        <v>1125</v>
      </c>
      <c r="I759" t="s">
        <v>1126</v>
      </c>
      <c r="J759">
        <v>1008</v>
      </c>
      <c r="K759">
        <v>1315</v>
      </c>
      <c r="L759" s="3">
        <v>140485696.32359999</v>
      </c>
      <c r="M759" s="3">
        <v>0</v>
      </c>
      <c r="N759">
        <v>102889</v>
      </c>
      <c r="O759">
        <v>0</v>
      </c>
      <c r="P759">
        <v>140382807.32359999</v>
      </c>
      <c r="Q759" t="s">
        <v>30</v>
      </c>
      <c r="R759" t="s">
        <v>380</v>
      </c>
      <c r="S759" t="str">
        <v>#N/A</v>
      </c>
      <c r="T759" t="str">
        <v>31</v>
      </c>
    </row>
    <row r="760" spans="1:20" ht="13.7" customHeight="1" x14ac:dyDescent="0.25">
      <c r="A760" t="s">
        <v>199</v>
      </c>
      <c r="B760" t="s">
        <v>200</v>
      </c>
      <c r="C760" t="s">
        <v>32</v>
      </c>
      <c r="D760">
        <v>8</v>
      </c>
      <c r="E760" s="5">
        <v>43522</v>
      </c>
      <c r="F760">
        <v>13050501</v>
      </c>
      <c r="G760">
        <v>0</v>
      </c>
      <c r="H760" t="s">
        <v>1125</v>
      </c>
      <c r="I760" t="s">
        <v>1126</v>
      </c>
      <c r="J760">
        <v>1008</v>
      </c>
      <c r="K760">
        <v>1315</v>
      </c>
      <c r="L760" s="3">
        <v>140382807.32359999</v>
      </c>
      <c r="M760" s="3">
        <v>0</v>
      </c>
      <c r="N760">
        <v>709380</v>
      </c>
      <c r="O760">
        <v>0</v>
      </c>
      <c r="P760">
        <v>139673427.32359999</v>
      </c>
      <c r="Q760" t="s">
        <v>30</v>
      </c>
      <c r="R760" t="s">
        <v>381</v>
      </c>
      <c r="S760" t="str">
        <v>#N/A</v>
      </c>
      <c r="T760" t="str">
        <v>31</v>
      </c>
    </row>
    <row r="761" spans="1:20" ht="13.7" customHeight="1" x14ac:dyDescent="0.25">
      <c r="A761" t="s">
        <v>199</v>
      </c>
      <c r="B761" t="s">
        <v>200</v>
      </c>
      <c r="C761" t="s">
        <v>32</v>
      </c>
      <c r="D761">
        <v>8</v>
      </c>
      <c r="E761" s="5">
        <v>43522</v>
      </c>
      <c r="F761">
        <v>13050501</v>
      </c>
      <c r="G761">
        <v>0</v>
      </c>
      <c r="H761" t="s">
        <v>1125</v>
      </c>
      <c r="I761" t="s">
        <v>1126</v>
      </c>
      <c r="J761">
        <v>1008</v>
      </c>
      <c r="K761">
        <v>1315</v>
      </c>
      <c r="L761" s="3">
        <v>139673427.32359999</v>
      </c>
      <c r="M761" s="3">
        <v>0</v>
      </c>
      <c r="N761">
        <v>1041107</v>
      </c>
      <c r="O761">
        <v>0</v>
      </c>
      <c r="P761">
        <v>138632320.32359999</v>
      </c>
      <c r="Q761" t="s">
        <v>30</v>
      </c>
      <c r="R761" t="s">
        <v>382</v>
      </c>
      <c r="S761" t="str">
        <v>#N/A</v>
      </c>
      <c r="T761" t="str">
        <v>31</v>
      </c>
    </row>
    <row r="762" spans="1:20" ht="13.7" customHeight="1" x14ac:dyDescent="0.25">
      <c r="A762" t="s">
        <v>199</v>
      </c>
      <c r="B762" t="s">
        <v>200</v>
      </c>
      <c r="C762" t="s">
        <v>32</v>
      </c>
      <c r="D762">
        <v>8</v>
      </c>
      <c r="E762" s="5">
        <v>43522</v>
      </c>
      <c r="F762">
        <v>13050501</v>
      </c>
      <c r="G762">
        <v>0</v>
      </c>
      <c r="H762" t="s">
        <v>1125</v>
      </c>
      <c r="I762" t="s">
        <v>1126</v>
      </c>
      <c r="J762">
        <v>1008</v>
      </c>
      <c r="K762">
        <v>1315</v>
      </c>
      <c r="L762" s="3">
        <v>138632320.32359999</v>
      </c>
      <c r="M762" s="3">
        <v>0</v>
      </c>
      <c r="N762">
        <v>2100013</v>
      </c>
      <c r="O762">
        <v>0</v>
      </c>
      <c r="P762">
        <v>136532307.32359999</v>
      </c>
      <c r="Q762" t="s">
        <v>30</v>
      </c>
      <c r="R762" t="s">
        <v>383</v>
      </c>
      <c r="S762" t="str">
        <v>#N/A</v>
      </c>
      <c r="T762" t="str">
        <v>31</v>
      </c>
    </row>
    <row r="763" spans="1:20" ht="13.7" customHeight="1" x14ac:dyDescent="0.25">
      <c r="A763" t="s">
        <v>199</v>
      </c>
      <c r="B763" t="s">
        <v>200</v>
      </c>
      <c r="C763" t="s">
        <v>32</v>
      </c>
      <c r="D763">
        <v>8</v>
      </c>
      <c r="E763" s="5">
        <v>43522</v>
      </c>
      <c r="F763">
        <v>13050501</v>
      </c>
      <c r="G763">
        <v>0</v>
      </c>
      <c r="H763" t="s">
        <v>1125</v>
      </c>
      <c r="I763" t="s">
        <v>1126</v>
      </c>
      <c r="J763">
        <v>1008</v>
      </c>
      <c r="K763">
        <v>1315</v>
      </c>
      <c r="L763" s="3">
        <v>136532307.32359999</v>
      </c>
      <c r="M763" s="3">
        <v>0</v>
      </c>
      <c r="N763">
        <v>2665609</v>
      </c>
      <c r="O763">
        <v>0</v>
      </c>
      <c r="P763">
        <v>133866698.32359999</v>
      </c>
      <c r="Q763" t="s">
        <v>30</v>
      </c>
      <c r="R763" t="s">
        <v>384</v>
      </c>
      <c r="S763" t="str">
        <v>#N/A</v>
      </c>
      <c r="T763" t="str">
        <v>31</v>
      </c>
    </row>
    <row r="764" spans="1:20" ht="13.7" customHeight="1" x14ac:dyDescent="0.25">
      <c r="A764" t="s">
        <v>199</v>
      </c>
      <c r="B764" t="s">
        <v>200</v>
      </c>
      <c r="C764" t="s">
        <v>32</v>
      </c>
      <c r="D764">
        <v>8</v>
      </c>
      <c r="E764" s="5">
        <v>43522</v>
      </c>
      <c r="F764">
        <v>13050501</v>
      </c>
      <c r="G764">
        <v>0</v>
      </c>
      <c r="H764" t="s">
        <v>1125</v>
      </c>
      <c r="I764" t="s">
        <v>1126</v>
      </c>
      <c r="J764">
        <v>1008</v>
      </c>
      <c r="K764">
        <v>1315</v>
      </c>
      <c r="L764" s="3">
        <v>133866698.32359999</v>
      </c>
      <c r="M764" s="3">
        <v>0</v>
      </c>
      <c r="N764">
        <v>3708567</v>
      </c>
      <c r="O764">
        <v>0</v>
      </c>
      <c r="P764">
        <v>130158131.32359999</v>
      </c>
      <c r="Q764" t="s">
        <v>30</v>
      </c>
      <c r="R764" t="s">
        <v>385</v>
      </c>
      <c r="S764" t="str">
        <v>#N/A</v>
      </c>
      <c r="T764" t="str">
        <v>31</v>
      </c>
    </row>
    <row r="765" spans="1:20" ht="13.7" customHeight="1" x14ac:dyDescent="0.25">
      <c r="A765" t="s">
        <v>199</v>
      </c>
      <c r="B765" t="s">
        <v>200</v>
      </c>
      <c r="C765" t="s">
        <v>32</v>
      </c>
      <c r="D765">
        <v>8</v>
      </c>
      <c r="E765" s="5">
        <v>43522</v>
      </c>
      <c r="F765">
        <v>13050501</v>
      </c>
      <c r="G765">
        <v>0</v>
      </c>
      <c r="H765" t="s">
        <v>1125</v>
      </c>
      <c r="I765" t="s">
        <v>1126</v>
      </c>
      <c r="J765">
        <v>1008</v>
      </c>
      <c r="K765">
        <v>1315</v>
      </c>
      <c r="L765" s="3">
        <v>130158131.32359999</v>
      </c>
      <c r="M765" s="3">
        <v>0</v>
      </c>
      <c r="N765">
        <v>691646</v>
      </c>
      <c r="O765">
        <v>0</v>
      </c>
      <c r="P765">
        <v>129466485.32359999</v>
      </c>
      <c r="Q765" t="s">
        <v>30</v>
      </c>
      <c r="R765" t="s">
        <v>386</v>
      </c>
      <c r="S765" t="str">
        <v>#N/A</v>
      </c>
      <c r="T765" t="str">
        <v>31</v>
      </c>
    </row>
    <row r="766" spans="1:20" ht="13.7" customHeight="1" x14ac:dyDescent="0.25">
      <c r="A766" t="s">
        <v>199</v>
      </c>
      <c r="B766" t="s">
        <v>200</v>
      </c>
      <c r="C766" t="s">
        <v>32</v>
      </c>
      <c r="D766">
        <v>8</v>
      </c>
      <c r="E766" s="5">
        <v>43522</v>
      </c>
      <c r="F766">
        <v>13050501</v>
      </c>
      <c r="G766">
        <v>0</v>
      </c>
      <c r="H766" t="s">
        <v>1125</v>
      </c>
      <c r="I766" t="s">
        <v>1126</v>
      </c>
      <c r="J766">
        <v>1008</v>
      </c>
      <c r="K766">
        <v>1315</v>
      </c>
      <c r="L766" s="3">
        <v>129466485.32359999</v>
      </c>
      <c r="M766" s="3">
        <v>0</v>
      </c>
      <c r="N766">
        <v>2910610</v>
      </c>
      <c r="O766">
        <v>0</v>
      </c>
      <c r="P766">
        <v>126555875.32359999</v>
      </c>
      <c r="Q766" t="s">
        <v>30</v>
      </c>
      <c r="R766" t="s">
        <v>387</v>
      </c>
      <c r="S766" t="str">
        <v>#N/A</v>
      </c>
      <c r="T766" t="str">
        <v>31</v>
      </c>
    </row>
    <row r="767" spans="1:20" ht="13.7" customHeight="1" x14ac:dyDescent="0.25">
      <c r="A767" t="s">
        <v>199</v>
      </c>
      <c r="B767" t="s">
        <v>200</v>
      </c>
      <c r="C767" t="s">
        <v>32</v>
      </c>
      <c r="D767">
        <v>8</v>
      </c>
      <c r="E767" s="5">
        <v>43522</v>
      </c>
      <c r="F767">
        <v>13050501</v>
      </c>
      <c r="G767">
        <v>0</v>
      </c>
      <c r="H767" t="s">
        <v>1125</v>
      </c>
      <c r="I767" t="s">
        <v>1126</v>
      </c>
      <c r="J767">
        <v>1008</v>
      </c>
      <c r="K767">
        <v>1315</v>
      </c>
      <c r="L767" s="3">
        <v>126555875.32359999</v>
      </c>
      <c r="M767" s="3">
        <v>0</v>
      </c>
      <c r="N767">
        <v>3443213</v>
      </c>
      <c r="O767">
        <v>0</v>
      </c>
      <c r="P767">
        <v>123112662.32359999</v>
      </c>
      <c r="Q767" t="s">
        <v>30</v>
      </c>
      <c r="R767" t="s">
        <v>388</v>
      </c>
      <c r="S767" t="str">
        <v>#N/A</v>
      </c>
      <c r="T767" t="str">
        <v>31</v>
      </c>
    </row>
    <row r="768" spans="1:20" ht="13.7" customHeight="1" x14ac:dyDescent="0.25">
      <c r="A768" t="s">
        <v>320</v>
      </c>
      <c r="B768" t="s">
        <v>321</v>
      </c>
      <c r="C768" t="s">
        <v>142</v>
      </c>
      <c r="D768">
        <v>377</v>
      </c>
      <c r="E768" s="5">
        <v>43528</v>
      </c>
      <c r="F768">
        <v>13050501</v>
      </c>
      <c r="G768">
        <v>0</v>
      </c>
      <c r="H768" t="s">
        <v>1125</v>
      </c>
      <c r="I768" t="s">
        <v>1126</v>
      </c>
      <c r="J768">
        <v>1008</v>
      </c>
      <c r="K768">
        <v>1315</v>
      </c>
      <c r="L768" s="3">
        <v>123112662.32359999</v>
      </c>
      <c r="M768" s="3">
        <v>339150</v>
      </c>
      <c r="N768">
        <v>0</v>
      </c>
      <c r="O768">
        <v>0</v>
      </c>
      <c r="P768">
        <v>123451812.32359999</v>
      </c>
      <c r="Q768" t="s">
        <v>30</v>
      </c>
      <c r="R768" t="s">
        <v>392</v>
      </c>
      <c r="S768" t="str">
        <v>#N/A</v>
      </c>
      <c r="T768" t="str">
        <v>31</v>
      </c>
    </row>
    <row r="769" spans="1:20" ht="13.7" customHeight="1" x14ac:dyDescent="0.25">
      <c r="A769" t="s">
        <v>320</v>
      </c>
      <c r="B769" t="s">
        <v>321</v>
      </c>
      <c r="C769" t="s">
        <v>142</v>
      </c>
      <c r="D769">
        <v>379</v>
      </c>
      <c r="E769" s="5">
        <v>43531</v>
      </c>
      <c r="F769">
        <v>13050501</v>
      </c>
      <c r="G769">
        <v>0</v>
      </c>
      <c r="H769" t="s">
        <v>1125</v>
      </c>
      <c r="I769" t="s">
        <v>1126</v>
      </c>
      <c r="J769">
        <v>1008</v>
      </c>
      <c r="K769">
        <v>1315</v>
      </c>
      <c r="L769" s="3">
        <v>123451812.32359999</v>
      </c>
      <c r="M769" s="3">
        <v>2670238.29</v>
      </c>
      <c r="N769">
        <v>0</v>
      </c>
      <c r="O769">
        <v>0</v>
      </c>
      <c r="P769">
        <v>126122050.6136</v>
      </c>
      <c r="Q769" t="s">
        <v>30</v>
      </c>
      <c r="R769" t="s">
        <v>395</v>
      </c>
      <c r="S769" t="str">
        <v>#N/A</v>
      </c>
      <c r="T769" t="str">
        <v>31</v>
      </c>
    </row>
    <row r="770" spans="1:20" ht="13.7" customHeight="1" x14ac:dyDescent="0.25">
      <c r="A770" t="s">
        <v>320</v>
      </c>
      <c r="B770" t="s">
        <v>321</v>
      </c>
      <c r="C770" t="s">
        <v>142</v>
      </c>
      <c r="D770">
        <v>381</v>
      </c>
      <c r="E770" s="5">
        <v>43535</v>
      </c>
      <c r="F770">
        <v>13050501</v>
      </c>
      <c r="G770">
        <v>0</v>
      </c>
      <c r="H770" t="s">
        <v>1125</v>
      </c>
      <c r="I770" t="s">
        <v>1126</v>
      </c>
      <c r="J770">
        <v>1008</v>
      </c>
      <c r="K770">
        <v>1315</v>
      </c>
      <c r="L770" s="3">
        <v>126122050.6136</v>
      </c>
      <c r="M770" s="3">
        <v>151368</v>
      </c>
      <c r="N770">
        <v>0</v>
      </c>
      <c r="O770">
        <v>0</v>
      </c>
      <c r="P770">
        <v>126273418.6136</v>
      </c>
      <c r="Q770" t="s">
        <v>30</v>
      </c>
      <c r="R770" t="s">
        <v>399</v>
      </c>
      <c r="S770" t="str">
        <v>#N/A</v>
      </c>
      <c r="T770" t="str">
        <v>31</v>
      </c>
    </row>
    <row r="771" spans="1:20" ht="13.7" customHeight="1" x14ac:dyDescent="0.25">
      <c r="A771" t="s">
        <v>199</v>
      </c>
      <c r="B771" t="s">
        <v>200</v>
      </c>
      <c r="C771" t="s">
        <v>91</v>
      </c>
      <c r="D771">
        <v>3</v>
      </c>
      <c r="E771" s="5">
        <v>43538</v>
      </c>
      <c r="F771">
        <v>13050501</v>
      </c>
      <c r="G771">
        <v>0</v>
      </c>
      <c r="H771" t="s">
        <v>1125</v>
      </c>
      <c r="I771" t="s">
        <v>1126</v>
      </c>
      <c r="J771">
        <v>1008</v>
      </c>
      <c r="K771">
        <v>1315</v>
      </c>
      <c r="L771" s="3">
        <v>126273418.6136</v>
      </c>
      <c r="M771" s="3">
        <v>0</v>
      </c>
      <c r="N771">
        <v>812271</v>
      </c>
      <c r="O771">
        <v>0</v>
      </c>
      <c r="P771">
        <v>125461147.6136</v>
      </c>
      <c r="Q771" t="s">
        <v>30</v>
      </c>
      <c r="R771" t="s">
        <v>401</v>
      </c>
      <c r="S771" t="str">
        <v>#N/A</v>
      </c>
      <c r="T771" t="str">
        <v>31</v>
      </c>
    </row>
    <row r="772" spans="1:20" ht="13.7" customHeight="1" x14ac:dyDescent="0.25">
      <c r="A772" t="s">
        <v>199</v>
      </c>
      <c r="B772" t="s">
        <v>200</v>
      </c>
      <c r="C772" t="s">
        <v>91</v>
      </c>
      <c r="D772">
        <v>3</v>
      </c>
      <c r="E772" s="5">
        <v>43538</v>
      </c>
      <c r="F772">
        <v>13050501</v>
      </c>
      <c r="G772">
        <v>0</v>
      </c>
      <c r="H772" t="s">
        <v>1125</v>
      </c>
      <c r="I772" t="s">
        <v>1126</v>
      </c>
      <c r="J772">
        <v>1008</v>
      </c>
      <c r="K772">
        <v>1315</v>
      </c>
      <c r="L772" s="3">
        <v>125461147.6136</v>
      </c>
      <c r="M772" s="3">
        <v>0</v>
      </c>
      <c r="N772">
        <v>1616748</v>
      </c>
      <c r="O772">
        <v>0</v>
      </c>
      <c r="P772">
        <v>123844399.6136</v>
      </c>
      <c r="Q772" t="s">
        <v>30</v>
      </c>
      <c r="R772" t="s">
        <v>402</v>
      </c>
      <c r="S772" t="str">
        <v>#N/A</v>
      </c>
      <c r="T772" t="str">
        <v>31</v>
      </c>
    </row>
    <row r="773" spans="1:20" ht="13.7" customHeight="1" x14ac:dyDescent="0.25">
      <c r="A773" t="s">
        <v>199</v>
      </c>
      <c r="B773" t="s">
        <v>200</v>
      </c>
      <c r="C773" t="s">
        <v>91</v>
      </c>
      <c r="D773">
        <v>3</v>
      </c>
      <c r="E773" s="5">
        <v>43538</v>
      </c>
      <c r="F773">
        <v>13050501</v>
      </c>
      <c r="G773">
        <v>0</v>
      </c>
      <c r="H773" t="s">
        <v>1125</v>
      </c>
      <c r="I773" t="s">
        <v>1126</v>
      </c>
      <c r="J773">
        <v>1008</v>
      </c>
      <c r="K773">
        <v>1315</v>
      </c>
      <c r="L773" s="3">
        <v>123844399.6136</v>
      </c>
      <c r="M773" s="3">
        <v>0</v>
      </c>
      <c r="N773">
        <v>1613415</v>
      </c>
      <c r="O773">
        <v>0</v>
      </c>
      <c r="P773">
        <v>122230984.6136</v>
      </c>
      <c r="Q773" t="s">
        <v>30</v>
      </c>
      <c r="R773" t="s">
        <v>403</v>
      </c>
      <c r="S773" t="str">
        <v>#N/A</v>
      </c>
      <c r="T773" t="str">
        <v>31</v>
      </c>
    </row>
    <row r="774" spans="1:20" ht="13.7" customHeight="1" x14ac:dyDescent="0.25">
      <c r="A774" t="s">
        <v>199</v>
      </c>
      <c r="B774" t="s">
        <v>200</v>
      </c>
      <c r="C774" t="s">
        <v>91</v>
      </c>
      <c r="D774">
        <v>3</v>
      </c>
      <c r="E774" s="5">
        <v>43538</v>
      </c>
      <c r="F774">
        <v>13050501</v>
      </c>
      <c r="G774">
        <v>0</v>
      </c>
      <c r="H774" t="s">
        <v>1125</v>
      </c>
      <c r="I774" t="s">
        <v>1126</v>
      </c>
      <c r="J774">
        <v>1008</v>
      </c>
      <c r="K774">
        <v>1315</v>
      </c>
      <c r="L774" s="3">
        <v>122230984.6136</v>
      </c>
      <c r="M774" s="3">
        <v>0</v>
      </c>
      <c r="N774">
        <v>16109</v>
      </c>
      <c r="O774">
        <v>0</v>
      </c>
      <c r="P774">
        <v>122214875.6136</v>
      </c>
      <c r="Q774" t="s">
        <v>30</v>
      </c>
      <c r="R774" t="s">
        <v>404</v>
      </c>
      <c r="S774" t="str">
        <v>#N/A</v>
      </c>
      <c r="T774" t="str">
        <v>31</v>
      </c>
    </row>
    <row r="775" spans="1:20" ht="13.7" customHeight="1" x14ac:dyDescent="0.25">
      <c r="A775" t="s">
        <v>320</v>
      </c>
      <c r="B775" t="s">
        <v>321</v>
      </c>
      <c r="C775" t="s">
        <v>142</v>
      </c>
      <c r="D775">
        <v>383</v>
      </c>
      <c r="E775" s="5">
        <v>43542</v>
      </c>
      <c r="F775">
        <v>13050501</v>
      </c>
      <c r="G775">
        <v>0</v>
      </c>
      <c r="H775" t="s">
        <v>1125</v>
      </c>
      <c r="I775" t="s">
        <v>1126</v>
      </c>
      <c r="J775">
        <v>1008</v>
      </c>
      <c r="K775">
        <v>1315</v>
      </c>
      <c r="L775" s="3">
        <v>122214875.6136</v>
      </c>
      <c r="M775" s="3">
        <v>499800</v>
      </c>
      <c r="N775">
        <v>0</v>
      </c>
      <c r="O775">
        <v>0</v>
      </c>
      <c r="P775">
        <v>122714675.6136</v>
      </c>
      <c r="Q775" t="s">
        <v>30</v>
      </c>
      <c r="R775" t="s">
        <v>405</v>
      </c>
      <c r="S775" t="str">
        <v>#N/A</v>
      </c>
      <c r="T775" t="str">
        <v>31</v>
      </c>
    </row>
    <row r="776" spans="1:20" ht="13.7" customHeight="1" x14ac:dyDescent="0.25">
      <c r="A776" t="s">
        <v>320</v>
      </c>
      <c r="B776" t="s">
        <v>321</v>
      </c>
      <c r="C776" t="s">
        <v>142</v>
      </c>
      <c r="D776">
        <v>388</v>
      </c>
      <c r="E776" s="5">
        <v>43545</v>
      </c>
      <c r="F776">
        <v>13050501</v>
      </c>
      <c r="G776">
        <v>0</v>
      </c>
      <c r="H776" t="s">
        <v>1125</v>
      </c>
      <c r="I776" t="s">
        <v>1126</v>
      </c>
      <c r="J776">
        <v>1008</v>
      </c>
      <c r="K776">
        <v>1315</v>
      </c>
      <c r="L776" s="3">
        <v>122714675.6136</v>
      </c>
      <c r="M776" s="3">
        <v>514080</v>
      </c>
      <c r="N776">
        <v>0</v>
      </c>
      <c r="O776">
        <v>0</v>
      </c>
      <c r="P776">
        <v>123228755.6136</v>
      </c>
      <c r="Q776" t="s">
        <v>30</v>
      </c>
      <c r="R776" t="s">
        <v>408</v>
      </c>
      <c r="S776" t="str">
        <v>#N/A</v>
      </c>
      <c r="T776" t="str">
        <v>31</v>
      </c>
    </row>
    <row r="777" spans="1:20" ht="13.7" customHeight="1" x14ac:dyDescent="0.25">
      <c r="A777" t="s">
        <v>320</v>
      </c>
      <c r="B777" t="s">
        <v>321</v>
      </c>
      <c r="C777" t="s">
        <v>142</v>
      </c>
      <c r="D777">
        <v>389</v>
      </c>
      <c r="E777" s="5">
        <v>43546</v>
      </c>
      <c r="F777">
        <v>13050501</v>
      </c>
      <c r="G777">
        <v>0</v>
      </c>
      <c r="H777" t="s">
        <v>1125</v>
      </c>
      <c r="I777" t="s">
        <v>1126</v>
      </c>
      <c r="J777">
        <v>1008</v>
      </c>
      <c r="K777">
        <v>1315</v>
      </c>
      <c r="L777" s="3">
        <v>123228755.6136</v>
      </c>
      <c r="M777" s="3">
        <v>15646696</v>
      </c>
      <c r="N777">
        <v>0</v>
      </c>
      <c r="O777">
        <v>0</v>
      </c>
      <c r="P777">
        <v>138875451.61359999</v>
      </c>
      <c r="Q777" t="s">
        <v>30</v>
      </c>
      <c r="R777" t="s">
        <v>409</v>
      </c>
      <c r="S777" t="str">
        <v>#N/A</v>
      </c>
      <c r="T777" t="str">
        <v>31</v>
      </c>
    </row>
    <row r="778" spans="1:20" ht="13.7" customHeight="1" x14ac:dyDescent="0.25">
      <c r="A778" t="s">
        <v>320</v>
      </c>
      <c r="B778" t="s">
        <v>321</v>
      </c>
      <c r="C778" t="s">
        <v>142</v>
      </c>
      <c r="D778">
        <v>390</v>
      </c>
      <c r="E778" s="5">
        <v>43550</v>
      </c>
      <c r="F778">
        <v>13050501</v>
      </c>
      <c r="G778">
        <v>0</v>
      </c>
      <c r="H778" t="s">
        <v>1125</v>
      </c>
      <c r="I778" t="s">
        <v>1126</v>
      </c>
      <c r="J778">
        <v>1008</v>
      </c>
      <c r="K778">
        <v>1315</v>
      </c>
      <c r="L778" s="3">
        <v>138875451.61359999</v>
      </c>
      <c r="M778" s="3">
        <v>23800</v>
      </c>
      <c r="N778">
        <v>0</v>
      </c>
      <c r="O778">
        <v>0</v>
      </c>
      <c r="P778">
        <v>138899251.61359999</v>
      </c>
      <c r="Q778" t="s">
        <v>30</v>
      </c>
      <c r="R778" t="s">
        <v>410</v>
      </c>
      <c r="S778" t="str">
        <v>#N/A</v>
      </c>
      <c r="T778" t="str">
        <v>31</v>
      </c>
    </row>
    <row r="779" spans="1:20" ht="13.7" customHeight="1" x14ac:dyDescent="0.25">
      <c r="A779" t="s">
        <v>320</v>
      </c>
      <c r="B779" t="s">
        <v>321</v>
      </c>
      <c r="C779" t="s">
        <v>142</v>
      </c>
      <c r="D779">
        <v>393</v>
      </c>
      <c r="E779" s="5">
        <v>43553</v>
      </c>
      <c r="F779">
        <v>13050501</v>
      </c>
      <c r="G779">
        <v>0</v>
      </c>
      <c r="H779" t="s">
        <v>1125</v>
      </c>
      <c r="I779" t="s">
        <v>1126</v>
      </c>
      <c r="J779">
        <v>1008</v>
      </c>
      <c r="K779">
        <v>1315</v>
      </c>
      <c r="L779" s="3">
        <v>138899251.61359999</v>
      </c>
      <c r="M779" s="3">
        <v>1729006.2</v>
      </c>
      <c r="N779">
        <v>0</v>
      </c>
      <c r="O779">
        <v>0</v>
      </c>
      <c r="P779">
        <v>140628257.8136</v>
      </c>
      <c r="Q779" t="s">
        <v>30</v>
      </c>
      <c r="R779" t="s">
        <v>419</v>
      </c>
      <c r="S779" t="str">
        <v>#N/A</v>
      </c>
      <c r="T779" t="str">
        <v>31</v>
      </c>
    </row>
    <row r="780" spans="1:20" ht="13.7" customHeight="1" x14ac:dyDescent="0.25">
      <c r="A780" t="s">
        <v>320</v>
      </c>
      <c r="B780" t="s">
        <v>321</v>
      </c>
      <c r="C780" t="s">
        <v>142</v>
      </c>
      <c r="D780">
        <v>396</v>
      </c>
      <c r="E780" s="5">
        <v>43556</v>
      </c>
      <c r="F780">
        <v>13050501</v>
      </c>
      <c r="G780">
        <v>0</v>
      </c>
      <c r="H780" t="s">
        <v>1125</v>
      </c>
      <c r="I780" t="s">
        <v>1126</v>
      </c>
      <c r="J780">
        <v>1008</v>
      </c>
      <c r="K780">
        <v>1315</v>
      </c>
      <c r="L780" s="3">
        <v>140628257.8136</v>
      </c>
      <c r="M780" s="3">
        <v>53550</v>
      </c>
      <c r="N780">
        <v>0</v>
      </c>
      <c r="O780">
        <v>0</v>
      </c>
      <c r="P780">
        <v>140681807.8136</v>
      </c>
      <c r="Q780" t="s">
        <v>30</v>
      </c>
      <c r="R780" t="s">
        <v>421</v>
      </c>
      <c r="S780" t="str">
        <v>#N/A</v>
      </c>
      <c r="T780" t="str">
        <v>31</v>
      </c>
    </row>
    <row r="781" spans="1:20" ht="13.7" customHeight="1" x14ac:dyDescent="0.25">
      <c r="A781" t="s">
        <v>320</v>
      </c>
      <c r="B781" t="s">
        <v>321</v>
      </c>
      <c r="C781" t="s">
        <v>142</v>
      </c>
      <c r="D781">
        <v>399</v>
      </c>
      <c r="E781" s="5">
        <v>43559</v>
      </c>
      <c r="F781">
        <v>13050501</v>
      </c>
      <c r="G781">
        <v>0</v>
      </c>
      <c r="H781" t="s">
        <v>1125</v>
      </c>
      <c r="I781" t="s">
        <v>1126</v>
      </c>
      <c r="J781">
        <v>1008</v>
      </c>
      <c r="K781">
        <v>1315</v>
      </c>
      <c r="L781" s="3">
        <v>140681807.8136</v>
      </c>
      <c r="M781" s="3">
        <v>810466.65</v>
      </c>
      <c r="N781">
        <v>0</v>
      </c>
      <c r="O781">
        <v>0</v>
      </c>
      <c r="P781">
        <v>141492274.46360001</v>
      </c>
      <c r="Q781" t="s">
        <v>30</v>
      </c>
      <c r="R781" t="s">
        <v>423</v>
      </c>
      <c r="S781" t="str">
        <v>#N/A</v>
      </c>
      <c r="T781" t="str">
        <v>31</v>
      </c>
    </row>
    <row r="782" spans="1:20" ht="13.7" customHeight="1" x14ac:dyDescent="0.25">
      <c r="A782" t="s">
        <v>320</v>
      </c>
      <c r="B782" t="s">
        <v>321</v>
      </c>
      <c r="C782" t="s">
        <v>142</v>
      </c>
      <c r="D782">
        <v>402</v>
      </c>
      <c r="E782" s="5">
        <v>43560</v>
      </c>
      <c r="F782">
        <v>13050501</v>
      </c>
      <c r="G782">
        <v>0</v>
      </c>
      <c r="H782" t="s">
        <v>1125</v>
      </c>
      <c r="I782" t="s">
        <v>1126</v>
      </c>
      <c r="J782">
        <v>1008</v>
      </c>
      <c r="K782">
        <v>1315</v>
      </c>
      <c r="L782" s="3">
        <v>141492274.46360001</v>
      </c>
      <c r="M782" s="3">
        <v>4687065</v>
      </c>
      <c r="N782">
        <v>0</v>
      </c>
      <c r="O782">
        <v>0</v>
      </c>
      <c r="P782">
        <v>146179339.46360001</v>
      </c>
      <c r="Q782" t="s">
        <v>30</v>
      </c>
      <c r="R782" t="s">
        <v>425</v>
      </c>
      <c r="S782" t="str">
        <v>#N/A</v>
      </c>
      <c r="T782" t="str">
        <v>31</v>
      </c>
    </row>
    <row r="783" spans="1:20" ht="13.7" customHeight="1" x14ac:dyDescent="0.25">
      <c r="A783" t="s">
        <v>320</v>
      </c>
      <c r="B783" t="s">
        <v>321</v>
      </c>
      <c r="C783" t="s">
        <v>142</v>
      </c>
      <c r="D783">
        <v>404</v>
      </c>
      <c r="E783" s="5">
        <v>43560</v>
      </c>
      <c r="F783">
        <v>13050501</v>
      </c>
      <c r="G783">
        <v>0</v>
      </c>
      <c r="H783" t="s">
        <v>1125</v>
      </c>
      <c r="I783" t="s">
        <v>1126</v>
      </c>
      <c r="J783">
        <v>1008</v>
      </c>
      <c r="K783">
        <v>1315</v>
      </c>
      <c r="L783" s="3">
        <v>146179339.46360001</v>
      </c>
      <c r="M783" s="3">
        <v>1060549.72</v>
      </c>
      <c r="N783">
        <v>0</v>
      </c>
      <c r="O783">
        <v>0</v>
      </c>
      <c r="P783">
        <v>147239889.18360001</v>
      </c>
      <c r="Q783" t="s">
        <v>30</v>
      </c>
      <c r="R783" t="s">
        <v>426</v>
      </c>
      <c r="S783" t="str">
        <v>#N/A</v>
      </c>
      <c r="T783" t="str">
        <v>31</v>
      </c>
    </row>
    <row r="784" spans="1:20" ht="13.7" customHeight="1" x14ac:dyDescent="0.25">
      <c r="A784" t="s">
        <v>320</v>
      </c>
      <c r="B784" t="s">
        <v>321</v>
      </c>
      <c r="C784" t="s">
        <v>142</v>
      </c>
      <c r="D784">
        <v>409</v>
      </c>
      <c r="E784" s="5">
        <v>43567</v>
      </c>
      <c r="F784">
        <v>13050501</v>
      </c>
      <c r="G784">
        <v>0</v>
      </c>
      <c r="H784" t="s">
        <v>1125</v>
      </c>
      <c r="I784" t="s">
        <v>1126</v>
      </c>
      <c r="J784">
        <v>1008</v>
      </c>
      <c r="K784">
        <v>1315</v>
      </c>
      <c r="L784" s="3">
        <v>147239889.18360001</v>
      </c>
      <c r="M784" s="3">
        <v>2370266.13</v>
      </c>
      <c r="N784">
        <v>0</v>
      </c>
      <c r="O784">
        <v>0</v>
      </c>
      <c r="P784">
        <v>149610155.3136</v>
      </c>
      <c r="Q784" t="s">
        <v>30</v>
      </c>
      <c r="R784" t="s">
        <v>429</v>
      </c>
      <c r="S784" t="str">
        <v>#N/A</v>
      </c>
      <c r="T784" t="str">
        <v>31</v>
      </c>
    </row>
    <row r="785" spans="1:20" ht="13.7" customHeight="1" x14ac:dyDescent="0.25">
      <c r="A785" t="s">
        <v>320</v>
      </c>
      <c r="B785" t="s">
        <v>321</v>
      </c>
      <c r="C785" t="s">
        <v>142</v>
      </c>
      <c r="D785">
        <v>410</v>
      </c>
      <c r="E785" s="5">
        <v>43570</v>
      </c>
      <c r="F785">
        <v>13050501</v>
      </c>
      <c r="G785">
        <v>0</v>
      </c>
      <c r="H785" t="s">
        <v>1125</v>
      </c>
      <c r="I785" t="s">
        <v>1126</v>
      </c>
      <c r="J785">
        <v>1008</v>
      </c>
      <c r="K785">
        <v>1315</v>
      </c>
      <c r="L785" s="3">
        <v>149610155.3136</v>
      </c>
      <c r="M785" s="3">
        <v>484437.1</v>
      </c>
      <c r="N785">
        <v>0</v>
      </c>
      <c r="O785">
        <v>0</v>
      </c>
      <c r="P785">
        <v>150094592.4136</v>
      </c>
      <c r="Q785" t="s">
        <v>30</v>
      </c>
      <c r="R785" t="s">
        <v>430</v>
      </c>
      <c r="S785" t="str">
        <v>#N/A</v>
      </c>
      <c r="T785" t="str">
        <v>31</v>
      </c>
    </row>
    <row r="786" spans="1:20" ht="13.7" customHeight="1" x14ac:dyDescent="0.25">
      <c r="A786" t="s">
        <v>320</v>
      </c>
      <c r="B786" t="s">
        <v>321</v>
      </c>
      <c r="C786" t="s">
        <v>142</v>
      </c>
      <c r="D786">
        <v>411</v>
      </c>
      <c r="E786" s="5">
        <v>43570</v>
      </c>
      <c r="F786">
        <v>13050501</v>
      </c>
      <c r="G786">
        <v>0</v>
      </c>
      <c r="H786" t="s">
        <v>1125</v>
      </c>
      <c r="I786" t="s">
        <v>1126</v>
      </c>
      <c r="J786">
        <v>1008</v>
      </c>
      <c r="K786">
        <v>1315</v>
      </c>
      <c r="L786" s="3">
        <v>150094592.4136</v>
      </c>
      <c r="M786" s="3">
        <v>353430</v>
      </c>
      <c r="N786">
        <v>0</v>
      </c>
      <c r="O786">
        <v>0</v>
      </c>
      <c r="P786">
        <v>150448022.4136</v>
      </c>
      <c r="Q786" t="s">
        <v>30</v>
      </c>
      <c r="R786" t="s">
        <v>431</v>
      </c>
      <c r="S786" t="str">
        <v>#N/A</v>
      </c>
      <c r="T786" t="str">
        <v>31</v>
      </c>
    </row>
    <row r="787" spans="1:20" ht="13.7" customHeight="1" x14ac:dyDescent="0.25">
      <c r="A787" t="s">
        <v>320</v>
      </c>
      <c r="B787" t="s">
        <v>321</v>
      </c>
      <c r="C787" t="s">
        <v>142</v>
      </c>
      <c r="D787">
        <v>419</v>
      </c>
      <c r="E787" s="5">
        <v>43584</v>
      </c>
      <c r="F787">
        <v>13050501</v>
      </c>
      <c r="G787">
        <v>0</v>
      </c>
      <c r="H787" t="s">
        <v>1125</v>
      </c>
      <c r="I787" t="s">
        <v>1126</v>
      </c>
      <c r="J787">
        <v>1008</v>
      </c>
      <c r="K787">
        <v>1315</v>
      </c>
      <c r="L787" s="3">
        <v>150448022.4136</v>
      </c>
      <c r="M787" s="3">
        <v>1251504.22</v>
      </c>
      <c r="N787">
        <v>0</v>
      </c>
      <c r="O787">
        <v>0</v>
      </c>
      <c r="P787">
        <v>151699526.6336</v>
      </c>
      <c r="Q787" t="s">
        <v>30</v>
      </c>
      <c r="R787" t="s">
        <v>438</v>
      </c>
      <c r="S787" t="str">
        <v>#N/A</v>
      </c>
      <c r="T787" t="str">
        <v>31</v>
      </c>
    </row>
    <row r="788" spans="1:20" ht="13.7" customHeight="1" x14ac:dyDescent="0.25">
      <c r="A788" t="s">
        <v>320</v>
      </c>
      <c r="B788" t="s">
        <v>321</v>
      </c>
      <c r="C788" t="s">
        <v>142</v>
      </c>
      <c r="D788">
        <v>420</v>
      </c>
      <c r="E788" s="5">
        <v>43587</v>
      </c>
      <c r="F788">
        <v>13050501</v>
      </c>
      <c r="G788">
        <v>0</v>
      </c>
      <c r="H788" t="s">
        <v>1125</v>
      </c>
      <c r="I788" t="s">
        <v>1126</v>
      </c>
      <c r="J788">
        <v>1008</v>
      </c>
      <c r="K788">
        <v>1315</v>
      </c>
      <c r="L788" s="3">
        <v>151699526.6336</v>
      </c>
      <c r="M788" s="3">
        <v>71400</v>
      </c>
      <c r="N788">
        <v>0</v>
      </c>
      <c r="O788">
        <v>0</v>
      </c>
      <c r="P788">
        <v>151770926.6336</v>
      </c>
      <c r="Q788" t="s">
        <v>30</v>
      </c>
      <c r="R788" t="s">
        <v>439</v>
      </c>
      <c r="S788" t="str">
        <v>#N/A</v>
      </c>
      <c r="T788" t="str">
        <v>31</v>
      </c>
    </row>
    <row r="789" spans="1:20" ht="13.7" customHeight="1" x14ac:dyDescent="0.25">
      <c r="A789" t="s">
        <v>320</v>
      </c>
      <c r="B789" t="s">
        <v>321</v>
      </c>
      <c r="C789" t="s">
        <v>142</v>
      </c>
      <c r="D789">
        <v>425</v>
      </c>
      <c r="E789" s="5">
        <v>43592</v>
      </c>
      <c r="F789">
        <v>13050501</v>
      </c>
      <c r="G789">
        <v>0</v>
      </c>
      <c r="H789" t="s">
        <v>1125</v>
      </c>
      <c r="I789" t="s">
        <v>1126</v>
      </c>
      <c r="J789">
        <v>1008</v>
      </c>
      <c r="K789">
        <v>1315</v>
      </c>
      <c r="L789" s="3">
        <v>151770926.6336</v>
      </c>
      <c r="M789" s="3">
        <v>1030772.3909999999</v>
      </c>
      <c r="N789">
        <v>0</v>
      </c>
      <c r="O789">
        <v>0</v>
      </c>
      <c r="P789">
        <v>152801699.0246</v>
      </c>
      <c r="Q789" t="s">
        <v>30</v>
      </c>
      <c r="R789" t="s">
        <v>442</v>
      </c>
      <c r="S789" t="str">
        <v>#N/A</v>
      </c>
      <c r="T789" t="str">
        <v>31</v>
      </c>
    </row>
    <row r="790" spans="1:20" ht="13.7" customHeight="1" x14ac:dyDescent="0.25">
      <c r="A790" t="s">
        <v>320</v>
      </c>
      <c r="B790" t="s">
        <v>321</v>
      </c>
      <c r="C790" t="s">
        <v>142</v>
      </c>
      <c r="D790">
        <v>428</v>
      </c>
      <c r="E790" s="5">
        <v>43593</v>
      </c>
      <c r="F790">
        <v>13050501</v>
      </c>
      <c r="G790">
        <v>0</v>
      </c>
      <c r="H790" t="s">
        <v>1125</v>
      </c>
      <c r="I790" t="s">
        <v>1126</v>
      </c>
      <c r="J790">
        <v>1008</v>
      </c>
      <c r="K790">
        <v>1315</v>
      </c>
      <c r="L790" s="3">
        <v>152801699.0246</v>
      </c>
      <c r="M790" s="3">
        <v>59500</v>
      </c>
      <c r="N790">
        <v>0</v>
      </c>
      <c r="O790">
        <v>0</v>
      </c>
      <c r="P790">
        <v>152861199.0246</v>
      </c>
      <c r="Q790" t="s">
        <v>30</v>
      </c>
      <c r="R790" t="s">
        <v>444</v>
      </c>
      <c r="S790" t="str">
        <v>#N/A</v>
      </c>
      <c r="T790" t="str">
        <v>31</v>
      </c>
    </row>
    <row r="791" spans="1:20" ht="13.7" customHeight="1" x14ac:dyDescent="0.25">
      <c r="A791" t="s">
        <v>320</v>
      </c>
      <c r="B791" t="s">
        <v>321</v>
      </c>
      <c r="C791" t="s">
        <v>142</v>
      </c>
      <c r="D791">
        <v>429</v>
      </c>
      <c r="E791" s="5">
        <v>43594</v>
      </c>
      <c r="F791">
        <v>13050501</v>
      </c>
      <c r="G791">
        <v>0</v>
      </c>
      <c r="H791" t="s">
        <v>1125</v>
      </c>
      <c r="I791" t="s">
        <v>1126</v>
      </c>
      <c r="J791">
        <v>1008</v>
      </c>
      <c r="K791">
        <v>1315</v>
      </c>
      <c r="L791" s="3">
        <v>152861199.0246</v>
      </c>
      <c r="M791" s="3">
        <v>1524360.841</v>
      </c>
      <c r="N791">
        <v>0</v>
      </c>
      <c r="O791">
        <v>0</v>
      </c>
      <c r="P791">
        <v>154385559.86559999</v>
      </c>
      <c r="Q791" t="s">
        <v>30</v>
      </c>
      <c r="R791" t="s">
        <v>446</v>
      </c>
      <c r="S791" t="str">
        <v>#N/A</v>
      </c>
      <c r="T791" t="str">
        <v>31</v>
      </c>
    </row>
    <row r="792" spans="1:20" ht="13.7" customHeight="1" x14ac:dyDescent="0.25">
      <c r="A792" t="s">
        <v>320</v>
      </c>
      <c r="B792" t="s">
        <v>321</v>
      </c>
      <c r="C792" t="s">
        <v>142</v>
      </c>
      <c r="D792">
        <v>430</v>
      </c>
      <c r="E792" s="5">
        <v>43595</v>
      </c>
      <c r="F792">
        <v>13050501</v>
      </c>
      <c r="G792">
        <v>0</v>
      </c>
      <c r="H792" t="s">
        <v>1125</v>
      </c>
      <c r="I792" t="s">
        <v>1126</v>
      </c>
      <c r="J792">
        <v>1008</v>
      </c>
      <c r="K792">
        <v>1315</v>
      </c>
      <c r="L792" s="3">
        <v>154385559.86559999</v>
      </c>
      <c r="M792" s="3">
        <v>308448</v>
      </c>
      <c r="N792">
        <v>0</v>
      </c>
      <c r="O792">
        <v>0</v>
      </c>
      <c r="P792">
        <v>154694007.86559999</v>
      </c>
      <c r="Q792" t="s">
        <v>30</v>
      </c>
      <c r="R792" t="s">
        <v>447</v>
      </c>
      <c r="S792" t="str">
        <v>#N/A</v>
      </c>
      <c r="T792" t="str">
        <v>31</v>
      </c>
    </row>
    <row r="793" spans="1:20" ht="13.7" customHeight="1" x14ac:dyDescent="0.25">
      <c r="A793" t="s">
        <v>320</v>
      </c>
      <c r="B793" t="s">
        <v>321</v>
      </c>
      <c r="C793" t="s">
        <v>142</v>
      </c>
      <c r="D793">
        <v>437</v>
      </c>
      <c r="E793" s="5">
        <v>43606</v>
      </c>
      <c r="F793">
        <v>13050501</v>
      </c>
      <c r="G793">
        <v>0</v>
      </c>
      <c r="H793" t="s">
        <v>1125</v>
      </c>
      <c r="I793" t="s">
        <v>1126</v>
      </c>
      <c r="J793">
        <v>1008</v>
      </c>
      <c r="K793">
        <v>1315</v>
      </c>
      <c r="L793" s="3">
        <v>154694007.86559999</v>
      </c>
      <c r="M793" s="3">
        <v>1545574.15</v>
      </c>
      <c r="N793">
        <v>0</v>
      </c>
      <c r="O793">
        <v>0</v>
      </c>
      <c r="P793">
        <v>156239582.0156</v>
      </c>
      <c r="Q793" t="s">
        <v>30</v>
      </c>
      <c r="R793" t="s">
        <v>451</v>
      </c>
      <c r="S793" t="str">
        <v>#N/A</v>
      </c>
      <c r="T793" t="str">
        <v>31</v>
      </c>
    </row>
    <row r="794" spans="1:20" ht="13.7" customHeight="1" x14ac:dyDescent="0.25">
      <c r="A794" t="s">
        <v>320</v>
      </c>
      <c r="B794" t="s">
        <v>321</v>
      </c>
      <c r="C794" t="s">
        <v>142</v>
      </c>
      <c r="D794">
        <v>442</v>
      </c>
      <c r="E794" s="5">
        <v>43613</v>
      </c>
      <c r="F794">
        <v>13050501</v>
      </c>
      <c r="G794">
        <v>0</v>
      </c>
      <c r="H794" t="s">
        <v>1125</v>
      </c>
      <c r="I794" t="s">
        <v>1126</v>
      </c>
      <c r="J794">
        <v>1008</v>
      </c>
      <c r="K794">
        <v>1315</v>
      </c>
      <c r="L794" s="3">
        <v>156239582.0156</v>
      </c>
      <c r="M794" s="3">
        <v>154700</v>
      </c>
      <c r="N794">
        <v>0</v>
      </c>
      <c r="O794">
        <v>0</v>
      </c>
      <c r="P794">
        <v>156394282.0156</v>
      </c>
      <c r="Q794" t="s">
        <v>30</v>
      </c>
      <c r="R794" t="s">
        <v>455</v>
      </c>
      <c r="S794" t="str">
        <v>#N/A</v>
      </c>
      <c r="T794" t="str">
        <v>31</v>
      </c>
    </row>
    <row r="795" spans="1:20" ht="13.7" customHeight="1" x14ac:dyDescent="0.25">
      <c r="A795" t="s">
        <v>320</v>
      </c>
      <c r="B795" t="s">
        <v>321</v>
      </c>
      <c r="C795" t="s">
        <v>142</v>
      </c>
      <c r="D795">
        <v>447</v>
      </c>
      <c r="E795" s="5">
        <v>43620</v>
      </c>
      <c r="F795">
        <v>13050501</v>
      </c>
      <c r="G795">
        <v>0</v>
      </c>
      <c r="H795" t="s">
        <v>1125</v>
      </c>
      <c r="I795" t="s">
        <v>1126</v>
      </c>
      <c r="J795">
        <v>1008</v>
      </c>
      <c r="K795">
        <v>1315</v>
      </c>
      <c r="L795" s="3">
        <v>156394282.0156</v>
      </c>
      <c r="M795" s="3">
        <v>59500</v>
      </c>
      <c r="N795">
        <v>0</v>
      </c>
      <c r="O795">
        <v>0</v>
      </c>
      <c r="P795">
        <v>156453782.0156</v>
      </c>
      <c r="Q795" t="s">
        <v>30</v>
      </c>
      <c r="R795" t="s">
        <v>458</v>
      </c>
      <c r="S795" t="str">
        <v>#N/A</v>
      </c>
      <c r="T795" t="str">
        <v>31</v>
      </c>
    </row>
    <row r="796" spans="1:20" ht="13.7" customHeight="1" x14ac:dyDescent="0.25">
      <c r="A796" t="s">
        <v>320</v>
      </c>
      <c r="B796" t="s">
        <v>321</v>
      </c>
      <c r="C796" t="s">
        <v>142</v>
      </c>
      <c r="D796">
        <v>455</v>
      </c>
      <c r="E796" s="5">
        <v>43629</v>
      </c>
      <c r="F796">
        <v>13050501</v>
      </c>
      <c r="G796">
        <v>0</v>
      </c>
      <c r="H796" t="s">
        <v>1125</v>
      </c>
      <c r="I796" t="s">
        <v>1126</v>
      </c>
      <c r="J796">
        <v>1008</v>
      </c>
      <c r="K796">
        <v>1315</v>
      </c>
      <c r="L796" s="3">
        <v>156453782.0156</v>
      </c>
      <c r="M796" s="3">
        <v>3673270.2</v>
      </c>
      <c r="N796">
        <v>0</v>
      </c>
      <c r="O796">
        <v>0</v>
      </c>
      <c r="P796">
        <v>160127052.21560001</v>
      </c>
      <c r="Q796" t="s">
        <v>30</v>
      </c>
      <c r="R796" t="s">
        <v>460</v>
      </c>
      <c r="S796" t="str">
        <v>#N/A</v>
      </c>
      <c r="T796" t="str">
        <v>31</v>
      </c>
    </row>
    <row r="797" spans="1:20" ht="13.7" customHeight="1" x14ac:dyDescent="0.25">
      <c r="A797" t="s">
        <v>320</v>
      </c>
      <c r="B797" t="s">
        <v>321</v>
      </c>
      <c r="C797" t="s">
        <v>142</v>
      </c>
      <c r="D797">
        <v>458</v>
      </c>
      <c r="E797" s="5">
        <v>43633</v>
      </c>
      <c r="F797">
        <v>13050501</v>
      </c>
      <c r="G797">
        <v>0</v>
      </c>
      <c r="H797" t="s">
        <v>1125</v>
      </c>
      <c r="I797" t="s">
        <v>1126</v>
      </c>
      <c r="J797">
        <v>1008</v>
      </c>
      <c r="K797">
        <v>1315</v>
      </c>
      <c r="L797" s="3">
        <v>160127052.21560001</v>
      </c>
      <c r="M797" s="3">
        <v>645535.80000000005</v>
      </c>
      <c r="N797">
        <v>0</v>
      </c>
      <c r="O797">
        <v>0</v>
      </c>
      <c r="P797">
        <v>160772588.0156</v>
      </c>
      <c r="Q797" t="s">
        <v>30</v>
      </c>
      <c r="R797" t="s">
        <v>463</v>
      </c>
      <c r="S797" t="str">
        <v>#N/A</v>
      </c>
      <c r="T797" t="str">
        <v>31</v>
      </c>
    </row>
    <row r="798" spans="1:20" ht="13.7" customHeight="1" x14ac:dyDescent="0.25">
      <c r="A798" t="s">
        <v>320</v>
      </c>
      <c r="B798" t="s">
        <v>321</v>
      </c>
      <c r="C798" t="s">
        <v>142</v>
      </c>
      <c r="D798">
        <v>459</v>
      </c>
      <c r="E798" s="5">
        <v>43635</v>
      </c>
      <c r="F798">
        <v>13050501</v>
      </c>
      <c r="G798">
        <v>0</v>
      </c>
      <c r="H798" t="s">
        <v>1125</v>
      </c>
      <c r="I798" t="s">
        <v>1126</v>
      </c>
      <c r="J798">
        <v>1008</v>
      </c>
      <c r="K798">
        <v>1315</v>
      </c>
      <c r="L798" s="3">
        <v>160772588.0156</v>
      </c>
      <c r="M798" s="3">
        <v>166600</v>
      </c>
      <c r="N798">
        <v>0</v>
      </c>
      <c r="O798">
        <v>0</v>
      </c>
      <c r="P798">
        <v>160939188.0156</v>
      </c>
      <c r="Q798" t="s">
        <v>30</v>
      </c>
      <c r="R798" t="s">
        <v>464</v>
      </c>
      <c r="S798" t="str">
        <v>#N/A</v>
      </c>
      <c r="T798" t="str">
        <v>31</v>
      </c>
    </row>
    <row r="799" spans="1:20" ht="13.7" customHeight="1" x14ac:dyDescent="0.25">
      <c r="A799" t="s">
        <v>320</v>
      </c>
      <c r="B799" t="s">
        <v>321</v>
      </c>
      <c r="C799" t="s">
        <v>142</v>
      </c>
      <c r="D799">
        <v>461</v>
      </c>
      <c r="E799" s="5">
        <v>43642</v>
      </c>
      <c r="F799">
        <v>13050501</v>
      </c>
      <c r="G799">
        <v>0</v>
      </c>
      <c r="H799" t="s">
        <v>1125</v>
      </c>
      <c r="I799" t="s">
        <v>1126</v>
      </c>
      <c r="J799">
        <v>1008</v>
      </c>
      <c r="K799">
        <v>1315</v>
      </c>
      <c r="L799" s="3">
        <v>160939188.0156</v>
      </c>
      <c r="M799" s="3">
        <v>138992</v>
      </c>
      <c r="N799">
        <v>0</v>
      </c>
      <c r="O799">
        <v>0</v>
      </c>
      <c r="P799">
        <v>161078180.0156</v>
      </c>
      <c r="Q799" t="s">
        <v>30</v>
      </c>
      <c r="R799" t="s">
        <v>465</v>
      </c>
      <c r="S799" t="str">
        <v>#N/A</v>
      </c>
      <c r="T799" t="str">
        <v>31</v>
      </c>
    </row>
    <row r="800" spans="1:20" ht="13.7" customHeight="1" x14ac:dyDescent="0.25">
      <c r="A800" t="s">
        <v>320</v>
      </c>
      <c r="B800" t="s">
        <v>321</v>
      </c>
      <c r="C800" t="s">
        <v>142</v>
      </c>
      <c r="D800">
        <v>464</v>
      </c>
      <c r="E800" s="5">
        <v>43653</v>
      </c>
      <c r="F800">
        <v>13050501</v>
      </c>
      <c r="G800">
        <v>0</v>
      </c>
      <c r="H800" t="s">
        <v>1125</v>
      </c>
      <c r="I800" t="s">
        <v>1126</v>
      </c>
      <c r="J800">
        <v>1008</v>
      </c>
      <c r="K800">
        <v>1315</v>
      </c>
      <c r="L800" s="3">
        <v>161078180.0156</v>
      </c>
      <c r="M800" s="3">
        <v>5013238.432</v>
      </c>
      <c r="N800">
        <v>0</v>
      </c>
      <c r="O800">
        <v>0</v>
      </c>
      <c r="P800">
        <v>166091418.44760001</v>
      </c>
      <c r="Q800" t="s">
        <v>30</v>
      </c>
      <c r="R800" t="s">
        <v>467</v>
      </c>
      <c r="S800" t="str">
        <v>#N/A</v>
      </c>
      <c r="T800" t="str">
        <v>31</v>
      </c>
    </row>
    <row r="801" spans="1:20" ht="13.7" customHeight="1" x14ac:dyDescent="0.25">
      <c r="A801" t="s">
        <v>320</v>
      </c>
      <c r="B801" t="s">
        <v>321</v>
      </c>
      <c r="C801" t="s">
        <v>142</v>
      </c>
      <c r="D801">
        <v>467</v>
      </c>
      <c r="E801" s="5">
        <v>43656</v>
      </c>
      <c r="F801">
        <v>13050501</v>
      </c>
      <c r="G801">
        <v>0</v>
      </c>
      <c r="H801" t="s">
        <v>1125</v>
      </c>
      <c r="I801" t="s">
        <v>1126</v>
      </c>
      <c r="J801">
        <v>1008</v>
      </c>
      <c r="K801">
        <v>1315</v>
      </c>
      <c r="L801" s="3">
        <v>166091418.44760001</v>
      </c>
      <c r="M801" s="3">
        <v>430185</v>
      </c>
      <c r="N801">
        <v>0</v>
      </c>
      <c r="O801">
        <v>0</v>
      </c>
      <c r="P801">
        <v>166521603.44760001</v>
      </c>
      <c r="Q801" t="s">
        <v>30</v>
      </c>
      <c r="R801" t="s">
        <v>469</v>
      </c>
      <c r="S801" t="str">
        <v>#N/A</v>
      </c>
      <c r="T801" t="str">
        <v>31</v>
      </c>
    </row>
    <row r="802" spans="1:20" ht="13.7" customHeight="1" x14ac:dyDescent="0.25">
      <c r="A802" t="s">
        <v>320</v>
      </c>
      <c r="B802" t="s">
        <v>321</v>
      </c>
      <c r="C802" t="s">
        <v>142</v>
      </c>
      <c r="D802">
        <v>468</v>
      </c>
      <c r="E802" s="5">
        <v>43665</v>
      </c>
      <c r="F802">
        <v>13050501</v>
      </c>
      <c r="G802">
        <v>0</v>
      </c>
      <c r="H802" t="s">
        <v>1125</v>
      </c>
      <c r="I802" t="s">
        <v>1126</v>
      </c>
      <c r="J802">
        <v>1008</v>
      </c>
      <c r="K802">
        <v>1315</v>
      </c>
      <c r="L802" s="3">
        <v>166521603.44760001</v>
      </c>
      <c r="M802" s="3">
        <v>182070</v>
      </c>
      <c r="N802">
        <v>0</v>
      </c>
      <c r="O802">
        <v>0</v>
      </c>
      <c r="P802">
        <v>166703673.44760001</v>
      </c>
      <c r="Q802" t="s">
        <v>30</v>
      </c>
      <c r="R802" t="s">
        <v>470</v>
      </c>
      <c r="S802" t="str">
        <v>#N/A</v>
      </c>
      <c r="T802" t="str">
        <v>31</v>
      </c>
    </row>
    <row r="803" spans="1:20" ht="13.7" customHeight="1" x14ac:dyDescent="0.25">
      <c r="A803" t="s">
        <v>320</v>
      </c>
      <c r="B803" t="s">
        <v>321</v>
      </c>
      <c r="C803" t="s">
        <v>142</v>
      </c>
      <c r="D803">
        <v>469</v>
      </c>
      <c r="E803" s="5">
        <v>43670</v>
      </c>
      <c r="F803">
        <v>13050501</v>
      </c>
      <c r="G803">
        <v>0</v>
      </c>
      <c r="H803" t="s">
        <v>1125</v>
      </c>
      <c r="I803" t="s">
        <v>1126</v>
      </c>
      <c r="J803">
        <v>1008</v>
      </c>
      <c r="K803">
        <v>1315</v>
      </c>
      <c r="L803" s="3">
        <v>166703673.44760001</v>
      </c>
      <c r="M803" s="3">
        <v>10173859.018999999</v>
      </c>
      <c r="N803">
        <v>0</v>
      </c>
      <c r="O803">
        <v>0</v>
      </c>
      <c r="P803">
        <v>176877532.4666</v>
      </c>
      <c r="Q803" t="s">
        <v>30</v>
      </c>
      <c r="R803" t="s">
        <v>471</v>
      </c>
      <c r="S803" t="str">
        <v>#N/A</v>
      </c>
      <c r="T803" t="str">
        <v>31</v>
      </c>
    </row>
    <row r="804" spans="1:20" ht="13.7" customHeight="1" x14ac:dyDescent="0.25">
      <c r="A804" t="s">
        <v>320</v>
      </c>
      <c r="B804" t="s">
        <v>321</v>
      </c>
      <c r="C804" t="s">
        <v>142</v>
      </c>
      <c r="D804">
        <v>473</v>
      </c>
      <c r="E804" s="5">
        <v>43676</v>
      </c>
      <c r="F804">
        <v>13050501</v>
      </c>
      <c r="G804">
        <v>0</v>
      </c>
      <c r="H804" t="s">
        <v>1125</v>
      </c>
      <c r="I804" t="s">
        <v>1126</v>
      </c>
      <c r="J804">
        <v>1008</v>
      </c>
      <c r="K804">
        <v>1315</v>
      </c>
      <c r="L804" s="3">
        <v>176877532.4666</v>
      </c>
      <c r="M804" s="3">
        <v>65450</v>
      </c>
      <c r="N804">
        <v>0</v>
      </c>
      <c r="O804">
        <v>0</v>
      </c>
      <c r="P804">
        <v>176942982.4666</v>
      </c>
      <c r="Q804" t="s">
        <v>30</v>
      </c>
      <c r="R804" t="s">
        <v>473</v>
      </c>
      <c r="S804" t="str">
        <v>#N/A</v>
      </c>
      <c r="T804" t="str">
        <v>31</v>
      </c>
    </row>
    <row r="805" spans="1:20" ht="13.7" customHeight="1" x14ac:dyDescent="0.25">
      <c r="A805" t="s">
        <v>320</v>
      </c>
      <c r="B805" t="s">
        <v>321</v>
      </c>
      <c r="C805" t="s">
        <v>142</v>
      </c>
      <c r="D805">
        <v>490</v>
      </c>
      <c r="E805" s="5">
        <v>43710</v>
      </c>
      <c r="F805">
        <v>13050501</v>
      </c>
      <c r="G805">
        <v>0</v>
      </c>
      <c r="H805" t="s">
        <v>1125</v>
      </c>
      <c r="I805" t="s">
        <v>1126</v>
      </c>
      <c r="J805">
        <v>1008</v>
      </c>
      <c r="K805">
        <v>1315</v>
      </c>
      <c r="L805" s="3">
        <v>176942982.4666</v>
      </c>
      <c r="M805" s="3">
        <v>1245335.811</v>
      </c>
      <c r="N805">
        <v>0</v>
      </c>
      <c r="O805">
        <v>0</v>
      </c>
      <c r="P805">
        <v>178188318.27759999</v>
      </c>
      <c r="Q805" t="s">
        <v>30</v>
      </c>
      <c r="R805" t="s">
        <v>476</v>
      </c>
      <c r="S805" t="str">
        <v>#N/A</v>
      </c>
      <c r="T805" t="str">
        <v>31</v>
      </c>
    </row>
    <row r="806" spans="1:20" ht="13.7" customHeight="1" x14ac:dyDescent="0.25">
      <c r="A806" t="s">
        <v>320</v>
      </c>
      <c r="B806" t="s">
        <v>321</v>
      </c>
      <c r="C806" t="s">
        <v>142</v>
      </c>
      <c r="D806">
        <v>492</v>
      </c>
      <c r="E806" s="5">
        <v>43721</v>
      </c>
      <c r="F806">
        <v>13050501</v>
      </c>
      <c r="G806">
        <v>0</v>
      </c>
      <c r="H806" t="s">
        <v>1125</v>
      </c>
      <c r="I806" t="s">
        <v>1126</v>
      </c>
      <c r="J806">
        <v>1008</v>
      </c>
      <c r="K806">
        <v>1315</v>
      </c>
      <c r="L806" s="3">
        <v>178188318.27759999</v>
      </c>
      <c r="M806" s="3">
        <v>3740370.4539999999</v>
      </c>
      <c r="N806">
        <v>0</v>
      </c>
      <c r="O806">
        <v>0</v>
      </c>
      <c r="P806">
        <v>181928688.73159999</v>
      </c>
      <c r="Q806" t="s">
        <v>30</v>
      </c>
      <c r="R806" t="s">
        <v>478</v>
      </c>
      <c r="S806" t="str">
        <v>#N/A</v>
      </c>
      <c r="T806" t="str">
        <v>31</v>
      </c>
    </row>
    <row r="807" spans="1:20" ht="13.7" customHeight="1" x14ac:dyDescent="0.25">
      <c r="A807" t="s">
        <v>320</v>
      </c>
      <c r="B807" t="s">
        <v>321</v>
      </c>
      <c r="C807" t="s">
        <v>142</v>
      </c>
      <c r="D807">
        <v>495</v>
      </c>
      <c r="E807" s="5">
        <v>43727</v>
      </c>
      <c r="F807">
        <v>13050501</v>
      </c>
      <c r="G807">
        <v>0</v>
      </c>
      <c r="H807" t="s">
        <v>1125</v>
      </c>
      <c r="I807" t="s">
        <v>1126</v>
      </c>
      <c r="J807">
        <v>1008</v>
      </c>
      <c r="K807">
        <v>1315</v>
      </c>
      <c r="L807" s="3">
        <v>181928688.73159999</v>
      </c>
      <c r="M807" s="3">
        <v>768495</v>
      </c>
      <c r="N807">
        <v>0</v>
      </c>
      <c r="O807">
        <v>0</v>
      </c>
      <c r="P807">
        <v>182697183.73159999</v>
      </c>
      <c r="Q807" t="s">
        <v>30</v>
      </c>
      <c r="R807" t="s">
        <v>480</v>
      </c>
      <c r="S807" t="str">
        <v>#N/A</v>
      </c>
      <c r="T807" t="str">
        <v>31</v>
      </c>
    </row>
    <row r="808" spans="1:20" ht="13.7" customHeight="1" x14ac:dyDescent="0.25">
      <c r="A808" t="s">
        <v>320</v>
      </c>
      <c r="B808" t="s">
        <v>321</v>
      </c>
      <c r="C808" t="s">
        <v>142</v>
      </c>
      <c r="D808">
        <v>497</v>
      </c>
      <c r="E808" s="5">
        <v>43728</v>
      </c>
      <c r="F808">
        <v>13050501</v>
      </c>
      <c r="G808">
        <v>0</v>
      </c>
      <c r="H808" t="s">
        <v>1125</v>
      </c>
      <c r="I808" t="s">
        <v>1126</v>
      </c>
      <c r="J808">
        <v>1008</v>
      </c>
      <c r="K808">
        <v>1315</v>
      </c>
      <c r="L808" s="3">
        <v>182697183.73159999</v>
      </c>
      <c r="M808" s="3">
        <v>6943800</v>
      </c>
      <c r="N808">
        <v>0</v>
      </c>
      <c r="O808">
        <v>0</v>
      </c>
      <c r="P808">
        <v>189640983.73159999</v>
      </c>
      <c r="Q808" t="s">
        <v>30</v>
      </c>
      <c r="R808" t="s">
        <v>482</v>
      </c>
      <c r="S808" t="str">
        <v>#N/A</v>
      </c>
      <c r="T808" t="str">
        <v>31</v>
      </c>
    </row>
    <row r="809" spans="1:20" ht="13.7" customHeight="1" x14ac:dyDescent="0.25">
      <c r="A809" t="s">
        <v>320</v>
      </c>
      <c r="B809" t="s">
        <v>321</v>
      </c>
      <c r="C809" t="s">
        <v>142</v>
      </c>
      <c r="D809">
        <v>501</v>
      </c>
      <c r="E809" s="5">
        <v>43738</v>
      </c>
      <c r="F809">
        <v>13050501</v>
      </c>
      <c r="G809">
        <v>0</v>
      </c>
      <c r="H809" t="s">
        <v>1125</v>
      </c>
      <c r="I809" t="s">
        <v>1126</v>
      </c>
      <c r="J809">
        <v>1008</v>
      </c>
      <c r="K809">
        <v>1315</v>
      </c>
      <c r="L809" s="3">
        <v>189640983.73159999</v>
      </c>
      <c r="M809" s="3">
        <v>2425660.2944999998</v>
      </c>
      <c r="N809">
        <v>0</v>
      </c>
      <c r="O809">
        <v>0</v>
      </c>
      <c r="P809">
        <v>192066644.02610001</v>
      </c>
      <c r="Q809" t="s">
        <v>30</v>
      </c>
      <c r="R809" t="s">
        <v>486</v>
      </c>
      <c r="S809" t="str">
        <v>#N/A</v>
      </c>
      <c r="T809" t="str">
        <v>31</v>
      </c>
    </row>
    <row r="810" spans="1:20" ht="13.7" customHeight="1" x14ac:dyDescent="0.25">
      <c r="A810" t="s">
        <v>320</v>
      </c>
      <c r="B810" t="s">
        <v>321</v>
      </c>
      <c r="C810" t="s">
        <v>142</v>
      </c>
      <c r="D810">
        <v>502</v>
      </c>
      <c r="E810" s="5">
        <v>43738</v>
      </c>
      <c r="F810">
        <v>13050501</v>
      </c>
      <c r="G810">
        <v>0</v>
      </c>
      <c r="H810" t="s">
        <v>1125</v>
      </c>
      <c r="I810" t="s">
        <v>1126</v>
      </c>
      <c r="J810">
        <v>1008</v>
      </c>
      <c r="K810">
        <v>1315</v>
      </c>
      <c r="L810" s="3">
        <v>192066644.02610001</v>
      </c>
      <c r="M810" s="3">
        <v>176120</v>
      </c>
      <c r="N810">
        <v>0</v>
      </c>
      <c r="O810">
        <v>0</v>
      </c>
      <c r="P810">
        <v>192242764.02610001</v>
      </c>
      <c r="Q810" t="s">
        <v>30</v>
      </c>
      <c r="R810" t="s">
        <v>487</v>
      </c>
      <c r="S810" t="str">
        <v>#N/A</v>
      </c>
      <c r="T810" t="str">
        <v>31</v>
      </c>
    </row>
    <row r="811" spans="1:20" ht="13.7" customHeight="1" x14ac:dyDescent="0.25">
      <c r="A811" t="s">
        <v>320</v>
      </c>
      <c r="B811" t="s">
        <v>321</v>
      </c>
      <c r="C811" t="s">
        <v>142</v>
      </c>
      <c r="D811">
        <v>504</v>
      </c>
      <c r="E811" s="5">
        <v>43741</v>
      </c>
      <c r="F811">
        <v>13050501</v>
      </c>
      <c r="G811">
        <v>0</v>
      </c>
      <c r="H811" t="s">
        <v>1125</v>
      </c>
      <c r="I811" t="s">
        <v>1126</v>
      </c>
      <c r="J811">
        <v>1008</v>
      </c>
      <c r="K811">
        <v>1315</v>
      </c>
      <c r="L811" s="3">
        <v>192242764.02610001</v>
      </c>
      <c r="M811" s="3">
        <v>3339967.8</v>
      </c>
      <c r="N811">
        <v>0</v>
      </c>
      <c r="O811">
        <v>0</v>
      </c>
      <c r="P811">
        <v>195582731.82609999</v>
      </c>
      <c r="Q811" t="s">
        <v>30</v>
      </c>
      <c r="R811" t="s">
        <v>489</v>
      </c>
      <c r="S811" t="str">
        <v>#N/A</v>
      </c>
      <c r="T811" t="str">
        <v>31</v>
      </c>
    </row>
    <row r="812" spans="1:20" ht="13.7" customHeight="1" x14ac:dyDescent="0.25">
      <c r="A812" t="s">
        <v>320</v>
      </c>
      <c r="B812" t="s">
        <v>321</v>
      </c>
      <c r="C812" t="s">
        <v>142</v>
      </c>
      <c r="D812">
        <v>508</v>
      </c>
      <c r="E812" s="5">
        <v>43748</v>
      </c>
      <c r="F812">
        <v>13050501</v>
      </c>
      <c r="G812">
        <v>0</v>
      </c>
      <c r="H812" t="s">
        <v>1125</v>
      </c>
      <c r="I812" t="s">
        <v>1126</v>
      </c>
      <c r="J812">
        <v>1008</v>
      </c>
      <c r="K812">
        <v>1315</v>
      </c>
      <c r="L812" s="3">
        <v>195582731.82609999</v>
      </c>
      <c r="M812" s="3">
        <v>4646935.8081</v>
      </c>
      <c r="N812">
        <v>0</v>
      </c>
      <c r="O812">
        <v>0</v>
      </c>
      <c r="P812">
        <v>200229667.63420001</v>
      </c>
      <c r="Q812" t="s">
        <v>30</v>
      </c>
      <c r="R812" t="s">
        <v>493</v>
      </c>
      <c r="S812" t="str">
        <v>#N/A</v>
      </c>
      <c r="T812" t="str">
        <v>31</v>
      </c>
    </row>
    <row r="813" spans="1:20" ht="13.7" customHeight="1" x14ac:dyDescent="0.25">
      <c r="A813" t="s">
        <v>320</v>
      </c>
      <c r="B813" t="s">
        <v>321</v>
      </c>
      <c r="C813" t="s">
        <v>142</v>
      </c>
      <c r="D813">
        <v>510</v>
      </c>
      <c r="E813" s="5">
        <v>43749</v>
      </c>
      <c r="F813">
        <v>13050501</v>
      </c>
      <c r="G813">
        <v>0</v>
      </c>
      <c r="H813" t="s">
        <v>1125</v>
      </c>
      <c r="I813" t="s">
        <v>1126</v>
      </c>
      <c r="J813">
        <v>1008</v>
      </c>
      <c r="K813">
        <v>1315</v>
      </c>
      <c r="L813" s="3">
        <v>200229667.63420001</v>
      </c>
      <c r="M813" s="3">
        <v>247520</v>
      </c>
      <c r="N813">
        <v>0</v>
      </c>
      <c r="O813">
        <v>0</v>
      </c>
      <c r="P813">
        <v>200477187.63420001</v>
      </c>
      <c r="Q813" t="s">
        <v>30</v>
      </c>
      <c r="R813" t="s">
        <v>495</v>
      </c>
      <c r="S813" t="str">
        <v>#N/A</v>
      </c>
      <c r="T813" t="str">
        <v>31</v>
      </c>
    </row>
    <row r="814" spans="1:20" ht="13.7" customHeight="1" x14ac:dyDescent="0.25">
      <c r="A814" t="s">
        <v>320</v>
      </c>
      <c r="B814" t="s">
        <v>321</v>
      </c>
      <c r="C814" t="s">
        <v>142</v>
      </c>
      <c r="D814">
        <v>511</v>
      </c>
      <c r="E814" s="5">
        <v>43754</v>
      </c>
      <c r="F814">
        <v>13050501</v>
      </c>
      <c r="G814">
        <v>0</v>
      </c>
      <c r="H814" t="s">
        <v>1125</v>
      </c>
      <c r="I814" t="s">
        <v>1126</v>
      </c>
      <c r="J814">
        <v>1008</v>
      </c>
      <c r="K814">
        <v>1315</v>
      </c>
      <c r="L814" s="3">
        <v>200477187.63420001</v>
      </c>
      <c r="M814" s="3">
        <v>850310.16</v>
      </c>
      <c r="N814">
        <v>0</v>
      </c>
      <c r="O814">
        <v>0</v>
      </c>
      <c r="P814">
        <v>201327497.7942</v>
      </c>
      <c r="Q814" t="s">
        <v>30</v>
      </c>
      <c r="R814" t="s">
        <v>496</v>
      </c>
      <c r="S814" t="str">
        <v>#N/A</v>
      </c>
      <c r="T814" t="str">
        <v>31</v>
      </c>
    </row>
    <row r="815" spans="1:20" ht="13.7" customHeight="1" x14ac:dyDescent="0.25">
      <c r="A815" t="s">
        <v>320</v>
      </c>
      <c r="B815" t="s">
        <v>321</v>
      </c>
      <c r="C815" t="s">
        <v>142</v>
      </c>
      <c r="D815">
        <v>514</v>
      </c>
      <c r="E815" s="5">
        <v>43759</v>
      </c>
      <c r="F815">
        <v>13050501</v>
      </c>
      <c r="G815">
        <v>0</v>
      </c>
      <c r="H815" t="s">
        <v>1125</v>
      </c>
      <c r="I815" t="s">
        <v>1126</v>
      </c>
      <c r="J815">
        <v>1008</v>
      </c>
      <c r="K815">
        <v>1315</v>
      </c>
      <c r="L815" s="3">
        <v>201327497.7942</v>
      </c>
      <c r="M815" s="3">
        <v>83300</v>
      </c>
      <c r="N815">
        <v>0</v>
      </c>
      <c r="O815">
        <v>0</v>
      </c>
      <c r="P815">
        <v>201410797.7942</v>
      </c>
      <c r="Q815" t="s">
        <v>30</v>
      </c>
      <c r="R815" t="s">
        <v>499</v>
      </c>
      <c r="S815" t="str">
        <v>#N/A</v>
      </c>
      <c r="T815" t="str">
        <v>31</v>
      </c>
    </row>
    <row r="816" spans="1:20" ht="13.7" customHeight="1" x14ac:dyDescent="0.25">
      <c r="A816" t="s">
        <v>320</v>
      </c>
      <c r="B816" t="s">
        <v>321</v>
      </c>
      <c r="C816" t="s">
        <v>142</v>
      </c>
      <c r="D816">
        <v>522</v>
      </c>
      <c r="E816" s="5">
        <v>43768</v>
      </c>
      <c r="F816">
        <v>13050501</v>
      </c>
      <c r="G816">
        <v>0</v>
      </c>
      <c r="H816" t="s">
        <v>1125</v>
      </c>
      <c r="I816" t="s">
        <v>1126</v>
      </c>
      <c r="J816">
        <v>1008</v>
      </c>
      <c r="K816">
        <v>1315</v>
      </c>
      <c r="L816" s="3">
        <v>201410797.7942</v>
      </c>
      <c r="M816" s="3">
        <v>875864.3922</v>
      </c>
      <c r="N816">
        <v>0</v>
      </c>
      <c r="O816">
        <v>0</v>
      </c>
      <c r="P816">
        <v>202286662.1864</v>
      </c>
      <c r="Q816" t="s">
        <v>30</v>
      </c>
      <c r="R816" t="s">
        <v>504</v>
      </c>
      <c r="S816" t="str">
        <v>#N/A</v>
      </c>
      <c r="T816" t="str">
        <v>31</v>
      </c>
    </row>
    <row r="817" spans="1:20" ht="13.7" customHeight="1" x14ac:dyDescent="0.25">
      <c r="A817" t="s">
        <v>320</v>
      </c>
      <c r="B817" t="s">
        <v>321</v>
      </c>
      <c r="C817" t="s">
        <v>142</v>
      </c>
      <c r="D817">
        <v>523</v>
      </c>
      <c r="E817" s="5">
        <v>43770</v>
      </c>
      <c r="F817">
        <v>13050501</v>
      </c>
      <c r="G817">
        <v>0</v>
      </c>
      <c r="H817" t="s">
        <v>1125</v>
      </c>
      <c r="I817" t="s">
        <v>1126</v>
      </c>
      <c r="J817">
        <v>1008</v>
      </c>
      <c r="K817">
        <v>1315</v>
      </c>
      <c r="L817" s="3">
        <v>202286662.1864</v>
      </c>
      <c r="M817" s="3">
        <v>969486</v>
      </c>
      <c r="N817">
        <v>0</v>
      </c>
      <c r="O817">
        <v>0</v>
      </c>
      <c r="P817">
        <v>203256148.1864</v>
      </c>
      <c r="Q817" t="s">
        <v>30</v>
      </c>
      <c r="R817" t="s">
        <v>505</v>
      </c>
      <c r="S817" t="str">
        <v>#N/A</v>
      </c>
      <c r="T817" t="str">
        <v>31</v>
      </c>
    </row>
    <row r="818" spans="1:20" ht="13.7" customHeight="1" x14ac:dyDescent="0.25">
      <c r="A818" t="s">
        <v>320</v>
      </c>
      <c r="B818" t="s">
        <v>321</v>
      </c>
      <c r="C818" t="s">
        <v>142</v>
      </c>
      <c r="D818">
        <v>524</v>
      </c>
      <c r="E818" s="5">
        <v>43770</v>
      </c>
      <c r="F818">
        <v>13050501</v>
      </c>
      <c r="G818">
        <v>0</v>
      </c>
      <c r="H818" t="s">
        <v>1125</v>
      </c>
      <c r="I818" t="s">
        <v>1126</v>
      </c>
      <c r="J818">
        <v>1008</v>
      </c>
      <c r="K818">
        <v>1315</v>
      </c>
      <c r="L818" s="3">
        <v>203256148.1864</v>
      </c>
      <c r="M818" s="3">
        <v>1165401.1000000001</v>
      </c>
      <c r="N818">
        <v>0</v>
      </c>
      <c r="O818">
        <v>0</v>
      </c>
      <c r="P818">
        <v>204421549.28639999</v>
      </c>
      <c r="Q818" t="s">
        <v>30</v>
      </c>
      <c r="R818" t="s">
        <v>506</v>
      </c>
      <c r="S818" t="str">
        <v>#N/A</v>
      </c>
      <c r="T818" t="str">
        <v>31</v>
      </c>
    </row>
    <row r="819" spans="1:20" ht="13.7" customHeight="1" x14ac:dyDescent="0.25">
      <c r="A819" t="s">
        <v>320</v>
      </c>
      <c r="B819" t="s">
        <v>321</v>
      </c>
      <c r="C819" t="s">
        <v>142</v>
      </c>
      <c r="D819">
        <v>527</v>
      </c>
      <c r="E819" s="5">
        <v>43778</v>
      </c>
      <c r="F819">
        <v>13050501</v>
      </c>
      <c r="G819">
        <v>0</v>
      </c>
      <c r="H819" t="s">
        <v>1125</v>
      </c>
      <c r="I819" t="s">
        <v>1126</v>
      </c>
      <c r="J819">
        <v>1008</v>
      </c>
      <c r="K819">
        <v>1315</v>
      </c>
      <c r="L819" s="3">
        <v>204421549.28639999</v>
      </c>
      <c r="M819" s="3">
        <v>525980</v>
      </c>
      <c r="N819">
        <v>0</v>
      </c>
      <c r="O819">
        <v>0</v>
      </c>
      <c r="P819">
        <v>204947529.28639999</v>
      </c>
      <c r="Q819" t="s">
        <v>30</v>
      </c>
      <c r="R819" t="s">
        <v>509</v>
      </c>
      <c r="S819" t="str">
        <v>#N/A</v>
      </c>
      <c r="T819" t="str">
        <v>31</v>
      </c>
    </row>
    <row r="820" spans="1:20" ht="13.7" customHeight="1" x14ac:dyDescent="0.25">
      <c r="A820" t="s">
        <v>320</v>
      </c>
      <c r="B820" t="s">
        <v>321</v>
      </c>
      <c r="C820" t="s">
        <v>142</v>
      </c>
      <c r="D820">
        <v>529</v>
      </c>
      <c r="E820" s="5">
        <v>43784</v>
      </c>
      <c r="F820">
        <v>13050501</v>
      </c>
      <c r="G820">
        <v>0</v>
      </c>
      <c r="H820" t="s">
        <v>1125</v>
      </c>
      <c r="I820" t="s">
        <v>1126</v>
      </c>
      <c r="J820">
        <v>1008</v>
      </c>
      <c r="K820">
        <v>1315</v>
      </c>
      <c r="L820" s="3">
        <v>204947529.28639999</v>
      </c>
      <c r="M820" s="3">
        <v>93415</v>
      </c>
      <c r="N820">
        <v>0</v>
      </c>
      <c r="O820">
        <v>0</v>
      </c>
      <c r="P820">
        <v>205040944.28639999</v>
      </c>
      <c r="Q820" t="s">
        <v>30</v>
      </c>
      <c r="R820" t="s">
        <v>511</v>
      </c>
      <c r="S820" t="str">
        <v>#N/A</v>
      </c>
      <c r="T820" t="str">
        <v>31</v>
      </c>
    </row>
    <row r="821" spans="1:20" ht="13.7" customHeight="1" x14ac:dyDescent="0.25">
      <c r="A821" t="s">
        <v>320</v>
      </c>
      <c r="B821" t="s">
        <v>321</v>
      </c>
      <c r="C821" t="s">
        <v>142</v>
      </c>
      <c r="D821">
        <v>531</v>
      </c>
      <c r="E821" s="5">
        <v>43787</v>
      </c>
      <c r="F821">
        <v>13050501</v>
      </c>
      <c r="G821">
        <v>0</v>
      </c>
      <c r="H821" t="s">
        <v>1125</v>
      </c>
      <c r="I821" t="s">
        <v>1126</v>
      </c>
      <c r="J821">
        <v>1008</v>
      </c>
      <c r="K821">
        <v>1315</v>
      </c>
      <c r="L821" s="3">
        <v>205040944.28639999</v>
      </c>
      <c r="M821" s="3">
        <v>303985.5</v>
      </c>
      <c r="N821">
        <v>0</v>
      </c>
      <c r="O821">
        <v>0</v>
      </c>
      <c r="P821">
        <v>205344929.78639999</v>
      </c>
      <c r="Q821" t="s">
        <v>30</v>
      </c>
      <c r="R821" t="s">
        <v>513</v>
      </c>
      <c r="S821" t="str">
        <v>#N/A</v>
      </c>
      <c r="T821" t="str">
        <v>31</v>
      </c>
    </row>
    <row r="822" spans="1:20" ht="13.7" customHeight="1" x14ac:dyDescent="0.25">
      <c r="A822" t="s">
        <v>320</v>
      </c>
      <c r="B822" t="s">
        <v>321</v>
      </c>
      <c r="C822" t="s">
        <v>142</v>
      </c>
      <c r="D822">
        <v>532</v>
      </c>
      <c r="E822" s="5">
        <v>43789</v>
      </c>
      <c r="F822">
        <v>13050501</v>
      </c>
      <c r="G822">
        <v>0</v>
      </c>
      <c r="H822" t="s">
        <v>1125</v>
      </c>
      <c r="I822" t="s">
        <v>1126</v>
      </c>
      <c r="J822">
        <v>1008</v>
      </c>
      <c r="K822">
        <v>1315</v>
      </c>
      <c r="L822" s="3">
        <v>205344929.78639999</v>
      </c>
      <c r="M822" s="3">
        <v>238000</v>
      </c>
      <c r="N822">
        <v>0</v>
      </c>
      <c r="O822">
        <v>0</v>
      </c>
      <c r="P822">
        <v>205582929.78639999</v>
      </c>
      <c r="Q822" t="s">
        <v>30</v>
      </c>
      <c r="R822" t="s">
        <v>514</v>
      </c>
      <c r="S822" t="str">
        <v>#N/A</v>
      </c>
      <c r="T822" t="str">
        <v>31</v>
      </c>
    </row>
    <row r="823" spans="1:20" ht="13.7" customHeight="1" x14ac:dyDescent="0.25">
      <c r="A823" t="s">
        <v>320</v>
      </c>
      <c r="B823" t="s">
        <v>321</v>
      </c>
      <c r="C823" t="s">
        <v>142</v>
      </c>
      <c r="D823">
        <v>533</v>
      </c>
      <c r="E823" s="5">
        <v>43794</v>
      </c>
      <c r="F823">
        <v>13050501</v>
      </c>
      <c r="G823">
        <v>0</v>
      </c>
      <c r="H823" t="s">
        <v>1125</v>
      </c>
      <c r="I823" t="s">
        <v>1126</v>
      </c>
      <c r="J823">
        <v>1008</v>
      </c>
      <c r="K823">
        <v>1315</v>
      </c>
      <c r="L823" s="3">
        <v>205582929.78639999</v>
      </c>
      <c r="M823" s="3">
        <v>399840</v>
      </c>
      <c r="N823">
        <v>0</v>
      </c>
      <c r="O823">
        <v>0</v>
      </c>
      <c r="P823">
        <v>205982769.78639999</v>
      </c>
      <c r="Q823" t="s">
        <v>30</v>
      </c>
      <c r="R823" t="s">
        <v>515</v>
      </c>
      <c r="S823" t="str">
        <v>#N/A</v>
      </c>
      <c r="T823" t="str">
        <v>31</v>
      </c>
    </row>
    <row r="824" spans="1:20" ht="13.7" customHeight="1" x14ac:dyDescent="0.25">
      <c r="A824" t="s">
        <v>320</v>
      </c>
      <c r="B824" t="s">
        <v>321</v>
      </c>
      <c r="C824" t="s">
        <v>142</v>
      </c>
      <c r="D824">
        <v>535</v>
      </c>
      <c r="E824" s="5">
        <v>43796</v>
      </c>
      <c r="F824">
        <v>13050501</v>
      </c>
      <c r="G824">
        <v>0</v>
      </c>
      <c r="H824" t="s">
        <v>1125</v>
      </c>
      <c r="I824" t="s">
        <v>1126</v>
      </c>
      <c r="J824">
        <v>1008</v>
      </c>
      <c r="K824">
        <v>1315</v>
      </c>
      <c r="L824" s="3">
        <v>205982769.78639999</v>
      </c>
      <c r="M824" s="3">
        <v>2611597.8990000002</v>
      </c>
      <c r="N824">
        <v>0</v>
      </c>
      <c r="O824">
        <v>0</v>
      </c>
      <c r="P824">
        <v>208594367.68540001</v>
      </c>
      <c r="Q824" t="s">
        <v>30</v>
      </c>
      <c r="R824" t="s">
        <v>517</v>
      </c>
      <c r="S824" t="str">
        <v>#N/A</v>
      </c>
      <c r="T824" t="str">
        <v>31</v>
      </c>
    </row>
    <row r="825" spans="1:20" ht="13.7" customHeight="1" x14ac:dyDescent="0.25">
      <c r="A825" t="s">
        <v>518</v>
      </c>
      <c r="B825" t="s">
        <v>519</v>
      </c>
      <c r="C825" t="s">
        <v>520</v>
      </c>
      <c r="D825">
        <v>1</v>
      </c>
      <c r="E825" s="5">
        <v>43801</v>
      </c>
      <c r="F825">
        <v>13050501</v>
      </c>
      <c r="G825">
        <v>0</v>
      </c>
      <c r="H825" t="s">
        <v>1125</v>
      </c>
      <c r="I825" t="s">
        <v>1126</v>
      </c>
      <c r="J825">
        <v>1008</v>
      </c>
      <c r="K825">
        <v>1315</v>
      </c>
      <c r="L825" s="3">
        <v>208594367.68540001</v>
      </c>
      <c r="M825" s="3">
        <v>1509119</v>
      </c>
      <c r="N825">
        <v>0</v>
      </c>
      <c r="O825">
        <v>0</v>
      </c>
      <c r="P825">
        <v>210103486.68540001</v>
      </c>
      <c r="Q825" t="s">
        <v>30</v>
      </c>
      <c r="R825" t="s">
        <v>521</v>
      </c>
      <c r="S825" t="str">
        <v>#N/A</v>
      </c>
      <c r="T825" t="str">
        <v>31</v>
      </c>
    </row>
    <row r="826" spans="1:20" ht="13.7" customHeight="1" x14ac:dyDescent="0.25">
      <c r="A826" t="s">
        <v>518</v>
      </c>
      <c r="B826" t="s">
        <v>519</v>
      </c>
      <c r="C826" t="s">
        <v>520</v>
      </c>
      <c r="D826">
        <v>4</v>
      </c>
      <c r="E826" s="5">
        <v>43810</v>
      </c>
      <c r="F826">
        <v>13050501</v>
      </c>
      <c r="G826">
        <v>0</v>
      </c>
      <c r="H826" t="s">
        <v>1125</v>
      </c>
      <c r="I826" t="s">
        <v>1126</v>
      </c>
      <c r="J826">
        <v>1008</v>
      </c>
      <c r="K826">
        <v>1315</v>
      </c>
      <c r="L826" s="3">
        <v>210103486.68540001</v>
      </c>
      <c r="M826" s="3">
        <v>1961623</v>
      </c>
      <c r="N826">
        <v>0</v>
      </c>
      <c r="O826">
        <v>0</v>
      </c>
      <c r="P826">
        <v>212065109.68540001</v>
      </c>
      <c r="Q826" t="s">
        <v>30</v>
      </c>
      <c r="R826" t="s">
        <v>523</v>
      </c>
      <c r="S826" t="str">
        <v>#N/A</v>
      </c>
      <c r="T826" t="str">
        <v>31</v>
      </c>
    </row>
    <row r="827" spans="1:20" ht="13.7" customHeight="1" x14ac:dyDescent="0.25">
      <c r="A827" t="s">
        <v>518</v>
      </c>
      <c r="B827" t="s">
        <v>519</v>
      </c>
      <c r="C827" t="s">
        <v>520</v>
      </c>
      <c r="D827">
        <v>7</v>
      </c>
      <c r="E827" s="5">
        <v>43815</v>
      </c>
      <c r="F827">
        <v>13050501</v>
      </c>
      <c r="G827">
        <v>0</v>
      </c>
      <c r="H827" t="s">
        <v>1125</v>
      </c>
      <c r="I827" t="s">
        <v>1126</v>
      </c>
      <c r="J827">
        <v>1008</v>
      </c>
      <c r="K827">
        <v>1315</v>
      </c>
      <c r="L827" s="3">
        <v>212065109.68540001</v>
      </c>
      <c r="M827" s="3">
        <v>1782532</v>
      </c>
      <c r="N827">
        <v>0</v>
      </c>
      <c r="O827">
        <v>0</v>
      </c>
      <c r="P827">
        <v>213847641.68540001</v>
      </c>
      <c r="Q827" t="s">
        <v>30</v>
      </c>
      <c r="R827" t="s">
        <v>526</v>
      </c>
      <c r="S827" t="str">
        <v>#N/A</v>
      </c>
      <c r="T827" t="str">
        <v>31</v>
      </c>
    </row>
    <row r="828" spans="1:20" ht="13.7" customHeight="1" x14ac:dyDescent="0.25">
      <c r="A828" t="s">
        <v>518</v>
      </c>
      <c r="B828" t="s">
        <v>519</v>
      </c>
      <c r="C828" t="s">
        <v>520</v>
      </c>
      <c r="D828">
        <v>8</v>
      </c>
      <c r="E828" s="5">
        <v>43819</v>
      </c>
      <c r="F828">
        <v>13050501</v>
      </c>
      <c r="G828">
        <v>0</v>
      </c>
      <c r="H828" t="s">
        <v>1125</v>
      </c>
      <c r="I828" t="s">
        <v>1126</v>
      </c>
      <c r="J828">
        <v>1008</v>
      </c>
      <c r="K828">
        <v>1315</v>
      </c>
      <c r="L828" s="3">
        <v>213847641.68540001</v>
      </c>
      <c r="M828" s="3">
        <v>467313</v>
      </c>
      <c r="N828">
        <v>0</v>
      </c>
      <c r="O828">
        <v>0</v>
      </c>
      <c r="P828">
        <v>214314954.68540001</v>
      </c>
      <c r="Q828" t="s">
        <v>30</v>
      </c>
      <c r="R828" t="s">
        <v>527</v>
      </c>
      <c r="S828" t="str">
        <v>#N/A</v>
      </c>
      <c r="T828" t="str">
        <v>31</v>
      </c>
    </row>
    <row r="829" spans="1:20" ht="13.7" customHeight="1" x14ac:dyDescent="0.25">
      <c r="E829" s="5">
        <v>43465</v>
      </c>
      <c r="F829">
        <v>13050501</v>
      </c>
      <c r="G829">
        <v>0</v>
      </c>
      <c r="H829" t="s">
        <v>1131</v>
      </c>
      <c r="I829" t="s">
        <v>1132</v>
      </c>
      <c r="J829">
        <v>0</v>
      </c>
      <c r="K829">
        <v>0</v>
      </c>
      <c r="L829" s="3">
        <v>17068815.449999999</v>
      </c>
      <c r="M829" s="3">
        <v>0</v>
      </c>
      <c r="N829">
        <v>0</v>
      </c>
      <c r="O829">
        <v>0</v>
      </c>
      <c r="P829">
        <v>17068815.449999999</v>
      </c>
      <c r="R829" t="s">
        <v>1100</v>
      </c>
      <c r="S829" t="str">
        <v>#N/A</v>
      </c>
      <c r="T829" t="str">
        <v>#N/A</v>
      </c>
    </row>
    <row r="830" spans="1:20" ht="13.7" customHeight="1" x14ac:dyDescent="0.25">
      <c r="A830" t="s">
        <v>320</v>
      </c>
      <c r="B830" t="s">
        <v>321</v>
      </c>
      <c r="C830" t="s">
        <v>142</v>
      </c>
      <c r="D830">
        <v>354</v>
      </c>
      <c r="E830" s="5">
        <v>43501</v>
      </c>
      <c r="F830">
        <v>13050501</v>
      </c>
      <c r="G830">
        <v>0</v>
      </c>
      <c r="H830" t="s">
        <v>1131</v>
      </c>
      <c r="I830" t="s">
        <v>1132</v>
      </c>
      <c r="J830">
        <v>1008</v>
      </c>
      <c r="K830">
        <v>1315</v>
      </c>
      <c r="L830" s="3">
        <v>17068815.449999999</v>
      </c>
      <c r="M830" s="3">
        <v>2900850</v>
      </c>
      <c r="N830">
        <v>0</v>
      </c>
      <c r="O830">
        <v>0</v>
      </c>
      <c r="P830">
        <v>19969665.449999999</v>
      </c>
      <c r="Q830" t="s">
        <v>30</v>
      </c>
      <c r="R830" t="s">
        <v>347</v>
      </c>
      <c r="S830" t="str">
        <v>#N/A</v>
      </c>
      <c r="T830" t="str">
        <v>#N/A</v>
      </c>
    </row>
    <row r="831" spans="1:20" ht="13.7" customHeight="1" x14ac:dyDescent="0.25">
      <c r="A831" t="s">
        <v>199</v>
      </c>
      <c r="B831" t="s">
        <v>200</v>
      </c>
      <c r="C831" t="s">
        <v>32</v>
      </c>
      <c r="D831">
        <v>4</v>
      </c>
      <c r="E831" s="5">
        <v>43517</v>
      </c>
      <c r="F831">
        <v>13050501</v>
      </c>
      <c r="G831">
        <v>0</v>
      </c>
      <c r="H831" t="s">
        <v>1131</v>
      </c>
      <c r="I831" t="s">
        <v>1132</v>
      </c>
      <c r="J831">
        <v>1008</v>
      </c>
      <c r="K831">
        <v>1315</v>
      </c>
      <c r="L831" s="3">
        <v>19969665.449999999</v>
      </c>
      <c r="M831" s="3">
        <v>0</v>
      </c>
      <c r="N831">
        <v>1994738</v>
      </c>
      <c r="O831">
        <v>0</v>
      </c>
      <c r="P831">
        <v>17974927.449999999</v>
      </c>
      <c r="Q831" t="s">
        <v>30</v>
      </c>
      <c r="R831" t="s">
        <v>223</v>
      </c>
      <c r="S831" t="str">
        <v>#N/A</v>
      </c>
      <c r="T831" t="str">
        <v>#N/A</v>
      </c>
    </row>
    <row r="832" spans="1:20" ht="13.7" customHeight="1" x14ac:dyDescent="0.25">
      <c r="A832" t="s">
        <v>320</v>
      </c>
      <c r="B832" t="s">
        <v>321</v>
      </c>
      <c r="C832" t="s">
        <v>142</v>
      </c>
      <c r="D832">
        <v>376</v>
      </c>
      <c r="E832" s="5">
        <v>43525</v>
      </c>
      <c r="F832">
        <v>13050501</v>
      </c>
      <c r="G832">
        <v>0</v>
      </c>
      <c r="H832" t="s">
        <v>1131</v>
      </c>
      <c r="I832" t="s">
        <v>1132</v>
      </c>
      <c r="J832">
        <v>1008</v>
      </c>
      <c r="K832">
        <v>1315</v>
      </c>
      <c r="L832" s="3">
        <v>17974927.449999999</v>
      </c>
      <c r="M832" s="3">
        <v>7458912.5</v>
      </c>
      <c r="N832">
        <v>0</v>
      </c>
      <c r="O832">
        <v>0</v>
      </c>
      <c r="P832">
        <v>25433839.949999999</v>
      </c>
      <c r="Q832" t="s">
        <v>30</v>
      </c>
      <c r="R832" t="s">
        <v>391</v>
      </c>
      <c r="S832" t="str">
        <v>#N/A</v>
      </c>
      <c r="T832" t="str">
        <v>#N/A</v>
      </c>
    </row>
    <row r="833" spans="1:20" ht="13.7" customHeight="1" x14ac:dyDescent="0.25">
      <c r="A833" t="s">
        <v>320</v>
      </c>
      <c r="B833" t="s">
        <v>321</v>
      </c>
      <c r="C833" t="s">
        <v>142</v>
      </c>
      <c r="D833">
        <v>457</v>
      </c>
      <c r="E833" s="5">
        <v>43630</v>
      </c>
      <c r="F833">
        <v>13050501</v>
      </c>
      <c r="G833">
        <v>0</v>
      </c>
      <c r="H833" t="s">
        <v>1131</v>
      </c>
      <c r="I833" t="s">
        <v>1132</v>
      </c>
      <c r="J833">
        <v>1008</v>
      </c>
      <c r="K833">
        <v>1315</v>
      </c>
      <c r="L833" s="3">
        <v>25433839.949999999</v>
      </c>
      <c r="M833" s="3">
        <v>2004732</v>
      </c>
      <c r="N833">
        <v>0</v>
      </c>
      <c r="O833">
        <v>0</v>
      </c>
      <c r="P833">
        <v>27438571.949999999</v>
      </c>
      <c r="Q833" t="s">
        <v>30</v>
      </c>
      <c r="R833" t="s">
        <v>462</v>
      </c>
      <c r="S833" t="str">
        <v>#N/A</v>
      </c>
      <c r="T833" t="str">
        <v>#N/A</v>
      </c>
    </row>
    <row r="834" spans="1:20" ht="13.7" customHeight="1" x14ac:dyDescent="0.25">
      <c r="A834" t="s">
        <v>320</v>
      </c>
      <c r="B834" t="s">
        <v>321</v>
      </c>
      <c r="C834" t="s">
        <v>142</v>
      </c>
      <c r="D834">
        <v>498</v>
      </c>
      <c r="E834" s="5">
        <v>43732</v>
      </c>
      <c r="F834">
        <v>13050501</v>
      </c>
      <c r="G834">
        <v>0</v>
      </c>
      <c r="H834" t="s">
        <v>1131</v>
      </c>
      <c r="I834" t="s">
        <v>1132</v>
      </c>
      <c r="J834">
        <v>1008</v>
      </c>
      <c r="K834">
        <v>1315</v>
      </c>
      <c r="L834" s="3">
        <v>27438571.949999999</v>
      </c>
      <c r="M834" s="3">
        <v>2523972.5</v>
      </c>
      <c r="N834">
        <v>0</v>
      </c>
      <c r="O834">
        <v>0</v>
      </c>
      <c r="P834">
        <v>29962544.449999999</v>
      </c>
      <c r="Q834" t="s">
        <v>30</v>
      </c>
      <c r="R834" t="s">
        <v>483</v>
      </c>
      <c r="S834" t="str">
        <v>#N/A</v>
      </c>
      <c r="T834" t="str">
        <v>#N/A</v>
      </c>
    </row>
    <row r="835" spans="1:20" ht="13.7" customHeight="1" x14ac:dyDescent="0.25">
      <c r="A835" t="s">
        <v>320</v>
      </c>
      <c r="B835" t="s">
        <v>321</v>
      </c>
      <c r="C835" t="s">
        <v>142</v>
      </c>
      <c r="D835">
        <v>513</v>
      </c>
      <c r="E835" s="5">
        <v>43756</v>
      </c>
      <c r="F835">
        <v>13050501</v>
      </c>
      <c r="G835">
        <v>0</v>
      </c>
      <c r="H835" t="s">
        <v>1131</v>
      </c>
      <c r="I835" t="s">
        <v>1132</v>
      </c>
      <c r="J835">
        <v>1008</v>
      </c>
      <c r="K835">
        <v>1315</v>
      </c>
      <c r="L835" s="3">
        <v>29962544.449999999</v>
      </c>
      <c r="M835" s="3">
        <v>961520</v>
      </c>
      <c r="N835">
        <v>0</v>
      </c>
      <c r="O835">
        <v>0</v>
      </c>
      <c r="P835">
        <v>30924064.449999999</v>
      </c>
      <c r="Q835" t="s">
        <v>30</v>
      </c>
      <c r="R835" t="s">
        <v>498</v>
      </c>
      <c r="S835" t="str">
        <v>#N/A</v>
      </c>
      <c r="T835" t="str">
        <v>#N/A</v>
      </c>
    </row>
    <row r="836" spans="1:20" ht="13.7" customHeight="1" x14ac:dyDescent="0.25">
      <c r="E836" s="5">
        <v>43465</v>
      </c>
      <c r="F836">
        <v>13050501</v>
      </c>
      <c r="G836">
        <v>0</v>
      </c>
      <c r="H836" t="s">
        <v>1133</v>
      </c>
      <c r="I836" t="s">
        <v>1134</v>
      </c>
      <c r="J836">
        <v>0</v>
      </c>
      <c r="K836">
        <v>0</v>
      </c>
      <c r="L836" s="3">
        <v>988401.32339999999</v>
      </c>
      <c r="M836" s="3">
        <v>0</v>
      </c>
      <c r="N836">
        <v>0</v>
      </c>
      <c r="O836">
        <v>0</v>
      </c>
      <c r="P836">
        <v>988401.32339999999</v>
      </c>
      <c r="R836" t="s">
        <v>1100</v>
      </c>
      <c r="S836" t="str">
        <v>#N/A</v>
      </c>
      <c r="T836" t="str">
        <v>#N/A</v>
      </c>
    </row>
    <row r="837" spans="1:20" ht="13.7" customHeight="1" x14ac:dyDescent="0.25">
      <c r="A837" t="s">
        <v>320</v>
      </c>
      <c r="B837" t="s">
        <v>321</v>
      </c>
      <c r="C837" t="s">
        <v>142</v>
      </c>
      <c r="D837">
        <v>367</v>
      </c>
      <c r="E837" s="5">
        <v>43512</v>
      </c>
      <c r="F837">
        <v>13050501</v>
      </c>
      <c r="G837">
        <v>0</v>
      </c>
      <c r="H837" t="s">
        <v>1133</v>
      </c>
      <c r="I837" t="s">
        <v>1134</v>
      </c>
      <c r="J837">
        <v>1008</v>
      </c>
      <c r="K837">
        <v>1315</v>
      </c>
      <c r="L837" s="3">
        <v>988401.32339999999</v>
      </c>
      <c r="M837" s="3">
        <v>508210.92</v>
      </c>
      <c r="N837">
        <v>0</v>
      </c>
      <c r="O837">
        <v>0</v>
      </c>
      <c r="P837">
        <v>1496612.2434</v>
      </c>
      <c r="Q837" t="s">
        <v>30</v>
      </c>
      <c r="R837" t="s">
        <v>359</v>
      </c>
      <c r="S837" t="str">
        <v>#N/A</v>
      </c>
      <c r="T837" t="str">
        <v>#N/A</v>
      </c>
    </row>
    <row r="838" spans="1:20" ht="13.7" customHeight="1" x14ac:dyDescent="0.25">
      <c r="A838" t="s">
        <v>320</v>
      </c>
      <c r="B838" t="s">
        <v>321</v>
      </c>
      <c r="C838" t="s">
        <v>142</v>
      </c>
      <c r="D838">
        <v>368</v>
      </c>
      <c r="E838" s="5">
        <v>43513</v>
      </c>
      <c r="F838">
        <v>13050501</v>
      </c>
      <c r="G838">
        <v>0</v>
      </c>
      <c r="H838" t="s">
        <v>1133</v>
      </c>
      <c r="I838" t="s">
        <v>1134</v>
      </c>
      <c r="J838">
        <v>1008</v>
      </c>
      <c r="K838">
        <v>1315</v>
      </c>
      <c r="L838" s="3">
        <v>1496612.2434</v>
      </c>
      <c r="M838" s="3">
        <v>561689.52</v>
      </c>
      <c r="N838">
        <v>0</v>
      </c>
      <c r="O838">
        <v>0</v>
      </c>
      <c r="P838">
        <v>2058301.7634000001</v>
      </c>
      <c r="Q838" t="s">
        <v>30</v>
      </c>
      <c r="R838" t="s">
        <v>360</v>
      </c>
      <c r="S838" t="str">
        <v>#N/A</v>
      </c>
      <c r="T838" t="str">
        <v>#N/A</v>
      </c>
    </row>
    <row r="839" spans="1:20" ht="13.7" customHeight="1" x14ac:dyDescent="0.25">
      <c r="A839" t="s">
        <v>320</v>
      </c>
      <c r="B839" t="s">
        <v>321</v>
      </c>
      <c r="C839" t="s">
        <v>142</v>
      </c>
      <c r="D839">
        <v>369</v>
      </c>
      <c r="E839" s="5">
        <v>43514</v>
      </c>
      <c r="F839">
        <v>13050501</v>
      </c>
      <c r="G839">
        <v>0</v>
      </c>
      <c r="H839" t="s">
        <v>1133</v>
      </c>
      <c r="I839" t="s">
        <v>1134</v>
      </c>
      <c r="J839">
        <v>1008</v>
      </c>
      <c r="K839">
        <v>1315</v>
      </c>
      <c r="L839" s="3">
        <v>2058301.7634000001</v>
      </c>
      <c r="M839" s="3">
        <v>462124.6</v>
      </c>
      <c r="N839">
        <v>0</v>
      </c>
      <c r="O839">
        <v>0</v>
      </c>
      <c r="P839">
        <v>2520426.3634000001</v>
      </c>
      <c r="Q839" t="s">
        <v>30</v>
      </c>
      <c r="R839" t="s">
        <v>361</v>
      </c>
      <c r="S839" t="str">
        <v>#N/A</v>
      </c>
      <c r="T839" t="str">
        <v>#N/A</v>
      </c>
    </row>
    <row r="840" spans="1:20" ht="13.7" customHeight="1" x14ac:dyDescent="0.25">
      <c r="A840" t="s">
        <v>320</v>
      </c>
      <c r="B840" t="s">
        <v>321</v>
      </c>
      <c r="C840" t="s">
        <v>142</v>
      </c>
      <c r="D840">
        <v>371</v>
      </c>
      <c r="E840" s="5">
        <v>43516</v>
      </c>
      <c r="F840">
        <v>13050501</v>
      </c>
      <c r="G840">
        <v>0</v>
      </c>
      <c r="H840" t="s">
        <v>1133</v>
      </c>
      <c r="I840" t="s">
        <v>1134</v>
      </c>
      <c r="J840">
        <v>1008</v>
      </c>
      <c r="K840">
        <v>1315</v>
      </c>
      <c r="L840" s="3">
        <v>2520426.3634000001</v>
      </c>
      <c r="M840" s="3">
        <v>319372.2</v>
      </c>
      <c r="N840">
        <v>0</v>
      </c>
      <c r="O840">
        <v>0</v>
      </c>
      <c r="P840">
        <v>2839798.5633999999</v>
      </c>
      <c r="Q840" t="s">
        <v>30</v>
      </c>
      <c r="R840" t="s">
        <v>362</v>
      </c>
      <c r="S840" t="str">
        <v>#N/A</v>
      </c>
      <c r="T840" t="str">
        <v>#N/A</v>
      </c>
    </row>
    <row r="841" spans="1:20" ht="13.7" customHeight="1" x14ac:dyDescent="0.25">
      <c r="A841" t="s">
        <v>320</v>
      </c>
      <c r="B841" t="s">
        <v>321</v>
      </c>
      <c r="C841" t="s">
        <v>142</v>
      </c>
      <c r="D841">
        <v>375</v>
      </c>
      <c r="E841" s="5">
        <v>43524</v>
      </c>
      <c r="F841">
        <v>13050501</v>
      </c>
      <c r="G841">
        <v>0</v>
      </c>
      <c r="H841" t="s">
        <v>1133</v>
      </c>
      <c r="I841" t="s">
        <v>1134</v>
      </c>
      <c r="J841">
        <v>1008</v>
      </c>
      <c r="K841">
        <v>1315</v>
      </c>
      <c r="L841" s="3">
        <v>2839798.5633999999</v>
      </c>
      <c r="M841" s="3">
        <v>137718.70000000001</v>
      </c>
      <c r="N841">
        <v>0</v>
      </c>
      <c r="O841">
        <v>0</v>
      </c>
      <c r="P841">
        <v>2977517.2634000001</v>
      </c>
      <c r="Q841" t="s">
        <v>30</v>
      </c>
      <c r="R841" t="s">
        <v>390</v>
      </c>
      <c r="S841" t="str">
        <v>#N/A</v>
      </c>
      <c r="T841" t="str">
        <v>#N/A</v>
      </c>
    </row>
    <row r="842" spans="1:20" ht="13.7" customHeight="1" x14ac:dyDescent="0.25">
      <c r="A842" t="s">
        <v>320</v>
      </c>
      <c r="B842" t="s">
        <v>321</v>
      </c>
      <c r="C842" t="s">
        <v>142</v>
      </c>
      <c r="D842">
        <v>456</v>
      </c>
      <c r="E842" s="5">
        <v>43630</v>
      </c>
      <c r="F842">
        <v>13050501</v>
      </c>
      <c r="G842">
        <v>0</v>
      </c>
      <c r="H842" t="s">
        <v>1133</v>
      </c>
      <c r="I842" t="s">
        <v>1134</v>
      </c>
      <c r="J842">
        <v>1008</v>
      </c>
      <c r="K842">
        <v>1315</v>
      </c>
      <c r="L842" s="3">
        <v>2977517.2634000001</v>
      </c>
      <c r="M842" s="3">
        <v>553241</v>
      </c>
      <c r="N842">
        <v>0</v>
      </c>
      <c r="O842">
        <v>0</v>
      </c>
      <c r="P842">
        <v>3530758.2634000001</v>
      </c>
      <c r="Q842" t="s">
        <v>30</v>
      </c>
      <c r="R842" t="s">
        <v>461</v>
      </c>
      <c r="S842" t="str">
        <v>#N/A</v>
      </c>
      <c r="T842" t="str">
        <v>#N/A</v>
      </c>
    </row>
    <row r="843" spans="1:20" ht="13.7" customHeight="1" x14ac:dyDescent="0.25">
      <c r="A843" t="s">
        <v>320</v>
      </c>
      <c r="B843" t="s">
        <v>321</v>
      </c>
      <c r="C843" t="s">
        <v>142</v>
      </c>
      <c r="D843">
        <v>487</v>
      </c>
      <c r="E843" s="5">
        <v>43708</v>
      </c>
      <c r="F843">
        <v>13050501</v>
      </c>
      <c r="G843">
        <v>0</v>
      </c>
      <c r="H843" t="s">
        <v>1133</v>
      </c>
      <c r="I843" t="s">
        <v>1134</v>
      </c>
      <c r="J843">
        <v>1008</v>
      </c>
      <c r="K843">
        <v>1315</v>
      </c>
      <c r="L843" s="3">
        <v>3530758.2634000001</v>
      </c>
      <c r="M843" s="3">
        <v>201519.35999999999</v>
      </c>
      <c r="N843">
        <v>0</v>
      </c>
      <c r="O843">
        <v>0</v>
      </c>
      <c r="P843">
        <v>3732277.6233999999</v>
      </c>
      <c r="Q843" t="s">
        <v>30</v>
      </c>
      <c r="R843" t="s">
        <v>474</v>
      </c>
      <c r="S843" t="str">
        <v>#N/A</v>
      </c>
      <c r="T843" t="str">
        <v>#N/A</v>
      </c>
    </row>
    <row r="844" spans="1:20" ht="13.7" customHeight="1" x14ac:dyDescent="0.25">
      <c r="A844" t="s">
        <v>320</v>
      </c>
      <c r="B844" t="s">
        <v>321</v>
      </c>
      <c r="C844" t="s">
        <v>142</v>
      </c>
      <c r="D844">
        <v>496</v>
      </c>
      <c r="E844" s="5">
        <v>43727</v>
      </c>
      <c r="F844">
        <v>13050501</v>
      </c>
      <c r="G844">
        <v>0</v>
      </c>
      <c r="H844" t="s">
        <v>1133</v>
      </c>
      <c r="I844" t="s">
        <v>1134</v>
      </c>
      <c r="J844">
        <v>1008</v>
      </c>
      <c r="K844">
        <v>1315</v>
      </c>
      <c r="L844" s="3">
        <v>3732277.6233999999</v>
      </c>
      <c r="M844" s="3">
        <v>183117.2</v>
      </c>
      <c r="N844">
        <v>0</v>
      </c>
      <c r="O844">
        <v>0</v>
      </c>
      <c r="P844">
        <v>3915394.8234000001</v>
      </c>
      <c r="Q844" t="s">
        <v>30</v>
      </c>
      <c r="R844" t="s">
        <v>481</v>
      </c>
      <c r="S844" t="str">
        <v>#N/A</v>
      </c>
      <c r="T844" t="str">
        <v>#N/A</v>
      </c>
    </row>
    <row r="845" spans="1:20" ht="13.7" customHeight="1" x14ac:dyDescent="0.25">
      <c r="A845" t="s">
        <v>320</v>
      </c>
      <c r="B845" t="s">
        <v>321</v>
      </c>
      <c r="C845" t="s">
        <v>142</v>
      </c>
      <c r="D845">
        <v>507</v>
      </c>
      <c r="E845" s="5">
        <v>43747</v>
      </c>
      <c r="F845">
        <v>13050501</v>
      </c>
      <c r="G845">
        <v>0</v>
      </c>
      <c r="H845" t="s">
        <v>1133</v>
      </c>
      <c r="I845" t="s">
        <v>1134</v>
      </c>
      <c r="J845">
        <v>1008</v>
      </c>
      <c r="K845">
        <v>1315</v>
      </c>
      <c r="L845" s="3">
        <v>3915394.8234000001</v>
      </c>
      <c r="M845" s="3">
        <v>208274</v>
      </c>
      <c r="N845">
        <v>0</v>
      </c>
      <c r="O845">
        <v>0</v>
      </c>
      <c r="P845">
        <v>4123668.8234000001</v>
      </c>
      <c r="Q845" t="s">
        <v>30</v>
      </c>
      <c r="R845" t="s">
        <v>492</v>
      </c>
      <c r="S845" t="str">
        <v>#N/A</v>
      </c>
      <c r="T845" t="str">
        <v>#N/A</v>
      </c>
    </row>
    <row r="846" spans="1:20" ht="13.7" customHeight="1" x14ac:dyDescent="0.25">
      <c r="A846" t="s">
        <v>320</v>
      </c>
      <c r="B846" t="s">
        <v>321</v>
      </c>
      <c r="C846" t="s">
        <v>142</v>
      </c>
      <c r="D846">
        <v>516</v>
      </c>
      <c r="E846" s="5">
        <v>43760</v>
      </c>
      <c r="F846">
        <v>13050501</v>
      </c>
      <c r="G846">
        <v>0</v>
      </c>
      <c r="H846" t="s">
        <v>1133</v>
      </c>
      <c r="I846" t="s">
        <v>1134</v>
      </c>
      <c r="J846">
        <v>1008</v>
      </c>
      <c r="K846">
        <v>1315</v>
      </c>
      <c r="L846" s="3">
        <v>4123668.8234000001</v>
      </c>
      <c r="M846" s="3">
        <v>512128.4</v>
      </c>
      <c r="N846">
        <v>0</v>
      </c>
      <c r="O846">
        <v>0</v>
      </c>
      <c r="P846">
        <v>4635797.2233999996</v>
      </c>
      <c r="Q846" t="s">
        <v>30</v>
      </c>
      <c r="R846" t="s">
        <v>500</v>
      </c>
      <c r="S846" t="str">
        <v>#N/A</v>
      </c>
      <c r="T846" t="str">
        <v>#N/A</v>
      </c>
    </row>
    <row r="847" spans="1:20" ht="13.7" customHeight="1" x14ac:dyDescent="0.25">
      <c r="A847" t="s">
        <v>320</v>
      </c>
      <c r="B847" t="s">
        <v>321</v>
      </c>
      <c r="C847" t="s">
        <v>142</v>
      </c>
      <c r="D847">
        <v>517</v>
      </c>
      <c r="E847" s="5">
        <v>43762</v>
      </c>
      <c r="F847">
        <v>13050501</v>
      </c>
      <c r="G847">
        <v>0</v>
      </c>
      <c r="H847" t="s">
        <v>1133</v>
      </c>
      <c r="I847" t="s">
        <v>1134</v>
      </c>
      <c r="J847">
        <v>1008</v>
      </c>
      <c r="K847">
        <v>1315</v>
      </c>
      <c r="L847" s="3">
        <v>4635797.2233999996</v>
      </c>
      <c r="M847" s="3">
        <v>476238</v>
      </c>
      <c r="N847">
        <v>0</v>
      </c>
      <c r="O847">
        <v>0</v>
      </c>
      <c r="P847">
        <v>5112035.2233999996</v>
      </c>
      <c r="Q847" t="s">
        <v>30</v>
      </c>
      <c r="R847" t="s">
        <v>501</v>
      </c>
      <c r="S847" t="str">
        <v>#N/A</v>
      </c>
      <c r="T847" t="str">
        <v>#N/A</v>
      </c>
    </row>
    <row r="848" spans="1:20" ht="13.7" customHeight="1" x14ac:dyDescent="0.25">
      <c r="A848" t="s">
        <v>320</v>
      </c>
      <c r="B848" t="s">
        <v>321</v>
      </c>
      <c r="C848" t="s">
        <v>142</v>
      </c>
      <c r="D848">
        <v>518</v>
      </c>
      <c r="E848" s="5">
        <v>43766</v>
      </c>
      <c r="F848">
        <v>13050501</v>
      </c>
      <c r="G848">
        <v>0</v>
      </c>
      <c r="H848" t="s">
        <v>1133</v>
      </c>
      <c r="I848" t="s">
        <v>1134</v>
      </c>
      <c r="J848">
        <v>1008</v>
      </c>
      <c r="K848">
        <v>1315</v>
      </c>
      <c r="L848" s="3">
        <v>5112035.2233999996</v>
      </c>
      <c r="M848" s="3">
        <v>481759.6</v>
      </c>
      <c r="N848">
        <v>0</v>
      </c>
      <c r="O848">
        <v>0</v>
      </c>
      <c r="P848">
        <v>5593794.8234000001</v>
      </c>
      <c r="Q848" t="s">
        <v>30</v>
      </c>
      <c r="R848" t="s">
        <v>502</v>
      </c>
      <c r="S848" t="str">
        <v>#N/A</v>
      </c>
      <c r="T848" t="str">
        <v>#N/A</v>
      </c>
    </row>
    <row r="849" spans="1:20" ht="13.7" customHeight="1" x14ac:dyDescent="0.25">
      <c r="E849" s="5">
        <v>43465</v>
      </c>
      <c r="F849">
        <v>13050501</v>
      </c>
      <c r="G849">
        <v>0</v>
      </c>
      <c r="H849" t="s">
        <v>1105</v>
      </c>
      <c r="I849" t="s">
        <v>1106</v>
      </c>
      <c r="J849">
        <v>0</v>
      </c>
      <c r="K849">
        <v>0</v>
      </c>
      <c r="L849" s="3">
        <v>0</v>
      </c>
      <c r="M849" s="3">
        <v>0</v>
      </c>
      <c r="N849">
        <v>0</v>
      </c>
      <c r="O849">
        <v>0</v>
      </c>
      <c r="P849">
        <v>0</v>
      </c>
      <c r="R849" t="s">
        <v>1100</v>
      </c>
      <c r="S849" t="str">
        <v>#N/A</v>
      </c>
      <c r="T849" t="str">
        <v>#N/A</v>
      </c>
    </row>
    <row r="850" spans="1:20" ht="13.7" customHeight="1" x14ac:dyDescent="0.25">
      <c r="A850" t="s">
        <v>199</v>
      </c>
      <c r="B850" t="s">
        <v>200</v>
      </c>
      <c r="C850" t="s">
        <v>32</v>
      </c>
      <c r="D850">
        <v>9</v>
      </c>
      <c r="E850" s="5">
        <v>43523</v>
      </c>
      <c r="F850">
        <v>13050501</v>
      </c>
      <c r="G850">
        <v>0</v>
      </c>
      <c r="H850" t="s">
        <v>1105</v>
      </c>
      <c r="I850" t="s">
        <v>1106</v>
      </c>
      <c r="J850">
        <v>1008</v>
      </c>
      <c r="K850">
        <v>1315</v>
      </c>
      <c r="L850" s="3">
        <v>0</v>
      </c>
      <c r="M850" s="3">
        <v>0</v>
      </c>
      <c r="N850">
        <v>1724200</v>
      </c>
      <c r="O850">
        <v>0</v>
      </c>
      <c r="P850">
        <v>-1724200</v>
      </c>
      <c r="Q850" t="s">
        <v>30</v>
      </c>
      <c r="R850" t="s">
        <v>389</v>
      </c>
      <c r="S850" t="str">
        <v>#N/A</v>
      </c>
      <c r="T850" t="str">
        <v>#N/A</v>
      </c>
    </row>
    <row r="851" spans="1:20" ht="13.7" customHeight="1" x14ac:dyDescent="0.25">
      <c r="A851" t="s">
        <v>199</v>
      </c>
      <c r="B851" t="s">
        <v>200</v>
      </c>
      <c r="C851" t="s">
        <v>91</v>
      </c>
      <c r="D851">
        <v>4</v>
      </c>
      <c r="E851" s="5">
        <v>43551</v>
      </c>
      <c r="F851">
        <v>13050501</v>
      </c>
      <c r="G851">
        <v>0</v>
      </c>
      <c r="H851" t="s">
        <v>1105</v>
      </c>
      <c r="I851" t="s">
        <v>1106</v>
      </c>
      <c r="J851">
        <v>1008</v>
      </c>
      <c r="K851">
        <v>1315</v>
      </c>
      <c r="L851" s="3">
        <v>-1724200</v>
      </c>
      <c r="M851" s="3">
        <v>0</v>
      </c>
      <c r="N851">
        <v>693271</v>
      </c>
      <c r="O851">
        <v>0</v>
      </c>
      <c r="P851">
        <v>-2417471</v>
      </c>
      <c r="Q851" t="s">
        <v>30</v>
      </c>
      <c r="R851" t="s">
        <v>411</v>
      </c>
      <c r="S851" t="str">
        <v>#N/A</v>
      </c>
      <c r="T851" t="str">
        <v>#N/A</v>
      </c>
    </row>
    <row r="852" spans="1:20" ht="13.7" customHeight="1" x14ac:dyDescent="0.25">
      <c r="A852" t="s">
        <v>199</v>
      </c>
      <c r="B852" t="s">
        <v>200</v>
      </c>
      <c r="C852" t="s">
        <v>91</v>
      </c>
      <c r="D852">
        <v>4</v>
      </c>
      <c r="E852" s="5">
        <v>43551</v>
      </c>
      <c r="F852">
        <v>13050501</v>
      </c>
      <c r="G852">
        <v>0</v>
      </c>
      <c r="H852" t="s">
        <v>1105</v>
      </c>
      <c r="I852" t="s">
        <v>1106</v>
      </c>
      <c r="J852">
        <v>1008</v>
      </c>
      <c r="K852">
        <v>1315</v>
      </c>
      <c r="L852" s="3">
        <v>-2417471</v>
      </c>
      <c r="M852" s="3">
        <v>0</v>
      </c>
      <c r="N852">
        <v>119000</v>
      </c>
      <c r="O852">
        <v>0</v>
      </c>
      <c r="P852">
        <v>-2536471</v>
      </c>
      <c r="Q852" t="s">
        <v>30</v>
      </c>
      <c r="R852" t="s">
        <v>412</v>
      </c>
      <c r="S852" t="str">
        <v>#N/A</v>
      </c>
      <c r="T852" t="str">
        <v>#N/A</v>
      </c>
    </row>
    <row r="853" spans="1:20" ht="13.7" customHeight="1" x14ac:dyDescent="0.25">
      <c r="A853" t="s">
        <v>199</v>
      </c>
      <c r="B853" t="s">
        <v>200</v>
      </c>
      <c r="C853" t="s">
        <v>91</v>
      </c>
      <c r="D853">
        <v>4</v>
      </c>
      <c r="E853" s="5">
        <v>43551</v>
      </c>
      <c r="F853">
        <v>13050501</v>
      </c>
      <c r="G853">
        <v>0</v>
      </c>
      <c r="H853" t="s">
        <v>1105</v>
      </c>
      <c r="I853" t="s">
        <v>1106</v>
      </c>
      <c r="J853">
        <v>1008</v>
      </c>
      <c r="K853">
        <v>1315</v>
      </c>
      <c r="L853" s="3">
        <v>-2536471</v>
      </c>
      <c r="M853" s="3">
        <v>0</v>
      </c>
      <c r="N853">
        <v>6059312</v>
      </c>
      <c r="O853">
        <v>0</v>
      </c>
      <c r="P853">
        <v>-8595783</v>
      </c>
      <c r="Q853" t="s">
        <v>30</v>
      </c>
      <c r="R853" t="s">
        <v>413</v>
      </c>
      <c r="S853" t="str">
        <v>#N/A</v>
      </c>
      <c r="T853" t="str">
        <v>#N/A</v>
      </c>
    </row>
    <row r="854" spans="1:20" ht="13.7" customHeight="1" x14ac:dyDescent="0.25">
      <c r="E854" s="5">
        <v>43465</v>
      </c>
      <c r="F854">
        <v>13050501</v>
      </c>
      <c r="G854">
        <v>0</v>
      </c>
      <c r="H854" t="s">
        <v>1137</v>
      </c>
      <c r="I854" t="s">
        <v>1138</v>
      </c>
      <c r="J854">
        <v>0</v>
      </c>
      <c r="K854">
        <v>0</v>
      </c>
      <c r="L854" s="3">
        <v>0</v>
      </c>
      <c r="M854" s="3">
        <v>0</v>
      </c>
      <c r="N854">
        <v>0</v>
      </c>
      <c r="O854">
        <v>0</v>
      </c>
      <c r="P854">
        <v>0</v>
      </c>
      <c r="R854" t="s">
        <v>1100</v>
      </c>
      <c r="S854" t="str">
        <v>#N/A</v>
      </c>
      <c r="T854" t="str">
        <v>#N/A</v>
      </c>
    </row>
    <row r="855" spans="1:20" ht="13.7" customHeight="1" x14ac:dyDescent="0.25">
      <c r="A855" t="s">
        <v>320</v>
      </c>
      <c r="B855" t="s">
        <v>321</v>
      </c>
      <c r="C855" t="s">
        <v>142</v>
      </c>
      <c r="D855">
        <v>439</v>
      </c>
      <c r="E855" s="5">
        <v>43608</v>
      </c>
      <c r="F855">
        <v>13050501</v>
      </c>
      <c r="G855">
        <v>0</v>
      </c>
      <c r="H855" t="s">
        <v>1137</v>
      </c>
      <c r="I855" t="s">
        <v>1138</v>
      </c>
      <c r="J855">
        <v>1008</v>
      </c>
      <c r="K855">
        <v>1315</v>
      </c>
      <c r="L855" s="3">
        <v>0</v>
      </c>
      <c r="M855" s="3">
        <v>399840</v>
      </c>
      <c r="N855">
        <v>0</v>
      </c>
      <c r="O855">
        <v>0</v>
      </c>
      <c r="P855">
        <v>399840</v>
      </c>
      <c r="Q855" t="s">
        <v>30</v>
      </c>
      <c r="R855" t="s">
        <v>453</v>
      </c>
      <c r="S855" t="str">
        <v>#N/A</v>
      </c>
      <c r="T855" t="str">
        <v>#N/A</v>
      </c>
    </row>
    <row r="856" spans="1:20" ht="13.7" customHeight="1" x14ac:dyDescent="0.25">
      <c r="A856" t="s">
        <v>320</v>
      </c>
      <c r="B856" t="s">
        <v>321</v>
      </c>
      <c r="C856" t="s">
        <v>142</v>
      </c>
      <c r="D856">
        <v>450</v>
      </c>
      <c r="E856" s="5">
        <v>43628</v>
      </c>
      <c r="F856">
        <v>13050501</v>
      </c>
      <c r="G856">
        <v>0</v>
      </c>
      <c r="H856" t="s">
        <v>1137</v>
      </c>
      <c r="I856" t="s">
        <v>1138</v>
      </c>
      <c r="J856">
        <v>1008</v>
      </c>
      <c r="K856">
        <v>1315</v>
      </c>
      <c r="L856" s="3">
        <v>399840</v>
      </c>
      <c r="M856" s="3">
        <v>2242625</v>
      </c>
      <c r="N856">
        <v>0</v>
      </c>
      <c r="O856">
        <v>0</v>
      </c>
      <c r="P856">
        <v>2642465</v>
      </c>
      <c r="Q856" t="s">
        <v>30</v>
      </c>
      <c r="R856" t="s">
        <v>459</v>
      </c>
      <c r="S856" t="str">
        <v>#N/A</v>
      </c>
      <c r="T856" t="str">
        <v>#N/A</v>
      </c>
    </row>
    <row r="857" spans="1:20" ht="13.7" customHeight="1" x14ac:dyDescent="0.25">
      <c r="A857" t="s">
        <v>320</v>
      </c>
      <c r="B857" t="s">
        <v>321</v>
      </c>
      <c r="C857" t="s">
        <v>142</v>
      </c>
      <c r="D857">
        <v>500</v>
      </c>
      <c r="E857" s="5">
        <v>43734</v>
      </c>
      <c r="F857">
        <v>13050501</v>
      </c>
      <c r="G857">
        <v>0</v>
      </c>
      <c r="H857" t="s">
        <v>1137</v>
      </c>
      <c r="I857" t="s">
        <v>1138</v>
      </c>
      <c r="J857">
        <v>1008</v>
      </c>
      <c r="K857">
        <v>1315</v>
      </c>
      <c r="L857" s="3">
        <v>2642465</v>
      </c>
      <c r="M857" s="3">
        <v>2242625</v>
      </c>
      <c r="N857">
        <v>0</v>
      </c>
      <c r="O857">
        <v>0</v>
      </c>
      <c r="P857">
        <v>4885090</v>
      </c>
      <c r="Q857" t="s">
        <v>30</v>
      </c>
      <c r="R857" t="s">
        <v>485</v>
      </c>
      <c r="S857" t="str">
        <v>#N/A</v>
      </c>
      <c r="T857" t="str">
        <v>#N/A</v>
      </c>
    </row>
    <row r="858" spans="1:20" ht="13.7" customHeight="1" x14ac:dyDescent="0.25">
      <c r="A858" t="s">
        <v>320</v>
      </c>
      <c r="B858" t="s">
        <v>321</v>
      </c>
      <c r="C858" t="s">
        <v>142</v>
      </c>
      <c r="D858">
        <v>530</v>
      </c>
      <c r="E858" s="5">
        <v>43785</v>
      </c>
      <c r="F858">
        <v>13050501</v>
      </c>
      <c r="G858">
        <v>0</v>
      </c>
      <c r="H858" t="s">
        <v>1137</v>
      </c>
      <c r="I858" t="s">
        <v>1138</v>
      </c>
      <c r="J858">
        <v>1008</v>
      </c>
      <c r="K858">
        <v>1315</v>
      </c>
      <c r="L858" s="3">
        <v>4885090</v>
      </c>
      <c r="M858" s="3">
        <v>4485250</v>
      </c>
      <c r="N858">
        <v>0</v>
      </c>
      <c r="O858">
        <v>0</v>
      </c>
      <c r="P858">
        <v>9370340</v>
      </c>
      <c r="Q858" t="s">
        <v>30</v>
      </c>
      <c r="R858" t="s">
        <v>512</v>
      </c>
      <c r="S858" t="str">
        <v>#N/A</v>
      </c>
      <c r="T858" t="str">
        <v>#N/A</v>
      </c>
    </row>
    <row r="859" spans="1:20" ht="13.7" customHeight="1" x14ac:dyDescent="0.25">
      <c r="E859" s="5">
        <v>43465</v>
      </c>
      <c r="F859">
        <v>13250501</v>
      </c>
      <c r="G859">
        <v>0</v>
      </c>
      <c r="H859" t="s">
        <v>1141</v>
      </c>
      <c r="I859" t="s">
        <v>1142</v>
      </c>
      <c r="J859">
        <v>0</v>
      </c>
      <c r="K859">
        <v>0</v>
      </c>
      <c r="L859" s="3">
        <v>-89098.48</v>
      </c>
      <c r="M859" s="3">
        <v>0</v>
      </c>
      <c r="N859">
        <v>0</v>
      </c>
      <c r="O859">
        <v>0</v>
      </c>
      <c r="P859">
        <v>-89098.48</v>
      </c>
      <c r="R859" t="s">
        <v>1100</v>
      </c>
      <c r="S859" t="str">
        <v>#N/A</v>
      </c>
      <c r="T859" t="str">
        <v>13</v>
      </c>
    </row>
    <row r="860" spans="1:20" ht="13.7" customHeight="1" x14ac:dyDescent="0.25">
      <c r="A860" t="s">
        <v>26</v>
      </c>
      <c r="B860" t="s">
        <v>27</v>
      </c>
      <c r="C860" t="s">
        <v>28</v>
      </c>
      <c r="D860">
        <v>37</v>
      </c>
      <c r="E860" s="5">
        <v>43480</v>
      </c>
      <c r="F860">
        <v>13250501</v>
      </c>
      <c r="G860">
        <v>0</v>
      </c>
      <c r="H860" t="s">
        <v>1141</v>
      </c>
      <c r="I860" t="s">
        <v>1142</v>
      </c>
      <c r="J860">
        <v>1008</v>
      </c>
      <c r="K860">
        <v>1316</v>
      </c>
      <c r="L860" s="3">
        <v>-89098.48</v>
      </c>
      <c r="M860" s="3">
        <v>0</v>
      </c>
      <c r="N860">
        <v>180000</v>
      </c>
      <c r="O860">
        <v>0</v>
      </c>
      <c r="P860">
        <v>-269098.48</v>
      </c>
      <c r="Q860" t="s">
        <v>30</v>
      </c>
      <c r="R860" t="s">
        <v>534</v>
      </c>
      <c r="S860" t="str">
        <v>#N/A</v>
      </c>
      <c r="T860" t="str">
        <v>13</v>
      </c>
    </row>
    <row r="861" spans="1:20" ht="13.7" customHeight="1" x14ac:dyDescent="0.25">
      <c r="A861" t="s">
        <v>26</v>
      </c>
      <c r="B861" t="s">
        <v>27</v>
      </c>
      <c r="C861" t="s">
        <v>34</v>
      </c>
      <c r="D861">
        <v>5</v>
      </c>
      <c r="E861" s="5">
        <v>43558</v>
      </c>
      <c r="F861">
        <v>13250501</v>
      </c>
      <c r="G861">
        <v>0</v>
      </c>
      <c r="H861" t="s">
        <v>1141</v>
      </c>
      <c r="I861" t="s">
        <v>1142</v>
      </c>
      <c r="J861">
        <v>1008</v>
      </c>
      <c r="K861">
        <v>1316</v>
      </c>
      <c r="L861" s="3">
        <v>-269098.48</v>
      </c>
      <c r="M861" s="3">
        <v>0</v>
      </c>
      <c r="N861">
        <v>30000</v>
      </c>
      <c r="O861">
        <v>0</v>
      </c>
      <c r="P861">
        <v>-299098.48</v>
      </c>
      <c r="Q861" t="s">
        <v>30</v>
      </c>
      <c r="R861" t="s">
        <v>541</v>
      </c>
      <c r="S861" t="str">
        <v>#N/A</v>
      </c>
      <c r="T861" t="str">
        <v>13</v>
      </c>
    </row>
    <row r="862" spans="1:20" ht="13.7" customHeight="1" x14ac:dyDescent="0.25">
      <c r="A862" t="s">
        <v>26</v>
      </c>
      <c r="B862" t="s">
        <v>27</v>
      </c>
      <c r="C862" t="s">
        <v>34</v>
      </c>
      <c r="D862">
        <v>15</v>
      </c>
      <c r="E862" s="5">
        <v>43563</v>
      </c>
      <c r="F862">
        <v>13250501</v>
      </c>
      <c r="G862">
        <v>0</v>
      </c>
      <c r="H862" t="s">
        <v>1141</v>
      </c>
      <c r="I862" t="s">
        <v>1142</v>
      </c>
      <c r="J862">
        <v>1008</v>
      </c>
      <c r="K862">
        <v>1316</v>
      </c>
      <c r="L862" s="3">
        <v>-299098.48</v>
      </c>
      <c r="M862" s="3">
        <v>0</v>
      </c>
      <c r="N862">
        <v>23900</v>
      </c>
      <c r="O862">
        <v>0</v>
      </c>
      <c r="P862">
        <v>-322998.48</v>
      </c>
      <c r="Q862" t="s">
        <v>30</v>
      </c>
      <c r="R862" t="s">
        <v>542</v>
      </c>
      <c r="S862" t="str">
        <v>#N/A</v>
      </c>
      <c r="T862" t="str">
        <v>13</v>
      </c>
    </row>
    <row r="863" spans="1:20" ht="13.7" customHeight="1" x14ac:dyDescent="0.25">
      <c r="A863" t="s">
        <v>26</v>
      </c>
      <c r="B863" t="s">
        <v>27</v>
      </c>
      <c r="C863" t="s">
        <v>37</v>
      </c>
      <c r="D863">
        <v>29</v>
      </c>
      <c r="E863" s="5">
        <v>43656</v>
      </c>
      <c r="F863">
        <v>13250501</v>
      </c>
      <c r="G863">
        <v>0</v>
      </c>
      <c r="H863" t="s">
        <v>1141</v>
      </c>
      <c r="I863" t="s">
        <v>1142</v>
      </c>
      <c r="J863">
        <v>1008</v>
      </c>
      <c r="K863">
        <v>1316</v>
      </c>
      <c r="L863" s="3">
        <v>-322998.48</v>
      </c>
      <c r="M863" s="3">
        <v>0</v>
      </c>
      <c r="N863">
        <v>11940</v>
      </c>
      <c r="O863">
        <v>0</v>
      </c>
      <c r="P863">
        <v>-334938.48</v>
      </c>
      <c r="Q863" t="s">
        <v>30</v>
      </c>
      <c r="R863" t="s">
        <v>149</v>
      </c>
      <c r="S863" t="str">
        <v>#N/A</v>
      </c>
      <c r="T863" t="str">
        <v>13</v>
      </c>
    </row>
    <row r="864" spans="1:20" ht="13.7" customHeight="1" x14ac:dyDescent="0.25">
      <c r="A864" t="s">
        <v>26</v>
      </c>
      <c r="B864" t="s">
        <v>27</v>
      </c>
      <c r="C864" t="s">
        <v>38</v>
      </c>
      <c r="D864">
        <v>10</v>
      </c>
      <c r="E864" s="5">
        <v>43683</v>
      </c>
      <c r="F864">
        <v>13250501</v>
      </c>
      <c r="G864">
        <v>0</v>
      </c>
      <c r="H864" t="s">
        <v>1141</v>
      </c>
      <c r="I864" t="s">
        <v>1142</v>
      </c>
      <c r="J864">
        <v>1008</v>
      </c>
      <c r="K864">
        <v>1316</v>
      </c>
      <c r="L864" s="3">
        <v>-334938.48</v>
      </c>
      <c r="M864" s="3">
        <v>0</v>
      </c>
      <c r="N864">
        <v>30000</v>
      </c>
      <c r="O864">
        <v>0</v>
      </c>
      <c r="P864">
        <v>-364938.48</v>
      </c>
      <c r="Q864" t="s">
        <v>30</v>
      </c>
      <c r="R864" t="s">
        <v>553</v>
      </c>
      <c r="S864" t="str">
        <v>#N/A</v>
      </c>
      <c r="T864" t="str">
        <v>13</v>
      </c>
    </row>
    <row r="865" spans="1:20" ht="13.7" customHeight="1" x14ac:dyDescent="0.25">
      <c r="A865" t="s">
        <v>26</v>
      </c>
      <c r="B865" t="s">
        <v>27</v>
      </c>
      <c r="C865" t="s">
        <v>41</v>
      </c>
      <c r="D865">
        <v>32</v>
      </c>
      <c r="E865" s="5">
        <v>43783</v>
      </c>
      <c r="F865">
        <v>13250501</v>
      </c>
      <c r="G865">
        <v>0</v>
      </c>
      <c r="H865" t="s">
        <v>1141</v>
      </c>
      <c r="I865" t="s">
        <v>1142</v>
      </c>
      <c r="J865">
        <v>1008</v>
      </c>
      <c r="K865">
        <v>1316</v>
      </c>
      <c r="L865" s="3">
        <v>-364938.48</v>
      </c>
      <c r="M865" s="3">
        <v>0</v>
      </c>
      <c r="N865">
        <v>16000</v>
      </c>
      <c r="O865">
        <v>0</v>
      </c>
      <c r="P865">
        <v>-380938.48</v>
      </c>
      <c r="Q865" t="s">
        <v>30</v>
      </c>
      <c r="R865" t="s">
        <v>573</v>
      </c>
      <c r="S865" t="str">
        <v>#N/A</v>
      </c>
      <c r="T865" t="str">
        <v>13</v>
      </c>
    </row>
    <row r="866" spans="1:20" ht="13.7" customHeight="1" x14ac:dyDescent="0.25">
      <c r="A866" t="s">
        <v>26</v>
      </c>
      <c r="B866" t="s">
        <v>27</v>
      </c>
      <c r="C866" t="s">
        <v>41</v>
      </c>
      <c r="D866">
        <v>42</v>
      </c>
      <c r="E866" s="5">
        <v>43785</v>
      </c>
      <c r="F866">
        <v>13250501</v>
      </c>
      <c r="G866">
        <v>0</v>
      </c>
      <c r="H866" t="s">
        <v>1141</v>
      </c>
      <c r="I866" t="s">
        <v>1142</v>
      </c>
      <c r="J866">
        <v>1008</v>
      </c>
      <c r="K866">
        <v>1316</v>
      </c>
      <c r="L866" s="3">
        <v>-380938.48</v>
      </c>
      <c r="M866" s="3">
        <v>0</v>
      </c>
      <c r="N866">
        <v>10001</v>
      </c>
      <c r="O866">
        <v>0</v>
      </c>
      <c r="P866">
        <v>-390939.48</v>
      </c>
      <c r="Q866" t="s">
        <v>30</v>
      </c>
      <c r="R866" t="s">
        <v>537</v>
      </c>
      <c r="S866" t="str">
        <v>#N/A</v>
      </c>
      <c r="T866" t="str">
        <v>13</v>
      </c>
    </row>
    <row r="867" spans="1:20" ht="13.7" customHeight="1" x14ac:dyDescent="0.25">
      <c r="A867" t="s">
        <v>26</v>
      </c>
      <c r="B867" t="s">
        <v>27</v>
      </c>
      <c r="C867" t="s">
        <v>180</v>
      </c>
      <c r="D867">
        <v>15</v>
      </c>
      <c r="E867" s="5">
        <v>43808</v>
      </c>
      <c r="F867">
        <v>13250501</v>
      </c>
      <c r="G867">
        <v>0</v>
      </c>
      <c r="H867" t="s">
        <v>1141</v>
      </c>
      <c r="I867" t="s">
        <v>1142</v>
      </c>
      <c r="J867">
        <v>1008</v>
      </c>
      <c r="K867">
        <v>1316</v>
      </c>
      <c r="L867" s="3">
        <v>-390939.48</v>
      </c>
      <c r="M867" s="3">
        <v>0</v>
      </c>
      <c r="N867">
        <v>32700</v>
      </c>
      <c r="O867">
        <v>0</v>
      </c>
      <c r="P867">
        <v>-423639.48</v>
      </c>
      <c r="Q867" t="s">
        <v>30</v>
      </c>
      <c r="R867" t="s">
        <v>70</v>
      </c>
      <c r="S867" t="str">
        <v>#N/A</v>
      </c>
      <c r="T867" t="str">
        <v>13</v>
      </c>
    </row>
    <row r="868" spans="1:20" ht="13.7" customHeight="1" x14ac:dyDescent="0.25">
      <c r="E868" s="5">
        <v>43465</v>
      </c>
      <c r="F868">
        <v>13250501</v>
      </c>
      <c r="G868">
        <v>0</v>
      </c>
      <c r="H868" t="s">
        <v>1143</v>
      </c>
      <c r="I868" t="s">
        <v>1144</v>
      </c>
      <c r="J868">
        <v>0</v>
      </c>
      <c r="K868">
        <v>0</v>
      </c>
      <c r="L868" s="3">
        <v>0</v>
      </c>
      <c r="M868" s="3">
        <v>0</v>
      </c>
      <c r="N868">
        <v>0</v>
      </c>
      <c r="O868">
        <v>0</v>
      </c>
      <c r="P868">
        <v>0</v>
      </c>
      <c r="R868" t="s">
        <v>1100</v>
      </c>
      <c r="S868" t="str">
        <v>#N/A</v>
      </c>
      <c r="T868" t="str">
        <v>#N/A</v>
      </c>
    </row>
    <row r="869" spans="1:20" ht="13.7" customHeight="1" x14ac:dyDescent="0.25">
      <c r="A869" t="s">
        <v>26</v>
      </c>
      <c r="B869" t="s">
        <v>27</v>
      </c>
      <c r="C869" t="s">
        <v>91</v>
      </c>
      <c r="D869">
        <v>8</v>
      </c>
      <c r="E869" s="5">
        <v>43526</v>
      </c>
      <c r="F869">
        <v>13250501</v>
      </c>
      <c r="G869">
        <v>0</v>
      </c>
      <c r="H869" t="s">
        <v>1143</v>
      </c>
      <c r="I869" t="s">
        <v>1144</v>
      </c>
      <c r="J869">
        <v>1008</v>
      </c>
      <c r="K869">
        <v>1316</v>
      </c>
      <c r="L869" s="3">
        <v>0</v>
      </c>
      <c r="M869" s="3">
        <v>0</v>
      </c>
      <c r="N869">
        <v>107674</v>
      </c>
      <c r="O869">
        <v>0</v>
      </c>
      <c r="P869">
        <v>-107674</v>
      </c>
      <c r="Q869" t="s">
        <v>30</v>
      </c>
      <c r="R869" t="s">
        <v>158</v>
      </c>
      <c r="S869" t="str">
        <v>#N/A</v>
      </c>
      <c r="T869" t="str">
        <v>#N/A</v>
      </c>
    </row>
    <row r="870" spans="1:20" ht="13.7" customHeight="1" x14ac:dyDescent="0.25">
      <c r="A870" t="s">
        <v>26</v>
      </c>
      <c r="B870" t="s">
        <v>27</v>
      </c>
      <c r="C870" t="s">
        <v>91</v>
      </c>
      <c r="D870">
        <v>18</v>
      </c>
      <c r="E870" s="5">
        <v>43529</v>
      </c>
      <c r="F870">
        <v>13250501</v>
      </c>
      <c r="G870">
        <v>0</v>
      </c>
      <c r="H870" t="s">
        <v>1143</v>
      </c>
      <c r="I870" t="s">
        <v>1144</v>
      </c>
      <c r="J870">
        <v>1008</v>
      </c>
      <c r="K870">
        <v>1316</v>
      </c>
      <c r="L870" s="3">
        <v>-107674</v>
      </c>
      <c r="M870" s="3">
        <v>0</v>
      </c>
      <c r="N870">
        <v>8000</v>
      </c>
      <c r="O870">
        <v>0</v>
      </c>
      <c r="P870">
        <v>-115674</v>
      </c>
      <c r="Q870" t="s">
        <v>30</v>
      </c>
      <c r="R870" t="s">
        <v>59</v>
      </c>
      <c r="S870" t="str">
        <v>#N/A</v>
      </c>
      <c r="T870" t="str">
        <v>#N/A</v>
      </c>
    </row>
    <row r="871" spans="1:20" ht="13.7" customHeight="1" x14ac:dyDescent="0.25">
      <c r="A871" t="s">
        <v>26</v>
      </c>
      <c r="B871" t="s">
        <v>27</v>
      </c>
      <c r="C871" t="s">
        <v>34</v>
      </c>
      <c r="D871">
        <v>60</v>
      </c>
      <c r="E871" s="5">
        <v>43582</v>
      </c>
      <c r="F871">
        <v>13250501</v>
      </c>
      <c r="G871">
        <v>0</v>
      </c>
      <c r="H871" t="s">
        <v>1143</v>
      </c>
      <c r="I871" t="s">
        <v>1144</v>
      </c>
      <c r="J871">
        <v>1008</v>
      </c>
      <c r="K871">
        <v>1316</v>
      </c>
      <c r="L871" s="3">
        <v>-115674</v>
      </c>
      <c r="M871" s="3">
        <v>0</v>
      </c>
      <c r="N871">
        <v>3500</v>
      </c>
      <c r="O871">
        <v>0</v>
      </c>
      <c r="P871">
        <v>-119174</v>
      </c>
      <c r="Q871" t="s">
        <v>30</v>
      </c>
      <c r="R871" t="s">
        <v>68</v>
      </c>
      <c r="S871" t="str">
        <v>#N/A</v>
      </c>
      <c r="T871" t="str">
        <v>#N/A</v>
      </c>
    </row>
    <row r="872" spans="1:20" ht="13.7" customHeight="1" x14ac:dyDescent="0.25">
      <c r="A872" t="s">
        <v>26</v>
      </c>
      <c r="B872" t="s">
        <v>27</v>
      </c>
      <c r="C872" t="s">
        <v>35</v>
      </c>
      <c r="D872">
        <v>38</v>
      </c>
      <c r="E872" s="5">
        <v>43597</v>
      </c>
      <c r="F872">
        <v>13250501</v>
      </c>
      <c r="G872">
        <v>0</v>
      </c>
      <c r="H872" t="s">
        <v>1143</v>
      </c>
      <c r="I872" t="s">
        <v>1144</v>
      </c>
      <c r="J872">
        <v>1008</v>
      </c>
      <c r="K872">
        <v>1316</v>
      </c>
      <c r="L872" s="3">
        <v>-119174</v>
      </c>
      <c r="M872" s="3">
        <v>0</v>
      </c>
      <c r="N872">
        <v>90002</v>
      </c>
      <c r="O872">
        <v>0</v>
      </c>
      <c r="P872">
        <v>-209176</v>
      </c>
      <c r="Q872" t="s">
        <v>30</v>
      </c>
      <c r="R872" t="s">
        <v>158</v>
      </c>
      <c r="S872" t="str">
        <v>#N/A</v>
      </c>
      <c r="T872" t="str">
        <v>#N/A</v>
      </c>
    </row>
    <row r="873" spans="1:20" ht="13.7" customHeight="1" x14ac:dyDescent="0.25">
      <c r="A873" t="s">
        <v>26</v>
      </c>
      <c r="B873" t="s">
        <v>27</v>
      </c>
      <c r="C873" t="s">
        <v>35</v>
      </c>
      <c r="D873">
        <v>54</v>
      </c>
      <c r="E873" s="5">
        <v>43601</v>
      </c>
      <c r="F873">
        <v>13250501</v>
      </c>
      <c r="G873">
        <v>0</v>
      </c>
      <c r="H873" t="s">
        <v>1143</v>
      </c>
      <c r="I873" t="s">
        <v>1144</v>
      </c>
      <c r="J873">
        <v>1008</v>
      </c>
      <c r="K873">
        <v>1316</v>
      </c>
      <c r="L873" s="3">
        <v>-209176</v>
      </c>
      <c r="M873" s="3">
        <v>0</v>
      </c>
      <c r="N873">
        <v>5100</v>
      </c>
      <c r="O873">
        <v>0</v>
      </c>
      <c r="P873">
        <v>-214276</v>
      </c>
      <c r="Q873" t="s">
        <v>30</v>
      </c>
      <c r="R873" t="s">
        <v>59</v>
      </c>
      <c r="S873" t="str">
        <v>#N/A</v>
      </c>
      <c r="T873" t="str">
        <v>#N/A</v>
      </c>
    </row>
    <row r="874" spans="1:20" ht="13.7" customHeight="1" x14ac:dyDescent="0.25">
      <c r="A874" t="s">
        <v>26</v>
      </c>
      <c r="B874" t="s">
        <v>27</v>
      </c>
      <c r="C874" t="s">
        <v>35</v>
      </c>
      <c r="D874">
        <v>92</v>
      </c>
      <c r="E874" s="5">
        <v>43615</v>
      </c>
      <c r="F874">
        <v>13250501</v>
      </c>
      <c r="G874">
        <v>0</v>
      </c>
      <c r="H874" t="s">
        <v>1143</v>
      </c>
      <c r="I874" t="s">
        <v>1144</v>
      </c>
      <c r="J874">
        <v>1008</v>
      </c>
      <c r="K874">
        <v>1316</v>
      </c>
      <c r="L874" s="3">
        <v>-214276</v>
      </c>
      <c r="M874" s="3">
        <v>0</v>
      </c>
      <c r="N874">
        <v>5900</v>
      </c>
      <c r="O874">
        <v>0</v>
      </c>
      <c r="P874">
        <v>-220176</v>
      </c>
      <c r="Q874" t="s">
        <v>30</v>
      </c>
      <c r="R874" t="s">
        <v>59</v>
      </c>
      <c r="S874" t="str">
        <v>#N/A</v>
      </c>
      <c r="T874" t="str">
        <v>#N/A</v>
      </c>
    </row>
    <row r="875" spans="1:20" ht="13.7" customHeight="1" x14ac:dyDescent="0.25">
      <c r="A875" t="s">
        <v>26</v>
      </c>
      <c r="B875" t="s">
        <v>27</v>
      </c>
      <c r="C875" t="s">
        <v>36</v>
      </c>
      <c r="D875">
        <v>18</v>
      </c>
      <c r="E875" s="5">
        <v>43624</v>
      </c>
      <c r="F875">
        <v>13250501</v>
      </c>
      <c r="G875">
        <v>0</v>
      </c>
      <c r="H875" t="s">
        <v>1143</v>
      </c>
      <c r="I875" t="s">
        <v>1144</v>
      </c>
      <c r="J875">
        <v>1008</v>
      </c>
      <c r="K875">
        <v>1316</v>
      </c>
      <c r="L875" s="3">
        <v>-220176</v>
      </c>
      <c r="M875" s="3">
        <v>0</v>
      </c>
      <c r="N875">
        <v>36300</v>
      </c>
      <c r="O875">
        <v>0</v>
      </c>
      <c r="P875">
        <v>-256476</v>
      </c>
      <c r="Q875" t="s">
        <v>30</v>
      </c>
      <c r="R875" t="s">
        <v>546</v>
      </c>
      <c r="S875" t="str">
        <v>#N/A</v>
      </c>
      <c r="T875" t="str">
        <v>#N/A</v>
      </c>
    </row>
    <row r="876" spans="1:20" ht="13.7" customHeight="1" x14ac:dyDescent="0.25">
      <c r="A876" t="s">
        <v>26</v>
      </c>
      <c r="B876" t="s">
        <v>27</v>
      </c>
      <c r="C876" t="s">
        <v>36</v>
      </c>
      <c r="D876">
        <v>54</v>
      </c>
      <c r="E876" s="5">
        <v>43641</v>
      </c>
      <c r="F876">
        <v>13250501</v>
      </c>
      <c r="G876">
        <v>0</v>
      </c>
      <c r="H876" t="s">
        <v>1143</v>
      </c>
      <c r="I876" t="s">
        <v>1144</v>
      </c>
      <c r="J876">
        <v>1008</v>
      </c>
      <c r="K876">
        <v>1316</v>
      </c>
      <c r="L876" s="3">
        <v>-256476</v>
      </c>
      <c r="M876" s="3">
        <v>0</v>
      </c>
      <c r="N876">
        <v>7000</v>
      </c>
      <c r="O876">
        <v>0</v>
      </c>
      <c r="P876">
        <v>-263476</v>
      </c>
      <c r="Q876" t="s">
        <v>30</v>
      </c>
      <c r="R876" t="s">
        <v>59</v>
      </c>
      <c r="S876" t="str">
        <v>#N/A</v>
      </c>
      <c r="T876" t="str">
        <v>#N/A</v>
      </c>
    </row>
    <row r="877" spans="1:20" ht="13.7" customHeight="1" x14ac:dyDescent="0.25">
      <c r="A877" t="s">
        <v>26</v>
      </c>
      <c r="B877" t="s">
        <v>27</v>
      </c>
      <c r="C877" t="s">
        <v>36</v>
      </c>
      <c r="D877">
        <v>65</v>
      </c>
      <c r="E877" s="5">
        <v>43645</v>
      </c>
      <c r="F877">
        <v>13250501</v>
      </c>
      <c r="G877">
        <v>0</v>
      </c>
      <c r="H877" t="s">
        <v>1143</v>
      </c>
      <c r="I877" t="s">
        <v>1144</v>
      </c>
      <c r="J877">
        <v>1008</v>
      </c>
      <c r="K877">
        <v>1316</v>
      </c>
      <c r="L877" s="3">
        <v>-263476</v>
      </c>
      <c r="M877" s="3">
        <v>0</v>
      </c>
      <c r="N877">
        <v>13650</v>
      </c>
      <c r="O877">
        <v>0</v>
      </c>
      <c r="P877">
        <v>-277126</v>
      </c>
      <c r="Q877" t="s">
        <v>30</v>
      </c>
      <c r="R877" t="s">
        <v>550</v>
      </c>
      <c r="S877" t="str">
        <v>#N/A</v>
      </c>
      <c r="T877" t="str">
        <v>#N/A</v>
      </c>
    </row>
    <row r="878" spans="1:20" ht="13.7" customHeight="1" x14ac:dyDescent="0.25">
      <c r="A878" t="s">
        <v>26</v>
      </c>
      <c r="B878" t="s">
        <v>27</v>
      </c>
      <c r="C878" t="s">
        <v>37</v>
      </c>
      <c r="D878">
        <v>41</v>
      </c>
      <c r="E878" s="5">
        <v>43661</v>
      </c>
      <c r="F878">
        <v>13250501</v>
      </c>
      <c r="G878">
        <v>0</v>
      </c>
      <c r="H878" t="s">
        <v>1143</v>
      </c>
      <c r="I878" t="s">
        <v>1144</v>
      </c>
      <c r="J878">
        <v>1008</v>
      </c>
      <c r="K878">
        <v>1316</v>
      </c>
      <c r="L878" s="3">
        <v>-277126</v>
      </c>
      <c r="M878" s="3">
        <v>0</v>
      </c>
      <c r="N878">
        <v>12200</v>
      </c>
      <c r="O878">
        <v>0</v>
      </c>
      <c r="P878">
        <v>-289326</v>
      </c>
      <c r="Q878" t="s">
        <v>30</v>
      </c>
      <c r="R878" t="s">
        <v>70</v>
      </c>
      <c r="S878" t="str">
        <v>#N/A</v>
      </c>
      <c r="T878" t="str">
        <v>#N/A</v>
      </c>
    </row>
    <row r="879" spans="1:20" ht="13.7" customHeight="1" x14ac:dyDescent="0.25">
      <c r="A879" t="s">
        <v>26</v>
      </c>
      <c r="B879" t="s">
        <v>27</v>
      </c>
      <c r="C879" t="s">
        <v>37</v>
      </c>
      <c r="D879">
        <v>52</v>
      </c>
      <c r="E879" s="5">
        <v>43670</v>
      </c>
      <c r="F879">
        <v>13250501</v>
      </c>
      <c r="G879">
        <v>0</v>
      </c>
      <c r="H879" t="s">
        <v>1143</v>
      </c>
      <c r="I879" t="s">
        <v>1144</v>
      </c>
      <c r="J879">
        <v>1008</v>
      </c>
      <c r="K879">
        <v>1316</v>
      </c>
      <c r="L879" s="3">
        <v>-289326</v>
      </c>
      <c r="M879" s="3">
        <v>0</v>
      </c>
      <c r="N879">
        <v>3000</v>
      </c>
      <c r="O879">
        <v>0</v>
      </c>
      <c r="P879">
        <v>-292326</v>
      </c>
      <c r="Q879" t="s">
        <v>30</v>
      </c>
      <c r="R879" t="s">
        <v>59</v>
      </c>
      <c r="S879" t="str">
        <v>#N/A</v>
      </c>
      <c r="T879" t="str">
        <v>#N/A</v>
      </c>
    </row>
    <row r="880" spans="1:20" ht="13.7" customHeight="1" x14ac:dyDescent="0.25">
      <c r="A880" t="s">
        <v>26</v>
      </c>
      <c r="B880" t="s">
        <v>27</v>
      </c>
      <c r="C880" t="s">
        <v>37</v>
      </c>
      <c r="D880">
        <v>53</v>
      </c>
      <c r="E880" s="5">
        <v>43670</v>
      </c>
      <c r="F880">
        <v>13250501</v>
      </c>
      <c r="G880">
        <v>0</v>
      </c>
      <c r="H880" t="s">
        <v>1143</v>
      </c>
      <c r="I880" t="s">
        <v>1144</v>
      </c>
      <c r="J880">
        <v>1008</v>
      </c>
      <c r="K880">
        <v>1316</v>
      </c>
      <c r="L880" s="3">
        <v>-292326</v>
      </c>
      <c r="M880" s="3">
        <v>0</v>
      </c>
      <c r="N880">
        <v>5500</v>
      </c>
      <c r="O880">
        <v>0</v>
      </c>
      <c r="P880">
        <v>-297826</v>
      </c>
      <c r="Q880" t="s">
        <v>30</v>
      </c>
      <c r="R880" t="s">
        <v>59</v>
      </c>
      <c r="S880" t="str">
        <v>#N/A</v>
      </c>
      <c r="T880" t="str">
        <v>#N/A</v>
      </c>
    </row>
    <row r="881" spans="1:20" ht="13.7" customHeight="1" x14ac:dyDescent="0.25">
      <c r="A881" t="s">
        <v>26</v>
      </c>
      <c r="B881" t="s">
        <v>27</v>
      </c>
      <c r="C881" t="s">
        <v>39</v>
      </c>
      <c r="D881">
        <v>1</v>
      </c>
      <c r="E881" s="5">
        <v>43708</v>
      </c>
      <c r="F881">
        <v>13250501</v>
      </c>
      <c r="G881">
        <v>0</v>
      </c>
      <c r="H881" t="s">
        <v>1143</v>
      </c>
      <c r="I881" t="s">
        <v>1144</v>
      </c>
      <c r="J881">
        <v>1008</v>
      </c>
      <c r="K881">
        <v>1316</v>
      </c>
      <c r="L881" s="3">
        <v>-297826</v>
      </c>
      <c r="M881" s="3">
        <v>0</v>
      </c>
      <c r="N881">
        <v>2058337</v>
      </c>
      <c r="O881">
        <v>0</v>
      </c>
      <c r="P881">
        <v>-2356163</v>
      </c>
      <c r="Q881" t="s">
        <v>30</v>
      </c>
      <c r="R881" t="s">
        <v>562</v>
      </c>
      <c r="S881" t="str">
        <v>#N/A</v>
      </c>
      <c r="T881" t="str">
        <v>#N/A</v>
      </c>
    </row>
    <row r="882" spans="1:20" ht="13.7" customHeight="1" x14ac:dyDescent="0.25">
      <c r="A882" t="s">
        <v>26</v>
      </c>
      <c r="B882" t="s">
        <v>27</v>
      </c>
      <c r="C882" t="s">
        <v>39</v>
      </c>
      <c r="D882">
        <v>15</v>
      </c>
      <c r="E882" s="5">
        <v>43715</v>
      </c>
      <c r="F882">
        <v>13250501</v>
      </c>
      <c r="G882">
        <v>0</v>
      </c>
      <c r="H882" t="s">
        <v>1143</v>
      </c>
      <c r="I882" t="s">
        <v>1144</v>
      </c>
      <c r="J882">
        <v>1008</v>
      </c>
      <c r="K882">
        <v>1316</v>
      </c>
      <c r="L882" s="3">
        <v>-2356163</v>
      </c>
      <c r="M882" s="3">
        <v>0</v>
      </c>
      <c r="N882">
        <v>39000</v>
      </c>
      <c r="O882">
        <v>0</v>
      </c>
      <c r="P882">
        <v>-2395163</v>
      </c>
      <c r="Q882" t="s">
        <v>30</v>
      </c>
      <c r="R882" t="s">
        <v>566</v>
      </c>
      <c r="S882" t="str">
        <v>#N/A</v>
      </c>
      <c r="T882" t="str">
        <v>#N/A</v>
      </c>
    </row>
    <row r="883" spans="1:20" ht="13.7" customHeight="1" x14ac:dyDescent="0.25">
      <c r="A883" t="s">
        <v>26</v>
      </c>
      <c r="B883" t="s">
        <v>27</v>
      </c>
      <c r="C883" t="s">
        <v>39</v>
      </c>
      <c r="D883">
        <v>27</v>
      </c>
      <c r="E883" s="5">
        <v>43721</v>
      </c>
      <c r="F883">
        <v>13250501</v>
      </c>
      <c r="G883">
        <v>0</v>
      </c>
      <c r="H883" t="s">
        <v>1143</v>
      </c>
      <c r="I883" t="s">
        <v>1144</v>
      </c>
      <c r="J883">
        <v>1008</v>
      </c>
      <c r="K883">
        <v>1316</v>
      </c>
      <c r="L883" s="3">
        <v>-2395163</v>
      </c>
      <c r="M883" s="3">
        <v>0</v>
      </c>
      <c r="N883">
        <v>29950</v>
      </c>
      <c r="O883">
        <v>0</v>
      </c>
      <c r="P883">
        <v>-2425113</v>
      </c>
      <c r="Q883" t="s">
        <v>30</v>
      </c>
      <c r="R883" t="s">
        <v>537</v>
      </c>
      <c r="S883" t="str">
        <v>#N/A</v>
      </c>
      <c r="T883" t="str">
        <v>#N/A</v>
      </c>
    </row>
    <row r="884" spans="1:20" ht="13.7" customHeight="1" x14ac:dyDescent="0.25">
      <c r="A884" t="s">
        <v>26</v>
      </c>
      <c r="B884" t="s">
        <v>27</v>
      </c>
      <c r="C884" t="s">
        <v>39</v>
      </c>
      <c r="D884">
        <v>28</v>
      </c>
      <c r="E884" s="5">
        <v>43721</v>
      </c>
      <c r="F884">
        <v>13250501</v>
      </c>
      <c r="G884">
        <v>0</v>
      </c>
      <c r="H884" t="s">
        <v>1143</v>
      </c>
      <c r="I884" t="s">
        <v>1144</v>
      </c>
      <c r="J884">
        <v>1008</v>
      </c>
      <c r="K884">
        <v>1316</v>
      </c>
      <c r="L884" s="3">
        <v>-2425113</v>
      </c>
      <c r="M884" s="3">
        <v>0</v>
      </c>
      <c r="N884">
        <v>50970</v>
      </c>
      <c r="O884">
        <v>0</v>
      </c>
      <c r="P884">
        <v>-2476083</v>
      </c>
      <c r="Q884" t="s">
        <v>30</v>
      </c>
      <c r="R884" t="s">
        <v>537</v>
      </c>
      <c r="S884" t="str">
        <v>#N/A</v>
      </c>
      <c r="T884" t="str">
        <v>#N/A</v>
      </c>
    </row>
    <row r="885" spans="1:20" ht="13.7" customHeight="1" x14ac:dyDescent="0.25">
      <c r="A885" t="s">
        <v>26</v>
      </c>
      <c r="B885" t="s">
        <v>27</v>
      </c>
      <c r="C885" t="s">
        <v>39</v>
      </c>
      <c r="D885">
        <v>34</v>
      </c>
      <c r="E885" s="5">
        <v>43723</v>
      </c>
      <c r="F885">
        <v>13250501</v>
      </c>
      <c r="G885">
        <v>0</v>
      </c>
      <c r="H885" t="s">
        <v>1143</v>
      </c>
      <c r="I885" t="s">
        <v>1144</v>
      </c>
      <c r="J885">
        <v>1008</v>
      </c>
      <c r="K885">
        <v>1316</v>
      </c>
      <c r="L885" s="3">
        <v>-2476083</v>
      </c>
      <c r="M885" s="3">
        <v>0</v>
      </c>
      <c r="N885">
        <v>8800</v>
      </c>
      <c r="O885">
        <v>0</v>
      </c>
      <c r="P885">
        <v>-2484883</v>
      </c>
      <c r="Q885" t="s">
        <v>30</v>
      </c>
      <c r="R885" t="s">
        <v>542</v>
      </c>
      <c r="S885" t="str">
        <v>#N/A</v>
      </c>
      <c r="T885" t="str">
        <v>#N/A</v>
      </c>
    </row>
    <row r="886" spans="1:20" ht="13.7" customHeight="1" x14ac:dyDescent="0.25">
      <c r="A886" t="s">
        <v>26</v>
      </c>
      <c r="B886" t="s">
        <v>27</v>
      </c>
      <c r="C886" t="s">
        <v>39</v>
      </c>
      <c r="D886">
        <v>35</v>
      </c>
      <c r="E886" s="5">
        <v>43723</v>
      </c>
      <c r="F886">
        <v>13250501</v>
      </c>
      <c r="G886">
        <v>0</v>
      </c>
      <c r="H886" t="s">
        <v>1143</v>
      </c>
      <c r="I886" t="s">
        <v>1144</v>
      </c>
      <c r="J886">
        <v>1008</v>
      </c>
      <c r="K886">
        <v>1316</v>
      </c>
      <c r="L886" s="3">
        <v>-2484883</v>
      </c>
      <c r="M886" s="3">
        <v>0</v>
      </c>
      <c r="N886">
        <v>53940</v>
      </c>
      <c r="O886">
        <v>0</v>
      </c>
      <c r="P886">
        <v>-2538823</v>
      </c>
      <c r="Q886" t="s">
        <v>30</v>
      </c>
      <c r="R886" t="s">
        <v>537</v>
      </c>
      <c r="S886" t="str">
        <v>#N/A</v>
      </c>
      <c r="T886" t="str">
        <v>#N/A</v>
      </c>
    </row>
    <row r="887" spans="1:20" ht="13.7" customHeight="1" x14ac:dyDescent="0.25">
      <c r="A887" t="s">
        <v>26</v>
      </c>
      <c r="B887" t="s">
        <v>27</v>
      </c>
      <c r="C887" t="s">
        <v>39</v>
      </c>
      <c r="D887">
        <v>43</v>
      </c>
      <c r="E887" s="5">
        <v>43729</v>
      </c>
      <c r="F887">
        <v>13250501</v>
      </c>
      <c r="G887">
        <v>0</v>
      </c>
      <c r="H887" t="s">
        <v>1143</v>
      </c>
      <c r="I887" t="s">
        <v>1144</v>
      </c>
      <c r="J887">
        <v>1008</v>
      </c>
      <c r="K887">
        <v>1316</v>
      </c>
      <c r="L887" s="3">
        <v>-2538823</v>
      </c>
      <c r="M887" s="3">
        <v>0</v>
      </c>
      <c r="N887">
        <v>79900</v>
      </c>
      <c r="O887">
        <v>0</v>
      </c>
      <c r="P887">
        <v>-2618723</v>
      </c>
      <c r="Q887" t="s">
        <v>30</v>
      </c>
      <c r="R887" t="s">
        <v>537</v>
      </c>
      <c r="S887" t="str">
        <v>#N/A</v>
      </c>
      <c r="T887" t="str">
        <v>#N/A</v>
      </c>
    </row>
    <row r="888" spans="1:20" ht="13.7" customHeight="1" x14ac:dyDescent="0.25">
      <c r="A888" t="s">
        <v>26</v>
      </c>
      <c r="B888" t="s">
        <v>27</v>
      </c>
      <c r="C888" t="s">
        <v>39</v>
      </c>
      <c r="D888">
        <v>44</v>
      </c>
      <c r="E888" s="5">
        <v>43729</v>
      </c>
      <c r="F888">
        <v>13250501</v>
      </c>
      <c r="G888">
        <v>0</v>
      </c>
      <c r="H888" t="s">
        <v>1143</v>
      </c>
      <c r="I888" t="s">
        <v>1144</v>
      </c>
      <c r="J888">
        <v>1008</v>
      </c>
      <c r="K888">
        <v>1316</v>
      </c>
      <c r="L888" s="3">
        <v>-2618723</v>
      </c>
      <c r="M888" s="3">
        <v>0</v>
      </c>
      <c r="N888">
        <v>182528</v>
      </c>
      <c r="O888">
        <v>0</v>
      </c>
      <c r="P888">
        <v>-2801251</v>
      </c>
      <c r="Q888" t="s">
        <v>30</v>
      </c>
      <c r="R888" t="s">
        <v>567</v>
      </c>
      <c r="S888" t="str">
        <v>#N/A</v>
      </c>
      <c r="T888" t="str">
        <v>#N/A</v>
      </c>
    </row>
    <row r="889" spans="1:20" ht="13.7" customHeight="1" x14ac:dyDescent="0.25">
      <c r="A889" t="s">
        <v>26</v>
      </c>
      <c r="B889" t="s">
        <v>27</v>
      </c>
      <c r="C889" t="s">
        <v>41</v>
      </c>
      <c r="D889">
        <v>1</v>
      </c>
      <c r="E889" s="5">
        <v>43769</v>
      </c>
      <c r="F889">
        <v>13250501</v>
      </c>
      <c r="G889">
        <v>0</v>
      </c>
      <c r="H889" t="s">
        <v>1143</v>
      </c>
      <c r="I889" t="s">
        <v>1144</v>
      </c>
      <c r="J889">
        <v>1008</v>
      </c>
      <c r="K889">
        <v>1316</v>
      </c>
      <c r="L889" s="3">
        <v>-2801251</v>
      </c>
      <c r="M889" s="3">
        <v>0</v>
      </c>
      <c r="N889">
        <v>79900.17</v>
      </c>
      <c r="O889">
        <v>0</v>
      </c>
      <c r="P889">
        <v>-2881151.17</v>
      </c>
      <c r="Q889" t="s">
        <v>30</v>
      </c>
      <c r="R889" t="s">
        <v>537</v>
      </c>
      <c r="S889" t="str">
        <v>#N/A</v>
      </c>
      <c r="T889" t="str">
        <v>#N/A</v>
      </c>
    </row>
    <row r="890" spans="1:20" ht="13.7" customHeight="1" x14ac:dyDescent="0.25">
      <c r="A890" t="s">
        <v>26</v>
      </c>
      <c r="B890" t="s">
        <v>27</v>
      </c>
      <c r="C890" t="s">
        <v>41</v>
      </c>
      <c r="D890">
        <v>15</v>
      </c>
      <c r="E890" s="5">
        <v>43778</v>
      </c>
      <c r="F890">
        <v>13250501</v>
      </c>
      <c r="G890">
        <v>0</v>
      </c>
      <c r="H890" t="s">
        <v>1143</v>
      </c>
      <c r="I890" t="s">
        <v>1144</v>
      </c>
      <c r="J890">
        <v>1008</v>
      </c>
      <c r="K890">
        <v>1316</v>
      </c>
      <c r="L890" s="3">
        <v>-2881151.17</v>
      </c>
      <c r="M890" s="3">
        <v>0</v>
      </c>
      <c r="N890">
        <v>8090</v>
      </c>
      <c r="O890">
        <v>0</v>
      </c>
      <c r="P890">
        <v>-2889241.17</v>
      </c>
      <c r="Q890" t="s">
        <v>30</v>
      </c>
      <c r="R890" t="s">
        <v>149</v>
      </c>
      <c r="S890" t="str">
        <v>#N/A</v>
      </c>
      <c r="T890" t="str">
        <v>#N/A</v>
      </c>
    </row>
    <row r="891" spans="1:20" ht="13.7" customHeight="1" x14ac:dyDescent="0.25">
      <c r="A891" t="s">
        <v>26</v>
      </c>
      <c r="B891" t="s">
        <v>27</v>
      </c>
      <c r="C891" t="s">
        <v>41</v>
      </c>
      <c r="D891">
        <v>16</v>
      </c>
      <c r="E891" s="5">
        <v>43779</v>
      </c>
      <c r="F891">
        <v>13250501</v>
      </c>
      <c r="G891">
        <v>0</v>
      </c>
      <c r="H891" t="s">
        <v>1143</v>
      </c>
      <c r="I891" t="s">
        <v>1144</v>
      </c>
      <c r="J891">
        <v>1008</v>
      </c>
      <c r="K891">
        <v>1316</v>
      </c>
      <c r="L891" s="3">
        <v>-2889241.17</v>
      </c>
      <c r="M891" s="3">
        <v>0</v>
      </c>
      <c r="N891">
        <v>54000</v>
      </c>
      <c r="O891">
        <v>0</v>
      </c>
      <c r="P891">
        <v>-2943241.17</v>
      </c>
      <c r="Q891" t="s">
        <v>30</v>
      </c>
      <c r="R891" t="s">
        <v>572</v>
      </c>
      <c r="S891" t="str">
        <v>#N/A</v>
      </c>
      <c r="T891" t="str">
        <v>#N/A</v>
      </c>
    </row>
    <row r="892" spans="1:20" ht="13.7" customHeight="1" x14ac:dyDescent="0.25">
      <c r="A892" t="s">
        <v>26</v>
      </c>
      <c r="B892" t="s">
        <v>27</v>
      </c>
      <c r="C892" t="s">
        <v>41</v>
      </c>
      <c r="D892">
        <v>72</v>
      </c>
      <c r="E892" s="5">
        <v>43785</v>
      </c>
      <c r="F892">
        <v>13250501</v>
      </c>
      <c r="G892">
        <v>0</v>
      </c>
      <c r="H892" t="s">
        <v>1143</v>
      </c>
      <c r="I892" t="s">
        <v>1144</v>
      </c>
      <c r="J892">
        <v>1008</v>
      </c>
      <c r="K892">
        <v>1316</v>
      </c>
      <c r="L892" s="3">
        <v>-2943241.17</v>
      </c>
      <c r="M892" s="3">
        <v>0</v>
      </c>
      <c r="N892">
        <v>25999</v>
      </c>
      <c r="O892">
        <v>0</v>
      </c>
      <c r="P892">
        <v>-2969240.17</v>
      </c>
      <c r="Q892" t="s">
        <v>30</v>
      </c>
      <c r="R892" t="s">
        <v>574</v>
      </c>
      <c r="S892" t="str">
        <v>#N/A</v>
      </c>
      <c r="T892" t="str">
        <v>#N/A</v>
      </c>
    </row>
    <row r="893" spans="1:20" ht="13.7" customHeight="1" x14ac:dyDescent="0.25">
      <c r="A893" t="s">
        <v>26</v>
      </c>
      <c r="B893" t="s">
        <v>27</v>
      </c>
      <c r="C893" t="s">
        <v>41</v>
      </c>
      <c r="D893">
        <v>60</v>
      </c>
      <c r="E893" s="5">
        <v>43794</v>
      </c>
      <c r="F893">
        <v>13250501</v>
      </c>
      <c r="G893">
        <v>0</v>
      </c>
      <c r="H893" t="s">
        <v>1143</v>
      </c>
      <c r="I893" t="s">
        <v>1144</v>
      </c>
      <c r="J893">
        <v>1008</v>
      </c>
      <c r="K893">
        <v>1316</v>
      </c>
      <c r="L893" s="3">
        <v>-2969240.17</v>
      </c>
      <c r="M893" s="3">
        <v>0</v>
      </c>
      <c r="N893">
        <v>3100</v>
      </c>
      <c r="O893">
        <v>0</v>
      </c>
      <c r="P893">
        <v>-2972340.17</v>
      </c>
      <c r="Q893" t="s">
        <v>30</v>
      </c>
      <c r="R893" t="s">
        <v>68</v>
      </c>
      <c r="S893" t="str">
        <v>#N/A</v>
      </c>
      <c r="T893" t="str">
        <v>#N/A</v>
      </c>
    </row>
    <row r="894" spans="1:20" ht="13.7" customHeight="1" x14ac:dyDescent="0.25">
      <c r="A894" t="s">
        <v>26</v>
      </c>
      <c r="B894" t="s">
        <v>27</v>
      </c>
      <c r="C894" t="s">
        <v>180</v>
      </c>
      <c r="D894">
        <v>28</v>
      </c>
      <c r="E894" s="5">
        <v>43800</v>
      </c>
      <c r="F894">
        <v>13250501</v>
      </c>
      <c r="G894">
        <v>0</v>
      </c>
      <c r="H894" t="s">
        <v>1143</v>
      </c>
      <c r="I894" t="s">
        <v>1144</v>
      </c>
      <c r="J894">
        <v>1008</v>
      </c>
      <c r="K894">
        <v>1316</v>
      </c>
      <c r="L894" s="3">
        <v>-2972340.17</v>
      </c>
      <c r="M894" s="3">
        <v>0</v>
      </c>
      <c r="N894">
        <v>89950</v>
      </c>
      <c r="O894">
        <v>0</v>
      </c>
      <c r="P894">
        <v>-3062290.17</v>
      </c>
      <c r="Q894" t="s">
        <v>30</v>
      </c>
      <c r="R894" t="s">
        <v>537</v>
      </c>
      <c r="S894" t="str">
        <v>#N/A</v>
      </c>
      <c r="T894" t="str">
        <v>#N/A</v>
      </c>
    </row>
    <row r="895" spans="1:20" ht="13.7" customHeight="1" x14ac:dyDescent="0.25">
      <c r="A895" t="s">
        <v>26</v>
      </c>
      <c r="B895" t="s">
        <v>27</v>
      </c>
      <c r="C895" t="s">
        <v>180</v>
      </c>
      <c r="D895">
        <v>62</v>
      </c>
      <c r="E895" s="5">
        <v>43823</v>
      </c>
      <c r="F895">
        <v>13250501</v>
      </c>
      <c r="G895">
        <v>0</v>
      </c>
      <c r="H895" t="s">
        <v>1143</v>
      </c>
      <c r="I895" t="s">
        <v>1144</v>
      </c>
      <c r="J895">
        <v>1008</v>
      </c>
      <c r="K895">
        <v>1316</v>
      </c>
      <c r="L895" s="3">
        <v>-3062290.17</v>
      </c>
      <c r="M895" s="3">
        <v>0</v>
      </c>
      <c r="N895">
        <v>3100</v>
      </c>
      <c r="O895">
        <v>0</v>
      </c>
      <c r="P895">
        <v>-3065390.17</v>
      </c>
      <c r="Q895" t="s">
        <v>30</v>
      </c>
      <c r="R895" t="s">
        <v>68</v>
      </c>
      <c r="S895" t="str">
        <v>#N/A</v>
      </c>
      <c r="T895" t="str">
        <v>#N/A</v>
      </c>
    </row>
    <row r="896" spans="1:20" ht="13.7" customHeight="1" x14ac:dyDescent="0.25">
      <c r="E896" s="5">
        <v>43465</v>
      </c>
      <c r="F896">
        <v>13250501</v>
      </c>
      <c r="G896">
        <v>0</v>
      </c>
      <c r="H896" t="s">
        <v>1205</v>
      </c>
      <c r="I896" t="s">
        <v>1206</v>
      </c>
      <c r="J896">
        <v>0</v>
      </c>
      <c r="K896">
        <v>0</v>
      </c>
      <c r="L896" s="3">
        <v>-16800</v>
      </c>
      <c r="M896" s="3">
        <v>0</v>
      </c>
      <c r="N896">
        <v>0</v>
      </c>
      <c r="O896">
        <v>0</v>
      </c>
      <c r="P896">
        <v>-16800</v>
      </c>
      <c r="R896" t="s">
        <v>1100</v>
      </c>
      <c r="S896" t="str">
        <v>#N/A</v>
      </c>
      <c r="T896" t="str">
        <v>#N/A</v>
      </c>
    </row>
    <row r="897" spans="1:20" ht="13.7" customHeight="1" x14ac:dyDescent="0.25">
      <c r="E897" s="5">
        <v>43465</v>
      </c>
      <c r="F897">
        <v>13250501</v>
      </c>
      <c r="G897">
        <v>0</v>
      </c>
      <c r="H897" t="s">
        <v>1505</v>
      </c>
      <c r="I897" t="s">
        <v>1506</v>
      </c>
      <c r="J897">
        <v>0</v>
      </c>
      <c r="K897">
        <v>0</v>
      </c>
      <c r="L897" s="3">
        <v>-71400</v>
      </c>
      <c r="M897" s="3">
        <v>0</v>
      </c>
      <c r="N897">
        <v>0</v>
      </c>
      <c r="O897">
        <v>0</v>
      </c>
      <c r="P897">
        <v>-71400</v>
      </c>
      <c r="R897" t="s">
        <v>1100</v>
      </c>
      <c r="S897" t="str">
        <v>#N/A</v>
      </c>
      <c r="T897" t="str">
        <v>#N/A</v>
      </c>
    </row>
    <row r="898" spans="1:20" ht="13.7" customHeight="1" x14ac:dyDescent="0.25">
      <c r="E898" s="5">
        <v>43465</v>
      </c>
      <c r="F898">
        <v>13250501</v>
      </c>
      <c r="G898">
        <v>0</v>
      </c>
      <c r="H898" t="s">
        <v>1115</v>
      </c>
      <c r="I898" t="s">
        <v>1116</v>
      </c>
      <c r="J898">
        <v>0</v>
      </c>
      <c r="K898">
        <v>0</v>
      </c>
      <c r="L898" s="3">
        <v>-32102410.030000001</v>
      </c>
      <c r="M898" s="3">
        <v>0</v>
      </c>
      <c r="N898">
        <v>0</v>
      </c>
      <c r="O898">
        <v>0</v>
      </c>
      <c r="P898">
        <v>-32102410.030000001</v>
      </c>
      <c r="R898" t="s">
        <v>1100</v>
      </c>
      <c r="S898" t="str">
        <v>#N/A</v>
      </c>
      <c r="T898" t="str">
        <v>13</v>
      </c>
    </row>
    <row r="899" spans="1:20" ht="13.7" customHeight="1" x14ac:dyDescent="0.25">
      <c r="A899" t="s">
        <v>26</v>
      </c>
      <c r="B899" t="s">
        <v>27</v>
      </c>
      <c r="C899" t="s">
        <v>28</v>
      </c>
      <c r="D899">
        <v>2</v>
      </c>
      <c r="E899" s="5">
        <v>43467</v>
      </c>
      <c r="F899">
        <v>13250501</v>
      </c>
      <c r="G899">
        <v>0</v>
      </c>
      <c r="H899" t="s">
        <v>1115</v>
      </c>
      <c r="I899" t="s">
        <v>1116</v>
      </c>
      <c r="J899">
        <v>1008</v>
      </c>
      <c r="K899">
        <v>1316</v>
      </c>
      <c r="L899" s="3">
        <v>-32102410.030000001</v>
      </c>
      <c r="M899" s="3">
        <v>0</v>
      </c>
      <c r="N899">
        <v>319000</v>
      </c>
      <c r="O899">
        <v>0</v>
      </c>
      <c r="P899">
        <v>-32421410.030000001</v>
      </c>
      <c r="Q899" t="s">
        <v>30</v>
      </c>
      <c r="R899" t="s">
        <v>529</v>
      </c>
      <c r="S899" t="str">
        <v>#N/A</v>
      </c>
      <c r="T899" t="str">
        <v>13</v>
      </c>
    </row>
    <row r="900" spans="1:20" ht="13.7" customHeight="1" x14ac:dyDescent="0.25">
      <c r="A900" t="s">
        <v>26</v>
      </c>
      <c r="B900" t="s">
        <v>27</v>
      </c>
      <c r="C900" t="s">
        <v>28</v>
      </c>
      <c r="D900">
        <v>3</v>
      </c>
      <c r="E900" s="5">
        <v>43467</v>
      </c>
      <c r="F900">
        <v>13250501</v>
      </c>
      <c r="G900">
        <v>0</v>
      </c>
      <c r="H900" t="s">
        <v>1115</v>
      </c>
      <c r="I900" t="s">
        <v>1116</v>
      </c>
      <c r="J900">
        <v>1008</v>
      </c>
      <c r="K900">
        <v>1316</v>
      </c>
      <c r="L900" s="3">
        <v>-32421410.030000001</v>
      </c>
      <c r="M900" s="3">
        <v>0</v>
      </c>
      <c r="N900">
        <v>263800</v>
      </c>
      <c r="O900">
        <v>0</v>
      </c>
      <c r="P900">
        <v>-32685210.030000001</v>
      </c>
      <c r="Q900" t="s">
        <v>30</v>
      </c>
      <c r="R900" t="s">
        <v>530</v>
      </c>
      <c r="S900" t="str">
        <v>#N/A</v>
      </c>
      <c r="T900" t="str">
        <v>13</v>
      </c>
    </row>
    <row r="901" spans="1:20" ht="13.7" customHeight="1" x14ac:dyDescent="0.25">
      <c r="A901" t="s">
        <v>26</v>
      </c>
      <c r="B901" t="s">
        <v>27</v>
      </c>
      <c r="C901" t="s">
        <v>28</v>
      </c>
      <c r="D901">
        <v>5</v>
      </c>
      <c r="E901" s="5">
        <v>43467</v>
      </c>
      <c r="F901">
        <v>13250501</v>
      </c>
      <c r="G901">
        <v>0</v>
      </c>
      <c r="H901" t="s">
        <v>1115</v>
      </c>
      <c r="I901" t="s">
        <v>1116</v>
      </c>
      <c r="J901">
        <v>1008</v>
      </c>
      <c r="K901">
        <v>1316</v>
      </c>
      <c r="L901" s="3">
        <v>-32685210.030000001</v>
      </c>
      <c r="M901" s="3">
        <v>0</v>
      </c>
      <c r="N901">
        <v>7800</v>
      </c>
      <c r="O901">
        <v>0</v>
      </c>
      <c r="P901">
        <v>-32693010.030000001</v>
      </c>
      <c r="Q901" t="s">
        <v>30</v>
      </c>
      <c r="R901" t="s">
        <v>191</v>
      </c>
      <c r="S901" t="str">
        <v>#N/A</v>
      </c>
      <c r="T901" t="str">
        <v>13</v>
      </c>
    </row>
    <row r="902" spans="1:20" ht="13.7" customHeight="1" x14ac:dyDescent="0.25">
      <c r="A902" t="s">
        <v>26</v>
      </c>
      <c r="B902" t="s">
        <v>27</v>
      </c>
      <c r="C902" t="s">
        <v>28</v>
      </c>
      <c r="D902">
        <v>6</v>
      </c>
      <c r="E902" s="5">
        <v>43467</v>
      </c>
      <c r="F902">
        <v>13250501</v>
      </c>
      <c r="G902">
        <v>0</v>
      </c>
      <c r="H902" t="s">
        <v>1115</v>
      </c>
      <c r="I902" t="s">
        <v>1116</v>
      </c>
      <c r="J902">
        <v>1008</v>
      </c>
      <c r="K902">
        <v>1316</v>
      </c>
      <c r="L902" s="3">
        <v>-32693010.030000001</v>
      </c>
      <c r="M902" s="3">
        <v>0</v>
      </c>
      <c r="N902">
        <v>7800</v>
      </c>
      <c r="O902">
        <v>0</v>
      </c>
      <c r="P902">
        <v>-32700810.030000001</v>
      </c>
      <c r="Q902" t="s">
        <v>30</v>
      </c>
      <c r="R902" t="s">
        <v>191</v>
      </c>
      <c r="S902" t="str">
        <v>#N/A</v>
      </c>
      <c r="T902" t="str">
        <v>13</v>
      </c>
    </row>
    <row r="903" spans="1:20" ht="13.7" customHeight="1" x14ac:dyDescent="0.25">
      <c r="A903" t="s">
        <v>26</v>
      </c>
      <c r="B903" t="s">
        <v>27</v>
      </c>
      <c r="C903" t="s">
        <v>28</v>
      </c>
      <c r="D903">
        <v>4</v>
      </c>
      <c r="E903" s="5">
        <v>43468</v>
      </c>
      <c r="F903">
        <v>13250501</v>
      </c>
      <c r="G903">
        <v>0</v>
      </c>
      <c r="H903" t="s">
        <v>1115</v>
      </c>
      <c r="I903" t="s">
        <v>1116</v>
      </c>
      <c r="J903">
        <v>1008</v>
      </c>
      <c r="K903">
        <v>1316</v>
      </c>
      <c r="L903" s="3">
        <v>-32700810.030000001</v>
      </c>
      <c r="M903" s="3">
        <v>0</v>
      </c>
      <c r="N903">
        <v>110000</v>
      </c>
      <c r="O903">
        <v>0</v>
      </c>
      <c r="P903">
        <v>-32810810.030000001</v>
      </c>
      <c r="Q903" t="s">
        <v>30</v>
      </c>
      <c r="R903" t="s">
        <v>529</v>
      </c>
      <c r="S903" t="str">
        <v>#N/A</v>
      </c>
      <c r="T903" t="str">
        <v>13</v>
      </c>
    </row>
    <row r="904" spans="1:20" ht="13.7" customHeight="1" x14ac:dyDescent="0.25">
      <c r="A904" t="s">
        <v>26</v>
      </c>
      <c r="B904" t="s">
        <v>27</v>
      </c>
      <c r="C904" t="s">
        <v>28</v>
      </c>
      <c r="D904">
        <v>7</v>
      </c>
      <c r="E904" s="5">
        <v>43469</v>
      </c>
      <c r="F904">
        <v>13250501</v>
      </c>
      <c r="G904">
        <v>0</v>
      </c>
      <c r="H904" t="s">
        <v>1115</v>
      </c>
      <c r="I904" t="s">
        <v>1116</v>
      </c>
      <c r="J904">
        <v>1008</v>
      </c>
      <c r="K904">
        <v>1316</v>
      </c>
      <c r="L904" s="3">
        <v>-32810810.030000001</v>
      </c>
      <c r="M904" s="3">
        <v>0</v>
      </c>
      <c r="N904">
        <v>8300</v>
      </c>
      <c r="O904">
        <v>0</v>
      </c>
      <c r="P904">
        <v>-32819110.030000001</v>
      </c>
      <c r="Q904" t="s">
        <v>30</v>
      </c>
      <c r="R904" t="s">
        <v>191</v>
      </c>
      <c r="S904" t="str">
        <v>#N/A</v>
      </c>
      <c r="T904" t="str">
        <v>13</v>
      </c>
    </row>
    <row r="905" spans="1:20" ht="13.7" customHeight="1" x14ac:dyDescent="0.25">
      <c r="A905" t="s">
        <v>26</v>
      </c>
      <c r="B905" t="s">
        <v>27</v>
      </c>
      <c r="C905" t="s">
        <v>28</v>
      </c>
      <c r="D905">
        <v>8</v>
      </c>
      <c r="E905" s="5">
        <v>43469</v>
      </c>
      <c r="F905">
        <v>13250501</v>
      </c>
      <c r="G905">
        <v>0</v>
      </c>
      <c r="H905" t="s">
        <v>1115</v>
      </c>
      <c r="I905" t="s">
        <v>1116</v>
      </c>
      <c r="J905">
        <v>1008</v>
      </c>
      <c r="K905">
        <v>1316</v>
      </c>
      <c r="L905" s="3">
        <v>-32819110.030000001</v>
      </c>
      <c r="M905" s="3">
        <v>0</v>
      </c>
      <c r="N905">
        <v>8200</v>
      </c>
      <c r="O905">
        <v>0</v>
      </c>
      <c r="P905">
        <v>-32827310.030000001</v>
      </c>
      <c r="Q905" t="s">
        <v>30</v>
      </c>
      <c r="R905" t="s">
        <v>191</v>
      </c>
      <c r="S905" t="str">
        <v>#N/A</v>
      </c>
      <c r="T905" t="str">
        <v>13</v>
      </c>
    </row>
    <row r="906" spans="1:20" ht="13.7" customHeight="1" x14ac:dyDescent="0.25">
      <c r="A906" t="s">
        <v>26</v>
      </c>
      <c r="B906" t="s">
        <v>27</v>
      </c>
      <c r="C906" t="s">
        <v>28</v>
      </c>
      <c r="D906">
        <v>9</v>
      </c>
      <c r="E906" s="5">
        <v>43469</v>
      </c>
      <c r="F906">
        <v>13250501</v>
      </c>
      <c r="G906">
        <v>0</v>
      </c>
      <c r="H906" t="s">
        <v>1115</v>
      </c>
      <c r="I906" t="s">
        <v>1116</v>
      </c>
      <c r="J906">
        <v>1008</v>
      </c>
      <c r="K906">
        <v>1316</v>
      </c>
      <c r="L906" s="3">
        <v>-32827310.030000001</v>
      </c>
      <c r="M906" s="3">
        <v>0</v>
      </c>
      <c r="N906">
        <v>102012</v>
      </c>
      <c r="O906">
        <v>0</v>
      </c>
      <c r="P906">
        <v>-32929322.030000001</v>
      </c>
      <c r="Q906" t="s">
        <v>30</v>
      </c>
      <c r="R906" t="s">
        <v>158</v>
      </c>
      <c r="S906" t="str">
        <v>#N/A</v>
      </c>
      <c r="T906" t="str">
        <v>13</v>
      </c>
    </row>
    <row r="907" spans="1:20" ht="13.7" customHeight="1" x14ac:dyDescent="0.25">
      <c r="A907" t="s">
        <v>26</v>
      </c>
      <c r="B907" t="s">
        <v>27</v>
      </c>
      <c r="C907" t="s">
        <v>28</v>
      </c>
      <c r="D907">
        <v>11</v>
      </c>
      <c r="E907" s="5">
        <v>43471</v>
      </c>
      <c r="F907">
        <v>13250501</v>
      </c>
      <c r="G907">
        <v>0</v>
      </c>
      <c r="H907" t="s">
        <v>1115</v>
      </c>
      <c r="I907" t="s">
        <v>1116</v>
      </c>
      <c r="J907">
        <v>1008</v>
      </c>
      <c r="K907">
        <v>1316</v>
      </c>
      <c r="L907" s="3">
        <v>-32929322.030000001</v>
      </c>
      <c r="M907" s="3">
        <v>0</v>
      </c>
      <c r="N907">
        <v>360000</v>
      </c>
      <c r="O907">
        <v>0</v>
      </c>
      <c r="P907">
        <v>-33289322.030000001</v>
      </c>
      <c r="Q907" t="s">
        <v>30</v>
      </c>
      <c r="R907" t="s">
        <v>531</v>
      </c>
      <c r="S907" t="str">
        <v>#N/A</v>
      </c>
      <c r="T907" t="str">
        <v>13</v>
      </c>
    </row>
    <row r="908" spans="1:20" ht="13.7" customHeight="1" x14ac:dyDescent="0.25">
      <c r="A908" t="s">
        <v>26</v>
      </c>
      <c r="B908" t="s">
        <v>27</v>
      </c>
      <c r="C908" t="s">
        <v>28</v>
      </c>
      <c r="D908">
        <v>12</v>
      </c>
      <c r="E908" s="5">
        <v>43472</v>
      </c>
      <c r="F908">
        <v>13250501</v>
      </c>
      <c r="G908">
        <v>0</v>
      </c>
      <c r="H908" t="s">
        <v>1115</v>
      </c>
      <c r="I908" t="s">
        <v>1116</v>
      </c>
      <c r="J908">
        <v>1008</v>
      </c>
      <c r="K908">
        <v>1316</v>
      </c>
      <c r="L908" s="3">
        <v>-33289322.030000001</v>
      </c>
      <c r="M908" s="3">
        <v>0</v>
      </c>
      <c r="N908">
        <v>8300</v>
      </c>
      <c r="O908">
        <v>0</v>
      </c>
      <c r="P908">
        <v>-33297622.030000001</v>
      </c>
      <c r="Q908" t="s">
        <v>30</v>
      </c>
      <c r="R908" t="s">
        <v>191</v>
      </c>
      <c r="S908" t="str">
        <v>#N/A</v>
      </c>
      <c r="T908" t="str">
        <v>13</v>
      </c>
    </row>
    <row r="909" spans="1:20" ht="13.7" customHeight="1" x14ac:dyDescent="0.25">
      <c r="A909" t="s">
        <v>26</v>
      </c>
      <c r="B909" t="s">
        <v>27</v>
      </c>
      <c r="C909" t="s">
        <v>28</v>
      </c>
      <c r="D909">
        <v>13</v>
      </c>
      <c r="E909" s="5">
        <v>43472</v>
      </c>
      <c r="F909">
        <v>13250501</v>
      </c>
      <c r="G909">
        <v>0</v>
      </c>
      <c r="H909" t="s">
        <v>1115</v>
      </c>
      <c r="I909" t="s">
        <v>1116</v>
      </c>
      <c r="J909">
        <v>1008</v>
      </c>
      <c r="K909">
        <v>1316</v>
      </c>
      <c r="L909" s="3">
        <v>-33297622.030000001</v>
      </c>
      <c r="M909" s="3">
        <v>0</v>
      </c>
      <c r="N909">
        <v>8200</v>
      </c>
      <c r="O909">
        <v>0</v>
      </c>
      <c r="P909">
        <v>-33305822.030000001</v>
      </c>
      <c r="Q909" t="s">
        <v>30</v>
      </c>
      <c r="R909" t="s">
        <v>191</v>
      </c>
      <c r="S909" t="str">
        <v>#N/A</v>
      </c>
      <c r="T909" t="str">
        <v>13</v>
      </c>
    </row>
    <row r="910" spans="1:20" ht="13.7" customHeight="1" x14ac:dyDescent="0.25">
      <c r="A910" t="s">
        <v>26</v>
      </c>
      <c r="B910" t="s">
        <v>27</v>
      </c>
      <c r="C910" t="s">
        <v>28</v>
      </c>
      <c r="D910">
        <v>14</v>
      </c>
      <c r="E910" s="5">
        <v>43472</v>
      </c>
      <c r="F910">
        <v>13250501</v>
      </c>
      <c r="G910">
        <v>0</v>
      </c>
      <c r="H910" t="s">
        <v>1115</v>
      </c>
      <c r="I910" t="s">
        <v>1116</v>
      </c>
      <c r="J910">
        <v>1008</v>
      </c>
      <c r="K910">
        <v>1316</v>
      </c>
      <c r="L910" s="3">
        <v>-33305822.030000001</v>
      </c>
      <c r="M910" s="3">
        <v>0</v>
      </c>
      <c r="N910">
        <v>134913</v>
      </c>
      <c r="O910">
        <v>0</v>
      </c>
      <c r="P910">
        <v>-33440735.030000001</v>
      </c>
      <c r="Q910" t="s">
        <v>30</v>
      </c>
      <c r="R910" t="s">
        <v>158</v>
      </c>
      <c r="S910" t="str">
        <v>#N/A</v>
      </c>
      <c r="T910" t="str">
        <v>13</v>
      </c>
    </row>
    <row r="911" spans="1:20" ht="13.7" customHeight="1" x14ac:dyDescent="0.25">
      <c r="A911" t="s">
        <v>26</v>
      </c>
      <c r="B911" t="s">
        <v>27</v>
      </c>
      <c r="C911" t="s">
        <v>28</v>
      </c>
      <c r="D911">
        <v>15</v>
      </c>
      <c r="E911" s="5">
        <v>43472</v>
      </c>
      <c r="F911">
        <v>13250501</v>
      </c>
      <c r="G911">
        <v>0</v>
      </c>
      <c r="H911" t="s">
        <v>1115</v>
      </c>
      <c r="I911" t="s">
        <v>1116</v>
      </c>
      <c r="J911">
        <v>1008</v>
      </c>
      <c r="K911">
        <v>1316</v>
      </c>
      <c r="L911" s="3">
        <v>-33440735.030000001</v>
      </c>
      <c r="M911" s="3">
        <v>0</v>
      </c>
      <c r="N911">
        <v>19900</v>
      </c>
      <c r="O911">
        <v>0</v>
      </c>
      <c r="P911">
        <v>-33460635.030000001</v>
      </c>
      <c r="Q911" t="s">
        <v>30</v>
      </c>
      <c r="R911" t="s">
        <v>532</v>
      </c>
      <c r="S911" t="str">
        <v>#N/A</v>
      </c>
      <c r="T911" t="str">
        <v>13</v>
      </c>
    </row>
    <row r="912" spans="1:20" ht="13.7" customHeight="1" x14ac:dyDescent="0.25">
      <c r="A912" t="s">
        <v>26</v>
      </c>
      <c r="B912" t="s">
        <v>27</v>
      </c>
      <c r="C912" t="s">
        <v>28</v>
      </c>
      <c r="D912">
        <v>16</v>
      </c>
      <c r="E912" s="5">
        <v>43472</v>
      </c>
      <c r="F912">
        <v>13250501</v>
      </c>
      <c r="G912">
        <v>0</v>
      </c>
      <c r="H912" t="s">
        <v>1115</v>
      </c>
      <c r="I912" t="s">
        <v>1116</v>
      </c>
      <c r="J912">
        <v>1008</v>
      </c>
      <c r="K912">
        <v>1316</v>
      </c>
      <c r="L912" s="3">
        <v>-33460635.030000001</v>
      </c>
      <c r="M912" s="3">
        <v>0</v>
      </c>
      <c r="N912">
        <v>15900</v>
      </c>
      <c r="O912">
        <v>0</v>
      </c>
      <c r="P912">
        <v>-33476535.030000001</v>
      </c>
      <c r="Q912" t="s">
        <v>30</v>
      </c>
      <c r="R912" t="s">
        <v>52</v>
      </c>
      <c r="S912" t="str">
        <v>#N/A</v>
      </c>
      <c r="T912" t="str">
        <v>13</v>
      </c>
    </row>
    <row r="913" spans="1:20" ht="13.7" customHeight="1" x14ac:dyDescent="0.25">
      <c r="A913" t="s">
        <v>26</v>
      </c>
      <c r="B913" t="s">
        <v>27</v>
      </c>
      <c r="C913" t="s">
        <v>28</v>
      </c>
      <c r="D913">
        <v>19</v>
      </c>
      <c r="E913" s="5">
        <v>43476</v>
      </c>
      <c r="F913">
        <v>13250501</v>
      </c>
      <c r="G913">
        <v>0</v>
      </c>
      <c r="H913" t="s">
        <v>1115</v>
      </c>
      <c r="I913" t="s">
        <v>1116</v>
      </c>
      <c r="J913">
        <v>1008</v>
      </c>
      <c r="K913">
        <v>1316</v>
      </c>
      <c r="L913" s="3">
        <v>-33476535.030000001</v>
      </c>
      <c r="M913" s="3">
        <v>0</v>
      </c>
      <c r="N913">
        <v>26500</v>
      </c>
      <c r="O913">
        <v>0</v>
      </c>
      <c r="P913">
        <v>-33503035.030000001</v>
      </c>
      <c r="Q913" t="s">
        <v>30</v>
      </c>
      <c r="R913" t="s">
        <v>52</v>
      </c>
      <c r="S913" t="str">
        <v>#N/A</v>
      </c>
      <c r="T913" t="str">
        <v>13</v>
      </c>
    </row>
    <row r="914" spans="1:20" ht="13.7" customHeight="1" x14ac:dyDescent="0.25">
      <c r="A914" t="s">
        <v>26</v>
      </c>
      <c r="B914" t="s">
        <v>27</v>
      </c>
      <c r="C914" t="s">
        <v>28</v>
      </c>
      <c r="D914">
        <v>34</v>
      </c>
      <c r="E914" s="5">
        <v>43479</v>
      </c>
      <c r="F914">
        <v>13250501</v>
      </c>
      <c r="G914">
        <v>0</v>
      </c>
      <c r="H914" t="s">
        <v>1115</v>
      </c>
      <c r="I914" t="s">
        <v>1116</v>
      </c>
      <c r="J914">
        <v>1008</v>
      </c>
      <c r="K914">
        <v>1316</v>
      </c>
      <c r="L914" s="3">
        <v>-33503035.030000001</v>
      </c>
      <c r="M914" s="3">
        <v>0</v>
      </c>
      <c r="N914">
        <v>48501</v>
      </c>
      <c r="O914">
        <v>0</v>
      </c>
      <c r="P914">
        <v>-33551536.030000001</v>
      </c>
      <c r="Q914" t="s">
        <v>30</v>
      </c>
      <c r="R914" t="s">
        <v>533</v>
      </c>
      <c r="S914" t="str">
        <v>#N/A</v>
      </c>
      <c r="T914" t="str">
        <v>13</v>
      </c>
    </row>
    <row r="915" spans="1:20" ht="13.7" customHeight="1" x14ac:dyDescent="0.25">
      <c r="A915" t="s">
        <v>26</v>
      </c>
      <c r="B915" t="s">
        <v>27</v>
      </c>
      <c r="C915" t="s">
        <v>28</v>
      </c>
      <c r="D915">
        <v>43</v>
      </c>
      <c r="E915" s="5">
        <v>43482</v>
      </c>
      <c r="F915">
        <v>13250501</v>
      </c>
      <c r="G915">
        <v>0</v>
      </c>
      <c r="H915" t="s">
        <v>1115</v>
      </c>
      <c r="I915" t="s">
        <v>1116</v>
      </c>
      <c r="J915">
        <v>1008</v>
      </c>
      <c r="K915">
        <v>1316</v>
      </c>
      <c r="L915" s="3">
        <v>-33551536.030000001</v>
      </c>
      <c r="M915" s="3">
        <v>0</v>
      </c>
      <c r="N915">
        <v>110000</v>
      </c>
      <c r="O915">
        <v>0</v>
      </c>
      <c r="P915">
        <v>-33661536.030000001</v>
      </c>
      <c r="Q915" t="s">
        <v>30</v>
      </c>
      <c r="R915" t="s">
        <v>159</v>
      </c>
      <c r="S915" t="str">
        <v>#N/A</v>
      </c>
      <c r="T915" t="str">
        <v>13</v>
      </c>
    </row>
    <row r="916" spans="1:20" ht="13.7" customHeight="1" x14ac:dyDescent="0.25">
      <c r="A916" t="s">
        <v>26</v>
      </c>
      <c r="B916" t="s">
        <v>27</v>
      </c>
      <c r="C916" t="s">
        <v>28</v>
      </c>
      <c r="D916">
        <v>51</v>
      </c>
      <c r="E916" s="5">
        <v>43484</v>
      </c>
      <c r="F916">
        <v>13250501</v>
      </c>
      <c r="G916">
        <v>0</v>
      </c>
      <c r="H916" t="s">
        <v>1115</v>
      </c>
      <c r="I916" t="s">
        <v>1116</v>
      </c>
      <c r="J916">
        <v>1008</v>
      </c>
      <c r="K916">
        <v>1316</v>
      </c>
      <c r="L916" s="3">
        <v>-33661536.030000001</v>
      </c>
      <c r="M916" s="3">
        <v>0</v>
      </c>
      <c r="N916">
        <v>6250</v>
      </c>
      <c r="O916">
        <v>0</v>
      </c>
      <c r="P916">
        <v>-33667786.030000001</v>
      </c>
      <c r="Q916" t="s">
        <v>30</v>
      </c>
      <c r="R916" t="s">
        <v>535</v>
      </c>
      <c r="S916" t="str">
        <v>#N/A</v>
      </c>
      <c r="T916" t="str">
        <v>13</v>
      </c>
    </row>
    <row r="917" spans="1:20" ht="13.7" customHeight="1" x14ac:dyDescent="0.25">
      <c r="A917" t="s">
        <v>26</v>
      </c>
      <c r="B917" t="s">
        <v>27</v>
      </c>
      <c r="C917" t="s">
        <v>28</v>
      </c>
      <c r="D917">
        <v>52</v>
      </c>
      <c r="E917" s="5">
        <v>43484</v>
      </c>
      <c r="F917">
        <v>13250501</v>
      </c>
      <c r="G917">
        <v>0</v>
      </c>
      <c r="H917" t="s">
        <v>1115</v>
      </c>
      <c r="I917" t="s">
        <v>1116</v>
      </c>
      <c r="J917">
        <v>1008</v>
      </c>
      <c r="K917">
        <v>1316</v>
      </c>
      <c r="L917" s="3">
        <v>-33667786.030000001</v>
      </c>
      <c r="M917" s="3">
        <v>0</v>
      </c>
      <c r="N917">
        <v>124017</v>
      </c>
      <c r="O917">
        <v>0</v>
      </c>
      <c r="P917">
        <v>-33791803.030000001</v>
      </c>
      <c r="Q917" t="s">
        <v>30</v>
      </c>
      <c r="R917" t="s">
        <v>158</v>
      </c>
      <c r="S917" t="str">
        <v>#N/A</v>
      </c>
      <c r="T917" t="str">
        <v>13</v>
      </c>
    </row>
    <row r="918" spans="1:20" ht="13.7" customHeight="1" x14ac:dyDescent="0.25">
      <c r="A918" t="s">
        <v>26</v>
      </c>
      <c r="B918" t="s">
        <v>27</v>
      </c>
      <c r="C918" t="s">
        <v>28</v>
      </c>
      <c r="D918">
        <v>53</v>
      </c>
      <c r="E918" s="5">
        <v>43484</v>
      </c>
      <c r="F918">
        <v>13250501</v>
      </c>
      <c r="G918">
        <v>0</v>
      </c>
      <c r="H918" t="s">
        <v>1115</v>
      </c>
      <c r="I918" t="s">
        <v>1116</v>
      </c>
      <c r="J918">
        <v>1008</v>
      </c>
      <c r="K918">
        <v>1316</v>
      </c>
      <c r="L918" s="3">
        <v>-33791803.030000001</v>
      </c>
      <c r="M918" s="3">
        <v>0</v>
      </c>
      <c r="N918">
        <v>7691</v>
      </c>
      <c r="O918">
        <v>0</v>
      </c>
      <c r="P918">
        <v>-33799494.030000001</v>
      </c>
      <c r="Q918" t="s">
        <v>30</v>
      </c>
      <c r="R918" t="s">
        <v>118</v>
      </c>
      <c r="S918" t="str">
        <v>#N/A</v>
      </c>
      <c r="T918" t="str">
        <v>13</v>
      </c>
    </row>
    <row r="919" spans="1:20" ht="13.7" customHeight="1" x14ac:dyDescent="0.25">
      <c r="A919" t="s">
        <v>26</v>
      </c>
      <c r="B919" t="s">
        <v>27</v>
      </c>
      <c r="C919" t="s">
        <v>28</v>
      </c>
      <c r="D919">
        <v>54</v>
      </c>
      <c r="E919" s="5">
        <v>43484</v>
      </c>
      <c r="F919">
        <v>13250501</v>
      </c>
      <c r="G919">
        <v>0</v>
      </c>
      <c r="H919" t="s">
        <v>1115</v>
      </c>
      <c r="I919" t="s">
        <v>1116</v>
      </c>
      <c r="J919">
        <v>1008</v>
      </c>
      <c r="K919">
        <v>1316</v>
      </c>
      <c r="L919" s="3">
        <v>-33799494.030000001</v>
      </c>
      <c r="M919" s="3">
        <v>0</v>
      </c>
      <c r="N919">
        <v>11200</v>
      </c>
      <c r="O919">
        <v>0</v>
      </c>
      <c r="P919">
        <v>-33810694.030000001</v>
      </c>
      <c r="Q919" t="s">
        <v>30</v>
      </c>
      <c r="R919" t="s">
        <v>59</v>
      </c>
      <c r="S919" t="str">
        <v>#N/A</v>
      </c>
      <c r="T919" t="str">
        <v>13</v>
      </c>
    </row>
    <row r="920" spans="1:20" ht="13.7" customHeight="1" x14ac:dyDescent="0.25">
      <c r="A920" t="s">
        <v>26</v>
      </c>
      <c r="B920" t="s">
        <v>27</v>
      </c>
      <c r="C920" t="s">
        <v>28</v>
      </c>
      <c r="D920">
        <v>55</v>
      </c>
      <c r="E920" s="5">
        <v>43486</v>
      </c>
      <c r="F920">
        <v>13250501</v>
      </c>
      <c r="G920">
        <v>0</v>
      </c>
      <c r="H920" t="s">
        <v>1115</v>
      </c>
      <c r="I920" t="s">
        <v>1116</v>
      </c>
      <c r="J920">
        <v>1008</v>
      </c>
      <c r="K920">
        <v>1316</v>
      </c>
      <c r="L920" s="3">
        <v>-33810694.030000001</v>
      </c>
      <c r="M920" s="3">
        <v>0</v>
      </c>
      <c r="N920">
        <v>169900</v>
      </c>
      <c r="O920">
        <v>0</v>
      </c>
      <c r="P920">
        <v>-33980594.030000001</v>
      </c>
      <c r="Q920" t="s">
        <v>30</v>
      </c>
      <c r="R920" t="s">
        <v>536</v>
      </c>
      <c r="S920" t="str">
        <v>#N/A</v>
      </c>
      <c r="T920" t="str">
        <v>13</v>
      </c>
    </row>
    <row r="921" spans="1:20" ht="13.7" customHeight="1" x14ac:dyDescent="0.25">
      <c r="A921" t="s">
        <v>26</v>
      </c>
      <c r="B921" t="s">
        <v>27</v>
      </c>
      <c r="C921" t="s">
        <v>28</v>
      </c>
      <c r="D921">
        <v>57</v>
      </c>
      <c r="E921" s="5">
        <v>43487</v>
      </c>
      <c r="F921">
        <v>13250501</v>
      </c>
      <c r="G921">
        <v>0</v>
      </c>
      <c r="H921" t="s">
        <v>1115</v>
      </c>
      <c r="I921" t="s">
        <v>1116</v>
      </c>
      <c r="J921">
        <v>1008</v>
      </c>
      <c r="K921">
        <v>1316</v>
      </c>
      <c r="L921" s="3">
        <v>-33980594.030000001</v>
      </c>
      <c r="M921" s="3">
        <v>0</v>
      </c>
      <c r="N921">
        <v>10000</v>
      </c>
      <c r="O921">
        <v>0</v>
      </c>
      <c r="P921">
        <v>-33990594.030000001</v>
      </c>
      <c r="Q921" t="s">
        <v>30</v>
      </c>
      <c r="R921" t="s">
        <v>47</v>
      </c>
      <c r="S921" t="str">
        <v>#N/A</v>
      </c>
      <c r="T921" t="str">
        <v>13</v>
      </c>
    </row>
    <row r="922" spans="1:20" ht="13.7" customHeight="1" x14ac:dyDescent="0.25">
      <c r="A922" t="s">
        <v>26</v>
      </c>
      <c r="B922" t="s">
        <v>27</v>
      </c>
      <c r="C922" t="s">
        <v>28</v>
      </c>
      <c r="D922">
        <v>61</v>
      </c>
      <c r="E922" s="5">
        <v>43488</v>
      </c>
      <c r="F922">
        <v>13250501</v>
      </c>
      <c r="G922">
        <v>0</v>
      </c>
      <c r="H922" t="s">
        <v>1115</v>
      </c>
      <c r="I922" t="s">
        <v>1116</v>
      </c>
      <c r="J922">
        <v>1008</v>
      </c>
      <c r="K922">
        <v>1316</v>
      </c>
      <c r="L922" s="3">
        <v>-33990594.030000001</v>
      </c>
      <c r="M922" s="3">
        <v>0</v>
      </c>
      <c r="N922">
        <v>7664</v>
      </c>
      <c r="O922">
        <v>0</v>
      </c>
      <c r="P922">
        <v>-33998258.030000001</v>
      </c>
      <c r="Q922" t="s">
        <v>30</v>
      </c>
      <c r="R922" t="s">
        <v>149</v>
      </c>
      <c r="S922" t="str">
        <v>#N/A</v>
      </c>
      <c r="T922" t="str">
        <v>13</v>
      </c>
    </row>
    <row r="923" spans="1:20" ht="13.7" customHeight="1" x14ac:dyDescent="0.25">
      <c r="A923" t="s">
        <v>26</v>
      </c>
      <c r="B923" t="s">
        <v>27</v>
      </c>
      <c r="C923" t="s">
        <v>28</v>
      </c>
      <c r="D923">
        <v>66</v>
      </c>
      <c r="E923" s="5">
        <v>43491</v>
      </c>
      <c r="F923">
        <v>13250501</v>
      </c>
      <c r="G923">
        <v>0</v>
      </c>
      <c r="H923" t="s">
        <v>1115</v>
      </c>
      <c r="I923" t="s">
        <v>1116</v>
      </c>
      <c r="J923">
        <v>1008</v>
      </c>
      <c r="K923">
        <v>1316</v>
      </c>
      <c r="L923" s="3">
        <v>-33998258.030000001</v>
      </c>
      <c r="M923" s="3">
        <v>0</v>
      </c>
      <c r="N923">
        <v>268241</v>
      </c>
      <c r="O923">
        <v>0</v>
      </c>
      <c r="P923">
        <v>-34266499.030000001</v>
      </c>
      <c r="Q923" t="s">
        <v>30</v>
      </c>
      <c r="R923" t="s">
        <v>537</v>
      </c>
      <c r="S923" t="str">
        <v>#N/A</v>
      </c>
      <c r="T923" t="str">
        <v>13</v>
      </c>
    </row>
    <row r="924" spans="1:20" ht="13.7" customHeight="1" x14ac:dyDescent="0.25">
      <c r="A924" t="s">
        <v>26</v>
      </c>
      <c r="B924" t="s">
        <v>27</v>
      </c>
      <c r="C924" t="s">
        <v>28</v>
      </c>
      <c r="D924">
        <v>68</v>
      </c>
      <c r="E924" s="5">
        <v>43491</v>
      </c>
      <c r="F924">
        <v>13250501</v>
      </c>
      <c r="G924">
        <v>0</v>
      </c>
      <c r="H924" t="s">
        <v>1115</v>
      </c>
      <c r="I924" t="s">
        <v>1116</v>
      </c>
      <c r="J924">
        <v>1008</v>
      </c>
      <c r="K924">
        <v>1316</v>
      </c>
      <c r="L924" s="3">
        <v>-34266499.030000001</v>
      </c>
      <c r="M924" s="3">
        <v>0</v>
      </c>
      <c r="N924">
        <v>134500</v>
      </c>
      <c r="O924">
        <v>0</v>
      </c>
      <c r="P924">
        <v>-34400999.030000001</v>
      </c>
      <c r="Q924" t="s">
        <v>30</v>
      </c>
      <c r="R924" t="s">
        <v>159</v>
      </c>
      <c r="S924" t="str">
        <v>#N/A</v>
      </c>
      <c r="T924" t="str">
        <v>13</v>
      </c>
    </row>
    <row r="925" spans="1:20" ht="13.7" customHeight="1" x14ac:dyDescent="0.25">
      <c r="A925" t="s">
        <v>26</v>
      </c>
      <c r="B925" t="s">
        <v>27</v>
      </c>
      <c r="C925" t="s">
        <v>28</v>
      </c>
      <c r="D925">
        <v>69</v>
      </c>
      <c r="E925" s="5">
        <v>43492</v>
      </c>
      <c r="F925">
        <v>13250501</v>
      </c>
      <c r="G925">
        <v>0</v>
      </c>
      <c r="H925" t="s">
        <v>1115</v>
      </c>
      <c r="I925" t="s">
        <v>1116</v>
      </c>
      <c r="J925">
        <v>1008</v>
      </c>
      <c r="K925">
        <v>1316</v>
      </c>
      <c r="L925" s="3">
        <v>-34400999.030000001</v>
      </c>
      <c r="M925" s="3">
        <v>0</v>
      </c>
      <c r="N925">
        <v>114883</v>
      </c>
      <c r="O925">
        <v>0</v>
      </c>
      <c r="P925">
        <v>-34515882.030000001</v>
      </c>
      <c r="Q925" t="s">
        <v>30</v>
      </c>
      <c r="R925" t="s">
        <v>158</v>
      </c>
      <c r="S925" t="str">
        <v>#N/A</v>
      </c>
      <c r="T925" t="str">
        <v>13</v>
      </c>
    </row>
    <row r="926" spans="1:20" ht="13.7" customHeight="1" x14ac:dyDescent="0.25">
      <c r="A926" t="s">
        <v>26</v>
      </c>
      <c r="B926" t="s">
        <v>27</v>
      </c>
      <c r="C926" t="s">
        <v>32</v>
      </c>
      <c r="D926">
        <v>6</v>
      </c>
      <c r="E926" s="5">
        <v>43499</v>
      </c>
      <c r="F926">
        <v>13250501</v>
      </c>
      <c r="G926">
        <v>0</v>
      </c>
      <c r="H926" t="s">
        <v>1115</v>
      </c>
      <c r="I926" t="s">
        <v>1116</v>
      </c>
      <c r="J926">
        <v>1008</v>
      </c>
      <c r="K926">
        <v>1316</v>
      </c>
      <c r="L926" s="3">
        <v>-34515882.030000001</v>
      </c>
      <c r="M926" s="3">
        <v>0</v>
      </c>
      <c r="N926">
        <v>31800</v>
      </c>
      <c r="O926">
        <v>0</v>
      </c>
      <c r="P926">
        <v>-34547682.030000001</v>
      </c>
      <c r="Q926" t="s">
        <v>30</v>
      </c>
      <c r="R926" t="s">
        <v>70</v>
      </c>
      <c r="S926" t="str">
        <v>#N/A</v>
      </c>
      <c r="T926" t="str">
        <v>13</v>
      </c>
    </row>
    <row r="927" spans="1:20" ht="13.7" customHeight="1" x14ac:dyDescent="0.25">
      <c r="A927" t="s">
        <v>26</v>
      </c>
      <c r="B927" t="s">
        <v>27</v>
      </c>
      <c r="C927" t="s">
        <v>32</v>
      </c>
      <c r="D927">
        <v>7</v>
      </c>
      <c r="E927" s="5">
        <v>43499</v>
      </c>
      <c r="F927">
        <v>13250501</v>
      </c>
      <c r="G927">
        <v>0</v>
      </c>
      <c r="H927" t="s">
        <v>1115</v>
      </c>
      <c r="I927" t="s">
        <v>1116</v>
      </c>
      <c r="J927">
        <v>1008</v>
      </c>
      <c r="K927">
        <v>1316</v>
      </c>
      <c r="L927" s="3">
        <v>-34547682.030000001</v>
      </c>
      <c r="M927" s="3">
        <v>0</v>
      </c>
      <c r="N927">
        <v>9700</v>
      </c>
      <c r="O927">
        <v>0</v>
      </c>
      <c r="P927">
        <v>-34557382.030000001</v>
      </c>
      <c r="Q927" t="s">
        <v>30</v>
      </c>
      <c r="R927" t="s">
        <v>70</v>
      </c>
      <c r="S927" t="str">
        <v>#N/A</v>
      </c>
      <c r="T927" t="str">
        <v>13</v>
      </c>
    </row>
    <row r="928" spans="1:20" ht="13.7" customHeight="1" x14ac:dyDescent="0.25">
      <c r="A928" t="s">
        <v>26</v>
      </c>
      <c r="B928" t="s">
        <v>27</v>
      </c>
      <c r="C928" t="s">
        <v>32</v>
      </c>
      <c r="D928">
        <v>17</v>
      </c>
      <c r="E928" s="5">
        <v>43505</v>
      </c>
      <c r="F928">
        <v>13250501</v>
      </c>
      <c r="G928">
        <v>0</v>
      </c>
      <c r="H928" t="s">
        <v>1115</v>
      </c>
      <c r="I928" t="s">
        <v>1116</v>
      </c>
      <c r="J928">
        <v>1008</v>
      </c>
      <c r="K928">
        <v>1316</v>
      </c>
      <c r="L928" s="3">
        <v>-34557382.030000001</v>
      </c>
      <c r="M928" s="3">
        <v>0</v>
      </c>
      <c r="N928">
        <v>22000</v>
      </c>
      <c r="O928">
        <v>0</v>
      </c>
      <c r="P928">
        <v>-34579382.030000001</v>
      </c>
      <c r="Q928" t="s">
        <v>30</v>
      </c>
      <c r="R928" t="s">
        <v>538</v>
      </c>
      <c r="S928" t="str">
        <v>#N/A</v>
      </c>
      <c r="T928" t="str">
        <v>13</v>
      </c>
    </row>
    <row r="929" spans="1:20" ht="13.7" customHeight="1" x14ac:dyDescent="0.25">
      <c r="A929" t="s">
        <v>26</v>
      </c>
      <c r="B929" t="s">
        <v>27</v>
      </c>
      <c r="C929" t="s">
        <v>32</v>
      </c>
      <c r="D929">
        <v>19</v>
      </c>
      <c r="E929" s="5">
        <v>43507</v>
      </c>
      <c r="F929">
        <v>13250501</v>
      </c>
      <c r="G929">
        <v>0</v>
      </c>
      <c r="H929" t="s">
        <v>1115</v>
      </c>
      <c r="I929" t="s">
        <v>1116</v>
      </c>
      <c r="J929">
        <v>1008</v>
      </c>
      <c r="K929">
        <v>1316</v>
      </c>
      <c r="L929" s="3">
        <v>-34579382.030000001</v>
      </c>
      <c r="M929" s="3">
        <v>0</v>
      </c>
      <c r="N929">
        <v>24500</v>
      </c>
      <c r="O929">
        <v>0</v>
      </c>
      <c r="P929">
        <v>-34603882.030000001</v>
      </c>
      <c r="Q929" t="s">
        <v>30</v>
      </c>
      <c r="R929" t="s">
        <v>120</v>
      </c>
      <c r="S929" t="str">
        <v>#N/A</v>
      </c>
      <c r="T929" t="str">
        <v>13</v>
      </c>
    </row>
    <row r="930" spans="1:20" ht="13.7" customHeight="1" x14ac:dyDescent="0.25">
      <c r="A930" t="s">
        <v>26</v>
      </c>
      <c r="B930" t="s">
        <v>27</v>
      </c>
      <c r="C930" t="s">
        <v>32</v>
      </c>
      <c r="D930">
        <v>33</v>
      </c>
      <c r="E930" s="5">
        <v>43512</v>
      </c>
      <c r="F930">
        <v>13250501</v>
      </c>
      <c r="G930">
        <v>0</v>
      </c>
      <c r="H930" t="s">
        <v>1115</v>
      </c>
      <c r="I930" t="s">
        <v>1116</v>
      </c>
      <c r="J930">
        <v>1008</v>
      </c>
      <c r="K930">
        <v>1316</v>
      </c>
      <c r="L930" s="3">
        <v>-34603882.030000001</v>
      </c>
      <c r="M930" s="3">
        <v>0</v>
      </c>
      <c r="N930">
        <v>135459</v>
      </c>
      <c r="O930">
        <v>0</v>
      </c>
      <c r="P930">
        <v>-34739341.030000001</v>
      </c>
      <c r="Q930" t="s">
        <v>30</v>
      </c>
      <c r="R930" t="s">
        <v>158</v>
      </c>
      <c r="S930" t="str">
        <v>#N/A</v>
      </c>
      <c r="T930" t="str">
        <v>13</v>
      </c>
    </row>
    <row r="931" spans="1:20" ht="13.7" customHeight="1" x14ac:dyDescent="0.25">
      <c r="A931" t="s">
        <v>26</v>
      </c>
      <c r="B931" t="s">
        <v>27</v>
      </c>
      <c r="C931" t="s">
        <v>32</v>
      </c>
      <c r="D931">
        <v>34</v>
      </c>
      <c r="E931" s="5">
        <v>43512</v>
      </c>
      <c r="F931">
        <v>13250501</v>
      </c>
      <c r="G931">
        <v>0</v>
      </c>
      <c r="H931" t="s">
        <v>1115</v>
      </c>
      <c r="I931" t="s">
        <v>1116</v>
      </c>
      <c r="J931">
        <v>1008</v>
      </c>
      <c r="K931">
        <v>1316</v>
      </c>
      <c r="L931" s="3">
        <v>-34739341.030000001</v>
      </c>
      <c r="M931" s="3">
        <v>0</v>
      </c>
      <c r="N931">
        <v>195999</v>
      </c>
      <c r="O931">
        <v>0</v>
      </c>
      <c r="P931">
        <v>-34935340.030000001</v>
      </c>
      <c r="Q931" t="s">
        <v>30</v>
      </c>
      <c r="R931" t="s">
        <v>65</v>
      </c>
      <c r="S931" t="str">
        <v>#N/A</v>
      </c>
      <c r="T931" t="str">
        <v>13</v>
      </c>
    </row>
    <row r="932" spans="1:20" ht="13.7" customHeight="1" x14ac:dyDescent="0.25">
      <c r="A932" t="s">
        <v>26</v>
      </c>
      <c r="B932" t="s">
        <v>27</v>
      </c>
      <c r="C932" t="s">
        <v>32</v>
      </c>
      <c r="D932">
        <v>47</v>
      </c>
      <c r="E932" s="5">
        <v>43519</v>
      </c>
      <c r="F932">
        <v>13250501</v>
      </c>
      <c r="G932">
        <v>0</v>
      </c>
      <c r="H932" t="s">
        <v>1115</v>
      </c>
      <c r="I932" t="s">
        <v>1116</v>
      </c>
      <c r="J932">
        <v>1008</v>
      </c>
      <c r="K932">
        <v>1316</v>
      </c>
      <c r="L932" s="3">
        <v>-34935340.030000001</v>
      </c>
      <c r="M932" s="3">
        <v>0</v>
      </c>
      <c r="N932">
        <v>64949</v>
      </c>
      <c r="O932">
        <v>0</v>
      </c>
      <c r="P932">
        <v>-35000289.030000001</v>
      </c>
      <c r="Q932" t="s">
        <v>30</v>
      </c>
      <c r="R932" t="s">
        <v>70</v>
      </c>
      <c r="S932" t="str">
        <v>#N/A</v>
      </c>
      <c r="T932" t="str">
        <v>13</v>
      </c>
    </row>
    <row r="933" spans="1:20" ht="13.7" customHeight="1" x14ac:dyDescent="0.25">
      <c r="A933" t="s">
        <v>26</v>
      </c>
      <c r="B933" t="s">
        <v>27</v>
      </c>
      <c r="C933" t="s">
        <v>32</v>
      </c>
      <c r="D933">
        <v>49</v>
      </c>
      <c r="E933" s="5">
        <v>43520</v>
      </c>
      <c r="F933">
        <v>13250501</v>
      </c>
      <c r="G933">
        <v>0</v>
      </c>
      <c r="H933" t="s">
        <v>1115</v>
      </c>
      <c r="I933" t="s">
        <v>1116</v>
      </c>
      <c r="J933">
        <v>1008</v>
      </c>
      <c r="K933">
        <v>1316</v>
      </c>
      <c r="L933" s="3">
        <v>-35000289.030000001</v>
      </c>
      <c r="M933" s="3">
        <v>0</v>
      </c>
      <c r="N933">
        <v>98057</v>
      </c>
      <c r="O933">
        <v>0</v>
      </c>
      <c r="P933">
        <v>-35098346.030000001</v>
      </c>
      <c r="Q933" t="s">
        <v>30</v>
      </c>
      <c r="R933" t="s">
        <v>158</v>
      </c>
      <c r="S933" t="str">
        <v>#N/A</v>
      </c>
      <c r="T933" t="str">
        <v>13</v>
      </c>
    </row>
    <row r="934" spans="1:20" ht="13.7" customHeight="1" x14ac:dyDescent="0.25">
      <c r="A934" t="s">
        <v>26</v>
      </c>
      <c r="B934" t="s">
        <v>27</v>
      </c>
      <c r="C934" t="s">
        <v>91</v>
      </c>
      <c r="D934">
        <v>2</v>
      </c>
      <c r="E934" s="5">
        <v>43525</v>
      </c>
      <c r="F934">
        <v>13250501</v>
      </c>
      <c r="G934">
        <v>0</v>
      </c>
      <c r="H934" t="s">
        <v>1115</v>
      </c>
      <c r="I934" t="s">
        <v>1116</v>
      </c>
      <c r="J934">
        <v>1008</v>
      </c>
      <c r="K934">
        <v>1316</v>
      </c>
      <c r="L934" s="3">
        <v>-35098346.030000001</v>
      </c>
      <c r="M934" s="3">
        <v>0</v>
      </c>
      <c r="N934">
        <v>9900</v>
      </c>
      <c r="O934">
        <v>0</v>
      </c>
      <c r="P934">
        <v>-35108246.030000001</v>
      </c>
      <c r="Q934" t="s">
        <v>30</v>
      </c>
      <c r="R934" t="s">
        <v>70</v>
      </c>
      <c r="S934" t="str">
        <v>#N/A</v>
      </c>
      <c r="T934" t="str">
        <v>13</v>
      </c>
    </row>
    <row r="935" spans="1:20" ht="13.7" customHeight="1" x14ac:dyDescent="0.25">
      <c r="A935" t="s">
        <v>26</v>
      </c>
      <c r="B935" t="s">
        <v>27</v>
      </c>
      <c r="C935" t="s">
        <v>91</v>
      </c>
      <c r="D935">
        <v>3</v>
      </c>
      <c r="E935" s="5">
        <v>43525</v>
      </c>
      <c r="F935">
        <v>13250501</v>
      </c>
      <c r="G935">
        <v>0</v>
      </c>
      <c r="H935" t="s">
        <v>1115</v>
      </c>
      <c r="I935" t="s">
        <v>1116</v>
      </c>
      <c r="J935">
        <v>1008</v>
      </c>
      <c r="K935">
        <v>1316</v>
      </c>
      <c r="L935" s="3">
        <v>-35108246.030000001</v>
      </c>
      <c r="M935" s="3">
        <v>0</v>
      </c>
      <c r="N935">
        <v>12800</v>
      </c>
      <c r="O935">
        <v>0</v>
      </c>
      <c r="P935">
        <v>-35121046.030000001</v>
      </c>
      <c r="Q935" t="s">
        <v>30</v>
      </c>
      <c r="R935" t="s">
        <v>70</v>
      </c>
      <c r="S935" t="str">
        <v>#N/A</v>
      </c>
      <c r="T935" t="str">
        <v>13</v>
      </c>
    </row>
    <row r="936" spans="1:20" ht="13.7" customHeight="1" x14ac:dyDescent="0.25">
      <c r="A936" t="s">
        <v>26</v>
      </c>
      <c r="B936" t="s">
        <v>27</v>
      </c>
      <c r="C936" t="s">
        <v>91</v>
      </c>
      <c r="D936">
        <v>10</v>
      </c>
      <c r="E936" s="5">
        <v>43527</v>
      </c>
      <c r="F936">
        <v>13250501</v>
      </c>
      <c r="G936">
        <v>0</v>
      </c>
      <c r="H936" t="s">
        <v>1115</v>
      </c>
      <c r="I936" t="s">
        <v>1116</v>
      </c>
      <c r="J936">
        <v>1008</v>
      </c>
      <c r="K936">
        <v>1316</v>
      </c>
      <c r="L936" s="3">
        <v>-35121046.030000001</v>
      </c>
      <c r="M936" s="3">
        <v>0</v>
      </c>
      <c r="N936">
        <v>8000</v>
      </c>
      <c r="O936">
        <v>0</v>
      </c>
      <c r="P936">
        <v>-35129046.030000001</v>
      </c>
      <c r="Q936" t="s">
        <v>30</v>
      </c>
      <c r="R936" t="s">
        <v>191</v>
      </c>
      <c r="S936" t="str">
        <v>#N/A</v>
      </c>
      <c r="T936" t="str">
        <v>13</v>
      </c>
    </row>
    <row r="937" spans="1:20" ht="13.7" customHeight="1" x14ac:dyDescent="0.25">
      <c r="A937" t="s">
        <v>26</v>
      </c>
      <c r="B937" t="s">
        <v>27</v>
      </c>
      <c r="C937" t="s">
        <v>91</v>
      </c>
      <c r="D937">
        <v>11</v>
      </c>
      <c r="E937" s="5">
        <v>43527</v>
      </c>
      <c r="F937">
        <v>13250501</v>
      </c>
      <c r="G937">
        <v>0</v>
      </c>
      <c r="H937" t="s">
        <v>1115</v>
      </c>
      <c r="I937" t="s">
        <v>1116</v>
      </c>
      <c r="J937">
        <v>1008</v>
      </c>
      <c r="K937">
        <v>1316</v>
      </c>
      <c r="L937" s="3">
        <v>-35129046.030000001</v>
      </c>
      <c r="M937" s="3">
        <v>0</v>
      </c>
      <c r="N937">
        <v>8000</v>
      </c>
      <c r="O937">
        <v>0</v>
      </c>
      <c r="P937">
        <v>-35137046.030000001</v>
      </c>
      <c r="Q937" t="s">
        <v>30</v>
      </c>
      <c r="R937" t="s">
        <v>191</v>
      </c>
      <c r="S937" t="str">
        <v>#N/A</v>
      </c>
      <c r="T937" t="str">
        <v>13</v>
      </c>
    </row>
    <row r="938" spans="1:20" ht="13.7" customHeight="1" x14ac:dyDescent="0.25">
      <c r="A938" t="s">
        <v>26</v>
      </c>
      <c r="B938" t="s">
        <v>27</v>
      </c>
      <c r="C938" t="s">
        <v>91</v>
      </c>
      <c r="D938">
        <v>12</v>
      </c>
      <c r="E938" s="5">
        <v>43528</v>
      </c>
      <c r="F938">
        <v>13250501</v>
      </c>
      <c r="G938">
        <v>0</v>
      </c>
      <c r="H938" t="s">
        <v>1115</v>
      </c>
      <c r="I938" t="s">
        <v>1116</v>
      </c>
      <c r="J938">
        <v>1008</v>
      </c>
      <c r="K938">
        <v>1316</v>
      </c>
      <c r="L938" s="3">
        <v>-35137046.030000001</v>
      </c>
      <c r="M938" s="3">
        <v>0</v>
      </c>
      <c r="N938">
        <v>47000</v>
      </c>
      <c r="O938">
        <v>0</v>
      </c>
      <c r="P938">
        <v>-35184046.030000001</v>
      </c>
      <c r="Q938" t="s">
        <v>30</v>
      </c>
      <c r="R938" t="s">
        <v>45</v>
      </c>
      <c r="S938" t="str">
        <v>#N/A</v>
      </c>
      <c r="T938" t="str">
        <v>13</v>
      </c>
    </row>
    <row r="939" spans="1:20" ht="13.7" customHeight="1" x14ac:dyDescent="0.25">
      <c r="A939" t="s">
        <v>26</v>
      </c>
      <c r="B939" t="s">
        <v>27</v>
      </c>
      <c r="C939" t="s">
        <v>91</v>
      </c>
      <c r="D939">
        <v>14</v>
      </c>
      <c r="E939" s="5">
        <v>43528</v>
      </c>
      <c r="F939">
        <v>13250501</v>
      </c>
      <c r="G939">
        <v>0</v>
      </c>
      <c r="H939" t="s">
        <v>1115</v>
      </c>
      <c r="I939" t="s">
        <v>1116</v>
      </c>
      <c r="J939">
        <v>1008</v>
      </c>
      <c r="K939">
        <v>1316</v>
      </c>
      <c r="L939" s="3">
        <v>-35184046.030000001</v>
      </c>
      <c r="M939" s="3">
        <v>0</v>
      </c>
      <c r="N939">
        <v>3000</v>
      </c>
      <c r="O939">
        <v>0</v>
      </c>
      <c r="P939">
        <v>-35187046.030000001</v>
      </c>
      <c r="Q939" t="s">
        <v>30</v>
      </c>
      <c r="R939" t="s">
        <v>538</v>
      </c>
      <c r="S939" t="str">
        <v>#N/A</v>
      </c>
      <c r="T939" t="str">
        <v>13</v>
      </c>
    </row>
    <row r="940" spans="1:20" ht="13.7" customHeight="1" x14ac:dyDescent="0.25">
      <c r="A940" t="s">
        <v>26</v>
      </c>
      <c r="B940" t="s">
        <v>27</v>
      </c>
      <c r="C940" t="s">
        <v>91</v>
      </c>
      <c r="D940">
        <v>16</v>
      </c>
      <c r="E940" s="5">
        <v>43529</v>
      </c>
      <c r="F940">
        <v>13250501</v>
      </c>
      <c r="G940">
        <v>0</v>
      </c>
      <c r="H940" t="s">
        <v>1115</v>
      </c>
      <c r="I940" t="s">
        <v>1116</v>
      </c>
      <c r="J940">
        <v>1008</v>
      </c>
      <c r="K940">
        <v>1316</v>
      </c>
      <c r="L940" s="3">
        <v>-35187046.030000001</v>
      </c>
      <c r="M940" s="3">
        <v>0</v>
      </c>
      <c r="N940">
        <v>263999</v>
      </c>
      <c r="O940">
        <v>0</v>
      </c>
      <c r="P940">
        <v>-35451045.030000001</v>
      </c>
      <c r="Q940" t="s">
        <v>30</v>
      </c>
      <c r="R940" t="s">
        <v>65</v>
      </c>
      <c r="S940" t="str">
        <v>#N/A</v>
      </c>
      <c r="T940" t="str">
        <v>13</v>
      </c>
    </row>
    <row r="941" spans="1:20" ht="13.7" customHeight="1" x14ac:dyDescent="0.25">
      <c r="A941" t="s">
        <v>26</v>
      </c>
      <c r="B941" t="s">
        <v>27</v>
      </c>
      <c r="C941" t="s">
        <v>91</v>
      </c>
      <c r="D941">
        <v>28</v>
      </c>
      <c r="E941" s="5">
        <v>43534</v>
      </c>
      <c r="F941">
        <v>13250501</v>
      </c>
      <c r="G941">
        <v>0</v>
      </c>
      <c r="H941" t="s">
        <v>1115</v>
      </c>
      <c r="I941" t="s">
        <v>1116</v>
      </c>
      <c r="J941">
        <v>1008</v>
      </c>
      <c r="K941">
        <v>1316</v>
      </c>
      <c r="L941" s="3">
        <v>-35451045.030000001</v>
      </c>
      <c r="M941" s="3">
        <v>0</v>
      </c>
      <c r="N941">
        <v>77577</v>
      </c>
      <c r="O941">
        <v>0</v>
      </c>
      <c r="P941">
        <v>-35528622.030000001</v>
      </c>
      <c r="Q941" t="s">
        <v>30</v>
      </c>
      <c r="R941" t="s">
        <v>540</v>
      </c>
      <c r="S941" t="str">
        <v>#N/A</v>
      </c>
      <c r="T941" t="str">
        <v>13</v>
      </c>
    </row>
    <row r="942" spans="1:20" ht="13.7" customHeight="1" x14ac:dyDescent="0.25">
      <c r="A942" t="s">
        <v>26</v>
      </c>
      <c r="B942" t="s">
        <v>27</v>
      </c>
      <c r="C942" t="s">
        <v>91</v>
      </c>
      <c r="D942">
        <v>74</v>
      </c>
      <c r="E942" s="5">
        <v>43555</v>
      </c>
      <c r="F942">
        <v>13250501</v>
      </c>
      <c r="G942">
        <v>0</v>
      </c>
      <c r="H942" t="s">
        <v>1115</v>
      </c>
      <c r="I942" t="s">
        <v>1116</v>
      </c>
      <c r="J942">
        <v>1008</v>
      </c>
      <c r="K942">
        <v>1316</v>
      </c>
      <c r="L942" s="3">
        <v>-35528622.030000001</v>
      </c>
      <c r="M942" s="3">
        <v>0</v>
      </c>
      <c r="N942">
        <v>109841</v>
      </c>
      <c r="O942">
        <v>0</v>
      </c>
      <c r="P942">
        <v>-35638463.030000001</v>
      </c>
      <c r="Q942" t="s">
        <v>30</v>
      </c>
      <c r="R942" t="s">
        <v>158</v>
      </c>
      <c r="S942" t="str">
        <v>#N/A</v>
      </c>
      <c r="T942" t="str">
        <v>13</v>
      </c>
    </row>
    <row r="943" spans="1:20" ht="13.7" customHeight="1" x14ac:dyDescent="0.25">
      <c r="A943" t="s">
        <v>26</v>
      </c>
      <c r="B943" t="s">
        <v>27</v>
      </c>
      <c r="C943" t="s">
        <v>34</v>
      </c>
      <c r="D943">
        <v>21</v>
      </c>
      <c r="E943" s="5">
        <v>43565</v>
      </c>
      <c r="F943">
        <v>13250501</v>
      </c>
      <c r="G943">
        <v>0</v>
      </c>
      <c r="H943" t="s">
        <v>1115</v>
      </c>
      <c r="I943" t="s">
        <v>1116</v>
      </c>
      <c r="J943">
        <v>1008</v>
      </c>
      <c r="K943">
        <v>1316</v>
      </c>
      <c r="L943" s="3">
        <v>-35638463.030000001</v>
      </c>
      <c r="M943" s="3">
        <v>0</v>
      </c>
      <c r="N943">
        <v>6600</v>
      </c>
      <c r="O943">
        <v>0</v>
      </c>
      <c r="P943">
        <v>-35645063.030000001</v>
      </c>
      <c r="Q943" t="s">
        <v>30</v>
      </c>
      <c r="R943" t="s">
        <v>59</v>
      </c>
      <c r="S943" t="str">
        <v>#N/A</v>
      </c>
      <c r="T943" t="str">
        <v>13</v>
      </c>
    </row>
    <row r="944" spans="1:20" ht="13.7" customHeight="1" x14ac:dyDescent="0.25">
      <c r="A944" t="s">
        <v>26</v>
      </c>
      <c r="B944" t="s">
        <v>27</v>
      </c>
      <c r="C944" t="s">
        <v>34</v>
      </c>
      <c r="D944">
        <v>25</v>
      </c>
      <c r="E944" s="5">
        <v>43567</v>
      </c>
      <c r="F944">
        <v>13250501</v>
      </c>
      <c r="G944">
        <v>0</v>
      </c>
      <c r="H944" t="s">
        <v>1115</v>
      </c>
      <c r="I944" t="s">
        <v>1116</v>
      </c>
      <c r="J944">
        <v>1008</v>
      </c>
      <c r="K944">
        <v>1316</v>
      </c>
      <c r="L944" s="3">
        <v>-35645063.030000001</v>
      </c>
      <c r="M944" s="3">
        <v>0</v>
      </c>
      <c r="N944">
        <v>33400</v>
      </c>
      <c r="O944">
        <v>0</v>
      </c>
      <c r="P944">
        <v>-35678463.030000001</v>
      </c>
      <c r="Q944" t="s">
        <v>30</v>
      </c>
      <c r="R944" t="s">
        <v>59</v>
      </c>
      <c r="S944" t="str">
        <v>#N/A</v>
      </c>
      <c r="T944" t="str">
        <v>13</v>
      </c>
    </row>
    <row r="945" spans="1:20" ht="13.7" customHeight="1" x14ac:dyDescent="0.25">
      <c r="A945" t="s">
        <v>26</v>
      </c>
      <c r="B945" t="s">
        <v>27</v>
      </c>
      <c r="C945" t="s">
        <v>34</v>
      </c>
      <c r="D945">
        <v>29</v>
      </c>
      <c r="E945" s="5">
        <v>43568</v>
      </c>
      <c r="F945">
        <v>13250501</v>
      </c>
      <c r="G945">
        <v>0</v>
      </c>
      <c r="H945" t="s">
        <v>1115</v>
      </c>
      <c r="I945" t="s">
        <v>1116</v>
      </c>
      <c r="J945">
        <v>1008</v>
      </c>
      <c r="K945">
        <v>1316</v>
      </c>
      <c r="L945" s="3">
        <v>-35678463.030000001</v>
      </c>
      <c r="M945" s="3">
        <v>0</v>
      </c>
      <c r="N945">
        <v>70016</v>
      </c>
      <c r="O945">
        <v>0</v>
      </c>
      <c r="P945">
        <v>-35748479.030000001</v>
      </c>
      <c r="Q945" t="s">
        <v>30</v>
      </c>
      <c r="R945" t="s">
        <v>158</v>
      </c>
      <c r="S945" t="str">
        <v>#N/A</v>
      </c>
      <c r="T945" t="str">
        <v>13</v>
      </c>
    </row>
    <row r="946" spans="1:20" ht="13.7" customHeight="1" x14ac:dyDescent="0.25">
      <c r="A946" t="s">
        <v>26</v>
      </c>
      <c r="B946" t="s">
        <v>27</v>
      </c>
      <c r="C946" t="s">
        <v>34</v>
      </c>
      <c r="D946">
        <v>30</v>
      </c>
      <c r="E946" s="5">
        <v>43568</v>
      </c>
      <c r="F946">
        <v>13250501</v>
      </c>
      <c r="G946">
        <v>0</v>
      </c>
      <c r="H946" t="s">
        <v>1115</v>
      </c>
      <c r="I946" t="s">
        <v>1116</v>
      </c>
      <c r="J946">
        <v>1008</v>
      </c>
      <c r="K946">
        <v>1316</v>
      </c>
      <c r="L946" s="3">
        <v>-35748479.030000001</v>
      </c>
      <c r="M946" s="3">
        <v>0</v>
      </c>
      <c r="N946">
        <v>127338</v>
      </c>
      <c r="O946">
        <v>0</v>
      </c>
      <c r="P946">
        <v>-35875817.030000001</v>
      </c>
      <c r="Q946" t="s">
        <v>30</v>
      </c>
      <c r="R946" t="s">
        <v>158</v>
      </c>
      <c r="S946" t="str">
        <v>#N/A</v>
      </c>
      <c r="T946" t="str">
        <v>13</v>
      </c>
    </row>
    <row r="947" spans="1:20" ht="13.7" customHeight="1" x14ac:dyDescent="0.25">
      <c r="A947" t="s">
        <v>26</v>
      </c>
      <c r="B947" t="s">
        <v>27</v>
      </c>
      <c r="C947" t="s">
        <v>34</v>
      </c>
      <c r="D947">
        <v>34</v>
      </c>
      <c r="E947" s="5">
        <v>43570</v>
      </c>
      <c r="F947">
        <v>13250501</v>
      </c>
      <c r="G947">
        <v>0</v>
      </c>
      <c r="H947" t="s">
        <v>1115</v>
      </c>
      <c r="I947" t="s">
        <v>1116</v>
      </c>
      <c r="J947">
        <v>1008</v>
      </c>
      <c r="K947">
        <v>1316</v>
      </c>
      <c r="L947" s="3">
        <v>-35875817.030000001</v>
      </c>
      <c r="M947" s="3">
        <v>399585</v>
      </c>
      <c r="N947">
        <v>0</v>
      </c>
      <c r="O947">
        <v>0</v>
      </c>
      <c r="P947">
        <v>-35476232.030000001</v>
      </c>
      <c r="Q947" t="s">
        <v>30</v>
      </c>
      <c r="R947" t="s">
        <v>69</v>
      </c>
      <c r="S947" t="str">
        <v>#N/A</v>
      </c>
      <c r="T947" t="str">
        <v>13</v>
      </c>
    </row>
    <row r="948" spans="1:20" ht="13.7" customHeight="1" x14ac:dyDescent="0.25">
      <c r="A948" t="s">
        <v>26</v>
      </c>
      <c r="B948" t="s">
        <v>27</v>
      </c>
      <c r="C948" t="s">
        <v>34</v>
      </c>
      <c r="D948">
        <v>37</v>
      </c>
      <c r="E948" s="5">
        <v>43571</v>
      </c>
      <c r="F948">
        <v>13250501</v>
      </c>
      <c r="G948">
        <v>0</v>
      </c>
      <c r="H948" t="s">
        <v>1115</v>
      </c>
      <c r="I948" t="s">
        <v>1116</v>
      </c>
      <c r="J948">
        <v>1008</v>
      </c>
      <c r="K948">
        <v>1316</v>
      </c>
      <c r="L948" s="3">
        <v>-35476232.030000001</v>
      </c>
      <c r="M948" s="3">
        <v>0</v>
      </c>
      <c r="N948">
        <v>20400</v>
      </c>
      <c r="O948">
        <v>0</v>
      </c>
      <c r="P948">
        <v>-35496632.030000001</v>
      </c>
      <c r="Q948" t="s">
        <v>30</v>
      </c>
      <c r="R948" t="s">
        <v>59</v>
      </c>
      <c r="S948" t="str">
        <v>#N/A</v>
      </c>
      <c r="T948" t="str">
        <v>13</v>
      </c>
    </row>
    <row r="949" spans="1:20" ht="13.7" customHeight="1" x14ac:dyDescent="0.25">
      <c r="A949" t="s">
        <v>26</v>
      </c>
      <c r="B949" t="s">
        <v>27</v>
      </c>
      <c r="C949" t="s">
        <v>34</v>
      </c>
      <c r="D949">
        <v>38</v>
      </c>
      <c r="E949" s="5">
        <v>43571</v>
      </c>
      <c r="F949">
        <v>13250501</v>
      </c>
      <c r="G949">
        <v>0</v>
      </c>
      <c r="H949" t="s">
        <v>1115</v>
      </c>
      <c r="I949" t="s">
        <v>1116</v>
      </c>
      <c r="J949">
        <v>1008</v>
      </c>
      <c r="K949">
        <v>1316</v>
      </c>
      <c r="L949" s="3">
        <v>-35496632.030000001</v>
      </c>
      <c r="M949" s="3">
        <v>0</v>
      </c>
      <c r="N949">
        <v>7450</v>
      </c>
      <c r="O949">
        <v>0</v>
      </c>
      <c r="P949">
        <v>-35504082.030000001</v>
      </c>
      <c r="Q949" t="s">
        <v>30</v>
      </c>
      <c r="R949" t="s">
        <v>59</v>
      </c>
      <c r="S949" t="str">
        <v>#N/A</v>
      </c>
      <c r="T949" t="str">
        <v>13</v>
      </c>
    </row>
    <row r="950" spans="1:20" ht="13.7" customHeight="1" x14ac:dyDescent="0.25">
      <c r="A950" t="s">
        <v>26</v>
      </c>
      <c r="B950" t="s">
        <v>27</v>
      </c>
      <c r="C950" t="s">
        <v>34</v>
      </c>
      <c r="D950">
        <v>44</v>
      </c>
      <c r="E950" s="5">
        <v>43575</v>
      </c>
      <c r="F950">
        <v>13250501</v>
      </c>
      <c r="G950">
        <v>0</v>
      </c>
      <c r="H950" t="s">
        <v>1115</v>
      </c>
      <c r="I950" t="s">
        <v>1116</v>
      </c>
      <c r="J950">
        <v>1008</v>
      </c>
      <c r="K950">
        <v>1316</v>
      </c>
      <c r="L950" s="3">
        <v>-35504082.030000001</v>
      </c>
      <c r="M950" s="3">
        <v>0</v>
      </c>
      <c r="N950">
        <v>10000</v>
      </c>
      <c r="O950">
        <v>0</v>
      </c>
      <c r="P950">
        <v>-35514082.030000001</v>
      </c>
      <c r="Q950" t="s">
        <v>30</v>
      </c>
      <c r="R950" t="s">
        <v>59</v>
      </c>
      <c r="S950" t="str">
        <v>#N/A</v>
      </c>
      <c r="T950" t="str">
        <v>13</v>
      </c>
    </row>
    <row r="951" spans="1:20" ht="13.7" customHeight="1" x14ac:dyDescent="0.25">
      <c r="A951" t="s">
        <v>26</v>
      </c>
      <c r="B951" t="s">
        <v>27</v>
      </c>
      <c r="C951" t="s">
        <v>34</v>
      </c>
      <c r="D951">
        <v>46</v>
      </c>
      <c r="E951" s="5">
        <v>43575</v>
      </c>
      <c r="F951">
        <v>13250501</v>
      </c>
      <c r="G951">
        <v>0</v>
      </c>
      <c r="H951" t="s">
        <v>1115</v>
      </c>
      <c r="I951" t="s">
        <v>1116</v>
      </c>
      <c r="J951">
        <v>1008</v>
      </c>
      <c r="K951">
        <v>1316</v>
      </c>
      <c r="L951" s="3">
        <v>-35514082.030000001</v>
      </c>
      <c r="M951" s="3">
        <v>0</v>
      </c>
      <c r="N951">
        <v>3100</v>
      </c>
      <c r="O951">
        <v>0</v>
      </c>
      <c r="P951">
        <v>-35517182.030000001</v>
      </c>
      <c r="Q951" t="s">
        <v>30</v>
      </c>
      <c r="R951" t="s">
        <v>68</v>
      </c>
      <c r="S951" t="str">
        <v>#N/A</v>
      </c>
      <c r="T951" t="str">
        <v>13</v>
      </c>
    </row>
    <row r="952" spans="1:20" ht="13.7" customHeight="1" x14ac:dyDescent="0.25">
      <c r="A952" t="s">
        <v>26</v>
      </c>
      <c r="B952" t="s">
        <v>27</v>
      </c>
      <c r="C952" t="s">
        <v>34</v>
      </c>
      <c r="D952">
        <v>47</v>
      </c>
      <c r="E952" s="5">
        <v>43575</v>
      </c>
      <c r="F952">
        <v>13250501</v>
      </c>
      <c r="G952">
        <v>0</v>
      </c>
      <c r="H952" t="s">
        <v>1115</v>
      </c>
      <c r="I952" t="s">
        <v>1116</v>
      </c>
      <c r="J952">
        <v>1008</v>
      </c>
      <c r="K952">
        <v>1316</v>
      </c>
      <c r="L952" s="3">
        <v>-35517182.030000001</v>
      </c>
      <c r="M952" s="3">
        <v>0</v>
      </c>
      <c r="N952">
        <v>4198</v>
      </c>
      <c r="O952">
        <v>0</v>
      </c>
      <c r="P952">
        <v>-35521380.030000001</v>
      </c>
      <c r="Q952" t="s">
        <v>30</v>
      </c>
      <c r="R952" t="s">
        <v>59</v>
      </c>
      <c r="S952" t="str">
        <v>#N/A</v>
      </c>
      <c r="T952" t="str">
        <v>13</v>
      </c>
    </row>
    <row r="953" spans="1:20" ht="13.7" customHeight="1" x14ac:dyDescent="0.25">
      <c r="A953" t="s">
        <v>26</v>
      </c>
      <c r="B953" t="s">
        <v>27</v>
      </c>
      <c r="C953" t="s">
        <v>34</v>
      </c>
      <c r="D953">
        <v>49</v>
      </c>
      <c r="E953" s="5">
        <v>43575</v>
      </c>
      <c r="F953">
        <v>13250501</v>
      </c>
      <c r="G953">
        <v>0</v>
      </c>
      <c r="H953" t="s">
        <v>1115</v>
      </c>
      <c r="I953" t="s">
        <v>1116</v>
      </c>
      <c r="J953">
        <v>1008</v>
      </c>
      <c r="K953">
        <v>1316</v>
      </c>
      <c r="L953" s="3">
        <v>-35521380.030000001</v>
      </c>
      <c r="M953" s="3">
        <v>0</v>
      </c>
      <c r="N953">
        <v>9700</v>
      </c>
      <c r="O953">
        <v>0</v>
      </c>
      <c r="P953">
        <v>-35531080.030000001</v>
      </c>
      <c r="Q953" t="s">
        <v>30</v>
      </c>
      <c r="R953" t="s">
        <v>70</v>
      </c>
      <c r="S953" t="str">
        <v>#N/A</v>
      </c>
      <c r="T953" t="str">
        <v>13</v>
      </c>
    </row>
    <row r="954" spans="1:20" ht="13.7" customHeight="1" x14ac:dyDescent="0.25">
      <c r="A954" t="s">
        <v>26</v>
      </c>
      <c r="B954" t="s">
        <v>27</v>
      </c>
      <c r="C954" t="s">
        <v>34</v>
      </c>
      <c r="D954">
        <v>48</v>
      </c>
      <c r="E954" s="5">
        <v>43576</v>
      </c>
      <c r="F954">
        <v>13250501</v>
      </c>
      <c r="G954">
        <v>0</v>
      </c>
      <c r="H954" t="s">
        <v>1115</v>
      </c>
      <c r="I954" t="s">
        <v>1116</v>
      </c>
      <c r="J954">
        <v>1008</v>
      </c>
      <c r="K954">
        <v>1316</v>
      </c>
      <c r="L954" s="3">
        <v>-35531080.030000001</v>
      </c>
      <c r="M954" s="3">
        <v>0</v>
      </c>
      <c r="N954">
        <v>120000</v>
      </c>
      <c r="O954">
        <v>0</v>
      </c>
      <c r="P954">
        <v>-35651080.030000001</v>
      </c>
      <c r="Q954" t="s">
        <v>30</v>
      </c>
      <c r="R954" t="s">
        <v>158</v>
      </c>
      <c r="S954" t="str">
        <v>#N/A</v>
      </c>
      <c r="T954" t="str">
        <v>13</v>
      </c>
    </row>
    <row r="955" spans="1:20" ht="13.7" customHeight="1" x14ac:dyDescent="0.25">
      <c r="A955" t="s">
        <v>26</v>
      </c>
      <c r="B955" t="s">
        <v>27</v>
      </c>
      <c r="C955" t="s">
        <v>34</v>
      </c>
      <c r="D955">
        <v>50</v>
      </c>
      <c r="E955" s="5">
        <v>43577</v>
      </c>
      <c r="F955">
        <v>13250501</v>
      </c>
      <c r="G955">
        <v>0</v>
      </c>
      <c r="H955" t="s">
        <v>1115</v>
      </c>
      <c r="I955" t="s">
        <v>1116</v>
      </c>
      <c r="J955">
        <v>1008</v>
      </c>
      <c r="K955">
        <v>1316</v>
      </c>
      <c r="L955" s="3">
        <v>-35651080.030000001</v>
      </c>
      <c r="M955" s="3">
        <v>0</v>
      </c>
      <c r="N955">
        <v>220000</v>
      </c>
      <c r="O955">
        <v>0</v>
      </c>
      <c r="P955">
        <v>-35871080.030000001</v>
      </c>
      <c r="Q955" t="s">
        <v>30</v>
      </c>
      <c r="R955" t="s">
        <v>539</v>
      </c>
      <c r="S955" t="str">
        <v>#N/A</v>
      </c>
      <c r="T955" t="str">
        <v>13</v>
      </c>
    </row>
    <row r="956" spans="1:20" ht="13.7" customHeight="1" x14ac:dyDescent="0.25">
      <c r="A956" t="s">
        <v>26</v>
      </c>
      <c r="B956" t="s">
        <v>27</v>
      </c>
      <c r="C956" t="s">
        <v>34</v>
      </c>
      <c r="D956">
        <v>64</v>
      </c>
      <c r="E956" s="5">
        <v>43583</v>
      </c>
      <c r="F956">
        <v>13250501</v>
      </c>
      <c r="G956">
        <v>0</v>
      </c>
      <c r="H956" t="s">
        <v>1115</v>
      </c>
      <c r="I956" t="s">
        <v>1116</v>
      </c>
      <c r="J956">
        <v>1008</v>
      </c>
      <c r="K956">
        <v>1316</v>
      </c>
      <c r="L956" s="3">
        <v>-35871080.030000001</v>
      </c>
      <c r="M956" s="3">
        <v>0</v>
      </c>
      <c r="N956">
        <v>110378</v>
      </c>
      <c r="O956">
        <v>0</v>
      </c>
      <c r="P956">
        <v>-35981458.030000001</v>
      </c>
      <c r="Q956" t="s">
        <v>30</v>
      </c>
      <c r="R956" t="s">
        <v>158</v>
      </c>
      <c r="S956" t="str">
        <v>#N/A</v>
      </c>
      <c r="T956" t="str">
        <v>13</v>
      </c>
    </row>
    <row r="957" spans="1:20" ht="13.7" customHeight="1" x14ac:dyDescent="0.25">
      <c r="A957" t="s">
        <v>26</v>
      </c>
      <c r="B957" t="s">
        <v>27</v>
      </c>
      <c r="C957" t="s">
        <v>34</v>
      </c>
      <c r="D957">
        <v>69</v>
      </c>
      <c r="E957" s="5">
        <v>43585</v>
      </c>
      <c r="F957">
        <v>13250501</v>
      </c>
      <c r="G957">
        <v>0</v>
      </c>
      <c r="H957" t="s">
        <v>1115</v>
      </c>
      <c r="I957" t="s">
        <v>1116</v>
      </c>
      <c r="J957">
        <v>1008</v>
      </c>
      <c r="K957">
        <v>1316</v>
      </c>
      <c r="L957" s="3">
        <v>-35981458.030000001</v>
      </c>
      <c r="M957" s="3">
        <v>0</v>
      </c>
      <c r="N957">
        <v>31499</v>
      </c>
      <c r="O957">
        <v>0</v>
      </c>
      <c r="P957">
        <v>-36012957.030000001</v>
      </c>
      <c r="Q957" t="s">
        <v>30</v>
      </c>
      <c r="R957" t="s">
        <v>538</v>
      </c>
      <c r="S957" t="str">
        <v>#N/A</v>
      </c>
      <c r="T957" t="str">
        <v>13</v>
      </c>
    </row>
    <row r="958" spans="1:20" ht="13.7" customHeight="1" x14ac:dyDescent="0.25">
      <c r="A958" t="s">
        <v>26</v>
      </c>
      <c r="B958" t="s">
        <v>27</v>
      </c>
      <c r="C958" t="s">
        <v>35</v>
      </c>
      <c r="D958">
        <v>6</v>
      </c>
      <c r="E958" s="5">
        <v>43587</v>
      </c>
      <c r="F958">
        <v>13250501</v>
      </c>
      <c r="G958">
        <v>0</v>
      </c>
      <c r="H958" t="s">
        <v>1115</v>
      </c>
      <c r="I958" t="s">
        <v>1116</v>
      </c>
      <c r="J958">
        <v>1008</v>
      </c>
      <c r="K958">
        <v>1316</v>
      </c>
      <c r="L958" s="3">
        <v>-36012957.030000001</v>
      </c>
      <c r="M958" s="3">
        <v>0</v>
      </c>
      <c r="N958">
        <v>48000</v>
      </c>
      <c r="O958">
        <v>0</v>
      </c>
      <c r="P958">
        <v>-36060957.030000001</v>
      </c>
      <c r="Q958" t="s">
        <v>30</v>
      </c>
      <c r="R958" t="s">
        <v>122</v>
      </c>
      <c r="S958" t="str">
        <v>#N/A</v>
      </c>
      <c r="T958" t="str">
        <v>13</v>
      </c>
    </row>
    <row r="959" spans="1:20" ht="13.7" customHeight="1" x14ac:dyDescent="0.25">
      <c r="A959" t="s">
        <v>26</v>
      </c>
      <c r="B959" t="s">
        <v>27</v>
      </c>
      <c r="C959" t="s">
        <v>35</v>
      </c>
      <c r="D959">
        <v>9</v>
      </c>
      <c r="E959" s="5">
        <v>43587</v>
      </c>
      <c r="F959">
        <v>13250501</v>
      </c>
      <c r="G959">
        <v>0</v>
      </c>
      <c r="H959" t="s">
        <v>1115</v>
      </c>
      <c r="I959" t="s">
        <v>1116</v>
      </c>
      <c r="J959">
        <v>1008</v>
      </c>
      <c r="K959">
        <v>1316</v>
      </c>
      <c r="L959" s="3">
        <v>-36060957.030000001</v>
      </c>
      <c r="M959" s="3">
        <v>0</v>
      </c>
      <c r="N959">
        <v>8000</v>
      </c>
      <c r="O959">
        <v>0</v>
      </c>
      <c r="P959">
        <v>-36068957.030000001</v>
      </c>
      <c r="Q959" t="s">
        <v>30</v>
      </c>
      <c r="R959" t="s">
        <v>125</v>
      </c>
      <c r="S959" t="str">
        <v>#N/A</v>
      </c>
      <c r="T959" t="str">
        <v>13</v>
      </c>
    </row>
    <row r="960" spans="1:20" ht="13.7" customHeight="1" x14ac:dyDescent="0.25">
      <c r="A960" t="s">
        <v>26</v>
      </c>
      <c r="B960" t="s">
        <v>27</v>
      </c>
      <c r="C960" t="s">
        <v>35</v>
      </c>
      <c r="D960">
        <v>15</v>
      </c>
      <c r="E960" s="5">
        <v>43588</v>
      </c>
      <c r="F960">
        <v>13250501</v>
      </c>
      <c r="G960">
        <v>0</v>
      </c>
      <c r="H960" t="s">
        <v>1115</v>
      </c>
      <c r="I960" t="s">
        <v>1116</v>
      </c>
      <c r="J960">
        <v>1008</v>
      </c>
      <c r="K960">
        <v>1316</v>
      </c>
      <c r="L960" s="3">
        <v>-36068957.030000001</v>
      </c>
      <c r="M960" s="3">
        <v>0</v>
      </c>
      <c r="N960">
        <v>35993</v>
      </c>
      <c r="O960">
        <v>0</v>
      </c>
      <c r="P960">
        <v>-36104950.030000001</v>
      </c>
      <c r="Q960" t="s">
        <v>30</v>
      </c>
      <c r="R960" t="s">
        <v>543</v>
      </c>
      <c r="S960" t="str">
        <v>#N/A</v>
      </c>
      <c r="T960" t="str">
        <v>13</v>
      </c>
    </row>
    <row r="961" spans="1:20" ht="13.7" customHeight="1" x14ac:dyDescent="0.25">
      <c r="A961" t="s">
        <v>26</v>
      </c>
      <c r="B961" t="s">
        <v>27</v>
      </c>
      <c r="C961" t="s">
        <v>35</v>
      </c>
      <c r="D961">
        <v>18</v>
      </c>
      <c r="E961" s="5">
        <v>43589</v>
      </c>
      <c r="F961">
        <v>13250501</v>
      </c>
      <c r="G961">
        <v>0</v>
      </c>
      <c r="H961" t="s">
        <v>1115</v>
      </c>
      <c r="I961" t="s">
        <v>1116</v>
      </c>
      <c r="J961">
        <v>1008</v>
      </c>
      <c r="K961">
        <v>1316</v>
      </c>
      <c r="L961" s="3">
        <v>-36104950.030000001</v>
      </c>
      <c r="M961" s="3">
        <v>0</v>
      </c>
      <c r="N961">
        <v>141019</v>
      </c>
      <c r="O961">
        <v>0</v>
      </c>
      <c r="P961">
        <v>-36245969.030000001</v>
      </c>
      <c r="Q961" t="s">
        <v>30</v>
      </c>
      <c r="R961" t="s">
        <v>158</v>
      </c>
      <c r="S961" t="str">
        <v>#N/A</v>
      </c>
      <c r="T961" t="str">
        <v>13</v>
      </c>
    </row>
    <row r="962" spans="1:20" ht="13.7" customHeight="1" x14ac:dyDescent="0.25">
      <c r="A962" t="s">
        <v>26</v>
      </c>
      <c r="B962" t="s">
        <v>27</v>
      </c>
      <c r="C962" t="s">
        <v>35</v>
      </c>
      <c r="D962">
        <v>19</v>
      </c>
      <c r="E962" s="5">
        <v>43590</v>
      </c>
      <c r="F962">
        <v>13250501</v>
      </c>
      <c r="G962">
        <v>0</v>
      </c>
      <c r="H962" t="s">
        <v>1115</v>
      </c>
      <c r="I962" t="s">
        <v>1116</v>
      </c>
      <c r="J962">
        <v>1008</v>
      </c>
      <c r="K962">
        <v>1316</v>
      </c>
      <c r="L962" s="3">
        <v>-36245969.030000001</v>
      </c>
      <c r="M962" s="3">
        <v>0</v>
      </c>
      <c r="N962">
        <v>3900</v>
      </c>
      <c r="O962">
        <v>0</v>
      </c>
      <c r="P962">
        <v>-36249869.030000001</v>
      </c>
      <c r="Q962" t="s">
        <v>30</v>
      </c>
      <c r="R962" t="s">
        <v>149</v>
      </c>
      <c r="S962" t="str">
        <v>#N/A</v>
      </c>
      <c r="T962" t="str">
        <v>13</v>
      </c>
    </row>
    <row r="963" spans="1:20" ht="13.7" customHeight="1" x14ac:dyDescent="0.25">
      <c r="A963" t="s">
        <v>26</v>
      </c>
      <c r="B963" t="s">
        <v>27</v>
      </c>
      <c r="C963" t="s">
        <v>35</v>
      </c>
      <c r="D963">
        <v>25</v>
      </c>
      <c r="E963" s="5">
        <v>43592</v>
      </c>
      <c r="F963">
        <v>13250501</v>
      </c>
      <c r="G963">
        <v>0</v>
      </c>
      <c r="H963" t="s">
        <v>1115</v>
      </c>
      <c r="I963" t="s">
        <v>1116</v>
      </c>
      <c r="J963">
        <v>1008</v>
      </c>
      <c r="K963">
        <v>1316</v>
      </c>
      <c r="L963" s="3">
        <v>-36249869.030000001</v>
      </c>
      <c r="M963" s="3">
        <v>0</v>
      </c>
      <c r="N963">
        <v>6590</v>
      </c>
      <c r="O963">
        <v>0</v>
      </c>
      <c r="P963">
        <v>-36256459.030000001</v>
      </c>
      <c r="Q963" t="s">
        <v>30</v>
      </c>
      <c r="R963" t="s">
        <v>149</v>
      </c>
      <c r="S963" t="str">
        <v>#N/A</v>
      </c>
      <c r="T963" t="str">
        <v>13</v>
      </c>
    </row>
    <row r="964" spans="1:20" ht="13.7" customHeight="1" x14ac:dyDescent="0.25">
      <c r="A964" t="s">
        <v>26</v>
      </c>
      <c r="B964" t="s">
        <v>27</v>
      </c>
      <c r="C964" t="s">
        <v>35</v>
      </c>
      <c r="D964">
        <v>36</v>
      </c>
      <c r="E964" s="5">
        <v>43596</v>
      </c>
      <c r="F964">
        <v>13250501</v>
      </c>
      <c r="G964">
        <v>0</v>
      </c>
      <c r="H964" t="s">
        <v>1115</v>
      </c>
      <c r="I964" t="s">
        <v>1116</v>
      </c>
      <c r="J964">
        <v>1008</v>
      </c>
      <c r="K964">
        <v>1316</v>
      </c>
      <c r="L964" s="3">
        <v>-36256459.030000001</v>
      </c>
      <c r="M964" s="3">
        <v>0</v>
      </c>
      <c r="N964">
        <v>89811</v>
      </c>
      <c r="O964">
        <v>0</v>
      </c>
      <c r="P964">
        <v>-36346270.030000001</v>
      </c>
      <c r="Q964" t="s">
        <v>30</v>
      </c>
      <c r="R964" t="s">
        <v>70</v>
      </c>
      <c r="S964" t="str">
        <v>#N/A</v>
      </c>
      <c r="T964" t="str">
        <v>13</v>
      </c>
    </row>
    <row r="965" spans="1:20" ht="13.7" customHeight="1" x14ac:dyDescent="0.25">
      <c r="A965" t="s">
        <v>26</v>
      </c>
      <c r="B965" t="s">
        <v>27</v>
      </c>
      <c r="C965" t="s">
        <v>35</v>
      </c>
      <c r="D965">
        <v>37</v>
      </c>
      <c r="E965" s="5">
        <v>43596</v>
      </c>
      <c r="F965">
        <v>13250501</v>
      </c>
      <c r="G965">
        <v>0</v>
      </c>
      <c r="H965" t="s">
        <v>1115</v>
      </c>
      <c r="I965" t="s">
        <v>1116</v>
      </c>
      <c r="J965">
        <v>1008</v>
      </c>
      <c r="K965">
        <v>1316</v>
      </c>
      <c r="L965" s="3">
        <v>-36346270.030000001</v>
      </c>
      <c r="M965" s="3">
        <v>0</v>
      </c>
      <c r="N965">
        <v>98002</v>
      </c>
      <c r="O965">
        <v>0</v>
      </c>
      <c r="P965">
        <v>-36444272.030000001</v>
      </c>
      <c r="Q965" t="s">
        <v>30</v>
      </c>
      <c r="R965" t="s">
        <v>158</v>
      </c>
      <c r="S965" t="str">
        <v>#N/A</v>
      </c>
      <c r="T965" t="str">
        <v>13</v>
      </c>
    </row>
    <row r="966" spans="1:20" ht="13.7" customHeight="1" x14ac:dyDescent="0.25">
      <c r="A966" t="s">
        <v>26</v>
      </c>
      <c r="B966" t="s">
        <v>27</v>
      </c>
      <c r="C966" t="s">
        <v>35</v>
      </c>
      <c r="D966">
        <v>39</v>
      </c>
      <c r="E966" s="5">
        <v>43597</v>
      </c>
      <c r="F966">
        <v>13250501</v>
      </c>
      <c r="G966">
        <v>0</v>
      </c>
      <c r="H966" t="s">
        <v>1115</v>
      </c>
      <c r="I966" t="s">
        <v>1116</v>
      </c>
      <c r="J966">
        <v>1008</v>
      </c>
      <c r="K966">
        <v>1316</v>
      </c>
      <c r="L966" s="3">
        <v>-36444272.030000001</v>
      </c>
      <c r="M966" s="3">
        <v>0</v>
      </c>
      <c r="N966">
        <v>87000</v>
      </c>
      <c r="O966">
        <v>0</v>
      </c>
      <c r="P966">
        <v>-36531272.030000001</v>
      </c>
      <c r="Q966" t="s">
        <v>30</v>
      </c>
      <c r="R966" t="s">
        <v>544</v>
      </c>
      <c r="S966" t="str">
        <v>#N/A</v>
      </c>
      <c r="T966" t="str">
        <v>13</v>
      </c>
    </row>
    <row r="967" spans="1:20" ht="13.7" customHeight="1" x14ac:dyDescent="0.25">
      <c r="A967" t="s">
        <v>26</v>
      </c>
      <c r="B967" t="s">
        <v>27</v>
      </c>
      <c r="C967" t="s">
        <v>35</v>
      </c>
      <c r="D967">
        <v>42</v>
      </c>
      <c r="E967" s="5">
        <v>43598</v>
      </c>
      <c r="F967">
        <v>13250501</v>
      </c>
      <c r="G967">
        <v>0</v>
      </c>
      <c r="H967" t="s">
        <v>1115</v>
      </c>
      <c r="I967" t="s">
        <v>1116</v>
      </c>
      <c r="J967">
        <v>1008</v>
      </c>
      <c r="K967">
        <v>1316</v>
      </c>
      <c r="L967" s="3">
        <v>-36531272.030000001</v>
      </c>
      <c r="M967" s="3">
        <v>0</v>
      </c>
      <c r="N967">
        <v>17550</v>
      </c>
      <c r="O967">
        <v>0</v>
      </c>
      <c r="P967">
        <v>-36548822.030000001</v>
      </c>
      <c r="Q967" t="s">
        <v>30</v>
      </c>
      <c r="R967" t="s">
        <v>149</v>
      </c>
      <c r="S967" t="str">
        <v>#N/A</v>
      </c>
      <c r="T967" t="str">
        <v>13</v>
      </c>
    </row>
    <row r="968" spans="1:20" ht="13.7" customHeight="1" x14ac:dyDescent="0.25">
      <c r="A968" t="s">
        <v>26</v>
      </c>
      <c r="B968" t="s">
        <v>27</v>
      </c>
      <c r="C968" t="s">
        <v>35</v>
      </c>
      <c r="D968">
        <v>61</v>
      </c>
      <c r="E968" s="5">
        <v>43603</v>
      </c>
      <c r="F968">
        <v>13250501</v>
      </c>
      <c r="G968">
        <v>0</v>
      </c>
      <c r="H968" t="s">
        <v>1115</v>
      </c>
      <c r="I968" t="s">
        <v>1116</v>
      </c>
      <c r="J968">
        <v>1008</v>
      </c>
      <c r="K968">
        <v>1316</v>
      </c>
      <c r="L968" s="3">
        <v>-36548822.030000001</v>
      </c>
      <c r="M968" s="3">
        <v>0</v>
      </c>
      <c r="N968">
        <v>11900</v>
      </c>
      <c r="O968">
        <v>0</v>
      </c>
      <c r="P968">
        <v>-36560722.030000001</v>
      </c>
      <c r="Q968" t="s">
        <v>30</v>
      </c>
      <c r="R968" t="s">
        <v>59</v>
      </c>
      <c r="S968" t="str">
        <v>#N/A</v>
      </c>
      <c r="T968" t="str">
        <v>13</v>
      </c>
    </row>
    <row r="969" spans="1:20" ht="13.7" customHeight="1" x14ac:dyDescent="0.25">
      <c r="A969" t="s">
        <v>26</v>
      </c>
      <c r="B969" t="s">
        <v>27</v>
      </c>
      <c r="C969" t="s">
        <v>35</v>
      </c>
      <c r="D969">
        <v>66</v>
      </c>
      <c r="E969" s="5">
        <v>43605</v>
      </c>
      <c r="F969">
        <v>13250501</v>
      </c>
      <c r="G969">
        <v>0</v>
      </c>
      <c r="H969" t="s">
        <v>1115</v>
      </c>
      <c r="I969" t="s">
        <v>1116</v>
      </c>
      <c r="J969">
        <v>1008</v>
      </c>
      <c r="K969">
        <v>1316</v>
      </c>
      <c r="L969" s="3">
        <v>-36560722.030000001</v>
      </c>
      <c r="M969" s="3">
        <v>0</v>
      </c>
      <c r="N969">
        <v>3100</v>
      </c>
      <c r="O969">
        <v>0</v>
      </c>
      <c r="P969">
        <v>-36563822.030000001</v>
      </c>
      <c r="Q969" t="s">
        <v>30</v>
      </c>
      <c r="R969" t="s">
        <v>68</v>
      </c>
      <c r="S969" t="str">
        <v>#N/A</v>
      </c>
      <c r="T969" t="str">
        <v>13</v>
      </c>
    </row>
    <row r="970" spans="1:20" ht="13.7" customHeight="1" x14ac:dyDescent="0.25">
      <c r="A970" t="s">
        <v>26</v>
      </c>
      <c r="B970" t="s">
        <v>27</v>
      </c>
      <c r="C970" t="s">
        <v>35</v>
      </c>
      <c r="D970">
        <v>67</v>
      </c>
      <c r="E970" s="5">
        <v>43605</v>
      </c>
      <c r="F970">
        <v>13250501</v>
      </c>
      <c r="G970">
        <v>0</v>
      </c>
      <c r="H970" t="s">
        <v>1115</v>
      </c>
      <c r="I970" t="s">
        <v>1116</v>
      </c>
      <c r="J970">
        <v>1008</v>
      </c>
      <c r="K970">
        <v>1316</v>
      </c>
      <c r="L970" s="3">
        <v>-36563822.030000001</v>
      </c>
      <c r="M970" s="3">
        <v>0</v>
      </c>
      <c r="N970">
        <v>7600</v>
      </c>
      <c r="O970">
        <v>0</v>
      </c>
      <c r="P970">
        <v>-36571422.030000001</v>
      </c>
      <c r="Q970" t="s">
        <v>30</v>
      </c>
      <c r="R970" t="s">
        <v>59</v>
      </c>
      <c r="S970" t="str">
        <v>#N/A</v>
      </c>
      <c r="T970" t="str">
        <v>13</v>
      </c>
    </row>
    <row r="971" spans="1:20" ht="13.7" customHeight="1" x14ac:dyDescent="0.25">
      <c r="A971" t="s">
        <v>26</v>
      </c>
      <c r="B971" t="s">
        <v>27</v>
      </c>
      <c r="C971" t="s">
        <v>35</v>
      </c>
      <c r="D971">
        <v>71</v>
      </c>
      <c r="E971" s="5">
        <v>43606</v>
      </c>
      <c r="F971">
        <v>13250501</v>
      </c>
      <c r="G971">
        <v>0</v>
      </c>
      <c r="H971" t="s">
        <v>1115</v>
      </c>
      <c r="I971" t="s">
        <v>1116</v>
      </c>
      <c r="J971">
        <v>1008</v>
      </c>
      <c r="K971">
        <v>1316</v>
      </c>
      <c r="L971" s="3">
        <v>-36571422.030000001</v>
      </c>
      <c r="M971" s="3">
        <v>0</v>
      </c>
      <c r="N971">
        <v>1900</v>
      </c>
      <c r="O971">
        <v>0</v>
      </c>
      <c r="P971">
        <v>-36573322.030000001</v>
      </c>
      <c r="Q971" t="s">
        <v>30</v>
      </c>
      <c r="R971" t="s">
        <v>59</v>
      </c>
      <c r="S971" t="str">
        <v>#N/A</v>
      </c>
      <c r="T971" t="str">
        <v>13</v>
      </c>
    </row>
    <row r="972" spans="1:20" ht="13.7" customHeight="1" x14ac:dyDescent="0.25">
      <c r="A972" t="s">
        <v>26</v>
      </c>
      <c r="B972" t="s">
        <v>27</v>
      </c>
      <c r="C972" t="s">
        <v>35</v>
      </c>
      <c r="D972">
        <v>72</v>
      </c>
      <c r="E972" s="5">
        <v>43606</v>
      </c>
      <c r="F972">
        <v>13250501</v>
      </c>
      <c r="G972">
        <v>0</v>
      </c>
      <c r="H972" t="s">
        <v>1115</v>
      </c>
      <c r="I972" t="s">
        <v>1116</v>
      </c>
      <c r="J972">
        <v>1008</v>
      </c>
      <c r="K972">
        <v>1316</v>
      </c>
      <c r="L972" s="3">
        <v>-36573322.030000001</v>
      </c>
      <c r="M972" s="3">
        <v>0</v>
      </c>
      <c r="N972">
        <v>16400</v>
      </c>
      <c r="O972">
        <v>0</v>
      </c>
      <c r="P972">
        <v>-36589722.030000001</v>
      </c>
      <c r="Q972" t="s">
        <v>30</v>
      </c>
      <c r="R972" t="s">
        <v>545</v>
      </c>
      <c r="S972" t="str">
        <v>#N/A</v>
      </c>
      <c r="T972" t="str">
        <v>13</v>
      </c>
    </row>
    <row r="973" spans="1:20" ht="13.7" customHeight="1" x14ac:dyDescent="0.25">
      <c r="A973" t="s">
        <v>26</v>
      </c>
      <c r="B973" t="s">
        <v>27</v>
      </c>
      <c r="C973" t="s">
        <v>35</v>
      </c>
      <c r="D973">
        <v>73</v>
      </c>
      <c r="E973" s="5">
        <v>43606</v>
      </c>
      <c r="F973">
        <v>13250501</v>
      </c>
      <c r="G973">
        <v>0</v>
      </c>
      <c r="H973" t="s">
        <v>1115</v>
      </c>
      <c r="I973" t="s">
        <v>1116</v>
      </c>
      <c r="J973">
        <v>1008</v>
      </c>
      <c r="K973">
        <v>1316</v>
      </c>
      <c r="L973" s="3">
        <v>-36589722.030000001</v>
      </c>
      <c r="M973" s="3">
        <v>0</v>
      </c>
      <c r="N973">
        <v>34100</v>
      </c>
      <c r="O973">
        <v>0</v>
      </c>
      <c r="P973">
        <v>-36623822.030000001</v>
      </c>
      <c r="Q973" t="s">
        <v>30</v>
      </c>
      <c r="R973" t="s">
        <v>545</v>
      </c>
      <c r="S973" t="str">
        <v>#N/A</v>
      </c>
      <c r="T973" t="str">
        <v>13</v>
      </c>
    </row>
    <row r="974" spans="1:20" ht="13.7" customHeight="1" x14ac:dyDescent="0.25">
      <c r="A974" t="s">
        <v>26</v>
      </c>
      <c r="B974" t="s">
        <v>27</v>
      </c>
      <c r="C974" t="s">
        <v>35</v>
      </c>
      <c r="D974">
        <v>74</v>
      </c>
      <c r="E974" s="5">
        <v>43606</v>
      </c>
      <c r="F974">
        <v>13250501</v>
      </c>
      <c r="G974">
        <v>0</v>
      </c>
      <c r="H974" t="s">
        <v>1115</v>
      </c>
      <c r="I974" t="s">
        <v>1116</v>
      </c>
      <c r="J974">
        <v>1008</v>
      </c>
      <c r="K974">
        <v>1316</v>
      </c>
      <c r="L974" s="3">
        <v>-36623822.030000001</v>
      </c>
      <c r="M974" s="3">
        <v>0</v>
      </c>
      <c r="N974">
        <v>9400</v>
      </c>
      <c r="O974">
        <v>0</v>
      </c>
      <c r="P974">
        <v>-36633222.030000001</v>
      </c>
      <c r="Q974" t="s">
        <v>30</v>
      </c>
      <c r="R974" t="s">
        <v>59</v>
      </c>
      <c r="S974" t="str">
        <v>#N/A</v>
      </c>
      <c r="T974" t="str">
        <v>13</v>
      </c>
    </row>
    <row r="975" spans="1:20" ht="13.7" customHeight="1" x14ac:dyDescent="0.25">
      <c r="A975" t="s">
        <v>26</v>
      </c>
      <c r="B975" t="s">
        <v>27</v>
      </c>
      <c r="C975" t="s">
        <v>35</v>
      </c>
      <c r="D975">
        <v>76</v>
      </c>
      <c r="E975" s="5">
        <v>43608</v>
      </c>
      <c r="F975">
        <v>13250501</v>
      </c>
      <c r="G975">
        <v>0</v>
      </c>
      <c r="H975" t="s">
        <v>1115</v>
      </c>
      <c r="I975" t="s">
        <v>1116</v>
      </c>
      <c r="J975">
        <v>1008</v>
      </c>
      <c r="K975">
        <v>1316</v>
      </c>
      <c r="L975" s="3">
        <v>-36633222.030000001</v>
      </c>
      <c r="M975" s="3">
        <v>0</v>
      </c>
      <c r="N975">
        <v>16400</v>
      </c>
      <c r="O975">
        <v>0</v>
      </c>
      <c r="P975">
        <v>-36649622.030000001</v>
      </c>
      <c r="Q975" t="s">
        <v>30</v>
      </c>
      <c r="R975" t="s">
        <v>59</v>
      </c>
      <c r="S975" t="str">
        <v>#N/A</v>
      </c>
      <c r="T975" t="str">
        <v>13</v>
      </c>
    </row>
    <row r="976" spans="1:20" ht="13.7" customHeight="1" x14ac:dyDescent="0.25">
      <c r="A976" t="s">
        <v>26</v>
      </c>
      <c r="B976" t="s">
        <v>27</v>
      </c>
      <c r="C976" t="s">
        <v>35</v>
      </c>
      <c r="D976">
        <v>77</v>
      </c>
      <c r="E976" s="5">
        <v>43608</v>
      </c>
      <c r="F976">
        <v>13250501</v>
      </c>
      <c r="G976">
        <v>0</v>
      </c>
      <c r="H976" t="s">
        <v>1115</v>
      </c>
      <c r="I976" t="s">
        <v>1116</v>
      </c>
      <c r="J976">
        <v>1008</v>
      </c>
      <c r="K976">
        <v>1316</v>
      </c>
      <c r="L976" s="3">
        <v>-36649622.030000001</v>
      </c>
      <c r="M976" s="3">
        <v>0</v>
      </c>
      <c r="N976">
        <v>2500</v>
      </c>
      <c r="O976">
        <v>0</v>
      </c>
      <c r="P976">
        <v>-36652122.030000001</v>
      </c>
      <c r="Q976" t="s">
        <v>30</v>
      </c>
      <c r="R976" t="s">
        <v>59</v>
      </c>
      <c r="S976" t="str">
        <v>#N/A</v>
      </c>
      <c r="T976" t="str">
        <v>13</v>
      </c>
    </row>
    <row r="977" spans="1:20" ht="13.7" customHeight="1" x14ac:dyDescent="0.25">
      <c r="A977" t="s">
        <v>26</v>
      </c>
      <c r="B977" t="s">
        <v>27</v>
      </c>
      <c r="C977" t="s">
        <v>35</v>
      </c>
      <c r="D977">
        <v>78</v>
      </c>
      <c r="E977" s="5">
        <v>43608</v>
      </c>
      <c r="F977">
        <v>13250501</v>
      </c>
      <c r="G977">
        <v>0</v>
      </c>
      <c r="H977" t="s">
        <v>1115</v>
      </c>
      <c r="I977" t="s">
        <v>1116</v>
      </c>
      <c r="J977">
        <v>1008</v>
      </c>
      <c r="K977">
        <v>1316</v>
      </c>
      <c r="L977" s="3">
        <v>-36652122.030000001</v>
      </c>
      <c r="M977" s="3">
        <v>0</v>
      </c>
      <c r="N977">
        <v>50000</v>
      </c>
      <c r="O977">
        <v>0</v>
      </c>
      <c r="P977">
        <v>-36702122.030000001</v>
      </c>
      <c r="Q977" t="s">
        <v>30</v>
      </c>
      <c r="R977" t="s">
        <v>158</v>
      </c>
      <c r="S977" t="str">
        <v>#N/A</v>
      </c>
      <c r="T977" t="str">
        <v>13</v>
      </c>
    </row>
    <row r="978" spans="1:20" ht="13.7" customHeight="1" x14ac:dyDescent="0.25">
      <c r="A978" t="s">
        <v>26</v>
      </c>
      <c r="B978" t="s">
        <v>27</v>
      </c>
      <c r="C978" t="s">
        <v>35</v>
      </c>
      <c r="D978">
        <v>80</v>
      </c>
      <c r="E978" s="5">
        <v>43609</v>
      </c>
      <c r="F978">
        <v>13250501</v>
      </c>
      <c r="G978">
        <v>0</v>
      </c>
      <c r="H978" t="s">
        <v>1115</v>
      </c>
      <c r="I978" t="s">
        <v>1116</v>
      </c>
      <c r="J978">
        <v>1008</v>
      </c>
      <c r="K978">
        <v>1316</v>
      </c>
      <c r="L978" s="3">
        <v>-36702122.030000001</v>
      </c>
      <c r="M978" s="3">
        <v>0</v>
      </c>
      <c r="N978">
        <v>7200</v>
      </c>
      <c r="O978">
        <v>0</v>
      </c>
      <c r="P978">
        <v>-36709322.030000001</v>
      </c>
      <c r="Q978" t="s">
        <v>30</v>
      </c>
      <c r="R978" t="s">
        <v>68</v>
      </c>
      <c r="S978" t="str">
        <v>#N/A</v>
      </c>
      <c r="T978" t="str">
        <v>13</v>
      </c>
    </row>
    <row r="979" spans="1:20" ht="13.7" customHeight="1" x14ac:dyDescent="0.25">
      <c r="A979" t="s">
        <v>26</v>
      </c>
      <c r="B979" t="s">
        <v>27</v>
      </c>
      <c r="C979" t="s">
        <v>35</v>
      </c>
      <c r="D979">
        <v>81</v>
      </c>
      <c r="E979" s="5">
        <v>43609</v>
      </c>
      <c r="F979">
        <v>13250501</v>
      </c>
      <c r="G979">
        <v>0</v>
      </c>
      <c r="H979" t="s">
        <v>1115</v>
      </c>
      <c r="I979" t="s">
        <v>1116</v>
      </c>
      <c r="J979">
        <v>1008</v>
      </c>
      <c r="K979">
        <v>1316</v>
      </c>
      <c r="L979" s="3">
        <v>-36709322.030000001</v>
      </c>
      <c r="M979" s="3">
        <v>0</v>
      </c>
      <c r="N979">
        <v>3800</v>
      </c>
      <c r="O979">
        <v>0</v>
      </c>
      <c r="P979">
        <v>-36713122.030000001</v>
      </c>
      <c r="Q979" t="s">
        <v>30</v>
      </c>
      <c r="R979" t="s">
        <v>59</v>
      </c>
      <c r="S979" t="str">
        <v>#N/A</v>
      </c>
      <c r="T979" t="str">
        <v>13</v>
      </c>
    </row>
    <row r="980" spans="1:20" ht="13.7" customHeight="1" x14ac:dyDescent="0.25">
      <c r="A980" t="s">
        <v>26</v>
      </c>
      <c r="B980" t="s">
        <v>27</v>
      </c>
      <c r="C980" t="s">
        <v>35</v>
      </c>
      <c r="D980">
        <v>82</v>
      </c>
      <c r="E980" s="5">
        <v>43610</v>
      </c>
      <c r="F980">
        <v>13250501</v>
      </c>
      <c r="G980">
        <v>0</v>
      </c>
      <c r="H980" t="s">
        <v>1115</v>
      </c>
      <c r="I980" t="s">
        <v>1116</v>
      </c>
      <c r="J980">
        <v>1008</v>
      </c>
      <c r="K980">
        <v>1316</v>
      </c>
      <c r="L980" s="3">
        <v>-36713122.030000001</v>
      </c>
      <c r="M980" s="3">
        <v>0</v>
      </c>
      <c r="N980">
        <v>5200</v>
      </c>
      <c r="O980">
        <v>0</v>
      </c>
      <c r="P980">
        <v>-36718322.030000001</v>
      </c>
      <c r="Q980" t="s">
        <v>30</v>
      </c>
      <c r="R980" t="s">
        <v>59</v>
      </c>
      <c r="S980" t="str">
        <v>#N/A</v>
      </c>
      <c r="T980" t="str">
        <v>13</v>
      </c>
    </row>
    <row r="981" spans="1:20" ht="13.7" customHeight="1" x14ac:dyDescent="0.25">
      <c r="A981" t="s">
        <v>26</v>
      </c>
      <c r="B981" t="s">
        <v>27</v>
      </c>
      <c r="C981" t="s">
        <v>35</v>
      </c>
      <c r="D981">
        <v>83</v>
      </c>
      <c r="E981" s="5">
        <v>43610</v>
      </c>
      <c r="F981">
        <v>13250501</v>
      </c>
      <c r="G981">
        <v>0</v>
      </c>
      <c r="H981" t="s">
        <v>1115</v>
      </c>
      <c r="I981" t="s">
        <v>1116</v>
      </c>
      <c r="J981">
        <v>1008</v>
      </c>
      <c r="K981">
        <v>1316</v>
      </c>
      <c r="L981" s="3">
        <v>-36718322.030000001</v>
      </c>
      <c r="M981" s="3">
        <v>0</v>
      </c>
      <c r="N981">
        <v>120009</v>
      </c>
      <c r="O981">
        <v>0</v>
      </c>
      <c r="P981">
        <v>-36838331.030000001</v>
      </c>
      <c r="Q981" t="s">
        <v>30</v>
      </c>
      <c r="R981" t="s">
        <v>158</v>
      </c>
      <c r="S981" t="str">
        <v>#N/A</v>
      </c>
      <c r="T981" t="str">
        <v>13</v>
      </c>
    </row>
    <row r="982" spans="1:20" ht="13.7" customHeight="1" x14ac:dyDescent="0.25">
      <c r="A982" t="s">
        <v>26</v>
      </c>
      <c r="B982" t="s">
        <v>27</v>
      </c>
      <c r="C982" t="s">
        <v>35</v>
      </c>
      <c r="D982">
        <v>90</v>
      </c>
      <c r="E982" s="5">
        <v>43614</v>
      </c>
      <c r="F982">
        <v>13250501</v>
      </c>
      <c r="G982">
        <v>0</v>
      </c>
      <c r="H982" t="s">
        <v>1115</v>
      </c>
      <c r="I982" t="s">
        <v>1116</v>
      </c>
      <c r="J982">
        <v>1008</v>
      </c>
      <c r="K982">
        <v>1316</v>
      </c>
      <c r="L982" s="3">
        <v>-36838331.030000001</v>
      </c>
      <c r="M982" s="3">
        <v>0</v>
      </c>
      <c r="N982">
        <v>2700</v>
      </c>
      <c r="O982">
        <v>0</v>
      </c>
      <c r="P982">
        <v>-36841031.030000001</v>
      </c>
      <c r="Q982" t="s">
        <v>30</v>
      </c>
      <c r="R982" t="s">
        <v>59</v>
      </c>
      <c r="S982" t="str">
        <v>#N/A</v>
      </c>
      <c r="T982" t="str">
        <v>13</v>
      </c>
    </row>
    <row r="983" spans="1:20" ht="13.7" customHeight="1" x14ac:dyDescent="0.25">
      <c r="A983" t="s">
        <v>26</v>
      </c>
      <c r="B983" t="s">
        <v>27</v>
      </c>
      <c r="C983" t="s">
        <v>35</v>
      </c>
      <c r="D983">
        <v>91</v>
      </c>
      <c r="E983" s="5">
        <v>43614</v>
      </c>
      <c r="F983">
        <v>13250501</v>
      </c>
      <c r="G983">
        <v>0</v>
      </c>
      <c r="H983" t="s">
        <v>1115</v>
      </c>
      <c r="I983" t="s">
        <v>1116</v>
      </c>
      <c r="J983">
        <v>1008</v>
      </c>
      <c r="K983">
        <v>1316</v>
      </c>
      <c r="L983" s="3">
        <v>-36841031.030000001</v>
      </c>
      <c r="M983" s="3">
        <v>0</v>
      </c>
      <c r="N983">
        <v>17100</v>
      </c>
      <c r="O983">
        <v>0</v>
      </c>
      <c r="P983">
        <v>-36858131.030000001</v>
      </c>
      <c r="Q983" t="s">
        <v>30</v>
      </c>
      <c r="R983" t="s">
        <v>59</v>
      </c>
      <c r="S983" t="str">
        <v>#N/A</v>
      </c>
      <c r="T983" t="str">
        <v>13</v>
      </c>
    </row>
    <row r="984" spans="1:20" ht="13.7" customHeight="1" x14ac:dyDescent="0.25">
      <c r="A984" t="s">
        <v>26</v>
      </c>
      <c r="B984" t="s">
        <v>27</v>
      </c>
      <c r="C984" t="s">
        <v>35</v>
      </c>
      <c r="D984">
        <v>93</v>
      </c>
      <c r="E984" s="5">
        <v>43615</v>
      </c>
      <c r="F984">
        <v>13250501</v>
      </c>
      <c r="G984">
        <v>0</v>
      </c>
      <c r="H984" t="s">
        <v>1115</v>
      </c>
      <c r="I984" t="s">
        <v>1116</v>
      </c>
      <c r="J984">
        <v>1008</v>
      </c>
      <c r="K984">
        <v>1316</v>
      </c>
      <c r="L984" s="3">
        <v>-36858131.030000001</v>
      </c>
      <c r="M984" s="3">
        <v>0</v>
      </c>
      <c r="N984">
        <v>12300</v>
      </c>
      <c r="O984">
        <v>0</v>
      </c>
      <c r="P984">
        <v>-36870431.030000001</v>
      </c>
      <c r="Q984" t="s">
        <v>30</v>
      </c>
      <c r="R984" t="s">
        <v>59</v>
      </c>
      <c r="S984" t="str">
        <v>#N/A</v>
      </c>
      <c r="T984" t="str">
        <v>13</v>
      </c>
    </row>
    <row r="985" spans="1:20" ht="13.7" customHeight="1" x14ac:dyDescent="0.25">
      <c r="A985" t="s">
        <v>26</v>
      </c>
      <c r="B985" t="s">
        <v>27</v>
      </c>
      <c r="C985" t="s">
        <v>35</v>
      </c>
      <c r="D985">
        <v>95</v>
      </c>
      <c r="E985" s="5">
        <v>43616</v>
      </c>
      <c r="F985">
        <v>13250501</v>
      </c>
      <c r="G985">
        <v>0</v>
      </c>
      <c r="H985" t="s">
        <v>1115</v>
      </c>
      <c r="I985" t="s">
        <v>1116</v>
      </c>
      <c r="J985">
        <v>1008</v>
      </c>
      <c r="K985">
        <v>1316</v>
      </c>
      <c r="L985" s="3">
        <v>-36870431.030000001</v>
      </c>
      <c r="M985" s="3">
        <v>0</v>
      </c>
      <c r="N985">
        <v>4000</v>
      </c>
      <c r="O985">
        <v>0</v>
      </c>
      <c r="P985">
        <v>-36874431.030000001</v>
      </c>
      <c r="Q985" t="s">
        <v>30</v>
      </c>
      <c r="R985" t="s">
        <v>59</v>
      </c>
      <c r="S985" t="str">
        <v>#N/A</v>
      </c>
      <c r="T985" t="str">
        <v>13</v>
      </c>
    </row>
    <row r="986" spans="1:20" ht="13.7" customHeight="1" x14ac:dyDescent="0.25">
      <c r="A986" t="s">
        <v>26</v>
      </c>
      <c r="B986" t="s">
        <v>27</v>
      </c>
      <c r="C986" t="s">
        <v>36</v>
      </c>
      <c r="D986">
        <v>2</v>
      </c>
      <c r="E986" s="5">
        <v>43617</v>
      </c>
      <c r="F986">
        <v>13250501</v>
      </c>
      <c r="G986">
        <v>0</v>
      </c>
      <c r="H986" t="s">
        <v>1115</v>
      </c>
      <c r="I986" t="s">
        <v>1116</v>
      </c>
      <c r="J986">
        <v>1008</v>
      </c>
      <c r="K986">
        <v>1316</v>
      </c>
      <c r="L986" s="3">
        <v>-36874431.030000001</v>
      </c>
      <c r="M986" s="3">
        <v>0</v>
      </c>
      <c r="N986">
        <v>200000</v>
      </c>
      <c r="O986">
        <v>0</v>
      </c>
      <c r="P986">
        <v>-37074431.030000001</v>
      </c>
      <c r="Q986" t="s">
        <v>30</v>
      </c>
      <c r="R986" t="s">
        <v>158</v>
      </c>
      <c r="S986" t="str">
        <v>#N/A</v>
      </c>
      <c r="T986" t="str">
        <v>13</v>
      </c>
    </row>
    <row r="987" spans="1:20" ht="13.7" customHeight="1" x14ac:dyDescent="0.25">
      <c r="A987" t="s">
        <v>26</v>
      </c>
      <c r="B987" t="s">
        <v>27</v>
      </c>
      <c r="C987" t="s">
        <v>36</v>
      </c>
      <c r="D987">
        <v>8</v>
      </c>
      <c r="E987" s="5">
        <v>43618</v>
      </c>
      <c r="F987">
        <v>13250501</v>
      </c>
      <c r="G987">
        <v>0</v>
      </c>
      <c r="H987" t="s">
        <v>1115</v>
      </c>
      <c r="I987" t="s">
        <v>1116</v>
      </c>
      <c r="J987">
        <v>1008</v>
      </c>
      <c r="K987">
        <v>1316</v>
      </c>
      <c r="L987" s="3">
        <v>-37074431.030000001</v>
      </c>
      <c r="M987" s="3">
        <v>0</v>
      </c>
      <c r="N987">
        <v>27900</v>
      </c>
      <c r="O987">
        <v>0</v>
      </c>
      <c r="P987">
        <v>-37102331.030000001</v>
      </c>
      <c r="Q987" t="s">
        <v>30</v>
      </c>
      <c r="R987" t="s">
        <v>70</v>
      </c>
      <c r="S987" t="str">
        <v>#N/A</v>
      </c>
      <c r="T987" t="str">
        <v>13</v>
      </c>
    </row>
    <row r="988" spans="1:20" ht="13.7" customHeight="1" x14ac:dyDescent="0.25">
      <c r="A988" t="s">
        <v>26</v>
      </c>
      <c r="B988" t="s">
        <v>27</v>
      </c>
      <c r="C988" t="s">
        <v>36</v>
      </c>
      <c r="D988">
        <v>14</v>
      </c>
      <c r="E988" s="5">
        <v>43621</v>
      </c>
      <c r="F988">
        <v>13250501</v>
      </c>
      <c r="G988">
        <v>0</v>
      </c>
      <c r="H988" t="s">
        <v>1115</v>
      </c>
      <c r="I988" t="s">
        <v>1116</v>
      </c>
      <c r="J988">
        <v>1008</v>
      </c>
      <c r="K988">
        <v>1316</v>
      </c>
      <c r="L988" s="3">
        <v>-37102331.030000001</v>
      </c>
      <c r="M988" s="3">
        <v>0</v>
      </c>
      <c r="N988">
        <v>16500</v>
      </c>
      <c r="O988">
        <v>0</v>
      </c>
      <c r="P988">
        <v>-37118831.030000001</v>
      </c>
      <c r="Q988" t="s">
        <v>30</v>
      </c>
      <c r="R988" t="s">
        <v>59</v>
      </c>
      <c r="S988" t="str">
        <v>#N/A</v>
      </c>
      <c r="T988" t="str">
        <v>13</v>
      </c>
    </row>
    <row r="989" spans="1:20" ht="13.7" customHeight="1" x14ac:dyDescent="0.25">
      <c r="A989" t="s">
        <v>26</v>
      </c>
      <c r="B989" t="s">
        <v>27</v>
      </c>
      <c r="C989" t="s">
        <v>36</v>
      </c>
      <c r="D989">
        <v>15</v>
      </c>
      <c r="E989" s="5">
        <v>43622</v>
      </c>
      <c r="F989">
        <v>13250501</v>
      </c>
      <c r="G989">
        <v>0</v>
      </c>
      <c r="H989" t="s">
        <v>1115</v>
      </c>
      <c r="I989" t="s">
        <v>1116</v>
      </c>
      <c r="J989">
        <v>1008</v>
      </c>
      <c r="K989">
        <v>1316</v>
      </c>
      <c r="L989" s="3">
        <v>-37118831.030000001</v>
      </c>
      <c r="M989" s="3">
        <v>0</v>
      </c>
      <c r="N989">
        <v>3200</v>
      </c>
      <c r="O989">
        <v>0</v>
      </c>
      <c r="P989">
        <v>-37122031.030000001</v>
      </c>
      <c r="Q989" t="s">
        <v>30</v>
      </c>
      <c r="R989" t="s">
        <v>59</v>
      </c>
      <c r="S989" t="str">
        <v>#N/A</v>
      </c>
      <c r="T989" t="str">
        <v>13</v>
      </c>
    </row>
    <row r="990" spans="1:20" ht="13.7" customHeight="1" x14ac:dyDescent="0.25">
      <c r="A990" t="s">
        <v>26</v>
      </c>
      <c r="B990" t="s">
        <v>27</v>
      </c>
      <c r="C990" t="s">
        <v>36</v>
      </c>
      <c r="D990">
        <v>23</v>
      </c>
      <c r="E990" s="5">
        <v>43629</v>
      </c>
      <c r="F990">
        <v>13250501</v>
      </c>
      <c r="G990">
        <v>0</v>
      </c>
      <c r="H990" t="s">
        <v>1115</v>
      </c>
      <c r="I990" t="s">
        <v>1116</v>
      </c>
      <c r="J990">
        <v>1008</v>
      </c>
      <c r="K990">
        <v>1316</v>
      </c>
      <c r="L990" s="3">
        <v>-37122031.030000001</v>
      </c>
      <c r="M990" s="3">
        <v>0</v>
      </c>
      <c r="N990">
        <v>7500</v>
      </c>
      <c r="O990">
        <v>0</v>
      </c>
      <c r="P990">
        <v>-37129531.030000001</v>
      </c>
      <c r="Q990" t="s">
        <v>30</v>
      </c>
      <c r="R990" t="s">
        <v>59</v>
      </c>
      <c r="S990" t="str">
        <v>#N/A</v>
      </c>
      <c r="T990" t="str">
        <v>13</v>
      </c>
    </row>
    <row r="991" spans="1:20" ht="13.7" customHeight="1" x14ac:dyDescent="0.25">
      <c r="A991" t="s">
        <v>26</v>
      </c>
      <c r="B991" t="s">
        <v>27</v>
      </c>
      <c r="C991" t="s">
        <v>36</v>
      </c>
      <c r="D991">
        <v>29</v>
      </c>
      <c r="E991" s="5">
        <v>43630</v>
      </c>
      <c r="F991">
        <v>13250501</v>
      </c>
      <c r="G991">
        <v>0</v>
      </c>
      <c r="H991" t="s">
        <v>1115</v>
      </c>
      <c r="I991" t="s">
        <v>1116</v>
      </c>
      <c r="J991">
        <v>1008</v>
      </c>
      <c r="K991">
        <v>1316</v>
      </c>
      <c r="L991" s="3">
        <v>-37129531.030000001</v>
      </c>
      <c r="M991" s="3">
        <v>0</v>
      </c>
      <c r="N991">
        <v>3800</v>
      </c>
      <c r="O991">
        <v>0</v>
      </c>
      <c r="P991">
        <v>-37133331.030000001</v>
      </c>
      <c r="Q991" t="s">
        <v>30</v>
      </c>
      <c r="R991" t="s">
        <v>59</v>
      </c>
      <c r="S991" t="str">
        <v>#N/A</v>
      </c>
      <c r="T991" t="str">
        <v>13</v>
      </c>
    </row>
    <row r="992" spans="1:20" ht="13.7" customHeight="1" x14ac:dyDescent="0.25">
      <c r="A992" t="s">
        <v>26</v>
      </c>
      <c r="B992" t="s">
        <v>27</v>
      </c>
      <c r="C992" t="s">
        <v>36</v>
      </c>
      <c r="D992">
        <v>31</v>
      </c>
      <c r="E992" s="5">
        <v>43630</v>
      </c>
      <c r="F992">
        <v>13250501</v>
      </c>
      <c r="G992">
        <v>0</v>
      </c>
      <c r="H992" t="s">
        <v>1115</v>
      </c>
      <c r="I992" t="s">
        <v>1116</v>
      </c>
      <c r="J992">
        <v>1008</v>
      </c>
      <c r="K992">
        <v>1316</v>
      </c>
      <c r="L992" s="3">
        <v>-37133331.030000001</v>
      </c>
      <c r="M992" s="3">
        <v>0</v>
      </c>
      <c r="N992">
        <v>51000</v>
      </c>
      <c r="O992">
        <v>0</v>
      </c>
      <c r="P992">
        <v>-37184331.030000001</v>
      </c>
      <c r="Q992" t="s">
        <v>30</v>
      </c>
      <c r="R992" t="s">
        <v>547</v>
      </c>
      <c r="S992" t="str">
        <v>#N/A</v>
      </c>
      <c r="T992" t="str">
        <v>13</v>
      </c>
    </row>
    <row r="993" spans="1:20" ht="13.7" customHeight="1" x14ac:dyDescent="0.25">
      <c r="A993" t="s">
        <v>26</v>
      </c>
      <c r="B993" t="s">
        <v>27</v>
      </c>
      <c r="C993" t="s">
        <v>36</v>
      </c>
      <c r="D993">
        <v>33</v>
      </c>
      <c r="E993" s="5">
        <v>43631</v>
      </c>
      <c r="F993">
        <v>13250501</v>
      </c>
      <c r="G993">
        <v>0</v>
      </c>
      <c r="H993" t="s">
        <v>1115</v>
      </c>
      <c r="I993" t="s">
        <v>1116</v>
      </c>
      <c r="J993">
        <v>1008</v>
      </c>
      <c r="K993">
        <v>1316</v>
      </c>
      <c r="L993" s="3">
        <v>-37184331.030000001</v>
      </c>
      <c r="M993" s="3">
        <v>0</v>
      </c>
      <c r="N993">
        <v>189999</v>
      </c>
      <c r="O993">
        <v>0</v>
      </c>
      <c r="P993">
        <v>-37374330.030000001</v>
      </c>
      <c r="Q993" t="s">
        <v>30</v>
      </c>
      <c r="R993" t="s">
        <v>548</v>
      </c>
      <c r="S993" t="str">
        <v>#N/A</v>
      </c>
      <c r="T993" t="str">
        <v>13</v>
      </c>
    </row>
    <row r="994" spans="1:20" ht="13.7" customHeight="1" x14ac:dyDescent="0.25">
      <c r="A994" t="s">
        <v>26</v>
      </c>
      <c r="B994" t="s">
        <v>27</v>
      </c>
      <c r="C994" t="s">
        <v>36</v>
      </c>
      <c r="D994">
        <v>34</v>
      </c>
      <c r="E994" s="5">
        <v>43632</v>
      </c>
      <c r="F994">
        <v>13250501</v>
      </c>
      <c r="G994">
        <v>0</v>
      </c>
      <c r="H994" t="s">
        <v>1115</v>
      </c>
      <c r="I994" t="s">
        <v>1116</v>
      </c>
      <c r="J994">
        <v>1008</v>
      </c>
      <c r="K994">
        <v>1316</v>
      </c>
      <c r="L994" s="3">
        <v>-37374330.030000001</v>
      </c>
      <c r="M994" s="3">
        <v>0</v>
      </c>
      <c r="N994">
        <v>114980</v>
      </c>
      <c r="O994">
        <v>0</v>
      </c>
      <c r="P994">
        <v>-37489310.030000001</v>
      </c>
      <c r="Q994" t="s">
        <v>30</v>
      </c>
      <c r="R994" t="s">
        <v>158</v>
      </c>
      <c r="S994" t="str">
        <v>#N/A</v>
      </c>
      <c r="T994" t="str">
        <v>13</v>
      </c>
    </row>
    <row r="995" spans="1:20" ht="13.7" customHeight="1" x14ac:dyDescent="0.25">
      <c r="A995" t="s">
        <v>26</v>
      </c>
      <c r="B995" t="s">
        <v>27</v>
      </c>
      <c r="C995" t="s">
        <v>36</v>
      </c>
      <c r="D995">
        <v>37</v>
      </c>
      <c r="E995" s="5">
        <v>43633</v>
      </c>
      <c r="F995">
        <v>13250501</v>
      </c>
      <c r="G995">
        <v>0</v>
      </c>
      <c r="H995" t="s">
        <v>1115</v>
      </c>
      <c r="I995" t="s">
        <v>1116</v>
      </c>
      <c r="J995">
        <v>1008</v>
      </c>
      <c r="K995">
        <v>1316</v>
      </c>
      <c r="L995" s="3">
        <v>-37489310.030000001</v>
      </c>
      <c r="M995" s="3">
        <v>0</v>
      </c>
      <c r="N995">
        <v>12000</v>
      </c>
      <c r="O995">
        <v>0</v>
      </c>
      <c r="P995">
        <v>-37501310.030000001</v>
      </c>
      <c r="Q995" t="s">
        <v>30</v>
      </c>
      <c r="R995" t="s">
        <v>151</v>
      </c>
      <c r="S995" t="str">
        <v>#N/A</v>
      </c>
      <c r="T995" t="str">
        <v>13</v>
      </c>
    </row>
    <row r="996" spans="1:20" ht="13.7" customHeight="1" x14ac:dyDescent="0.25">
      <c r="A996" t="s">
        <v>26</v>
      </c>
      <c r="B996" t="s">
        <v>27</v>
      </c>
      <c r="C996" t="s">
        <v>36</v>
      </c>
      <c r="D996">
        <v>44</v>
      </c>
      <c r="E996" s="5">
        <v>43636</v>
      </c>
      <c r="F996">
        <v>13250501</v>
      </c>
      <c r="G996">
        <v>0</v>
      </c>
      <c r="H996" t="s">
        <v>1115</v>
      </c>
      <c r="I996" t="s">
        <v>1116</v>
      </c>
      <c r="J996">
        <v>1008</v>
      </c>
      <c r="K996">
        <v>1316</v>
      </c>
      <c r="L996" s="3">
        <v>-37501310.030000001</v>
      </c>
      <c r="M996" s="3">
        <v>0</v>
      </c>
      <c r="N996">
        <v>4500</v>
      </c>
      <c r="O996">
        <v>0</v>
      </c>
      <c r="P996">
        <v>-37505810.030000001</v>
      </c>
      <c r="Q996" t="s">
        <v>30</v>
      </c>
      <c r="R996" t="s">
        <v>59</v>
      </c>
      <c r="S996" t="str">
        <v>#N/A</v>
      </c>
      <c r="T996" t="str">
        <v>13</v>
      </c>
    </row>
    <row r="997" spans="1:20" ht="13.7" customHeight="1" x14ac:dyDescent="0.25">
      <c r="A997" t="s">
        <v>26</v>
      </c>
      <c r="B997" t="s">
        <v>27</v>
      </c>
      <c r="C997" t="s">
        <v>36</v>
      </c>
      <c r="D997">
        <v>51</v>
      </c>
      <c r="E997" s="5">
        <v>43638</v>
      </c>
      <c r="F997">
        <v>13250501</v>
      </c>
      <c r="G997">
        <v>0</v>
      </c>
      <c r="H997" t="s">
        <v>1115</v>
      </c>
      <c r="I997" t="s">
        <v>1116</v>
      </c>
      <c r="J997">
        <v>1008</v>
      </c>
      <c r="K997">
        <v>1316</v>
      </c>
      <c r="L997" s="3">
        <v>-37505810.030000001</v>
      </c>
      <c r="M997" s="3">
        <v>0</v>
      </c>
      <c r="N997">
        <v>93161</v>
      </c>
      <c r="O997">
        <v>0</v>
      </c>
      <c r="P997">
        <v>-37598971.030000001</v>
      </c>
      <c r="Q997" t="s">
        <v>30</v>
      </c>
      <c r="R997" t="s">
        <v>158</v>
      </c>
      <c r="S997" t="str">
        <v>#N/A</v>
      </c>
      <c r="T997" t="str">
        <v>13</v>
      </c>
    </row>
    <row r="998" spans="1:20" ht="13.7" customHeight="1" x14ac:dyDescent="0.25">
      <c r="A998" t="s">
        <v>26</v>
      </c>
      <c r="B998" t="s">
        <v>27</v>
      </c>
      <c r="C998" t="s">
        <v>36</v>
      </c>
      <c r="D998">
        <v>53</v>
      </c>
      <c r="E998" s="5">
        <v>43640</v>
      </c>
      <c r="F998">
        <v>13250501</v>
      </c>
      <c r="G998">
        <v>0</v>
      </c>
      <c r="H998" t="s">
        <v>1115</v>
      </c>
      <c r="I998" t="s">
        <v>1116</v>
      </c>
      <c r="J998">
        <v>1008</v>
      </c>
      <c r="K998">
        <v>1316</v>
      </c>
      <c r="L998" s="3">
        <v>-37598971.030000001</v>
      </c>
      <c r="M998" s="3">
        <v>0</v>
      </c>
      <c r="N998">
        <v>113999</v>
      </c>
      <c r="O998">
        <v>0</v>
      </c>
      <c r="P998">
        <v>-37712970.030000001</v>
      </c>
      <c r="Q998" t="s">
        <v>30</v>
      </c>
      <c r="R998" t="s">
        <v>158</v>
      </c>
      <c r="S998" t="str">
        <v>#N/A</v>
      </c>
      <c r="T998" t="str">
        <v>13</v>
      </c>
    </row>
    <row r="999" spans="1:20" ht="13.7" customHeight="1" x14ac:dyDescent="0.25">
      <c r="A999" t="s">
        <v>26</v>
      </c>
      <c r="B999" t="s">
        <v>27</v>
      </c>
      <c r="C999" t="s">
        <v>36</v>
      </c>
      <c r="D999">
        <v>57</v>
      </c>
      <c r="E999" s="5">
        <v>43642</v>
      </c>
      <c r="F999">
        <v>13250501</v>
      </c>
      <c r="G999">
        <v>0</v>
      </c>
      <c r="H999" t="s">
        <v>1115</v>
      </c>
      <c r="I999" t="s">
        <v>1116</v>
      </c>
      <c r="J999">
        <v>1008</v>
      </c>
      <c r="K999">
        <v>1316</v>
      </c>
      <c r="L999" s="3">
        <v>-37712970.030000001</v>
      </c>
      <c r="M999" s="3">
        <v>0</v>
      </c>
      <c r="N999">
        <v>3700</v>
      </c>
      <c r="O999">
        <v>0</v>
      </c>
      <c r="P999">
        <v>-37716670.030000001</v>
      </c>
      <c r="Q999" t="s">
        <v>30</v>
      </c>
      <c r="R999" t="s">
        <v>46</v>
      </c>
      <c r="S999" t="str">
        <v>#N/A</v>
      </c>
      <c r="T999" t="str">
        <v>13</v>
      </c>
    </row>
    <row r="1000" spans="1:20" ht="13.7" customHeight="1" x14ac:dyDescent="0.25">
      <c r="A1000" t="s">
        <v>26</v>
      </c>
      <c r="B1000" t="s">
        <v>27</v>
      </c>
      <c r="C1000" t="s">
        <v>36</v>
      </c>
      <c r="D1000">
        <v>62</v>
      </c>
      <c r="E1000" s="5">
        <v>43643</v>
      </c>
      <c r="F1000">
        <v>13250501</v>
      </c>
      <c r="G1000">
        <v>0</v>
      </c>
      <c r="H1000" t="s">
        <v>1115</v>
      </c>
      <c r="I1000" t="s">
        <v>1116</v>
      </c>
      <c r="J1000">
        <v>1008</v>
      </c>
      <c r="K1000">
        <v>1316</v>
      </c>
      <c r="L1000" s="3">
        <v>-37716670.030000001</v>
      </c>
      <c r="M1000" s="3">
        <v>0</v>
      </c>
      <c r="N1000">
        <v>6100</v>
      </c>
      <c r="O1000">
        <v>0</v>
      </c>
      <c r="P1000">
        <v>-37722770.030000001</v>
      </c>
      <c r="Q1000" t="s">
        <v>30</v>
      </c>
      <c r="R1000" t="s">
        <v>74</v>
      </c>
      <c r="S1000" t="str">
        <v>#N/A</v>
      </c>
      <c r="T1000" t="str">
        <v>13</v>
      </c>
    </row>
    <row r="1001" spans="1:20" ht="13.7" customHeight="1" x14ac:dyDescent="0.25">
      <c r="A1001" t="s">
        <v>26</v>
      </c>
      <c r="B1001" t="s">
        <v>27</v>
      </c>
      <c r="C1001" t="s">
        <v>36</v>
      </c>
      <c r="D1001">
        <v>68</v>
      </c>
      <c r="E1001" s="5">
        <v>43644</v>
      </c>
      <c r="F1001">
        <v>13250501</v>
      </c>
      <c r="G1001">
        <v>0</v>
      </c>
      <c r="H1001" t="s">
        <v>1115</v>
      </c>
      <c r="I1001" t="s">
        <v>1116</v>
      </c>
      <c r="J1001">
        <v>1008</v>
      </c>
      <c r="K1001">
        <v>1316</v>
      </c>
      <c r="L1001" s="3">
        <v>-37722770.030000001</v>
      </c>
      <c r="M1001" s="3">
        <v>0</v>
      </c>
      <c r="N1001">
        <v>46250</v>
      </c>
      <c r="O1001">
        <v>0</v>
      </c>
      <c r="P1001">
        <v>-37769020.030000001</v>
      </c>
      <c r="Q1001" t="s">
        <v>30</v>
      </c>
      <c r="R1001" t="s">
        <v>149</v>
      </c>
      <c r="S1001" t="str">
        <v>#N/A</v>
      </c>
      <c r="T1001" t="str">
        <v>13</v>
      </c>
    </row>
    <row r="1002" spans="1:20" ht="13.7" customHeight="1" x14ac:dyDescent="0.25">
      <c r="A1002" t="s">
        <v>26</v>
      </c>
      <c r="B1002" t="s">
        <v>27</v>
      </c>
      <c r="C1002" t="s">
        <v>36</v>
      </c>
      <c r="D1002">
        <v>66</v>
      </c>
      <c r="E1002" s="5">
        <v>43645</v>
      </c>
      <c r="F1002">
        <v>13250501</v>
      </c>
      <c r="G1002">
        <v>0</v>
      </c>
      <c r="H1002" t="s">
        <v>1115</v>
      </c>
      <c r="I1002" t="s">
        <v>1116</v>
      </c>
      <c r="J1002">
        <v>1008</v>
      </c>
      <c r="K1002">
        <v>1316</v>
      </c>
      <c r="L1002" s="3">
        <v>-37769020.030000001</v>
      </c>
      <c r="M1002" s="3">
        <v>0</v>
      </c>
      <c r="N1002">
        <v>96641</v>
      </c>
      <c r="O1002">
        <v>0</v>
      </c>
      <c r="P1002">
        <v>-37865661.030000001</v>
      </c>
      <c r="Q1002" t="s">
        <v>30</v>
      </c>
      <c r="R1002" t="s">
        <v>158</v>
      </c>
      <c r="S1002" t="str">
        <v>#N/A</v>
      </c>
      <c r="T1002" t="str">
        <v>13</v>
      </c>
    </row>
    <row r="1003" spans="1:20" ht="13.7" customHeight="1" x14ac:dyDescent="0.25">
      <c r="A1003" t="s">
        <v>26</v>
      </c>
      <c r="B1003" t="s">
        <v>27</v>
      </c>
      <c r="C1003" t="s">
        <v>37</v>
      </c>
      <c r="D1003">
        <v>6</v>
      </c>
      <c r="E1003" s="5">
        <v>43649</v>
      </c>
      <c r="F1003">
        <v>13250501</v>
      </c>
      <c r="G1003">
        <v>0</v>
      </c>
      <c r="H1003" t="s">
        <v>1115</v>
      </c>
      <c r="I1003" t="s">
        <v>1116</v>
      </c>
      <c r="J1003">
        <v>1008</v>
      </c>
      <c r="K1003">
        <v>1316</v>
      </c>
      <c r="L1003" s="3">
        <v>-37865661.030000001</v>
      </c>
      <c r="M1003" s="3">
        <v>0</v>
      </c>
      <c r="N1003">
        <v>25850</v>
      </c>
      <c r="O1003">
        <v>0</v>
      </c>
      <c r="P1003">
        <v>-37891511.030000001</v>
      </c>
      <c r="Q1003" t="s">
        <v>30</v>
      </c>
      <c r="R1003" t="s">
        <v>59</v>
      </c>
      <c r="S1003" t="str">
        <v>#N/A</v>
      </c>
      <c r="T1003" t="str">
        <v>13</v>
      </c>
    </row>
    <row r="1004" spans="1:20" ht="13.7" customHeight="1" x14ac:dyDescent="0.25">
      <c r="A1004" t="s">
        <v>26</v>
      </c>
      <c r="B1004" t="s">
        <v>27</v>
      </c>
      <c r="C1004" t="s">
        <v>37</v>
      </c>
      <c r="D1004">
        <v>7</v>
      </c>
      <c r="E1004" s="5">
        <v>43649</v>
      </c>
      <c r="F1004">
        <v>13250501</v>
      </c>
      <c r="G1004">
        <v>0</v>
      </c>
      <c r="H1004" t="s">
        <v>1115</v>
      </c>
      <c r="I1004" t="s">
        <v>1116</v>
      </c>
      <c r="J1004">
        <v>1008</v>
      </c>
      <c r="K1004">
        <v>1316</v>
      </c>
      <c r="L1004" s="3">
        <v>-37891511.030000001</v>
      </c>
      <c r="M1004" s="3">
        <v>0</v>
      </c>
      <c r="N1004">
        <v>6000</v>
      </c>
      <c r="O1004">
        <v>0</v>
      </c>
      <c r="P1004">
        <v>-37897511.030000001</v>
      </c>
      <c r="Q1004" t="s">
        <v>30</v>
      </c>
      <c r="R1004" t="s">
        <v>59</v>
      </c>
      <c r="S1004" t="str">
        <v>#N/A</v>
      </c>
      <c r="T1004" t="str">
        <v>13</v>
      </c>
    </row>
    <row r="1005" spans="1:20" ht="13.7" customHeight="1" x14ac:dyDescent="0.25">
      <c r="A1005" t="s">
        <v>26</v>
      </c>
      <c r="B1005" t="s">
        <v>27</v>
      </c>
      <c r="C1005" t="s">
        <v>37</v>
      </c>
      <c r="D1005">
        <v>8</v>
      </c>
      <c r="E1005" s="5">
        <v>43649</v>
      </c>
      <c r="F1005">
        <v>13250501</v>
      </c>
      <c r="G1005">
        <v>0</v>
      </c>
      <c r="H1005" t="s">
        <v>1115</v>
      </c>
      <c r="I1005" t="s">
        <v>1116</v>
      </c>
      <c r="J1005">
        <v>1008</v>
      </c>
      <c r="K1005">
        <v>1316</v>
      </c>
      <c r="L1005" s="3">
        <v>-37897511.030000001</v>
      </c>
      <c r="M1005" s="3">
        <v>0</v>
      </c>
      <c r="N1005">
        <v>4500</v>
      </c>
      <c r="O1005">
        <v>0</v>
      </c>
      <c r="P1005">
        <v>-37902011.030000001</v>
      </c>
      <c r="Q1005" t="s">
        <v>30</v>
      </c>
      <c r="R1005" t="s">
        <v>59</v>
      </c>
      <c r="S1005" t="str">
        <v>#N/A</v>
      </c>
      <c r="T1005" t="str">
        <v>13</v>
      </c>
    </row>
    <row r="1006" spans="1:20" ht="13.7" customHeight="1" x14ac:dyDescent="0.25">
      <c r="A1006" t="s">
        <v>26</v>
      </c>
      <c r="B1006" t="s">
        <v>27</v>
      </c>
      <c r="C1006" t="s">
        <v>37</v>
      </c>
      <c r="D1006">
        <v>9</v>
      </c>
      <c r="E1006" s="5">
        <v>43650</v>
      </c>
      <c r="F1006">
        <v>13250501</v>
      </c>
      <c r="G1006">
        <v>0</v>
      </c>
      <c r="H1006" t="s">
        <v>1115</v>
      </c>
      <c r="I1006" t="s">
        <v>1116</v>
      </c>
      <c r="J1006">
        <v>1008</v>
      </c>
      <c r="K1006">
        <v>1316</v>
      </c>
      <c r="L1006" s="3">
        <v>-37902011.030000001</v>
      </c>
      <c r="M1006" s="3">
        <v>0</v>
      </c>
      <c r="N1006">
        <v>4500</v>
      </c>
      <c r="O1006">
        <v>0</v>
      </c>
      <c r="P1006">
        <v>-37906511.030000001</v>
      </c>
      <c r="Q1006" t="s">
        <v>30</v>
      </c>
      <c r="R1006" t="s">
        <v>59</v>
      </c>
      <c r="S1006" t="str">
        <v>#N/A</v>
      </c>
      <c r="T1006" t="str">
        <v>13</v>
      </c>
    </row>
    <row r="1007" spans="1:20" ht="13.7" customHeight="1" x14ac:dyDescent="0.25">
      <c r="A1007" t="s">
        <v>26</v>
      </c>
      <c r="B1007" t="s">
        <v>27</v>
      </c>
      <c r="C1007" t="s">
        <v>37</v>
      </c>
      <c r="D1007">
        <v>10</v>
      </c>
      <c r="E1007" s="5">
        <v>43651</v>
      </c>
      <c r="F1007">
        <v>13250501</v>
      </c>
      <c r="G1007">
        <v>0</v>
      </c>
      <c r="H1007" t="s">
        <v>1115</v>
      </c>
      <c r="I1007" t="s">
        <v>1116</v>
      </c>
      <c r="J1007">
        <v>1008</v>
      </c>
      <c r="K1007">
        <v>1316</v>
      </c>
      <c r="L1007" s="3">
        <v>-37906511.030000001</v>
      </c>
      <c r="M1007" s="3">
        <v>0</v>
      </c>
      <c r="N1007">
        <v>5400</v>
      </c>
      <c r="O1007">
        <v>0</v>
      </c>
      <c r="P1007">
        <v>-37911911.030000001</v>
      </c>
      <c r="Q1007" t="s">
        <v>30</v>
      </c>
      <c r="R1007" t="s">
        <v>59</v>
      </c>
      <c r="S1007" t="str">
        <v>#N/A</v>
      </c>
      <c r="T1007" t="str">
        <v>13</v>
      </c>
    </row>
    <row r="1008" spans="1:20" ht="13.7" customHeight="1" x14ac:dyDescent="0.25">
      <c r="A1008" t="s">
        <v>26</v>
      </c>
      <c r="B1008" t="s">
        <v>27</v>
      </c>
      <c r="C1008" t="s">
        <v>37</v>
      </c>
      <c r="D1008">
        <v>11</v>
      </c>
      <c r="E1008" s="5">
        <v>43651</v>
      </c>
      <c r="F1008">
        <v>13250501</v>
      </c>
      <c r="G1008">
        <v>0</v>
      </c>
      <c r="H1008" t="s">
        <v>1115</v>
      </c>
      <c r="I1008" t="s">
        <v>1116</v>
      </c>
      <c r="J1008">
        <v>1008</v>
      </c>
      <c r="K1008">
        <v>1316</v>
      </c>
      <c r="L1008" s="3">
        <v>-37911911.030000001</v>
      </c>
      <c r="M1008" s="3">
        <v>0</v>
      </c>
      <c r="N1008">
        <v>4300</v>
      </c>
      <c r="O1008">
        <v>0</v>
      </c>
      <c r="P1008">
        <v>-37916211.030000001</v>
      </c>
      <c r="Q1008" t="s">
        <v>30</v>
      </c>
      <c r="R1008" t="s">
        <v>59</v>
      </c>
      <c r="S1008" t="str">
        <v>#N/A</v>
      </c>
      <c r="T1008" t="str">
        <v>13</v>
      </c>
    </row>
    <row r="1009" spans="1:20" ht="13.7" customHeight="1" x14ac:dyDescent="0.25">
      <c r="A1009" t="s">
        <v>26</v>
      </c>
      <c r="B1009" t="s">
        <v>27</v>
      </c>
      <c r="C1009" t="s">
        <v>37</v>
      </c>
      <c r="D1009">
        <v>13</v>
      </c>
      <c r="E1009" s="5">
        <v>43652</v>
      </c>
      <c r="F1009">
        <v>13250501</v>
      </c>
      <c r="G1009">
        <v>0</v>
      </c>
      <c r="H1009" t="s">
        <v>1115</v>
      </c>
      <c r="I1009" t="s">
        <v>1116</v>
      </c>
      <c r="J1009">
        <v>1008</v>
      </c>
      <c r="K1009">
        <v>1316</v>
      </c>
      <c r="L1009" s="3">
        <v>-37916211.030000001</v>
      </c>
      <c r="M1009" s="3">
        <v>0</v>
      </c>
      <c r="N1009">
        <v>28200</v>
      </c>
      <c r="O1009">
        <v>0</v>
      </c>
      <c r="P1009">
        <v>-37944411.030000001</v>
      </c>
      <c r="Q1009" t="s">
        <v>30</v>
      </c>
      <c r="R1009" t="s">
        <v>70</v>
      </c>
      <c r="S1009" t="str">
        <v>#N/A</v>
      </c>
      <c r="T1009" t="str">
        <v>13</v>
      </c>
    </row>
    <row r="1010" spans="1:20" ht="13.7" customHeight="1" x14ac:dyDescent="0.25">
      <c r="A1010" t="s">
        <v>26</v>
      </c>
      <c r="B1010" t="s">
        <v>27</v>
      </c>
      <c r="C1010" t="s">
        <v>37</v>
      </c>
      <c r="D1010">
        <v>17</v>
      </c>
      <c r="E1010" s="5">
        <v>43652</v>
      </c>
      <c r="F1010">
        <v>13250501</v>
      </c>
      <c r="G1010">
        <v>0</v>
      </c>
      <c r="H1010" t="s">
        <v>1115</v>
      </c>
      <c r="I1010" t="s">
        <v>1116</v>
      </c>
      <c r="J1010">
        <v>1008</v>
      </c>
      <c r="K1010">
        <v>1316</v>
      </c>
      <c r="L1010" s="3">
        <v>-37944411.030000001</v>
      </c>
      <c r="M1010" s="3">
        <v>0</v>
      </c>
      <c r="N1010">
        <v>210000</v>
      </c>
      <c r="O1010">
        <v>0</v>
      </c>
      <c r="P1010">
        <v>-38154411.030000001</v>
      </c>
      <c r="Q1010" t="s">
        <v>30</v>
      </c>
      <c r="R1010" t="s">
        <v>551</v>
      </c>
      <c r="S1010" t="str">
        <v>#N/A</v>
      </c>
      <c r="T1010" t="str">
        <v>13</v>
      </c>
    </row>
    <row r="1011" spans="1:20" ht="13.7" customHeight="1" x14ac:dyDescent="0.25">
      <c r="A1011" t="s">
        <v>26</v>
      </c>
      <c r="B1011" t="s">
        <v>27</v>
      </c>
      <c r="C1011" t="s">
        <v>37</v>
      </c>
      <c r="D1011">
        <v>18</v>
      </c>
      <c r="E1011" s="5">
        <v>43652</v>
      </c>
      <c r="F1011">
        <v>13250501</v>
      </c>
      <c r="G1011">
        <v>0</v>
      </c>
      <c r="H1011" t="s">
        <v>1115</v>
      </c>
      <c r="I1011" t="s">
        <v>1116</v>
      </c>
      <c r="J1011">
        <v>1008</v>
      </c>
      <c r="K1011">
        <v>1316</v>
      </c>
      <c r="L1011" s="3">
        <v>-38154411.030000001</v>
      </c>
      <c r="M1011" s="3">
        <v>0</v>
      </c>
      <c r="N1011">
        <v>137795</v>
      </c>
      <c r="O1011">
        <v>0</v>
      </c>
      <c r="P1011">
        <v>-38292206.030000001</v>
      </c>
      <c r="Q1011" t="s">
        <v>30</v>
      </c>
      <c r="R1011" t="s">
        <v>158</v>
      </c>
      <c r="S1011" t="str">
        <v>#N/A</v>
      </c>
      <c r="T1011" t="str">
        <v>13</v>
      </c>
    </row>
    <row r="1012" spans="1:20" ht="13.7" customHeight="1" x14ac:dyDescent="0.25">
      <c r="A1012" t="s">
        <v>26</v>
      </c>
      <c r="B1012" t="s">
        <v>27</v>
      </c>
      <c r="C1012" t="s">
        <v>37</v>
      </c>
      <c r="D1012">
        <v>19</v>
      </c>
      <c r="E1012" s="5">
        <v>43652</v>
      </c>
      <c r="F1012">
        <v>13250501</v>
      </c>
      <c r="G1012">
        <v>0</v>
      </c>
      <c r="H1012" t="s">
        <v>1115</v>
      </c>
      <c r="I1012" t="s">
        <v>1116</v>
      </c>
      <c r="J1012">
        <v>1008</v>
      </c>
      <c r="K1012">
        <v>1316</v>
      </c>
      <c r="L1012" s="3">
        <v>-38292206.030000001</v>
      </c>
      <c r="M1012" s="3">
        <v>0</v>
      </c>
      <c r="N1012">
        <v>6100</v>
      </c>
      <c r="O1012">
        <v>0</v>
      </c>
      <c r="P1012">
        <v>-38298306.030000001</v>
      </c>
      <c r="Q1012" t="s">
        <v>30</v>
      </c>
      <c r="R1012" t="s">
        <v>59</v>
      </c>
      <c r="S1012" t="str">
        <v>#N/A</v>
      </c>
      <c r="T1012" t="str">
        <v>13</v>
      </c>
    </row>
    <row r="1013" spans="1:20" ht="13.7" customHeight="1" x14ac:dyDescent="0.25">
      <c r="A1013" t="s">
        <v>26</v>
      </c>
      <c r="B1013" t="s">
        <v>27</v>
      </c>
      <c r="C1013" t="s">
        <v>37</v>
      </c>
      <c r="D1013">
        <v>20</v>
      </c>
      <c r="E1013" s="5">
        <v>43652</v>
      </c>
      <c r="F1013">
        <v>13250501</v>
      </c>
      <c r="G1013">
        <v>0</v>
      </c>
      <c r="H1013" t="s">
        <v>1115</v>
      </c>
      <c r="I1013" t="s">
        <v>1116</v>
      </c>
      <c r="J1013">
        <v>1008</v>
      </c>
      <c r="K1013">
        <v>1316</v>
      </c>
      <c r="L1013" s="3">
        <v>-38298306.030000001</v>
      </c>
      <c r="M1013" s="3">
        <v>0</v>
      </c>
      <c r="N1013">
        <v>2300</v>
      </c>
      <c r="O1013">
        <v>0</v>
      </c>
      <c r="P1013">
        <v>-38300606.030000001</v>
      </c>
      <c r="Q1013" t="s">
        <v>30</v>
      </c>
      <c r="R1013" t="s">
        <v>59</v>
      </c>
      <c r="S1013" t="str">
        <v>#N/A</v>
      </c>
      <c r="T1013" t="str">
        <v>13</v>
      </c>
    </row>
    <row r="1014" spans="1:20" ht="13.7" customHeight="1" x14ac:dyDescent="0.25">
      <c r="A1014" t="s">
        <v>26</v>
      </c>
      <c r="B1014" t="s">
        <v>27</v>
      </c>
      <c r="C1014" t="s">
        <v>37</v>
      </c>
      <c r="D1014">
        <v>21</v>
      </c>
      <c r="E1014" s="5">
        <v>43652</v>
      </c>
      <c r="F1014">
        <v>13250501</v>
      </c>
      <c r="G1014">
        <v>0</v>
      </c>
      <c r="H1014" t="s">
        <v>1115</v>
      </c>
      <c r="I1014" t="s">
        <v>1116</v>
      </c>
      <c r="J1014">
        <v>1008</v>
      </c>
      <c r="K1014">
        <v>1316</v>
      </c>
      <c r="L1014" s="3">
        <v>-38300606.030000001</v>
      </c>
      <c r="M1014" s="3">
        <v>0</v>
      </c>
      <c r="N1014">
        <v>8600</v>
      </c>
      <c r="O1014">
        <v>0</v>
      </c>
      <c r="P1014">
        <v>-38309206.030000001</v>
      </c>
      <c r="Q1014" t="s">
        <v>30</v>
      </c>
      <c r="R1014" t="s">
        <v>70</v>
      </c>
      <c r="S1014" t="str">
        <v>#N/A</v>
      </c>
      <c r="T1014" t="str">
        <v>13</v>
      </c>
    </row>
    <row r="1015" spans="1:20" ht="13.7" customHeight="1" x14ac:dyDescent="0.25">
      <c r="A1015" t="s">
        <v>26</v>
      </c>
      <c r="B1015" t="s">
        <v>27</v>
      </c>
      <c r="C1015" t="s">
        <v>37</v>
      </c>
      <c r="D1015">
        <v>23</v>
      </c>
      <c r="E1015" s="5">
        <v>43653</v>
      </c>
      <c r="F1015">
        <v>13250501</v>
      </c>
      <c r="G1015">
        <v>0</v>
      </c>
      <c r="H1015" t="s">
        <v>1115</v>
      </c>
      <c r="I1015" t="s">
        <v>1116</v>
      </c>
      <c r="J1015">
        <v>1008</v>
      </c>
      <c r="K1015">
        <v>1316</v>
      </c>
      <c r="L1015" s="3">
        <v>-38309206.030000001</v>
      </c>
      <c r="M1015" s="3">
        <v>0</v>
      </c>
      <c r="N1015">
        <v>9364</v>
      </c>
      <c r="O1015">
        <v>0</v>
      </c>
      <c r="P1015">
        <v>-38318570.030000001</v>
      </c>
      <c r="Q1015" t="s">
        <v>30</v>
      </c>
      <c r="R1015" t="s">
        <v>552</v>
      </c>
      <c r="S1015" t="str">
        <v>#N/A</v>
      </c>
      <c r="T1015" t="str">
        <v>13</v>
      </c>
    </row>
    <row r="1016" spans="1:20" ht="13.7" customHeight="1" x14ac:dyDescent="0.25">
      <c r="A1016" t="s">
        <v>26</v>
      </c>
      <c r="B1016" t="s">
        <v>27</v>
      </c>
      <c r="C1016" t="s">
        <v>37</v>
      </c>
      <c r="D1016">
        <v>25</v>
      </c>
      <c r="E1016" s="5">
        <v>43655</v>
      </c>
      <c r="F1016">
        <v>13250501</v>
      </c>
      <c r="G1016">
        <v>0</v>
      </c>
      <c r="H1016" t="s">
        <v>1115</v>
      </c>
      <c r="I1016" t="s">
        <v>1116</v>
      </c>
      <c r="J1016">
        <v>1008</v>
      </c>
      <c r="K1016">
        <v>1316</v>
      </c>
      <c r="L1016" s="3">
        <v>-38318570.030000001</v>
      </c>
      <c r="M1016" s="3">
        <v>0</v>
      </c>
      <c r="N1016">
        <v>3900</v>
      </c>
      <c r="O1016">
        <v>0</v>
      </c>
      <c r="P1016">
        <v>-38322470.030000001</v>
      </c>
      <c r="Q1016" t="s">
        <v>30</v>
      </c>
      <c r="R1016" t="s">
        <v>59</v>
      </c>
      <c r="S1016" t="str">
        <v>#N/A</v>
      </c>
      <c r="T1016" t="str">
        <v>13</v>
      </c>
    </row>
    <row r="1017" spans="1:20" ht="13.7" customHeight="1" x14ac:dyDescent="0.25">
      <c r="A1017" t="s">
        <v>26</v>
      </c>
      <c r="B1017" t="s">
        <v>27</v>
      </c>
      <c r="C1017" t="s">
        <v>37</v>
      </c>
      <c r="D1017">
        <v>27</v>
      </c>
      <c r="E1017" s="5">
        <v>43656</v>
      </c>
      <c r="F1017">
        <v>13250501</v>
      </c>
      <c r="G1017">
        <v>0</v>
      </c>
      <c r="H1017" t="s">
        <v>1115</v>
      </c>
      <c r="I1017" t="s">
        <v>1116</v>
      </c>
      <c r="J1017">
        <v>1008</v>
      </c>
      <c r="K1017">
        <v>1316</v>
      </c>
      <c r="L1017" s="3">
        <v>-38322470.030000001</v>
      </c>
      <c r="M1017" s="3">
        <v>0</v>
      </c>
      <c r="N1017">
        <v>3600</v>
      </c>
      <c r="O1017">
        <v>0</v>
      </c>
      <c r="P1017">
        <v>-38326070.030000001</v>
      </c>
      <c r="Q1017" t="s">
        <v>30</v>
      </c>
      <c r="R1017" t="s">
        <v>59</v>
      </c>
      <c r="S1017" t="str">
        <v>#N/A</v>
      </c>
      <c r="T1017" t="str">
        <v>13</v>
      </c>
    </row>
    <row r="1018" spans="1:20" ht="13.7" customHeight="1" x14ac:dyDescent="0.25">
      <c r="A1018" t="s">
        <v>26</v>
      </c>
      <c r="B1018" t="s">
        <v>27</v>
      </c>
      <c r="C1018" t="s">
        <v>37</v>
      </c>
      <c r="D1018">
        <v>28</v>
      </c>
      <c r="E1018" s="5">
        <v>43656</v>
      </c>
      <c r="F1018">
        <v>13250501</v>
      </c>
      <c r="G1018">
        <v>0</v>
      </c>
      <c r="H1018" t="s">
        <v>1115</v>
      </c>
      <c r="I1018" t="s">
        <v>1116</v>
      </c>
      <c r="J1018">
        <v>1008</v>
      </c>
      <c r="K1018">
        <v>1316</v>
      </c>
      <c r="L1018" s="3">
        <v>-38326070.030000001</v>
      </c>
      <c r="M1018" s="3">
        <v>0</v>
      </c>
      <c r="N1018">
        <v>6100</v>
      </c>
      <c r="O1018">
        <v>0</v>
      </c>
      <c r="P1018">
        <v>-38332170.030000001</v>
      </c>
      <c r="Q1018" t="s">
        <v>30</v>
      </c>
      <c r="R1018" t="s">
        <v>74</v>
      </c>
      <c r="S1018" t="str">
        <v>#N/A</v>
      </c>
      <c r="T1018" t="str">
        <v>13</v>
      </c>
    </row>
    <row r="1019" spans="1:20" ht="13.7" customHeight="1" x14ac:dyDescent="0.25">
      <c r="A1019" t="s">
        <v>26</v>
      </c>
      <c r="B1019" t="s">
        <v>27</v>
      </c>
      <c r="C1019" t="s">
        <v>37</v>
      </c>
      <c r="D1019">
        <v>33</v>
      </c>
      <c r="E1019" s="5">
        <v>43658</v>
      </c>
      <c r="F1019">
        <v>13250501</v>
      </c>
      <c r="G1019">
        <v>0</v>
      </c>
      <c r="H1019" t="s">
        <v>1115</v>
      </c>
      <c r="I1019" t="s">
        <v>1116</v>
      </c>
      <c r="J1019">
        <v>1008</v>
      </c>
      <c r="K1019">
        <v>1316</v>
      </c>
      <c r="L1019" s="3">
        <v>-38332170.030000001</v>
      </c>
      <c r="M1019" s="3">
        <v>0</v>
      </c>
      <c r="N1019">
        <v>4200</v>
      </c>
      <c r="O1019">
        <v>0</v>
      </c>
      <c r="P1019">
        <v>-38336370.030000001</v>
      </c>
      <c r="Q1019" t="s">
        <v>30</v>
      </c>
      <c r="R1019" t="s">
        <v>59</v>
      </c>
      <c r="S1019" t="str">
        <v>#N/A</v>
      </c>
      <c r="T1019" t="str">
        <v>13</v>
      </c>
    </row>
    <row r="1020" spans="1:20" ht="13.7" customHeight="1" x14ac:dyDescent="0.25">
      <c r="A1020" t="s">
        <v>26</v>
      </c>
      <c r="B1020" t="s">
        <v>27</v>
      </c>
      <c r="C1020" t="s">
        <v>37</v>
      </c>
      <c r="D1020">
        <v>36</v>
      </c>
      <c r="E1020" s="5">
        <v>43659</v>
      </c>
      <c r="F1020">
        <v>13250501</v>
      </c>
      <c r="G1020">
        <v>0</v>
      </c>
      <c r="H1020" t="s">
        <v>1115</v>
      </c>
      <c r="I1020" t="s">
        <v>1116</v>
      </c>
      <c r="J1020">
        <v>1008</v>
      </c>
      <c r="K1020">
        <v>1316</v>
      </c>
      <c r="L1020" s="3">
        <v>-38336370.030000001</v>
      </c>
      <c r="M1020" s="3">
        <v>0</v>
      </c>
      <c r="N1020">
        <v>52900</v>
      </c>
      <c r="O1020">
        <v>0</v>
      </c>
      <c r="P1020">
        <v>-38389270.030000001</v>
      </c>
      <c r="Q1020" t="s">
        <v>30</v>
      </c>
      <c r="R1020" t="s">
        <v>537</v>
      </c>
      <c r="S1020" t="str">
        <v>#N/A</v>
      </c>
      <c r="T1020" t="str">
        <v>13</v>
      </c>
    </row>
    <row r="1021" spans="1:20" ht="13.7" customHeight="1" x14ac:dyDescent="0.25">
      <c r="A1021" t="s">
        <v>26</v>
      </c>
      <c r="B1021" t="s">
        <v>27</v>
      </c>
      <c r="C1021" t="s">
        <v>37</v>
      </c>
      <c r="D1021">
        <v>37</v>
      </c>
      <c r="E1021" s="5">
        <v>43659</v>
      </c>
      <c r="F1021">
        <v>13250501</v>
      </c>
      <c r="G1021">
        <v>0</v>
      </c>
      <c r="H1021" t="s">
        <v>1115</v>
      </c>
      <c r="I1021" t="s">
        <v>1116</v>
      </c>
      <c r="J1021">
        <v>1008</v>
      </c>
      <c r="K1021">
        <v>1316</v>
      </c>
      <c r="L1021" s="3">
        <v>-38389270.030000001</v>
      </c>
      <c r="M1021" s="3">
        <v>0</v>
      </c>
      <c r="N1021">
        <v>20700</v>
      </c>
      <c r="O1021">
        <v>0</v>
      </c>
      <c r="P1021">
        <v>-38409970.030000001</v>
      </c>
      <c r="Q1021" t="s">
        <v>30</v>
      </c>
      <c r="R1021" t="s">
        <v>151</v>
      </c>
      <c r="S1021" t="str">
        <v>#N/A</v>
      </c>
      <c r="T1021" t="str">
        <v>13</v>
      </c>
    </row>
    <row r="1022" spans="1:20" ht="13.7" customHeight="1" x14ac:dyDescent="0.25">
      <c r="A1022" t="s">
        <v>26</v>
      </c>
      <c r="B1022" t="s">
        <v>27</v>
      </c>
      <c r="C1022" t="s">
        <v>37</v>
      </c>
      <c r="D1022">
        <v>38</v>
      </c>
      <c r="E1022" s="5">
        <v>43660</v>
      </c>
      <c r="F1022">
        <v>13250501</v>
      </c>
      <c r="G1022">
        <v>0</v>
      </c>
      <c r="H1022" t="s">
        <v>1115</v>
      </c>
      <c r="I1022" t="s">
        <v>1116</v>
      </c>
      <c r="J1022">
        <v>1008</v>
      </c>
      <c r="K1022">
        <v>1316</v>
      </c>
      <c r="L1022" s="3">
        <v>-38409970.030000001</v>
      </c>
      <c r="M1022" s="3">
        <v>0</v>
      </c>
      <c r="N1022">
        <v>222279</v>
      </c>
      <c r="O1022">
        <v>0</v>
      </c>
      <c r="P1022">
        <v>-38632249.030000001</v>
      </c>
      <c r="Q1022" t="s">
        <v>30</v>
      </c>
      <c r="R1022" t="s">
        <v>158</v>
      </c>
      <c r="S1022" t="str">
        <v>#N/A</v>
      </c>
      <c r="T1022" t="str">
        <v>13</v>
      </c>
    </row>
    <row r="1023" spans="1:20" ht="13.7" customHeight="1" x14ac:dyDescent="0.25">
      <c r="A1023" t="s">
        <v>26</v>
      </c>
      <c r="B1023" t="s">
        <v>27</v>
      </c>
      <c r="C1023" t="s">
        <v>37</v>
      </c>
      <c r="D1023">
        <v>42</v>
      </c>
      <c r="E1023" s="5">
        <v>43662</v>
      </c>
      <c r="F1023">
        <v>13250501</v>
      </c>
      <c r="G1023">
        <v>0</v>
      </c>
      <c r="H1023" t="s">
        <v>1115</v>
      </c>
      <c r="I1023" t="s">
        <v>1116</v>
      </c>
      <c r="J1023">
        <v>1008</v>
      </c>
      <c r="K1023">
        <v>1316</v>
      </c>
      <c r="L1023" s="3">
        <v>-38632249.030000001</v>
      </c>
      <c r="M1023" s="3">
        <v>0</v>
      </c>
      <c r="N1023">
        <v>5700</v>
      </c>
      <c r="O1023">
        <v>0</v>
      </c>
      <c r="P1023">
        <v>-38637949.030000001</v>
      </c>
      <c r="Q1023" t="s">
        <v>30</v>
      </c>
      <c r="R1023" t="s">
        <v>59</v>
      </c>
      <c r="S1023" t="str">
        <v>#N/A</v>
      </c>
      <c r="T1023" t="str">
        <v>13</v>
      </c>
    </row>
    <row r="1024" spans="1:20" ht="13.7" customHeight="1" x14ac:dyDescent="0.25">
      <c r="A1024" t="s">
        <v>26</v>
      </c>
      <c r="B1024" t="s">
        <v>27</v>
      </c>
      <c r="C1024" t="s">
        <v>37</v>
      </c>
      <c r="D1024">
        <v>43</v>
      </c>
      <c r="E1024" s="5">
        <v>43662</v>
      </c>
      <c r="F1024">
        <v>13250501</v>
      </c>
      <c r="G1024">
        <v>0</v>
      </c>
      <c r="H1024" t="s">
        <v>1115</v>
      </c>
      <c r="I1024" t="s">
        <v>1116</v>
      </c>
      <c r="J1024">
        <v>1008</v>
      </c>
      <c r="K1024">
        <v>1316</v>
      </c>
      <c r="L1024" s="3">
        <v>-38637949.030000001</v>
      </c>
      <c r="M1024" s="3">
        <v>0</v>
      </c>
      <c r="N1024">
        <v>800</v>
      </c>
      <c r="O1024">
        <v>0</v>
      </c>
      <c r="P1024">
        <v>-38638749.030000001</v>
      </c>
      <c r="Q1024" t="s">
        <v>30</v>
      </c>
      <c r="R1024" t="s">
        <v>59</v>
      </c>
      <c r="S1024" t="str">
        <v>#N/A</v>
      </c>
      <c r="T1024" t="str">
        <v>13</v>
      </c>
    </row>
    <row r="1025" spans="1:20" ht="13.7" customHeight="1" x14ac:dyDescent="0.25">
      <c r="A1025" t="s">
        <v>26</v>
      </c>
      <c r="B1025" t="s">
        <v>27</v>
      </c>
      <c r="C1025" t="s">
        <v>37</v>
      </c>
      <c r="D1025">
        <v>46</v>
      </c>
      <c r="E1025" s="5">
        <v>43664</v>
      </c>
      <c r="F1025">
        <v>13250501</v>
      </c>
      <c r="G1025">
        <v>0</v>
      </c>
      <c r="H1025" t="s">
        <v>1115</v>
      </c>
      <c r="I1025" t="s">
        <v>1116</v>
      </c>
      <c r="J1025">
        <v>1008</v>
      </c>
      <c r="K1025">
        <v>1316</v>
      </c>
      <c r="L1025" s="3">
        <v>-38638749.030000001</v>
      </c>
      <c r="M1025" s="3">
        <v>360074</v>
      </c>
      <c r="N1025">
        <v>0</v>
      </c>
      <c r="O1025">
        <v>0</v>
      </c>
      <c r="P1025">
        <v>-38278675.030000001</v>
      </c>
      <c r="Q1025" t="s">
        <v>30</v>
      </c>
      <c r="R1025" t="s">
        <v>280</v>
      </c>
      <c r="S1025" t="str">
        <v>#N/A</v>
      </c>
      <c r="T1025" t="str">
        <v>13</v>
      </c>
    </row>
    <row r="1026" spans="1:20" ht="13.7" customHeight="1" x14ac:dyDescent="0.25">
      <c r="A1026" t="s">
        <v>26</v>
      </c>
      <c r="B1026" t="s">
        <v>27</v>
      </c>
      <c r="C1026" t="s">
        <v>37</v>
      </c>
      <c r="D1026">
        <v>48</v>
      </c>
      <c r="E1026" s="5">
        <v>43667</v>
      </c>
      <c r="F1026">
        <v>13250501</v>
      </c>
      <c r="G1026">
        <v>0</v>
      </c>
      <c r="H1026" t="s">
        <v>1115</v>
      </c>
      <c r="I1026" t="s">
        <v>1116</v>
      </c>
      <c r="J1026">
        <v>1008</v>
      </c>
      <c r="K1026">
        <v>1316</v>
      </c>
      <c r="L1026" s="3">
        <v>-38278675.030000001</v>
      </c>
      <c r="M1026" s="3">
        <v>0</v>
      </c>
      <c r="N1026">
        <v>125986</v>
      </c>
      <c r="O1026">
        <v>0</v>
      </c>
      <c r="P1026">
        <v>-38404661.030000001</v>
      </c>
      <c r="Q1026" t="s">
        <v>30</v>
      </c>
      <c r="R1026" t="s">
        <v>158</v>
      </c>
      <c r="S1026" t="str">
        <v>#N/A</v>
      </c>
      <c r="T1026" t="str">
        <v>13</v>
      </c>
    </row>
    <row r="1027" spans="1:20" ht="13.7" customHeight="1" x14ac:dyDescent="0.25">
      <c r="A1027" t="s">
        <v>26</v>
      </c>
      <c r="B1027" t="s">
        <v>27</v>
      </c>
      <c r="C1027" t="s">
        <v>37</v>
      </c>
      <c r="D1027">
        <v>60</v>
      </c>
      <c r="E1027" s="5">
        <v>43674</v>
      </c>
      <c r="F1027">
        <v>13250501</v>
      </c>
      <c r="G1027">
        <v>0</v>
      </c>
      <c r="H1027" t="s">
        <v>1115</v>
      </c>
      <c r="I1027" t="s">
        <v>1116</v>
      </c>
      <c r="J1027">
        <v>1008</v>
      </c>
      <c r="K1027">
        <v>1316</v>
      </c>
      <c r="L1027" s="3">
        <v>-38404661.030000001</v>
      </c>
      <c r="M1027" s="3">
        <v>0</v>
      </c>
      <c r="N1027">
        <v>31900</v>
      </c>
      <c r="O1027">
        <v>0</v>
      </c>
      <c r="P1027">
        <v>-38436561.030000001</v>
      </c>
      <c r="Q1027" t="s">
        <v>30</v>
      </c>
      <c r="R1027" t="s">
        <v>70</v>
      </c>
      <c r="S1027" t="str">
        <v>#N/A</v>
      </c>
      <c r="T1027" t="str">
        <v>13</v>
      </c>
    </row>
    <row r="1028" spans="1:20" ht="13.7" customHeight="1" x14ac:dyDescent="0.25">
      <c r="A1028" t="s">
        <v>26</v>
      </c>
      <c r="B1028" t="s">
        <v>27</v>
      </c>
      <c r="C1028" t="s">
        <v>38</v>
      </c>
      <c r="D1028">
        <v>5</v>
      </c>
      <c r="E1028" s="5">
        <v>43680</v>
      </c>
      <c r="F1028">
        <v>13250501</v>
      </c>
      <c r="G1028">
        <v>0</v>
      </c>
      <c r="H1028" t="s">
        <v>1115</v>
      </c>
      <c r="I1028" t="s">
        <v>1116</v>
      </c>
      <c r="J1028">
        <v>1008</v>
      </c>
      <c r="K1028">
        <v>1316</v>
      </c>
      <c r="L1028" s="3">
        <v>-38436561.030000001</v>
      </c>
      <c r="M1028" s="3">
        <v>0</v>
      </c>
      <c r="N1028">
        <v>126215</v>
      </c>
      <c r="O1028">
        <v>0</v>
      </c>
      <c r="P1028">
        <v>-38562776.030000001</v>
      </c>
      <c r="Q1028" t="s">
        <v>30</v>
      </c>
      <c r="R1028" t="s">
        <v>158</v>
      </c>
      <c r="S1028" t="str">
        <v>#N/A</v>
      </c>
      <c r="T1028" t="str">
        <v>13</v>
      </c>
    </row>
    <row r="1029" spans="1:20" ht="13.7" customHeight="1" x14ac:dyDescent="0.25">
      <c r="A1029" t="s">
        <v>26</v>
      </c>
      <c r="B1029" t="s">
        <v>27</v>
      </c>
      <c r="C1029" t="s">
        <v>38</v>
      </c>
      <c r="D1029">
        <v>14</v>
      </c>
      <c r="E1029" s="5">
        <v>43686</v>
      </c>
      <c r="F1029">
        <v>13250501</v>
      </c>
      <c r="G1029">
        <v>0</v>
      </c>
      <c r="H1029" t="s">
        <v>1115</v>
      </c>
      <c r="I1029" t="s">
        <v>1116</v>
      </c>
      <c r="J1029">
        <v>1008</v>
      </c>
      <c r="K1029">
        <v>1316</v>
      </c>
      <c r="L1029" s="3">
        <v>-38562776.030000001</v>
      </c>
      <c r="M1029" s="3">
        <v>0</v>
      </c>
      <c r="N1029">
        <v>41650</v>
      </c>
      <c r="O1029">
        <v>0</v>
      </c>
      <c r="P1029">
        <v>-38604426.030000001</v>
      </c>
      <c r="Q1029" t="s">
        <v>30</v>
      </c>
      <c r="R1029" t="s">
        <v>155</v>
      </c>
      <c r="S1029" t="str">
        <v>#N/A</v>
      </c>
      <c r="T1029" t="str">
        <v>13</v>
      </c>
    </row>
    <row r="1030" spans="1:20" ht="13.7" customHeight="1" x14ac:dyDescent="0.25">
      <c r="A1030" t="s">
        <v>26</v>
      </c>
      <c r="B1030" t="s">
        <v>27</v>
      </c>
      <c r="C1030" t="s">
        <v>38</v>
      </c>
      <c r="D1030">
        <v>17</v>
      </c>
      <c r="E1030" s="5">
        <v>43688</v>
      </c>
      <c r="F1030">
        <v>13250501</v>
      </c>
      <c r="G1030">
        <v>0</v>
      </c>
      <c r="H1030" t="s">
        <v>1115</v>
      </c>
      <c r="I1030" t="s">
        <v>1116</v>
      </c>
      <c r="J1030">
        <v>1008</v>
      </c>
      <c r="K1030">
        <v>1316</v>
      </c>
      <c r="L1030" s="3">
        <v>-38604426.030000001</v>
      </c>
      <c r="M1030" s="3">
        <v>0</v>
      </c>
      <c r="N1030">
        <v>128017</v>
      </c>
      <c r="O1030">
        <v>0</v>
      </c>
      <c r="P1030">
        <v>-38732443.030000001</v>
      </c>
      <c r="Q1030" t="s">
        <v>30</v>
      </c>
      <c r="R1030" t="s">
        <v>158</v>
      </c>
      <c r="S1030" t="str">
        <v>#N/A</v>
      </c>
      <c r="T1030" t="str">
        <v>13</v>
      </c>
    </row>
    <row r="1031" spans="1:20" ht="13.7" customHeight="1" x14ac:dyDescent="0.25">
      <c r="A1031" t="s">
        <v>26</v>
      </c>
      <c r="B1031" t="s">
        <v>27</v>
      </c>
      <c r="C1031" t="s">
        <v>38</v>
      </c>
      <c r="D1031">
        <v>19</v>
      </c>
      <c r="E1031" s="5">
        <v>43688</v>
      </c>
      <c r="F1031">
        <v>13250501</v>
      </c>
      <c r="G1031">
        <v>0</v>
      </c>
      <c r="H1031" t="s">
        <v>1115</v>
      </c>
      <c r="I1031" t="s">
        <v>1116</v>
      </c>
      <c r="J1031">
        <v>1008</v>
      </c>
      <c r="K1031">
        <v>1316</v>
      </c>
      <c r="L1031" s="3">
        <v>-38732443.030000001</v>
      </c>
      <c r="M1031" s="3">
        <v>0</v>
      </c>
      <c r="N1031">
        <v>9500</v>
      </c>
      <c r="O1031">
        <v>0</v>
      </c>
      <c r="P1031">
        <v>-38741943.030000001</v>
      </c>
      <c r="Q1031" t="s">
        <v>30</v>
      </c>
      <c r="R1031" t="s">
        <v>554</v>
      </c>
      <c r="S1031" t="str">
        <v>#N/A</v>
      </c>
      <c r="T1031" t="str">
        <v>13</v>
      </c>
    </row>
    <row r="1032" spans="1:20" ht="13.7" customHeight="1" x14ac:dyDescent="0.25">
      <c r="A1032" t="s">
        <v>26</v>
      </c>
      <c r="B1032" t="s">
        <v>27</v>
      </c>
      <c r="C1032" t="s">
        <v>38</v>
      </c>
      <c r="D1032">
        <v>27</v>
      </c>
      <c r="E1032" s="5">
        <v>43691</v>
      </c>
      <c r="F1032">
        <v>13250501</v>
      </c>
      <c r="G1032">
        <v>0</v>
      </c>
      <c r="H1032" t="s">
        <v>1115</v>
      </c>
      <c r="I1032" t="s">
        <v>1116</v>
      </c>
      <c r="J1032">
        <v>1008</v>
      </c>
      <c r="K1032">
        <v>1316</v>
      </c>
      <c r="L1032" s="3">
        <v>-38741943.030000001</v>
      </c>
      <c r="M1032" s="3">
        <v>0</v>
      </c>
      <c r="N1032">
        <v>18400</v>
      </c>
      <c r="O1032">
        <v>0</v>
      </c>
      <c r="P1032">
        <v>-38760343.030000001</v>
      </c>
      <c r="Q1032" t="s">
        <v>30</v>
      </c>
      <c r="R1032" t="s">
        <v>59</v>
      </c>
      <c r="S1032" t="str">
        <v>#N/A</v>
      </c>
      <c r="T1032" t="str">
        <v>13</v>
      </c>
    </row>
    <row r="1033" spans="1:20" ht="13.7" customHeight="1" x14ac:dyDescent="0.25">
      <c r="A1033" t="s">
        <v>26</v>
      </c>
      <c r="B1033" t="s">
        <v>27</v>
      </c>
      <c r="C1033" t="s">
        <v>38</v>
      </c>
      <c r="D1033">
        <v>23</v>
      </c>
      <c r="E1033" s="5">
        <v>43692</v>
      </c>
      <c r="F1033">
        <v>13250501</v>
      </c>
      <c r="G1033">
        <v>0</v>
      </c>
      <c r="H1033" t="s">
        <v>1115</v>
      </c>
      <c r="I1033" t="s">
        <v>1116</v>
      </c>
      <c r="J1033">
        <v>1008</v>
      </c>
      <c r="K1033">
        <v>1316</v>
      </c>
      <c r="L1033" s="3">
        <v>-38760343.030000001</v>
      </c>
      <c r="M1033" s="3">
        <v>0</v>
      </c>
      <c r="N1033">
        <v>141610</v>
      </c>
      <c r="O1033">
        <v>0</v>
      </c>
      <c r="P1033">
        <v>-38901953.030000001</v>
      </c>
      <c r="Q1033" t="s">
        <v>30</v>
      </c>
      <c r="R1033" t="s">
        <v>169</v>
      </c>
      <c r="S1033" t="str">
        <v>#N/A</v>
      </c>
      <c r="T1033" t="str">
        <v>13</v>
      </c>
    </row>
    <row r="1034" spans="1:20" ht="13.7" customHeight="1" x14ac:dyDescent="0.25">
      <c r="A1034" t="s">
        <v>26</v>
      </c>
      <c r="B1034" t="s">
        <v>27</v>
      </c>
      <c r="C1034" t="s">
        <v>38</v>
      </c>
      <c r="D1034">
        <v>26</v>
      </c>
      <c r="E1034" s="5">
        <v>43692</v>
      </c>
      <c r="F1034">
        <v>13250501</v>
      </c>
      <c r="G1034">
        <v>0</v>
      </c>
      <c r="H1034" t="s">
        <v>1115</v>
      </c>
      <c r="I1034" t="s">
        <v>1116</v>
      </c>
      <c r="J1034">
        <v>1008</v>
      </c>
      <c r="K1034">
        <v>1316</v>
      </c>
      <c r="L1034" s="3">
        <v>-38901953.030000001</v>
      </c>
      <c r="M1034" s="3">
        <v>0</v>
      </c>
      <c r="N1034">
        <v>3200</v>
      </c>
      <c r="O1034">
        <v>0</v>
      </c>
      <c r="P1034">
        <v>-38905153.030000001</v>
      </c>
      <c r="Q1034" t="s">
        <v>30</v>
      </c>
      <c r="R1034" t="s">
        <v>555</v>
      </c>
      <c r="S1034" t="str">
        <v>#N/A</v>
      </c>
      <c r="T1034" t="str">
        <v>13</v>
      </c>
    </row>
    <row r="1035" spans="1:20" ht="13.7" customHeight="1" x14ac:dyDescent="0.25">
      <c r="A1035" t="s">
        <v>26</v>
      </c>
      <c r="B1035" t="s">
        <v>27</v>
      </c>
      <c r="C1035" t="s">
        <v>38</v>
      </c>
      <c r="D1035">
        <v>28</v>
      </c>
      <c r="E1035" s="5">
        <v>43693</v>
      </c>
      <c r="F1035">
        <v>13250501</v>
      </c>
      <c r="G1035">
        <v>0</v>
      </c>
      <c r="H1035" t="s">
        <v>1115</v>
      </c>
      <c r="I1035" t="s">
        <v>1116</v>
      </c>
      <c r="J1035">
        <v>1008</v>
      </c>
      <c r="K1035">
        <v>1316</v>
      </c>
      <c r="L1035" s="3">
        <v>-38905153.030000001</v>
      </c>
      <c r="M1035" s="3">
        <v>0</v>
      </c>
      <c r="N1035">
        <v>6300</v>
      </c>
      <c r="O1035">
        <v>0</v>
      </c>
      <c r="P1035">
        <v>-38911453.030000001</v>
      </c>
      <c r="Q1035" t="s">
        <v>30</v>
      </c>
      <c r="R1035" t="s">
        <v>59</v>
      </c>
      <c r="S1035" t="str">
        <v>#N/A</v>
      </c>
      <c r="T1035" t="str">
        <v>13</v>
      </c>
    </row>
    <row r="1036" spans="1:20" ht="13.7" customHeight="1" x14ac:dyDescent="0.25">
      <c r="A1036" t="s">
        <v>26</v>
      </c>
      <c r="B1036" t="s">
        <v>27</v>
      </c>
      <c r="C1036" t="s">
        <v>38</v>
      </c>
      <c r="D1036">
        <v>30</v>
      </c>
      <c r="E1036" s="5">
        <v>43694</v>
      </c>
      <c r="F1036">
        <v>13250501</v>
      </c>
      <c r="G1036">
        <v>0</v>
      </c>
      <c r="H1036" t="s">
        <v>1115</v>
      </c>
      <c r="I1036" t="s">
        <v>1116</v>
      </c>
      <c r="J1036">
        <v>1008</v>
      </c>
      <c r="K1036">
        <v>1316</v>
      </c>
      <c r="L1036" s="3">
        <v>-38911453.030000001</v>
      </c>
      <c r="M1036" s="3">
        <v>0</v>
      </c>
      <c r="N1036">
        <v>684500</v>
      </c>
      <c r="O1036">
        <v>0</v>
      </c>
      <c r="P1036">
        <v>-39595953.030000001</v>
      </c>
      <c r="Q1036" t="s">
        <v>30</v>
      </c>
      <c r="R1036" t="s">
        <v>556</v>
      </c>
      <c r="S1036" t="str">
        <v>#N/A</v>
      </c>
      <c r="T1036" t="str">
        <v>13</v>
      </c>
    </row>
    <row r="1037" spans="1:20" ht="13.7" customHeight="1" x14ac:dyDescent="0.25">
      <c r="A1037" t="s">
        <v>26</v>
      </c>
      <c r="B1037" t="s">
        <v>27</v>
      </c>
      <c r="C1037" t="s">
        <v>38</v>
      </c>
      <c r="D1037">
        <v>32</v>
      </c>
      <c r="E1037" s="5">
        <v>43696</v>
      </c>
      <c r="F1037">
        <v>13250501</v>
      </c>
      <c r="G1037">
        <v>0</v>
      </c>
      <c r="H1037" t="s">
        <v>1115</v>
      </c>
      <c r="I1037" t="s">
        <v>1116</v>
      </c>
      <c r="J1037">
        <v>1008</v>
      </c>
      <c r="K1037">
        <v>1316</v>
      </c>
      <c r="L1037" s="3">
        <v>-39595953.030000001</v>
      </c>
      <c r="M1037" s="3">
        <v>0</v>
      </c>
      <c r="N1037">
        <v>121657</v>
      </c>
      <c r="O1037">
        <v>0</v>
      </c>
      <c r="P1037">
        <v>-39717610.030000001</v>
      </c>
      <c r="Q1037" t="s">
        <v>30</v>
      </c>
      <c r="R1037" t="s">
        <v>158</v>
      </c>
      <c r="S1037" t="str">
        <v>#N/A</v>
      </c>
      <c r="T1037" t="str">
        <v>13</v>
      </c>
    </row>
    <row r="1038" spans="1:20" ht="13.7" customHeight="1" x14ac:dyDescent="0.25">
      <c r="A1038" t="s">
        <v>26</v>
      </c>
      <c r="B1038" t="s">
        <v>27</v>
      </c>
      <c r="C1038" t="s">
        <v>38</v>
      </c>
      <c r="D1038">
        <v>34</v>
      </c>
      <c r="E1038" s="5">
        <v>43699</v>
      </c>
      <c r="F1038">
        <v>13250501</v>
      </c>
      <c r="G1038">
        <v>0</v>
      </c>
      <c r="H1038" t="s">
        <v>1115</v>
      </c>
      <c r="I1038" t="s">
        <v>1116</v>
      </c>
      <c r="J1038">
        <v>1008</v>
      </c>
      <c r="K1038">
        <v>1316</v>
      </c>
      <c r="L1038" s="3">
        <v>-39717610.030000001</v>
      </c>
      <c r="M1038" s="3">
        <v>0</v>
      </c>
      <c r="N1038">
        <v>413809</v>
      </c>
      <c r="O1038">
        <v>0</v>
      </c>
      <c r="P1038">
        <v>-40131419.030000001</v>
      </c>
      <c r="Q1038" t="s">
        <v>30</v>
      </c>
      <c r="R1038" t="s">
        <v>241</v>
      </c>
      <c r="S1038" t="str">
        <v>#N/A</v>
      </c>
      <c r="T1038" t="str">
        <v>13</v>
      </c>
    </row>
    <row r="1039" spans="1:20" ht="13.7" customHeight="1" x14ac:dyDescent="0.25">
      <c r="A1039" t="s">
        <v>26</v>
      </c>
      <c r="B1039" t="s">
        <v>27</v>
      </c>
      <c r="C1039" t="s">
        <v>38</v>
      </c>
      <c r="D1039">
        <v>41</v>
      </c>
      <c r="E1039" s="5">
        <v>43700</v>
      </c>
      <c r="F1039">
        <v>13250501</v>
      </c>
      <c r="G1039">
        <v>0</v>
      </c>
      <c r="H1039" t="s">
        <v>1115</v>
      </c>
      <c r="I1039" t="s">
        <v>1116</v>
      </c>
      <c r="J1039">
        <v>1008</v>
      </c>
      <c r="K1039">
        <v>1316</v>
      </c>
      <c r="L1039" s="3">
        <v>-40131419.030000001</v>
      </c>
      <c r="M1039" s="3">
        <v>0</v>
      </c>
      <c r="N1039">
        <v>5700</v>
      </c>
      <c r="O1039">
        <v>0</v>
      </c>
      <c r="P1039">
        <v>-40137119.030000001</v>
      </c>
      <c r="Q1039" t="s">
        <v>30</v>
      </c>
      <c r="R1039" t="s">
        <v>59</v>
      </c>
      <c r="S1039" t="str">
        <v>#N/A</v>
      </c>
      <c r="T1039" t="str">
        <v>13</v>
      </c>
    </row>
    <row r="1040" spans="1:20" ht="13.7" customHeight="1" x14ac:dyDescent="0.25">
      <c r="A1040" t="s">
        <v>26</v>
      </c>
      <c r="B1040" t="s">
        <v>27</v>
      </c>
      <c r="C1040" t="s">
        <v>38</v>
      </c>
      <c r="D1040">
        <v>42</v>
      </c>
      <c r="E1040" s="5">
        <v>43700</v>
      </c>
      <c r="F1040">
        <v>13250501</v>
      </c>
      <c r="G1040">
        <v>0</v>
      </c>
      <c r="H1040" t="s">
        <v>1115</v>
      </c>
      <c r="I1040" t="s">
        <v>1116</v>
      </c>
      <c r="J1040">
        <v>1008</v>
      </c>
      <c r="K1040">
        <v>1316</v>
      </c>
      <c r="L1040" s="3">
        <v>-40137119.030000001</v>
      </c>
      <c r="M1040" s="3">
        <v>0</v>
      </c>
      <c r="N1040">
        <v>13600</v>
      </c>
      <c r="O1040">
        <v>0</v>
      </c>
      <c r="P1040">
        <v>-40150719.030000001</v>
      </c>
      <c r="Q1040" t="s">
        <v>30</v>
      </c>
      <c r="R1040" t="s">
        <v>70</v>
      </c>
      <c r="S1040" t="str">
        <v>#N/A</v>
      </c>
      <c r="T1040" t="str">
        <v>13</v>
      </c>
    </row>
    <row r="1041" spans="1:20" ht="13.7" customHeight="1" x14ac:dyDescent="0.25">
      <c r="A1041" t="s">
        <v>26</v>
      </c>
      <c r="B1041" t="s">
        <v>27</v>
      </c>
      <c r="C1041" t="s">
        <v>38</v>
      </c>
      <c r="D1041">
        <v>36</v>
      </c>
      <c r="E1041" s="5">
        <v>43701</v>
      </c>
      <c r="F1041">
        <v>13250501</v>
      </c>
      <c r="G1041">
        <v>0</v>
      </c>
      <c r="H1041" t="s">
        <v>1115</v>
      </c>
      <c r="I1041" t="s">
        <v>1116</v>
      </c>
      <c r="J1041">
        <v>1008</v>
      </c>
      <c r="K1041">
        <v>1316</v>
      </c>
      <c r="L1041" s="3">
        <v>-40150719.030000001</v>
      </c>
      <c r="M1041" s="3">
        <v>46750</v>
      </c>
      <c r="N1041">
        <v>0</v>
      </c>
      <c r="O1041">
        <v>0</v>
      </c>
      <c r="P1041">
        <v>-40103969.030000001</v>
      </c>
      <c r="Q1041" t="s">
        <v>30</v>
      </c>
      <c r="R1041" t="s">
        <v>557</v>
      </c>
      <c r="S1041" t="str">
        <v>#N/A</v>
      </c>
      <c r="T1041" t="str">
        <v>13</v>
      </c>
    </row>
    <row r="1042" spans="1:20" ht="13.7" customHeight="1" x14ac:dyDescent="0.25">
      <c r="A1042" t="s">
        <v>26</v>
      </c>
      <c r="B1042" t="s">
        <v>27</v>
      </c>
      <c r="C1042" t="s">
        <v>38</v>
      </c>
      <c r="D1042">
        <v>36</v>
      </c>
      <c r="E1042" s="5">
        <v>43701</v>
      </c>
      <c r="F1042">
        <v>13250501</v>
      </c>
      <c r="G1042">
        <v>0</v>
      </c>
      <c r="H1042" t="s">
        <v>1115</v>
      </c>
      <c r="I1042" t="s">
        <v>1116</v>
      </c>
      <c r="J1042">
        <v>1008</v>
      </c>
      <c r="K1042">
        <v>1316</v>
      </c>
      <c r="L1042" s="3">
        <v>-40103969.030000001</v>
      </c>
      <c r="M1042" s="3">
        <v>200000</v>
      </c>
      <c r="N1042">
        <v>0</v>
      </c>
      <c r="O1042">
        <v>0</v>
      </c>
      <c r="P1042">
        <v>-39903969.030000001</v>
      </c>
      <c r="Q1042" t="s">
        <v>30</v>
      </c>
      <c r="R1042" t="s">
        <v>558</v>
      </c>
      <c r="S1042" t="str">
        <v>#N/A</v>
      </c>
      <c r="T1042" t="str">
        <v>13</v>
      </c>
    </row>
    <row r="1043" spans="1:20" ht="13.7" customHeight="1" x14ac:dyDescent="0.25">
      <c r="A1043" t="s">
        <v>26</v>
      </c>
      <c r="B1043" t="s">
        <v>27</v>
      </c>
      <c r="C1043" t="s">
        <v>38</v>
      </c>
      <c r="D1043">
        <v>36</v>
      </c>
      <c r="E1043" s="5">
        <v>43701</v>
      </c>
      <c r="F1043">
        <v>13250501</v>
      </c>
      <c r="G1043">
        <v>0</v>
      </c>
      <c r="H1043" t="s">
        <v>1115</v>
      </c>
      <c r="I1043" t="s">
        <v>1116</v>
      </c>
      <c r="J1043">
        <v>1008</v>
      </c>
      <c r="K1043">
        <v>1316</v>
      </c>
      <c r="L1043" s="3">
        <v>-39903969.030000001</v>
      </c>
      <c r="M1043" s="3">
        <v>425000</v>
      </c>
      <c r="N1043">
        <v>0</v>
      </c>
      <c r="O1043">
        <v>0</v>
      </c>
      <c r="P1043">
        <v>-39478969.030000001</v>
      </c>
      <c r="Q1043" t="s">
        <v>30</v>
      </c>
      <c r="R1043" t="s">
        <v>559</v>
      </c>
      <c r="S1043" t="str">
        <v>#N/A</v>
      </c>
      <c r="T1043" t="str">
        <v>13</v>
      </c>
    </row>
    <row r="1044" spans="1:20" ht="13.7" customHeight="1" x14ac:dyDescent="0.25">
      <c r="A1044" t="s">
        <v>26</v>
      </c>
      <c r="B1044" t="s">
        <v>27</v>
      </c>
      <c r="C1044" t="s">
        <v>38</v>
      </c>
      <c r="D1044">
        <v>36</v>
      </c>
      <c r="E1044" s="5">
        <v>43701</v>
      </c>
      <c r="F1044">
        <v>13250501</v>
      </c>
      <c r="G1044">
        <v>0</v>
      </c>
      <c r="H1044" t="s">
        <v>1115</v>
      </c>
      <c r="I1044" t="s">
        <v>1116</v>
      </c>
      <c r="J1044">
        <v>1008</v>
      </c>
      <c r="K1044">
        <v>1316</v>
      </c>
      <c r="L1044" s="3">
        <v>-39478969.030000001</v>
      </c>
      <c r="M1044" s="3">
        <v>684500</v>
      </c>
      <c r="N1044">
        <v>0</v>
      </c>
      <c r="O1044">
        <v>0</v>
      </c>
      <c r="P1044">
        <v>-38794469.030000001</v>
      </c>
      <c r="Q1044" t="s">
        <v>30</v>
      </c>
      <c r="R1044" t="s">
        <v>560</v>
      </c>
      <c r="S1044" t="str">
        <v>#N/A</v>
      </c>
      <c r="T1044" t="str">
        <v>13</v>
      </c>
    </row>
    <row r="1045" spans="1:20" ht="13.7" customHeight="1" x14ac:dyDescent="0.25">
      <c r="A1045" t="s">
        <v>26</v>
      </c>
      <c r="B1045" t="s">
        <v>27</v>
      </c>
      <c r="C1045" t="s">
        <v>38</v>
      </c>
      <c r="D1045">
        <v>36</v>
      </c>
      <c r="E1045" s="5">
        <v>43701</v>
      </c>
      <c r="F1045">
        <v>13250501</v>
      </c>
      <c r="G1045">
        <v>0</v>
      </c>
      <c r="H1045" t="s">
        <v>1115</v>
      </c>
      <c r="I1045" t="s">
        <v>1116</v>
      </c>
      <c r="J1045">
        <v>1008</v>
      </c>
      <c r="K1045">
        <v>1316</v>
      </c>
      <c r="L1045" s="3">
        <v>-38794469.030000001</v>
      </c>
      <c r="M1045" s="3">
        <v>413850</v>
      </c>
      <c r="N1045">
        <v>0</v>
      </c>
      <c r="O1045">
        <v>0</v>
      </c>
      <c r="P1045">
        <v>-38380619.030000001</v>
      </c>
      <c r="Q1045" t="s">
        <v>30</v>
      </c>
      <c r="R1045" t="s">
        <v>286</v>
      </c>
      <c r="S1045" t="str">
        <v>#N/A</v>
      </c>
      <c r="T1045" t="str">
        <v>13</v>
      </c>
    </row>
    <row r="1046" spans="1:20" ht="13.7" customHeight="1" x14ac:dyDescent="0.25">
      <c r="A1046" t="s">
        <v>26</v>
      </c>
      <c r="B1046" t="s">
        <v>27</v>
      </c>
      <c r="C1046" t="s">
        <v>38</v>
      </c>
      <c r="D1046">
        <v>43</v>
      </c>
      <c r="E1046" s="5">
        <v>43702</v>
      </c>
      <c r="F1046">
        <v>13250501</v>
      </c>
      <c r="G1046">
        <v>0</v>
      </c>
      <c r="H1046" t="s">
        <v>1115</v>
      </c>
      <c r="I1046" t="s">
        <v>1116</v>
      </c>
      <c r="J1046">
        <v>1008</v>
      </c>
      <c r="K1046">
        <v>1316</v>
      </c>
      <c r="L1046" s="3">
        <v>-38380619.030000001</v>
      </c>
      <c r="M1046" s="3">
        <v>0</v>
      </c>
      <c r="N1046">
        <v>48300</v>
      </c>
      <c r="O1046">
        <v>0</v>
      </c>
      <c r="P1046">
        <v>-38428919.030000001</v>
      </c>
      <c r="Q1046" t="s">
        <v>30</v>
      </c>
      <c r="R1046" t="s">
        <v>70</v>
      </c>
      <c r="S1046" t="str">
        <v>#N/A</v>
      </c>
      <c r="T1046" t="str">
        <v>13</v>
      </c>
    </row>
    <row r="1047" spans="1:20" ht="13.7" customHeight="1" x14ac:dyDescent="0.25">
      <c r="A1047" t="s">
        <v>26</v>
      </c>
      <c r="B1047" t="s">
        <v>27</v>
      </c>
      <c r="C1047" t="s">
        <v>38</v>
      </c>
      <c r="D1047">
        <v>44</v>
      </c>
      <c r="E1047" s="5">
        <v>43703</v>
      </c>
      <c r="F1047">
        <v>13250501</v>
      </c>
      <c r="G1047">
        <v>0</v>
      </c>
      <c r="H1047" t="s">
        <v>1115</v>
      </c>
      <c r="I1047" t="s">
        <v>1116</v>
      </c>
      <c r="J1047">
        <v>1008</v>
      </c>
      <c r="K1047">
        <v>1316</v>
      </c>
      <c r="L1047" s="3">
        <v>-38428919.030000001</v>
      </c>
      <c r="M1047" s="3">
        <v>0</v>
      </c>
      <c r="N1047">
        <v>54740</v>
      </c>
      <c r="O1047">
        <v>0</v>
      </c>
      <c r="P1047">
        <v>-38483659.030000001</v>
      </c>
      <c r="Q1047" t="s">
        <v>30</v>
      </c>
      <c r="R1047" t="s">
        <v>561</v>
      </c>
      <c r="S1047" t="str">
        <v>#N/A</v>
      </c>
      <c r="T1047" t="str">
        <v>13</v>
      </c>
    </row>
    <row r="1048" spans="1:20" ht="13.7" customHeight="1" x14ac:dyDescent="0.25">
      <c r="A1048" t="s">
        <v>26</v>
      </c>
      <c r="B1048" t="s">
        <v>27</v>
      </c>
      <c r="C1048" t="s">
        <v>38</v>
      </c>
      <c r="D1048">
        <v>45</v>
      </c>
      <c r="E1048" s="5">
        <v>43703</v>
      </c>
      <c r="F1048">
        <v>13250501</v>
      </c>
      <c r="G1048">
        <v>0</v>
      </c>
      <c r="H1048" t="s">
        <v>1115</v>
      </c>
      <c r="I1048" t="s">
        <v>1116</v>
      </c>
      <c r="J1048">
        <v>1008</v>
      </c>
      <c r="K1048">
        <v>1316</v>
      </c>
      <c r="L1048" s="3">
        <v>-38483659.030000001</v>
      </c>
      <c r="M1048" s="3">
        <v>0</v>
      </c>
      <c r="N1048">
        <v>10000</v>
      </c>
      <c r="O1048">
        <v>0</v>
      </c>
      <c r="P1048">
        <v>-38493659.030000001</v>
      </c>
      <c r="Q1048" t="s">
        <v>30</v>
      </c>
      <c r="R1048" t="s">
        <v>70</v>
      </c>
      <c r="S1048" t="str">
        <v>#N/A</v>
      </c>
      <c r="T1048" t="str">
        <v>13</v>
      </c>
    </row>
    <row r="1049" spans="1:20" ht="13.7" customHeight="1" x14ac:dyDescent="0.25">
      <c r="A1049" t="s">
        <v>26</v>
      </c>
      <c r="B1049" t="s">
        <v>27</v>
      </c>
      <c r="C1049" t="s">
        <v>38</v>
      </c>
      <c r="D1049">
        <v>47</v>
      </c>
      <c r="E1049" s="5">
        <v>43704</v>
      </c>
      <c r="F1049">
        <v>13250501</v>
      </c>
      <c r="G1049">
        <v>0</v>
      </c>
      <c r="H1049" t="s">
        <v>1115</v>
      </c>
      <c r="I1049" t="s">
        <v>1116</v>
      </c>
      <c r="J1049">
        <v>1008</v>
      </c>
      <c r="K1049">
        <v>1316</v>
      </c>
      <c r="L1049" s="3">
        <v>-38493659.030000001</v>
      </c>
      <c r="M1049" s="3">
        <v>0</v>
      </c>
      <c r="N1049">
        <v>11500</v>
      </c>
      <c r="O1049">
        <v>0</v>
      </c>
      <c r="P1049">
        <v>-38505159.030000001</v>
      </c>
      <c r="Q1049" t="s">
        <v>30</v>
      </c>
      <c r="R1049" t="s">
        <v>59</v>
      </c>
      <c r="S1049" t="str">
        <v>#N/A</v>
      </c>
      <c r="T1049" t="str">
        <v>13</v>
      </c>
    </row>
    <row r="1050" spans="1:20" ht="13.7" customHeight="1" x14ac:dyDescent="0.25">
      <c r="A1050" t="s">
        <v>26</v>
      </c>
      <c r="B1050" t="s">
        <v>27</v>
      </c>
      <c r="C1050" t="s">
        <v>39</v>
      </c>
      <c r="D1050">
        <v>2</v>
      </c>
      <c r="E1050" s="5">
        <v>43709</v>
      </c>
      <c r="F1050">
        <v>13250501</v>
      </c>
      <c r="G1050">
        <v>0</v>
      </c>
      <c r="H1050" t="s">
        <v>1115</v>
      </c>
      <c r="I1050" t="s">
        <v>1116</v>
      </c>
      <c r="J1050">
        <v>1008</v>
      </c>
      <c r="K1050">
        <v>1316</v>
      </c>
      <c r="L1050" s="3">
        <v>-38505159.030000001</v>
      </c>
      <c r="M1050" s="3">
        <v>0</v>
      </c>
      <c r="N1050">
        <v>120003</v>
      </c>
      <c r="O1050">
        <v>0</v>
      </c>
      <c r="P1050">
        <v>-38625162.030000001</v>
      </c>
      <c r="Q1050" t="s">
        <v>30</v>
      </c>
      <c r="R1050" t="s">
        <v>158</v>
      </c>
      <c r="S1050" t="str">
        <v>#N/A</v>
      </c>
      <c r="T1050" t="str">
        <v>13</v>
      </c>
    </row>
    <row r="1051" spans="1:20" ht="13.7" customHeight="1" x14ac:dyDescent="0.25">
      <c r="A1051" t="s">
        <v>26</v>
      </c>
      <c r="B1051" t="s">
        <v>27</v>
      </c>
      <c r="C1051" t="s">
        <v>39</v>
      </c>
      <c r="D1051">
        <v>5</v>
      </c>
      <c r="E1051" s="5">
        <v>43709</v>
      </c>
      <c r="F1051">
        <v>13250501</v>
      </c>
      <c r="G1051">
        <v>0</v>
      </c>
      <c r="H1051" t="s">
        <v>1115</v>
      </c>
      <c r="I1051" t="s">
        <v>1116</v>
      </c>
      <c r="J1051">
        <v>1008</v>
      </c>
      <c r="K1051">
        <v>1316</v>
      </c>
      <c r="L1051" s="3">
        <v>-38625162.030000001</v>
      </c>
      <c r="M1051" s="3">
        <v>0</v>
      </c>
      <c r="N1051">
        <v>17900</v>
      </c>
      <c r="O1051">
        <v>0</v>
      </c>
      <c r="P1051">
        <v>-38643062.030000001</v>
      </c>
      <c r="Q1051" t="s">
        <v>30</v>
      </c>
      <c r="R1051" t="s">
        <v>563</v>
      </c>
      <c r="S1051" t="str">
        <v>#N/A</v>
      </c>
      <c r="T1051" t="str">
        <v>13</v>
      </c>
    </row>
    <row r="1052" spans="1:20" ht="13.7" customHeight="1" x14ac:dyDescent="0.25">
      <c r="A1052" t="s">
        <v>26</v>
      </c>
      <c r="B1052" t="s">
        <v>27</v>
      </c>
      <c r="C1052" t="s">
        <v>39</v>
      </c>
      <c r="D1052">
        <v>3</v>
      </c>
      <c r="E1052" s="5">
        <v>43710</v>
      </c>
      <c r="F1052">
        <v>13250501</v>
      </c>
      <c r="G1052">
        <v>0</v>
      </c>
      <c r="H1052" t="s">
        <v>1115</v>
      </c>
      <c r="I1052" t="s">
        <v>1116</v>
      </c>
      <c r="J1052">
        <v>1008</v>
      </c>
      <c r="K1052">
        <v>1316</v>
      </c>
      <c r="L1052" s="3">
        <v>-38643062.030000001</v>
      </c>
      <c r="M1052" s="3">
        <v>0</v>
      </c>
      <c r="N1052">
        <v>6900</v>
      </c>
      <c r="O1052">
        <v>0</v>
      </c>
      <c r="P1052">
        <v>-38649962.030000001</v>
      </c>
      <c r="Q1052" t="s">
        <v>30</v>
      </c>
      <c r="R1052" t="s">
        <v>59</v>
      </c>
      <c r="S1052" t="str">
        <v>#N/A</v>
      </c>
      <c r="T1052" t="str">
        <v>13</v>
      </c>
    </row>
    <row r="1053" spans="1:20" ht="13.7" customHeight="1" x14ac:dyDescent="0.25">
      <c r="A1053" t="s">
        <v>26</v>
      </c>
      <c r="B1053" t="s">
        <v>27</v>
      </c>
      <c r="C1053" t="s">
        <v>39</v>
      </c>
      <c r="D1053">
        <v>4</v>
      </c>
      <c r="E1053" s="5">
        <v>43710</v>
      </c>
      <c r="F1053">
        <v>13250501</v>
      </c>
      <c r="G1053">
        <v>0</v>
      </c>
      <c r="H1053" t="s">
        <v>1115</v>
      </c>
      <c r="I1053" t="s">
        <v>1116</v>
      </c>
      <c r="J1053">
        <v>1008</v>
      </c>
      <c r="K1053">
        <v>1316</v>
      </c>
      <c r="L1053" s="3">
        <v>-38649962.030000001</v>
      </c>
      <c r="M1053" s="3">
        <v>0</v>
      </c>
      <c r="N1053">
        <v>13800</v>
      </c>
      <c r="O1053">
        <v>0</v>
      </c>
      <c r="P1053">
        <v>-38663762.030000001</v>
      </c>
      <c r="Q1053" t="s">
        <v>30</v>
      </c>
      <c r="R1053" t="s">
        <v>59</v>
      </c>
      <c r="S1053" t="str">
        <v>#N/A</v>
      </c>
      <c r="T1053" t="str">
        <v>13</v>
      </c>
    </row>
    <row r="1054" spans="1:20" ht="13.7" customHeight="1" x14ac:dyDescent="0.25">
      <c r="A1054" t="s">
        <v>26</v>
      </c>
      <c r="B1054" t="s">
        <v>27</v>
      </c>
      <c r="C1054" t="s">
        <v>39</v>
      </c>
      <c r="D1054">
        <v>11</v>
      </c>
      <c r="E1054" s="5">
        <v>43713</v>
      </c>
      <c r="F1054">
        <v>13250501</v>
      </c>
      <c r="G1054">
        <v>0</v>
      </c>
      <c r="H1054" t="s">
        <v>1115</v>
      </c>
      <c r="I1054" t="s">
        <v>1116</v>
      </c>
      <c r="J1054">
        <v>1008</v>
      </c>
      <c r="K1054">
        <v>1316</v>
      </c>
      <c r="L1054" s="3">
        <v>-38663762.030000001</v>
      </c>
      <c r="M1054" s="3">
        <v>0</v>
      </c>
      <c r="N1054">
        <v>13800</v>
      </c>
      <c r="O1054">
        <v>0</v>
      </c>
      <c r="P1054">
        <v>-38677562.030000001</v>
      </c>
      <c r="Q1054" t="s">
        <v>30</v>
      </c>
      <c r="R1054" t="s">
        <v>59</v>
      </c>
      <c r="S1054" t="str">
        <v>#N/A</v>
      </c>
      <c r="T1054" t="str">
        <v>13</v>
      </c>
    </row>
    <row r="1055" spans="1:20" ht="13.7" customHeight="1" x14ac:dyDescent="0.25">
      <c r="A1055" t="s">
        <v>26</v>
      </c>
      <c r="B1055" t="s">
        <v>27</v>
      </c>
      <c r="C1055" t="s">
        <v>39</v>
      </c>
      <c r="D1055">
        <v>12</v>
      </c>
      <c r="E1055" s="5">
        <v>43713</v>
      </c>
      <c r="F1055">
        <v>13250501</v>
      </c>
      <c r="G1055">
        <v>0</v>
      </c>
      <c r="H1055" t="s">
        <v>1115</v>
      </c>
      <c r="I1055" t="s">
        <v>1116</v>
      </c>
      <c r="J1055">
        <v>1008</v>
      </c>
      <c r="K1055">
        <v>1316</v>
      </c>
      <c r="L1055" s="3">
        <v>-38677562.030000001</v>
      </c>
      <c r="M1055" s="3">
        <v>0</v>
      </c>
      <c r="N1055">
        <v>54000</v>
      </c>
      <c r="O1055">
        <v>0</v>
      </c>
      <c r="P1055">
        <v>-38731562.030000001</v>
      </c>
      <c r="Q1055" t="s">
        <v>30</v>
      </c>
      <c r="R1055" t="s">
        <v>564</v>
      </c>
      <c r="S1055" t="str">
        <v>#N/A</v>
      </c>
      <c r="T1055" t="str">
        <v>13</v>
      </c>
    </row>
    <row r="1056" spans="1:20" ht="13.7" customHeight="1" x14ac:dyDescent="0.25">
      <c r="A1056" t="s">
        <v>26</v>
      </c>
      <c r="B1056" t="s">
        <v>27</v>
      </c>
      <c r="C1056" t="s">
        <v>39</v>
      </c>
      <c r="D1056">
        <v>14</v>
      </c>
      <c r="E1056" s="5">
        <v>43714</v>
      </c>
      <c r="F1056">
        <v>13250501</v>
      </c>
      <c r="G1056">
        <v>0</v>
      </c>
      <c r="H1056" t="s">
        <v>1115</v>
      </c>
      <c r="I1056" t="s">
        <v>1116</v>
      </c>
      <c r="J1056">
        <v>1008</v>
      </c>
      <c r="K1056">
        <v>1316</v>
      </c>
      <c r="L1056" s="3">
        <v>-38731562.030000001</v>
      </c>
      <c r="M1056" s="3">
        <v>0</v>
      </c>
      <c r="N1056">
        <v>806249</v>
      </c>
      <c r="O1056">
        <v>0</v>
      </c>
      <c r="P1056">
        <v>-39537811.030000001</v>
      </c>
      <c r="Q1056" t="s">
        <v>30</v>
      </c>
      <c r="R1056" t="s">
        <v>565</v>
      </c>
      <c r="S1056" t="str">
        <v>#N/A</v>
      </c>
      <c r="T1056" t="str">
        <v>13</v>
      </c>
    </row>
    <row r="1057" spans="1:20" ht="13.7" customHeight="1" x14ac:dyDescent="0.25">
      <c r="A1057" t="s">
        <v>26</v>
      </c>
      <c r="B1057" t="s">
        <v>27</v>
      </c>
      <c r="C1057" t="s">
        <v>39</v>
      </c>
      <c r="D1057">
        <v>16</v>
      </c>
      <c r="E1057" s="5">
        <v>43715</v>
      </c>
      <c r="F1057">
        <v>13250501</v>
      </c>
      <c r="G1057">
        <v>0</v>
      </c>
      <c r="H1057" t="s">
        <v>1115</v>
      </c>
      <c r="I1057" t="s">
        <v>1116</v>
      </c>
      <c r="J1057">
        <v>1008</v>
      </c>
      <c r="K1057">
        <v>1316</v>
      </c>
      <c r="L1057" s="3">
        <v>-39537811.030000001</v>
      </c>
      <c r="M1057" s="3">
        <v>0</v>
      </c>
      <c r="N1057">
        <v>14400</v>
      </c>
      <c r="O1057">
        <v>0</v>
      </c>
      <c r="P1057">
        <v>-39552211.030000001</v>
      </c>
      <c r="Q1057" t="s">
        <v>30</v>
      </c>
      <c r="R1057" t="s">
        <v>74</v>
      </c>
      <c r="S1057" t="str">
        <v>#N/A</v>
      </c>
      <c r="T1057" t="str">
        <v>13</v>
      </c>
    </row>
    <row r="1058" spans="1:20" ht="13.7" customHeight="1" x14ac:dyDescent="0.25">
      <c r="A1058" t="s">
        <v>26</v>
      </c>
      <c r="B1058" t="s">
        <v>27</v>
      </c>
      <c r="C1058" t="s">
        <v>39</v>
      </c>
      <c r="D1058">
        <v>19</v>
      </c>
      <c r="E1058" s="5">
        <v>43718</v>
      </c>
      <c r="F1058">
        <v>13250501</v>
      </c>
      <c r="G1058">
        <v>0</v>
      </c>
      <c r="H1058" t="s">
        <v>1115</v>
      </c>
      <c r="I1058" t="s">
        <v>1116</v>
      </c>
      <c r="J1058">
        <v>1008</v>
      </c>
      <c r="K1058">
        <v>1316</v>
      </c>
      <c r="L1058" s="3">
        <v>-39552211.030000001</v>
      </c>
      <c r="M1058" s="3">
        <v>0</v>
      </c>
      <c r="N1058">
        <v>67046</v>
      </c>
      <c r="O1058">
        <v>0</v>
      </c>
      <c r="P1058">
        <v>-39619257.030000001</v>
      </c>
      <c r="Q1058" t="s">
        <v>30</v>
      </c>
      <c r="R1058" t="s">
        <v>565</v>
      </c>
      <c r="S1058" t="str">
        <v>#N/A</v>
      </c>
      <c r="T1058" t="str">
        <v>13</v>
      </c>
    </row>
    <row r="1059" spans="1:20" ht="13.7" customHeight="1" x14ac:dyDescent="0.25">
      <c r="A1059" t="s">
        <v>26</v>
      </c>
      <c r="B1059" t="s">
        <v>27</v>
      </c>
      <c r="C1059" t="s">
        <v>39</v>
      </c>
      <c r="D1059">
        <v>20</v>
      </c>
      <c r="E1059" s="5">
        <v>43719</v>
      </c>
      <c r="F1059">
        <v>13250501</v>
      </c>
      <c r="G1059">
        <v>0</v>
      </c>
      <c r="H1059" t="s">
        <v>1115</v>
      </c>
      <c r="I1059" t="s">
        <v>1116</v>
      </c>
      <c r="J1059">
        <v>1008</v>
      </c>
      <c r="K1059">
        <v>1316</v>
      </c>
      <c r="L1059" s="3">
        <v>-39619257.030000001</v>
      </c>
      <c r="M1059" s="3">
        <v>0</v>
      </c>
      <c r="N1059">
        <v>11000</v>
      </c>
      <c r="O1059">
        <v>0</v>
      </c>
      <c r="P1059">
        <v>-39630257.030000001</v>
      </c>
      <c r="Q1059" t="s">
        <v>30</v>
      </c>
      <c r="R1059" t="s">
        <v>59</v>
      </c>
      <c r="S1059" t="str">
        <v>#N/A</v>
      </c>
      <c r="T1059" t="str">
        <v>13</v>
      </c>
    </row>
    <row r="1060" spans="1:20" ht="13.7" customHeight="1" x14ac:dyDescent="0.25">
      <c r="A1060" t="s">
        <v>26</v>
      </c>
      <c r="B1060" t="s">
        <v>27</v>
      </c>
      <c r="C1060" t="s">
        <v>39</v>
      </c>
      <c r="D1060">
        <v>21</v>
      </c>
      <c r="E1060" s="5">
        <v>43719</v>
      </c>
      <c r="F1060">
        <v>13250501</v>
      </c>
      <c r="G1060">
        <v>0</v>
      </c>
      <c r="H1060" t="s">
        <v>1115</v>
      </c>
      <c r="I1060" t="s">
        <v>1116</v>
      </c>
      <c r="J1060">
        <v>1008</v>
      </c>
      <c r="K1060">
        <v>1316</v>
      </c>
      <c r="L1060" s="3">
        <v>-39630257.030000001</v>
      </c>
      <c r="M1060" s="3">
        <v>0</v>
      </c>
      <c r="N1060">
        <v>12100</v>
      </c>
      <c r="O1060">
        <v>0</v>
      </c>
      <c r="P1060">
        <v>-39642357.030000001</v>
      </c>
      <c r="Q1060" t="s">
        <v>30</v>
      </c>
      <c r="R1060" t="s">
        <v>59</v>
      </c>
      <c r="S1060" t="str">
        <v>#N/A</v>
      </c>
      <c r="T1060" t="str">
        <v>13</v>
      </c>
    </row>
    <row r="1061" spans="1:20" ht="13.7" customHeight="1" x14ac:dyDescent="0.25">
      <c r="A1061" t="s">
        <v>26</v>
      </c>
      <c r="B1061" t="s">
        <v>27</v>
      </c>
      <c r="C1061" t="s">
        <v>39</v>
      </c>
      <c r="D1061">
        <v>24</v>
      </c>
      <c r="E1061" s="5">
        <v>43721</v>
      </c>
      <c r="F1061">
        <v>13250501</v>
      </c>
      <c r="G1061">
        <v>0</v>
      </c>
      <c r="H1061" t="s">
        <v>1115</v>
      </c>
      <c r="I1061" t="s">
        <v>1116</v>
      </c>
      <c r="J1061">
        <v>1008</v>
      </c>
      <c r="K1061">
        <v>1316</v>
      </c>
      <c r="L1061" s="3">
        <v>-39642357.030000001</v>
      </c>
      <c r="M1061" s="3">
        <v>0</v>
      </c>
      <c r="N1061">
        <v>13800</v>
      </c>
      <c r="O1061">
        <v>0</v>
      </c>
      <c r="P1061">
        <v>-39656157.030000001</v>
      </c>
      <c r="Q1061" t="s">
        <v>30</v>
      </c>
      <c r="R1061" t="s">
        <v>59</v>
      </c>
      <c r="S1061" t="str">
        <v>#N/A</v>
      </c>
      <c r="T1061" t="str">
        <v>13</v>
      </c>
    </row>
    <row r="1062" spans="1:20" ht="13.7" customHeight="1" x14ac:dyDescent="0.25">
      <c r="A1062" t="s">
        <v>26</v>
      </c>
      <c r="B1062" t="s">
        <v>27</v>
      </c>
      <c r="C1062" t="s">
        <v>39</v>
      </c>
      <c r="D1062">
        <v>25</v>
      </c>
      <c r="E1062" s="5">
        <v>43721</v>
      </c>
      <c r="F1062">
        <v>13250501</v>
      </c>
      <c r="G1062">
        <v>0</v>
      </c>
      <c r="H1062" t="s">
        <v>1115</v>
      </c>
      <c r="I1062" t="s">
        <v>1116</v>
      </c>
      <c r="J1062">
        <v>1008</v>
      </c>
      <c r="K1062">
        <v>1316</v>
      </c>
      <c r="L1062" s="3">
        <v>-39656157.030000001</v>
      </c>
      <c r="M1062" s="3">
        <v>0</v>
      </c>
      <c r="N1062">
        <v>1550</v>
      </c>
      <c r="O1062">
        <v>0</v>
      </c>
      <c r="P1062">
        <v>-39657707.030000001</v>
      </c>
      <c r="Q1062" t="s">
        <v>30</v>
      </c>
      <c r="R1062" t="s">
        <v>59</v>
      </c>
      <c r="S1062" t="str">
        <v>#N/A</v>
      </c>
      <c r="T1062" t="str">
        <v>13</v>
      </c>
    </row>
    <row r="1063" spans="1:20" ht="13.7" customHeight="1" x14ac:dyDescent="0.25">
      <c r="A1063" t="s">
        <v>26</v>
      </c>
      <c r="B1063" t="s">
        <v>27</v>
      </c>
      <c r="C1063" t="s">
        <v>39</v>
      </c>
      <c r="D1063">
        <v>32</v>
      </c>
      <c r="E1063" s="5">
        <v>43722</v>
      </c>
      <c r="F1063">
        <v>13250501</v>
      </c>
      <c r="G1063">
        <v>0</v>
      </c>
      <c r="H1063" t="s">
        <v>1115</v>
      </c>
      <c r="I1063" t="s">
        <v>1116</v>
      </c>
      <c r="J1063">
        <v>1008</v>
      </c>
      <c r="K1063">
        <v>1316</v>
      </c>
      <c r="L1063" s="3">
        <v>-39657707.030000001</v>
      </c>
      <c r="M1063" s="3">
        <v>0</v>
      </c>
      <c r="N1063">
        <v>134928</v>
      </c>
      <c r="O1063">
        <v>0</v>
      </c>
      <c r="P1063">
        <v>-39792635.030000001</v>
      </c>
      <c r="Q1063" t="s">
        <v>30</v>
      </c>
      <c r="R1063" t="s">
        <v>158</v>
      </c>
      <c r="S1063" t="str">
        <v>#N/A</v>
      </c>
      <c r="T1063" t="str">
        <v>13</v>
      </c>
    </row>
    <row r="1064" spans="1:20" ht="13.7" customHeight="1" x14ac:dyDescent="0.25">
      <c r="A1064" t="s">
        <v>26</v>
      </c>
      <c r="B1064" t="s">
        <v>27</v>
      </c>
      <c r="C1064" t="s">
        <v>39</v>
      </c>
      <c r="D1064">
        <v>33</v>
      </c>
      <c r="E1064" s="5">
        <v>43723</v>
      </c>
      <c r="F1064">
        <v>13250501</v>
      </c>
      <c r="G1064">
        <v>0</v>
      </c>
      <c r="H1064" t="s">
        <v>1115</v>
      </c>
      <c r="I1064" t="s">
        <v>1116</v>
      </c>
      <c r="J1064">
        <v>1008</v>
      </c>
      <c r="K1064">
        <v>1316</v>
      </c>
      <c r="L1064" s="3">
        <v>-39792635.030000001</v>
      </c>
      <c r="M1064" s="3">
        <v>0</v>
      </c>
      <c r="N1064">
        <v>113175</v>
      </c>
      <c r="O1064">
        <v>0</v>
      </c>
      <c r="P1064">
        <v>-39905810.030000001</v>
      </c>
      <c r="Q1064" t="s">
        <v>30</v>
      </c>
      <c r="R1064" t="s">
        <v>158</v>
      </c>
      <c r="S1064" t="str">
        <v>#N/A</v>
      </c>
      <c r="T1064" t="str">
        <v>13</v>
      </c>
    </row>
    <row r="1065" spans="1:20" ht="13.7" customHeight="1" x14ac:dyDescent="0.25">
      <c r="A1065" t="s">
        <v>26</v>
      </c>
      <c r="B1065" t="s">
        <v>27</v>
      </c>
      <c r="C1065" t="s">
        <v>39</v>
      </c>
      <c r="D1065">
        <v>45</v>
      </c>
      <c r="E1065" s="5">
        <v>43731</v>
      </c>
      <c r="F1065">
        <v>13250501</v>
      </c>
      <c r="G1065">
        <v>0</v>
      </c>
      <c r="H1065" t="s">
        <v>1115</v>
      </c>
      <c r="I1065" t="s">
        <v>1116</v>
      </c>
      <c r="J1065">
        <v>1008</v>
      </c>
      <c r="K1065">
        <v>1316</v>
      </c>
      <c r="L1065" s="3">
        <v>-39905810.030000001</v>
      </c>
      <c r="M1065" s="3">
        <v>0</v>
      </c>
      <c r="N1065">
        <v>17550</v>
      </c>
      <c r="O1065">
        <v>0</v>
      </c>
      <c r="P1065">
        <v>-39923360.030000001</v>
      </c>
      <c r="Q1065" t="s">
        <v>30</v>
      </c>
      <c r="R1065" t="s">
        <v>568</v>
      </c>
      <c r="S1065" t="str">
        <v>#N/A</v>
      </c>
      <c r="T1065" t="str">
        <v>13</v>
      </c>
    </row>
    <row r="1066" spans="1:20" ht="13.7" customHeight="1" x14ac:dyDescent="0.25">
      <c r="A1066" t="s">
        <v>26</v>
      </c>
      <c r="B1066" t="s">
        <v>27</v>
      </c>
      <c r="C1066" t="s">
        <v>39</v>
      </c>
      <c r="D1066">
        <v>46</v>
      </c>
      <c r="E1066" s="5">
        <v>43732</v>
      </c>
      <c r="F1066">
        <v>13250501</v>
      </c>
      <c r="G1066">
        <v>0</v>
      </c>
      <c r="H1066" t="s">
        <v>1115</v>
      </c>
      <c r="I1066" t="s">
        <v>1116</v>
      </c>
      <c r="J1066">
        <v>1008</v>
      </c>
      <c r="K1066">
        <v>1316</v>
      </c>
      <c r="L1066" s="3">
        <v>-39923360.030000001</v>
      </c>
      <c r="M1066" s="3">
        <v>0</v>
      </c>
      <c r="N1066">
        <v>851077</v>
      </c>
      <c r="O1066">
        <v>0</v>
      </c>
      <c r="P1066">
        <v>-40774437.030000001</v>
      </c>
      <c r="Q1066" t="s">
        <v>30</v>
      </c>
      <c r="R1066" t="s">
        <v>65</v>
      </c>
      <c r="S1066" t="str">
        <v>#N/A</v>
      </c>
      <c r="T1066" t="str">
        <v>13</v>
      </c>
    </row>
    <row r="1067" spans="1:20" ht="13.7" customHeight="1" x14ac:dyDescent="0.25">
      <c r="A1067" t="s">
        <v>26</v>
      </c>
      <c r="B1067" t="s">
        <v>27</v>
      </c>
      <c r="C1067" t="s">
        <v>39</v>
      </c>
      <c r="D1067">
        <v>51</v>
      </c>
      <c r="E1067" s="5">
        <v>43733</v>
      </c>
      <c r="F1067">
        <v>13250501</v>
      </c>
      <c r="G1067">
        <v>0</v>
      </c>
      <c r="H1067" t="s">
        <v>1115</v>
      </c>
      <c r="I1067" t="s">
        <v>1116</v>
      </c>
      <c r="J1067">
        <v>1008</v>
      </c>
      <c r="K1067">
        <v>1316</v>
      </c>
      <c r="L1067" s="3">
        <v>-40774437.030000001</v>
      </c>
      <c r="M1067" s="3">
        <v>0</v>
      </c>
      <c r="N1067">
        <v>152998</v>
      </c>
      <c r="O1067">
        <v>0</v>
      </c>
      <c r="P1067">
        <v>-40927435.030000001</v>
      </c>
      <c r="Q1067" t="s">
        <v>30</v>
      </c>
      <c r="R1067" t="s">
        <v>122</v>
      </c>
      <c r="S1067" t="str">
        <v>#N/A</v>
      </c>
      <c r="T1067" t="str">
        <v>13</v>
      </c>
    </row>
    <row r="1068" spans="1:20" ht="13.7" customHeight="1" x14ac:dyDescent="0.25">
      <c r="A1068" t="s">
        <v>26</v>
      </c>
      <c r="B1068" t="s">
        <v>27</v>
      </c>
      <c r="C1068" t="s">
        <v>39</v>
      </c>
      <c r="D1068">
        <v>52</v>
      </c>
      <c r="E1068" s="5">
        <v>43734</v>
      </c>
      <c r="F1068">
        <v>13250501</v>
      </c>
      <c r="G1068">
        <v>0</v>
      </c>
      <c r="H1068" t="s">
        <v>1115</v>
      </c>
      <c r="I1068" t="s">
        <v>1116</v>
      </c>
      <c r="J1068">
        <v>1008</v>
      </c>
      <c r="K1068">
        <v>1316</v>
      </c>
      <c r="L1068" s="3">
        <v>-40927435.030000001</v>
      </c>
      <c r="M1068" s="3">
        <v>0</v>
      </c>
      <c r="N1068">
        <v>1203800.07</v>
      </c>
      <c r="O1068">
        <v>0</v>
      </c>
      <c r="P1068">
        <v>-42131235.100000001</v>
      </c>
      <c r="Q1068" t="s">
        <v>30</v>
      </c>
      <c r="R1068" t="s">
        <v>569</v>
      </c>
      <c r="S1068" t="str">
        <v>#N/A</v>
      </c>
      <c r="T1068" t="str">
        <v>13</v>
      </c>
    </row>
    <row r="1069" spans="1:20" ht="13.7" customHeight="1" x14ac:dyDescent="0.25">
      <c r="A1069" t="s">
        <v>26</v>
      </c>
      <c r="B1069" t="s">
        <v>27</v>
      </c>
      <c r="C1069" t="s">
        <v>39</v>
      </c>
      <c r="D1069">
        <v>57</v>
      </c>
      <c r="E1069" s="5">
        <v>43736</v>
      </c>
      <c r="F1069">
        <v>13250501</v>
      </c>
      <c r="G1069">
        <v>0</v>
      </c>
      <c r="H1069" t="s">
        <v>1115</v>
      </c>
      <c r="I1069" t="s">
        <v>1116</v>
      </c>
      <c r="J1069">
        <v>1008</v>
      </c>
      <c r="K1069">
        <v>1316</v>
      </c>
      <c r="L1069" s="3">
        <v>-42131235.100000001</v>
      </c>
      <c r="M1069" s="3">
        <v>0</v>
      </c>
      <c r="N1069">
        <v>120950</v>
      </c>
      <c r="O1069">
        <v>0</v>
      </c>
      <c r="P1069">
        <v>-42252185.100000001</v>
      </c>
      <c r="Q1069" t="s">
        <v>30</v>
      </c>
      <c r="R1069" t="s">
        <v>158</v>
      </c>
      <c r="S1069" t="str">
        <v>#N/A</v>
      </c>
      <c r="T1069" t="str">
        <v>13</v>
      </c>
    </row>
    <row r="1070" spans="1:20" ht="13.7" customHeight="1" x14ac:dyDescent="0.25">
      <c r="A1070" t="s">
        <v>26</v>
      </c>
      <c r="B1070" t="s">
        <v>27</v>
      </c>
      <c r="C1070" t="s">
        <v>39</v>
      </c>
      <c r="D1070">
        <v>10</v>
      </c>
      <c r="E1070" s="5">
        <v>43745</v>
      </c>
      <c r="F1070">
        <v>13250501</v>
      </c>
      <c r="G1070">
        <v>0</v>
      </c>
      <c r="H1070" t="s">
        <v>1115</v>
      </c>
      <c r="I1070" t="s">
        <v>1116</v>
      </c>
      <c r="J1070">
        <v>1008</v>
      </c>
      <c r="K1070">
        <v>1316</v>
      </c>
      <c r="L1070" s="3">
        <v>-42252185.100000001</v>
      </c>
      <c r="M1070" s="3">
        <v>0</v>
      </c>
      <c r="N1070">
        <v>171552</v>
      </c>
      <c r="O1070">
        <v>0</v>
      </c>
      <c r="P1070">
        <v>-42423737.100000001</v>
      </c>
      <c r="Q1070" t="s">
        <v>30</v>
      </c>
      <c r="R1070" t="s">
        <v>570</v>
      </c>
      <c r="S1070" t="str">
        <v>#N/A</v>
      </c>
      <c r="T1070" t="str">
        <v>13</v>
      </c>
    </row>
    <row r="1071" spans="1:20" ht="13.7" customHeight="1" x14ac:dyDescent="0.25">
      <c r="A1071" t="s">
        <v>26</v>
      </c>
      <c r="B1071" t="s">
        <v>27</v>
      </c>
      <c r="C1071" t="s">
        <v>39</v>
      </c>
      <c r="D1071">
        <v>13</v>
      </c>
      <c r="E1071" s="5">
        <v>43745</v>
      </c>
      <c r="F1071">
        <v>13250501</v>
      </c>
      <c r="G1071">
        <v>0</v>
      </c>
      <c r="H1071" t="s">
        <v>1115</v>
      </c>
      <c r="I1071" t="s">
        <v>1116</v>
      </c>
      <c r="J1071">
        <v>1008</v>
      </c>
      <c r="K1071">
        <v>1316</v>
      </c>
      <c r="L1071" s="3">
        <v>-42423737.100000001</v>
      </c>
      <c r="M1071" s="3">
        <v>0</v>
      </c>
      <c r="N1071">
        <v>154000</v>
      </c>
      <c r="O1071">
        <v>0</v>
      </c>
      <c r="P1071">
        <v>-42577737.100000001</v>
      </c>
      <c r="Q1071" t="s">
        <v>30</v>
      </c>
      <c r="R1071" t="s">
        <v>122</v>
      </c>
      <c r="S1071" t="str">
        <v>#N/A</v>
      </c>
      <c r="T1071" t="str">
        <v>13</v>
      </c>
    </row>
    <row r="1072" spans="1:20" ht="13.7" customHeight="1" x14ac:dyDescent="0.25">
      <c r="A1072" t="s">
        <v>26</v>
      </c>
      <c r="B1072" t="s">
        <v>27</v>
      </c>
      <c r="C1072" t="s">
        <v>41</v>
      </c>
      <c r="D1072">
        <v>2</v>
      </c>
      <c r="E1072" s="5">
        <v>43770</v>
      </c>
      <c r="F1072">
        <v>13250501</v>
      </c>
      <c r="G1072">
        <v>0</v>
      </c>
      <c r="H1072" t="s">
        <v>1115</v>
      </c>
      <c r="I1072" t="s">
        <v>1116</v>
      </c>
      <c r="J1072">
        <v>1008</v>
      </c>
      <c r="K1072">
        <v>1316</v>
      </c>
      <c r="L1072" s="3">
        <v>-42577737.100000001</v>
      </c>
      <c r="M1072" s="3">
        <v>0</v>
      </c>
      <c r="N1072">
        <v>40000</v>
      </c>
      <c r="O1072">
        <v>0</v>
      </c>
      <c r="P1072">
        <v>-42617737.100000001</v>
      </c>
      <c r="Q1072" t="s">
        <v>30</v>
      </c>
      <c r="R1072" t="s">
        <v>571</v>
      </c>
      <c r="S1072" t="str">
        <v>#N/A</v>
      </c>
      <c r="T1072" t="str">
        <v>13</v>
      </c>
    </row>
    <row r="1073" spans="1:20" ht="13.7" customHeight="1" x14ac:dyDescent="0.25">
      <c r="A1073" t="s">
        <v>26</v>
      </c>
      <c r="B1073" t="s">
        <v>27</v>
      </c>
      <c r="C1073" t="s">
        <v>41</v>
      </c>
      <c r="D1073">
        <v>3</v>
      </c>
      <c r="E1073" s="5">
        <v>43770</v>
      </c>
      <c r="F1073">
        <v>13250501</v>
      </c>
      <c r="G1073">
        <v>0</v>
      </c>
      <c r="H1073" t="s">
        <v>1115</v>
      </c>
      <c r="I1073" t="s">
        <v>1116</v>
      </c>
      <c r="J1073">
        <v>1008</v>
      </c>
      <c r="K1073">
        <v>1316</v>
      </c>
      <c r="L1073" s="3">
        <v>-42617737.100000001</v>
      </c>
      <c r="M1073" s="3">
        <v>0</v>
      </c>
      <c r="N1073">
        <v>557250</v>
      </c>
      <c r="O1073">
        <v>0</v>
      </c>
      <c r="P1073">
        <v>-43174987.100000001</v>
      </c>
      <c r="Q1073" t="s">
        <v>30</v>
      </c>
      <c r="R1073" t="s">
        <v>300</v>
      </c>
      <c r="S1073" t="str">
        <v>#N/A</v>
      </c>
      <c r="T1073" t="str">
        <v>13</v>
      </c>
    </row>
    <row r="1074" spans="1:20" ht="13.7" customHeight="1" x14ac:dyDescent="0.25">
      <c r="A1074" t="s">
        <v>26</v>
      </c>
      <c r="B1074" t="s">
        <v>27</v>
      </c>
      <c r="C1074" t="s">
        <v>41</v>
      </c>
      <c r="D1074">
        <v>6</v>
      </c>
      <c r="E1074" s="5">
        <v>43771</v>
      </c>
      <c r="F1074">
        <v>13250501</v>
      </c>
      <c r="G1074">
        <v>0</v>
      </c>
      <c r="H1074" t="s">
        <v>1115</v>
      </c>
      <c r="I1074" t="s">
        <v>1116</v>
      </c>
      <c r="J1074">
        <v>1008</v>
      </c>
      <c r="K1074">
        <v>1316</v>
      </c>
      <c r="L1074" s="3">
        <v>-43174987.100000001</v>
      </c>
      <c r="M1074" s="3">
        <v>0</v>
      </c>
      <c r="N1074">
        <v>38000</v>
      </c>
      <c r="O1074">
        <v>0</v>
      </c>
      <c r="P1074">
        <v>-43212987.100000001</v>
      </c>
      <c r="Q1074" t="s">
        <v>30</v>
      </c>
      <c r="R1074" t="s">
        <v>70</v>
      </c>
      <c r="S1074" t="str">
        <v>#N/A</v>
      </c>
      <c r="T1074" t="str">
        <v>13</v>
      </c>
    </row>
    <row r="1075" spans="1:20" ht="13.7" customHeight="1" x14ac:dyDescent="0.25">
      <c r="A1075" t="s">
        <v>26</v>
      </c>
      <c r="B1075" t="s">
        <v>27</v>
      </c>
      <c r="C1075" t="s">
        <v>41</v>
      </c>
      <c r="D1075">
        <v>10</v>
      </c>
      <c r="E1075" s="5">
        <v>43773</v>
      </c>
      <c r="F1075">
        <v>13250501</v>
      </c>
      <c r="G1075">
        <v>0</v>
      </c>
      <c r="H1075" t="s">
        <v>1115</v>
      </c>
      <c r="I1075" t="s">
        <v>1116</v>
      </c>
      <c r="J1075">
        <v>1008</v>
      </c>
      <c r="K1075">
        <v>1316</v>
      </c>
      <c r="L1075" s="3">
        <v>-43212987.100000001</v>
      </c>
      <c r="M1075" s="3">
        <v>0</v>
      </c>
      <c r="N1075">
        <v>106972</v>
      </c>
      <c r="O1075">
        <v>0</v>
      </c>
      <c r="P1075">
        <v>-43319959.100000001</v>
      </c>
      <c r="Q1075" t="s">
        <v>30</v>
      </c>
      <c r="R1075" t="s">
        <v>158</v>
      </c>
      <c r="S1075" t="str">
        <v>#N/A</v>
      </c>
      <c r="T1075" t="str">
        <v>13</v>
      </c>
    </row>
    <row r="1076" spans="1:20" ht="13.7" customHeight="1" x14ac:dyDescent="0.25">
      <c r="A1076" t="s">
        <v>26</v>
      </c>
      <c r="B1076" t="s">
        <v>27</v>
      </c>
      <c r="C1076" t="s">
        <v>41</v>
      </c>
      <c r="D1076">
        <v>11</v>
      </c>
      <c r="E1076" s="5">
        <v>43773</v>
      </c>
      <c r="F1076">
        <v>13250501</v>
      </c>
      <c r="G1076">
        <v>0</v>
      </c>
      <c r="H1076" t="s">
        <v>1115</v>
      </c>
      <c r="I1076" t="s">
        <v>1116</v>
      </c>
      <c r="J1076">
        <v>1008</v>
      </c>
      <c r="K1076">
        <v>1316</v>
      </c>
      <c r="L1076" s="3">
        <v>-43319959.100000001</v>
      </c>
      <c r="M1076" s="3">
        <v>0</v>
      </c>
      <c r="N1076">
        <v>5300</v>
      </c>
      <c r="O1076">
        <v>0</v>
      </c>
      <c r="P1076">
        <v>-43325259.100000001</v>
      </c>
      <c r="Q1076" t="s">
        <v>30</v>
      </c>
      <c r="R1076" t="s">
        <v>152</v>
      </c>
      <c r="S1076" t="str">
        <v>#N/A</v>
      </c>
      <c r="T1076" t="str">
        <v>13</v>
      </c>
    </row>
    <row r="1077" spans="1:20" ht="13.7" customHeight="1" x14ac:dyDescent="0.25">
      <c r="A1077" t="s">
        <v>26</v>
      </c>
      <c r="B1077" t="s">
        <v>27</v>
      </c>
      <c r="C1077" t="s">
        <v>41</v>
      </c>
      <c r="D1077">
        <v>8</v>
      </c>
      <c r="E1077" s="5">
        <v>43773</v>
      </c>
      <c r="F1077">
        <v>13250501</v>
      </c>
      <c r="G1077">
        <v>0</v>
      </c>
      <c r="H1077" t="s">
        <v>1115</v>
      </c>
      <c r="I1077" t="s">
        <v>1116</v>
      </c>
      <c r="J1077">
        <v>1008</v>
      </c>
      <c r="K1077">
        <v>1316</v>
      </c>
      <c r="L1077" s="3">
        <v>-43325259.100000001</v>
      </c>
      <c r="M1077" s="3">
        <v>0</v>
      </c>
      <c r="N1077">
        <v>10000</v>
      </c>
      <c r="O1077">
        <v>0</v>
      </c>
      <c r="P1077">
        <v>-43335259.100000001</v>
      </c>
      <c r="Q1077" t="s">
        <v>30</v>
      </c>
      <c r="R1077" t="s">
        <v>70</v>
      </c>
      <c r="S1077" t="str">
        <v>#N/A</v>
      </c>
      <c r="T1077" t="str">
        <v>13</v>
      </c>
    </row>
    <row r="1078" spans="1:20" ht="13.7" customHeight="1" x14ac:dyDescent="0.25">
      <c r="A1078" t="s">
        <v>26</v>
      </c>
      <c r="B1078" t="s">
        <v>27</v>
      </c>
      <c r="C1078" t="s">
        <v>41</v>
      </c>
      <c r="D1078">
        <v>9</v>
      </c>
      <c r="E1078" s="5">
        <v>43773</v>
      </c>
      <c r="F1078">
        <v>13250501</v>
      </c>
      <c r="G1078">
        <v>0</v>
      </c>
      <c r="H1078" t="s">
        <v>1115</v>
      </c>
      <c r="I1078" t="s">
        <v>1116</v>
      </c>
      <c r="J1078">
        <v>1008</v>
      </c>
      <c r="K1078">
        <v>1316</v>
      </c>
      <c r="L1078" s="3">
        <v>-43335259.100000001</v>
      </c>
      <c r="M1078" s="3">
        <v>0</v>
      </c>
      <c r="N1078">
        <v>89500</v>
      </c>
      <c r="O1078">
        <v>0</v>
      </c>
      <c r="P1078">
        <v>-43424759.100000001</v>
      </c>
      <c r="Q1078" t="s">
        <v>30</v>
      </c>
      <c r="R1078" t="s">
        <v>70</v>
      </c>
      <c r="S1078" t="str">
        <v>#N/A</v>
      </c>
      <c r="T1078" t="str">
        <v>13</v>
      </c>
    </row>
    <row r="1079" spans="1:20" ht="13.7" customHeight="1" x14ac:dyDescent="0.25">
      <c r="A1079" t="s">
        <v>26</v>
      </c>
      <c r="B1079" t="s">
        <v>27</v>
      </c>
      <c r="C1079" t="s">
        <v>41</v>
      </c>
      <c r="D1079">
        <v>12</v>
      </c>
      <c r="E1079" s="5">
        <v>43775</v>
      </c>
      <c r="F1079">
        <v>13250501</v>
      </c>
      <c r="G1079">
        <v>0</v>
      </c>
      <c r="H1079" t="s">
        <v>1115</v>
      </c>
      <c r="I1079" t="s">
        <v>1116</v>
      </c>
      <c r="J1079">
        <v>1008</v>
      </c>
      <c r="K1079">
        <v>1316</v>
      </c>
      <c r="L1079" s="3">
        <v>-43424759.100000001</v>
      </c>
      <c r="M1079" s="3">
        <v>0</v>
      </c>
      <c r="N1079">
        <v>18350</v>
      </c>
      <c r="O1079">
        <v>0</v>
      </c>
      <c r="P1079">
        <v>-43443109.100000001</v>
      </c>
      <c r="Q1079" t="s">
        <v>30</v>
      </c>
      <c r="R1079" t="s">
        <v>59</v>
      </c>
      <c r="S1079" t="str">
        <v>#N/A</v>
      </c>
      <c r="T1079" t="str">
        <v>13</v>
      </c>
    </row>
    <row r="1080" spans="1:20" ht="13.7" customHeight="1" x14ac:dyDescent="0.25">
      <c r="A1080" t="s">
        <v>26</v>
      </c>
      <c r="B1080" t="s">
        <v>27</v>
      </c>
      <c r="C1080" t="s">
        <v>41</v>
      </c>
      <c r="D1080">
        <v>13</v>
      </c>
      <c r="E1080" s="5">
        <v>43775</v>
      </c>
      <c r="F1080">
        <v>13250501</v>
      </c>
      <c r="G1080">
        <v>0</v>
      </c>
      <c r="H1080" t="s">
        <v>1115</v>
      </c>
      <c r="I1080" t="s">
        <v>1116</v>
      </c>
      <c r="J1080">
        <v>1008</v>
      </c>
      <c r="K1080">
        <v>1316</v>
      </c>
      <c r="L1080" s="3">
        <v>-43443109.100000001</v>
      </c>
      <c r="M1080" s="3">
        <v>0</v>
      </c>
      <c r="N1080">
        <v>35619</v>
      </c>
      <c r="O1080">
        <v>0</v>
      </c>
      <c r="P1080">
        <v>-43478728.100000001</v>
      </c>
      <c r="Q1080" t="s">
        <v>30</v>
      </c>
      <c r="R1080" t="s">
        <v>145</v>
      </c>
      <c r="S1080" t="str">
        <v>#N/A</v>
      </c>
      <c r="T1080" t="str">
        <v>13</v>
      </c>
    </row>
    <row r="1081" spans="1:20" ht="13.7" customHeight="1" x14ac:dyDescent="0.25">
      <c r="A1081" t="s">
        <v>26</v>
      </c>
      <c r="B1081" t="s">
        <v>27</v>
      </c>
      <c r="C1081" t="s">
        <v>41</v>
      </c>
      <c r="D1081">
        <v>14</v>
      </c>
      <c r="E1081" s="5">
        <v>43776</v>
      </c>
      <c r="F1081">
        <v>13250501</v>
      </c>
      <c r="G1081">
        <v>0</v>
      </c>
      <c r="H1081" t="s">
        <v>1115</v>
      </c>
      <c r="I1081" t="s">
        <v>1116</v>
      </c>
      <c r="J1081">
        <v>1008</v>
      </c>
      <c r="K1081">
        <v>1316</v>
      </c>
      <c r="L1081" s="3">
        <v>-43478728.100000001</v>
      </c>
      <c r="M1081" s="3">
        <v>0</v>
      </c>
      <c r="N1081">
        <v>465999</v>
      </c>
      <c r="O1081">
        <v>0</v>
      </c>
      <c r="P1081">
        <v>-43944727.100000001</v>
      </c>
      <c r="Q1081" t="s">
        <v>30</v>
      </c>
      <c r="R1081" t="s">
        <v>122</v>
      </c>
      <c r="S1081" t="str">
        <v>#N/A</v>
      </c>
      <c r="T1081" t="str">
        <v>13</v>
      </c>
    </row>
    <row r="1082" spans="1:20" ht="13.7" customHeight="1" x14ac:dyDescent="0.25">
      <c r="A1082" t="s">
        <v>26</v>
      </c>
      <c r="B1082" t="s">
        <v>27</v>
      </c>
      <c r="C1082" t="s">
        <v>41</v>
      </c>
      <c r="D1082">
        <v>18</v>
      </c>
      <c r="E1082" s="5">
        <v>43779</v>
      </c>
      <c r="F1082">
        <v>13250501</v>
      </c>
      <c r="G1082">
        <v>0</v>
      </c>
      <c r="H1082" t="s">
        <v>1115</v>
      </c>
      <c r="I1082" t="s">
        <v>1116</v>
      </c>
      <c r="J1082">
        <v>1008</v>
      </c>
      <c r="K1082">
        <v>1316</v>
      </c>
      <c r="L1082" s="3">
        <v>-43944727.100000001</v>
      </c>
      <c r="M1082" s="3">
        <v>0</v>
      </c>
      <c r="N1082">
        <v>24300</v>
      </c>
      <c r="O1082">
        <v>0</v>
      </c>
      <c r="P1082">
        <v>-43969027.100000001</v>
      </c>
      <c r="Q1082" t="s">
        <v>30</v>
      </c>
      <c r="R1082" t="s">
        <v>46</v>
      </c>
      <c r="S1082" t="str">
        <v>#N/A</v>
      </c>
      <c r="T1082" t="str">
        <v>13</v>
      </c>
    </row>
    <row r="1083" spans="1:20" ht="13.7" customHeight="1" x14ac:dyDescent="0.25">
      <c r="A1083" t="s">
        <v>26</v>
      </c>
      <c r="B1083" t="s">
        <v>27</v>
      </c>
      <c r="C1083" t="s">
        <v>41</v>
      </c>
      <c r="D1083">
        <v>20</v>
      </c>
      <c r="E1083" s="5">
        <v>43780</v>
      </c>
      <c r="F1083">
        <v>13250501</v>
      </c>
      <c r="G1083">
        <v>0</v>
      </c>
      <c r="H1083" t="s">
        <v>1115</v>
      </c>
      <c r="I1083" t="s">
        <v>1116</v>
      </c>
      <c r="J1083">
        <v>1008</v>
      </c>
      <c r="K1083">
        <v>1316</v>
      </c>
      <c r="L1083" s="3">
        <v>-43969027.100000001</v>
      </c>
      <c r="M1083" s="3">
        <v>0</v>
      </c>
      <c r="N1083">
        <v>90420</v>
      </c>
      <c r="O1083">
        <v>0</v>
      </c>
      <c r="P1083">
        <v>-44059447.100000001</v>
      </c>
      <c r="Q1083" t="s">
        <v>30</v>
      </c>
      <c r="R1083" t="s">
        <v>158</v>
      </c>
      <c r="S1083" t="str">
        <v>#N/A</v>
      </c>
      <c r="T1083" t="str">
        <v>13</v>
      </c>
    </row>
    <row r="1084" spans="1:20" ht="13.7" customHeight="1" x14ac:dyDescent="0.25">
      <c r="A1084" t="s">
        <v>26</v>
      </c>
      <c r="B1084" t="s">
        <v>27</v>
      </c>
      <c r="C1084" t="s">
        <v>41</v>
      </c>
      <c r="D1084">
        <v>21</v>
      </c>
      <c r="E1084" s="5">
        <v>43780</v>
      </c>
      <c r="F1084">
        <v>13250501</v>
      </c>
      <c r="G1084">
        <v>0</v>
      </c>
      <c r="H1084" t="s">
        <v>1115</v>
      </c>
      <c r="I1084" t="s">
        <v>1116</v>
      </c>
      <c r="J1084">
        <v>1008</v>
      </c>
      <c r="K1084">
        <v>1316</v>
      </c>
      <c r="L1084" s="3">
        <v>-44059447.100000001</v>
      </c>
      <c r="M1084" s="3">
        <v>0</v>
      </c>
      <c r="N1084">
        <v>78703</v>
      </c>
      <c r="O1084">
        <v>0</v>
      </c>
      <c r="P1084">
        <v>-44138150.100000001</v>
      </c>
      <c r="Q1084" t="s">
        <v>30</v>
      </c>
      <c r="R1084" t="s">
        <v>158</v>
      </c>
      <c r="S1084" t="str">
        <v>#N/A</v>
      </c>
      <c r="T1084" t="str">
        <v>13</v>
      </c>
    </row>
    <row r="1085" spans="1:20" ht="13.7" customHeight="1" x14ac:dyDescent="0.25">
      <c r="A1085" t="s">
        <v>26</v>
      </c>
      <c r="B1085" t="s">
        <v>27</v>
      </c>
      <c r="C1085" t="s">
        <v>41</v>
      </c>
      <c r="D1085">
        <v>22</v>
      </c>
      <c r="E1085" s="5">
        <v>43781</v>
      </c>
      <c r="F1085">
        <v>13250501</v>
      </c>
      <c r="G1085">
        <v>0</v>
      </c>
      <c r="H1085" t="s">
        <v>1115</v>
      </c>
      <c r="I1085" t="s">
        <v>1116</v>
      </c>
      <c r="J1085">
        <v>1008</v>
      </c>
      <c r="K1085">
        <v>1316</v>
      </c>
      <c r="L1085" s="3">
        <v>-44138150.100000001</v>
      </c>
      <c r="M1085" s="3">
        <v>0</v>
      </c>
      <c r="N1085">
        <v>58058</v>
      </c>
      <c r="O1085">
        <v>0</v>
      </c>
      <c r="P1085">
        <v>-44196208.100000001</v>
      </c>
      <c r="Q1085" t="s">
        <v>30</v>
      </c>
      <c r="R1085" t="s">
        <v>152</v>
      </c>
      <c r="S1085" t="str">
        <v>#N/A</v>
      </c>
      <c r="T1085" t="str">
        <v>13</v>
      </c>
    </row>
    <row r="1086" spans="1:20" ht="13.7" customHeight="1" x14ac:dyDescent="0.25">
      <c r="A1086" t="s">
        <v>26</v>
      </c>
      <c r="B1086" t="s">
        <v>27</v>
      </c>
      <c r="C1086" t="s">
        <v>41</v>
      </c>
      <c r="D1086">
        <v>26</v>
      </c>
      <c r="E1086" s="5">
        <v>43781</v>
      </c>
      <c r="F1086">
        <v>13250501</v>
      </c>
      <c r="G1086">
        <v>0</v>
      </c>
      <c r="H1086" t="s">
        <v>1115</v>
      </c>
      <c r="I1086" t="s">
        <v>1116</v>
      </c>
      <c r="J1086">
        <v>1008</v>
      </c>
      <c r="K1086">
        <v>1316</v>
      </c>
      <c r="L1086" s="3">
        <v>-44196208.100000001</v>
      </c>
      <c r="M1086" s="3">
        <v>0</v>
      </c>
      <c r="N1086">
        <v>78000</v>
      </c>
      <c r="O1086">
        <v>0</v>
      </c>
      <c r="P1086">
        <v>-44274208.100000001</v>
      </c>
      <c r="Q1086" t="s">
        <v>30</v>
      </c>
      <c r="R1086" t="s">
        <v>145</v>
      </c>
      <c r="S1086" t="str">
        <v>#N/A</v>
      </c>
      <c r="T1086" t="str">
        <v>13</v>
      </c>
    </row>
    <row r="1087" spans="1:20" ht="13.7" customHeight="1" x14ac:dyDescent="0.25">
      <c r="A1087" t="s">
        <v>26</v>
      </c>
      <c r="B1087" t="s">
        <v>27</v>
      </c>
      <c r="C1087" t="s">
        <v>41</v>
      </c>
      <c r="D1087">
        <v>33</v>
      </c>
      <c r="E1087" s="5">
        <v>43783</v>
      </c>
      <c r="F1087">
        <v>13250501</v>
      </c>
      <c r="G1087">
        <v>0</v>
      </c>
      <c r="H1087" t="s">
        <v>1115</v>
      </c>
      <c r="I1087" t="s">
        <v>1116</v>
      </c>
      <c r="J1087">
        <v>1008</v>
      </c>
      <c r="K1087">
        <v>1316</v>
      </c>
      <c r="L1087" s="3">
        <v>-44274208.100000001</v>
      </c>
      <c r="M1087" s="3">
        <v>0</v>
      </c>
      <c r="N1087">
        <v>18500</v>
      </c>
      <c r="O1087">
        <v>0</v>
      </c>
      <c r="P1087">
        <v>-44292708.100000001</v>
      </c>
      <c r="Q1087" t="s">
        <v>30</v>
      </c>
      <c r="R1087" t="s">
        <v>151</v>
      </c>
      <c r="S1087" t="str">
        <v>#N/A</v>
      </c>
      <c r="T1087" t="str">
        <v>13</v>
      </c>
    </row>
    <row r="1088" spans="1:20" ht="13.7" customHeight="1" x14ac:dyDescent="0.25">
      <c r="A1088" t="s">
        <v>26</v>
      </c>
      <c r="B1088" t="s">
        <v>27</v>
      </c>
      <c r="C1088" t="s">
        <v>41</v>
      </c>
      <c r="D1088">
        <v>34</v>
      </c>
      <c r="E1088" s="5">
        <v>43783</v>
      </c>
      <c r="F1088">
        <v>13250501</v>
      </c>
      <c r="G1088">
        <v>0</v>
      </c>
      <c r="H1088" t="s">
        <v>1115</v>
      </c>
      <c r="I1088" t="s">
        <v>1116</v>
      </c>
      <c r="J1088">
        <v>1008</v>
      </c>
      <c r="K1088">
        <v>1316</v>
      </c>
      <c r="L1088" s="3">
        <v>-44292708.100000001</v>
      </c>
      <c r="M1088" s="3">
        <v>0</v>
      </c>
      <c r="N1088">
        <v>5000</v>
      </c>
      <c r="O1088">
        <v>0</v>
      </c>
      <c r="P1088">
        <v>-44297708.100000001</v>
      </c>
      <c r="Q1088" t="s">
        <v>30</v>
      </c>
      <c r="R1088" t="s">
        <v>59</v>
      </c>
      <c r="S1088" t="str">
        <v>#N/A</v>
      </c>
      <c r="T1088" t="str">
        <v>13</v>
      </c>
    </row>
    <row r="1089" spans="1:20" ht="13.7" customHeight="1" x14ac:dyDescent="0.25">
      <c r="A1089" t="s">
        <v>26</v>
      </c>
      <c r="B1089" t="s">
        <v>27</v>
      </c>
      <c r="C1089" t="s">
        <v>41</v>
      </c>
      <c r="D1089">
        <v>36</v>
      </c>
      <c r="E1089" s="5">
        <v>43784</v>
      </c>
      <c r="F1089">
        <v>13250501</v>
      </c>
      <c r="G1089">
        <v>0</v>
      </c>
      <c r="H1089" t="s">
        <v>1115</v>
      </c>
      <c r="I1089" t="s">
        <v>1116</v>
      </c>
      <c r="J1089">
        <v>1008</v>
      </c>
      <c r="K1089">
        <v>1316</v>
      </c>
      <c r="L1089" s="3">
        <v>-44297708.100000001</v>
      </c>
      <c r="M1089" s="3">
        <v>0</v>
      </c>
      <c r="N1089">
        <v>110000</v>
      </c>
      <c r="O1089">
        <v>0</v>
      </c>
      <c r="P1089">
        <v>-44407708.100000001</v>
      </c>
      <c r="Q1089" t="s">
        <v>30</v>
      </c>
      <c r="R1089" t="s">
        <v>122</v>
      </c>
      <c r="S1089" t="str">
        <v>#N/A</v>
      </c>
      <c r="T1089" t="str">
        <v>13</v>
      </c>
    </row>
    <row r="1090" spans="1:20" ht="13.7" customHeight="1" x14ac:dyDescent="0.25">
      <c r="A1090" t="s">
        <v>26</v>
      </c>
      <c r="B1090" t="s">
        <v>27</v>
      </c>
      <c r="C1090" t="s">
        <v>41</v>
      </c>
      <c r="D1090">
        <v>44</v>
      </c>
      <c r="E1090" s="5">
        <v>43787</v>
      </c>
      <c r="F1090">
        <v>13250501</v>
      </c>
      <c r="G1090">
        <v>0</v>
      </c>
      <c r="H1090" t="s">
        <v>1115</v>
      </c>
      <c r="I1090" t="s">
        <v>1116</v>
      </c>
      <c r="J1090">
        <v>1008</v>
      </c>
      <c r="K1090">
        <v>1316</v>
      </c>
      <c r="L1090" s="3">
        <v>-44407708.100000001</v>
      </c>
      <c r="M1090" s="3">
        <v>0</v>
      </c>
      <c r="N1090">
        <v>17700</v>
      </c>
      <c r="O1090">
        <v>0</v>
      </c>
      <c r="P1090">
        <v>-44425408.100000001</v>
      </c>
      <c r="Q1090" t="s">
        <v>30</v>
      </c>
      <c r="R1090" t="s">
        <v>59</v>
      </c>
      <c r="S1090" t="str">
        <v>#N/A</v>
      </c>
      <c r="T1090" t="str">
        <v>13</v>
      </c>
    </row>
    <row r="1091" spans="1:20" ht="13.7" customHeight="1" x14ac:dyDescent="0.25">
      <c r="A1091" t="s">
        <v>26</v>
      </c>
      <c r="B1091" t="s">
        <v>27</v>
      </c>
      <c r="C1091" t="s">
        <v>41</v>
      </c>
      <c r="D1091">
        <v>48</v>
      </c>
      <c r="E1091" s="5">
        <v>43788</v>
      </c>
      <c r="F1091">
        <v>13250501</v>
      </c>
      <c r="G1091">
        <v>0</v>
      </c>
      <c r="H1091" t="s">
        <v>1115</v>
      </c>
      <c r="I1091" t="s">
        <v>1116</v>
      </c>
      <c r="J1091">
        <v>1008</v>
      </c>
      <c r="K1091">
        <v>1316</v>
      </c>
      <c r="L1091" s="3">
        <v>-44425408.100000001</v>
      </c>
      <c r="M1091" s="3">
        <v>0</v>
      </c>
      <c r="N1091">
        <v>4201</v>
      </c>
      <c r="O1091">
        <v>0</v>
      </c>
      <c r="P1091">
        <v>-44429609.100000001</v>
      </c>
      <c r="Q1091" t="s">
        <v>30</v>
      </c>
      <c r="R1091" t="s">
        <v>575</v>
      </c>
      <c r="S1091" t="str">
        <v>#N/A</v>
      </c>
      <c r="T1091" t="str">
        <v>13</v>
      </c>
    </row>
    <row r="1092" spans="1:20" ht="13.7" customHeight="1" x14ac:dyDescent="0.25">
      <c r="A1092" t="s">
        <v>26</v>
      </c>
      <c r="B1092" t="s">
        <v>27</v>
      </c>
      <c r="C1092" t="s">
        <v>41</v>
      </c>
      <c r="D1092">
        <v>53</v>
      </c>
      <c r="E1092" s="5">
        <v>43789</v>
      </c>
      <c r="F1092">
        <v>13250501</v>
      </c>
      <c r="G1092">
        <v>0</v>
      </c>
      <c r="H1092" t="s">
        <v>1115</v>
      </c>
      <c r="I1092" t="s">
        <v>1116</v>
      </c>
      <c r="J1092">
        <v>1008</v>
      </c>
      <c r="K1092">
        <v>1316</v>
      </c>
      <c r="L1092" s="3">
        <v>-44429609.100000001</v>
      </c>
      <c r="M1092" s="3">
        <v>0</v>
      </c>
      <c r="N1092">
        <v>20500</v>
      </c>
      <c r="O1092">
        <v>0</v>
      </c>
      <c r="P1092">
        <v>-44450109.100000001</v>
      </c>
      <c r="Q1092" t="s">
        <v>30</v>
      </c>
      <c r="R1092" t="s">
        <v>59</v>
      </c>
      <c r="S1092" t="str">
        <v>#N/A</v>
      </c>
      <c r="T1092" t="str">
        <v>13</v>
      </c>
    </row>
    <row r="1093" spans="1:20" ht="13.7" customHeight="1" x14ac:dyDescent="0.25">
      <c r="A1093" t="s">
        <v>26</v>
      </c>
      <c r="B1093" t="s">
        <v>27</v>
      </c>
      <c r="C1093" t="s">
        <v>41</v>
      </c>
      <c r="D1093">
        <v>54</v>
      </c>
      <c r="E1093" s="5">
        <v>43790</v>
      </c>
      <c r="F1093">
        <v>13250501</v>
      </c>
      <c r="G1093">
        <v>0</v>
      </c>
      <c r="H1093" t="s">
        <v>1115</v>
      </c>
      <c r="I1093" t="s">
        <v>1116</v>
      </c>
      <c r="J1093">
        <v>1008</v>
      </c>
      <c r="K1093">
        <v>1316</v>
      </c>
      <c r="L1093" s="3">
        <v>-44450109.100000001</v>
      </c>
      <c r="M1093" s="3">
        <v>0</v>
      </c>
      <c r="N1093">
        <v>18000</v>
      </c>
      <c r="O1093">
        <v>0</v>
      </c>
      <c r="P1093">
        <v>-44468109.100000001</v>
      </c>
      <c r="Q1093" t="s">
        <v>30</v>
      </c>
      <c r="R1093" t="s">
        <v>70</v>
      </c>
      <c r="S1093" t="str">
        <v>#N/A</v>
      </c>
      <c r="T1093" t="str">
        <v>13</v>
      </c>
    </row>
    <row r="1094" spans="1:20" ht="13.7" customHeight="1" x14ac:dyDescent="0.25">
      <c r="A1094" t="s">
        <v>26</v>
      </c>
      <c r="B1094" t="s">
        <v>27</v>
      </c>
      <c r="C1094" t="s">
        <v>41</v>
      </c>
      <c r="D1094">
        <v>73</v>
      </c>
      <c r="E1094" s="5">
        <v>43792</v>
      </c>
      <c r="F1094">
        <v>13250501</v>
      </c>
      <c r="G1094">
        <v>0</v>
      </c>
      <c r="H1094" t="s">
        <v>1115</v>
      </c>
      <c r="I1094" t="s">
        <v>1116</v>
      </c>
      <c r="J1094">
        <v>1008</v>
      </c>
      <c r="K1094">
        <v>1316</v>
      </c>
      <c r="L1094" s="3">
        <v>-44468109.100000001</v>
      </c>
      <c r="M1094" s="3">
        <v>0</v>
      </c>
      <c r="N1094">
        <v>7200</v>
      </c>
      <c r="O1094">
        <v>0</v>
      </c>
      <c r="P1094">
        <v>-44475309.100000001</v>
      </c>
      <c r="Q1094" t="s">
        <v>30</v>
      </c>
      <c r="R1094" t="s">
        <v>576</v>
      </c>
      <c r="S1094" t="str">
        <v>#N/A</v>
      </c>
      <c r="T1094" t="str">
        <v>13</v>
      </c>
    </row>
    <row r="1095" spans="1:20" ht="13.7" customHeight="1" x14ac:dyDescent="0.25">
      <c r="A1095" t="s">
        <v>26</v>
      </c>
      <c r="B1095" t="s">
        <v>27</v>
      </c>
      <c r="C1095" t="s">
        <v>41</v>
      </c>
      <c r="D1095">
        <v>57</v>
      </c>
      <c r="E1095" s="5">
        <v>43793</v>
      </c>
      <c r="F1095">
        <v>13250501</v>
      </c>
      <c r="G1095">
        <v>0</v>
      </c>
      <c r="H1095" t="s">
        <v>1115</v>
      </c>
      <c r="I1095" t="s">
        <v>1116</v>
      </c>
      <c r="J1095">
        <v>1008</v>
      </c>
      <c r="K1095">
        <v>1316</v>
      </c>
      <c r="L1095" s="3">
        <v>-44475309.100000001</v>
      </c>
      <c r="M1095" s="3">
        <v>0</v>
      </c>
      <c r="N1095">
        <v>119443</v>
      </c>
      <c r="O1095">
        <v>0</v>
      </c>
      <c r="P1095">
        <v>-44594752.100000001</v>
      </c>
      <c r="Q1095" t="s">
        <v>30</v>
      </c>
      <c r="R1095" t="s">
        <v>158</v>
      </c>
      <c r="S1095" t="str">
        <v>#N/A</v>
      </c>
      <c r="T1095" t="str">
        <v>13</v>
      </c>
    </row>
    <row r="1096" spans="1:20" ht="13.7" customHeight="1" x14ac:dyDescent="0.25">
      <c r="A1096" t="s">
        <v>26</v>
      </c>
      <c r="B1096" t="s">
        <v>27</v>
      </c>
      <c r="C1096" t="s">
        <v>41</v>
      </c>
      <c r="D1096">
        <v>58</v>
      </c>
      <c r="E1096" s="5">
        <v>43793</v>
      </c>
      <c r="F1096">
        <v>13250501</v>
      </c>
      <c r="G1096">
        <v>0</v>
      </c>
      <c r="H1096" t="s">
        <v>1115</v>
      </c>
      <c r="I1096" t="s">
        <v>1116</v>
      </c>
      <c r="J1096">
        <v>1008</v>
      </c>
      <c r="K1096">
        <v>1316</v>
      </c>
      <c r="L1096" s="3">
        <v>-44594752.100000001</v>
      </c>
      <c r="M1096" s="3">
        <v>0</v>
      </c>
      <c r="N1096">
        <v>33900</v>
      </c>
      <c r="O1096">
        <v>0</v>
      </c>
      <c r="P1096">
        <v>-44628652.100000001</v>
      </c>
      <c r="Q1096" t="s">
        <v>30</v>
      </c>
      <c r="R1096" t="s">
        <v>70</v>
      </c>
      <c r="S1096" t="str">
        <v>#N/A</v>
      </c>
      <c r="T1096" t="str">
        <v>13</v>
      </c>
    </row>
    <row r="1097" spans="1:20" ht="13.7" customHeight="1" x14ac:dyDescent="0.25">
      <c r="A1097" t="s">
        <v>26</v>
      </c>
      <c r="B1097" t="s">
        <v>27</v>
      </c>
      <c r="C1097" t="s">
        <v>41</v>
      </c>
      <c r="D1097">
        <v>59</v>
      </c>
      <c r="E1097" s="5">
        <v>43794</v>
      </c>
      <c r="F1097">
        <v>13250501</v>
      </c>
      <c r="G1097">
        <v>0</v>
      </c>
      <c r="H1097" t="s">
        <v>1115</v>
      </c>
      <c r="I1097" t="s">
        <v>1116</v>
      </c>
      <c r="J1097">
        <v>1008</v>
      </c>
      <c r="K1097">
        <v>1316</v>
      </c>
      <c r="L1097" s="3">
        <v>-44628652.100000001</v>
      </c>
      <c r="M1097" s="3">
        <v>0</v>
      </c>
      <c r="N1097">
        <v>16100</v>
      </c>
      <c r="O1097">
        <v>0</v>
      </c>
      <c r="P1097">
        <v>-44644752.100000001</v>
      </c>
      <c r="Q1097" t="s">
        <v>30</v>
      </c>
      <c r="R1097" t="s">
        <v>151</v>
      </c>
      <c r="S1097" t="str">
        <v>#N/A</v>
      </c>
      <c r="T1097" t="str">
        <v>13</v>
      </c>
    </row>
    <row r="1098" spans="1:20" ht="13.7" customHeight="1" x14ac:dyDescent="0.25">
      <c r="A1098" t="s">
        <v>26</v>
      </c>
      <c r="B1098" t="s">
        <v>27</v>
      </c>
      <c r="C1098" t="s">
        <v>41</v>
      </c>
      <c r="D1098">
        <v>69</v>
      </c>
      <c r="E1098" s="5">
        <v>43796</v>
      </c>
      <c r="F1098">
        <v>13250501</v>
      </c>
      <c r="G1098">
        <v>0</v>
      </c>
      <c r="H1098" t="s">
        <v>1115</v>
      </c>
      <c r="I1098" t="s">
        <v>1116</v>
      </c>
      <c r="J1098">
        <v>1008</v>
      </c>
      <c r="K1098">
        <v>1316</v>
      </c>
      <c r="L1098" s="3">
        <v>-44644752.100000001</v>
      </c>
      <c r="M1098" s="3">
        <v>0</v>
      </c>
      <c r="N1098">
        <v>18000</v>
      </c>
      <c r="O1098">
        <v>0</v>
      </c>
      <c r="P1098">
        <v>-44662752.100000001</v>
      </c>
      <c r="Q1098" t="s">
        <v>30</v>
      </c>
      <c r="R1098" t="s">
        <v>70</v>
      </c>
      <c r="S1098" t="str">
        <v>#N/A</v>
      </c>
      <c r="T1098" t="str">
        <v>13</v>
      </c>
    </row>
    <row r="1099" spans="1:20" ht="13.7" customHeight="1" x14ac:dyDescent="0.25">
      <c r="A1099" t="s">
        <v>26</v>
      </c>
      <c r="B1099" t="s">
        <v>27</v>
      </c>
      <c r="C1099" t="s">
        <v>41</v>
      </c>
      <c r="D1099">
        <v>71</v>
      </c>
      <c r="E1099" s="5">
        <v>43799</v>
      </c>
      <c r="F1099">
        <v>13250501</v>
      </c>
      <c r="G1099">
        <v>0</v>
      </c>
      <c r="H1099" t="s">
        <v>1115</v>
      </c>
      <c r="I1099" t="s">
        <v>1116</v>
      </c>
      <c r="J1099">
        <v>1008</v>
      </c>
      <c r="K1099">
        <v>1316</v>
      </c>
      <c r="L1099" s="3">
        <v>-44662752.100000001</v>
      </c>
      <c r="M1099" s="3">
        <v>0</v>
      </c>
      <c r="N1099">
        <v>117310</v>
      </c>
      <c r="O1099">
        <v>0</v>
      </c>
      <c r="P1099">
        <v>-44780062.100000001</v>
      </c>
      <c r="Q1099" t="s">
        <v>30</v>
      </c>
      <c r="R1099" t="s">
        <v>158</v>
      </c>
      <c r="S1099" t="str">
        <v>#N/A</v>
      </c>
      <c r="T1099" t="str">
        <v>13</v>
      </c>
    </row>
    <row r="1100" spans="1:20" ht="13.7" customHeight="1" x14ac:dyDescent="0.25">
      <c r="A1100" t="s">
        <v>26</v>
      </c>
      <c r="B1100" t="s">
        <v>27</v>
      </c>
      <c r="C1100" t="s">
        <v>180</v>
      </c>
      <c r="D1100">
        <v>29</v>
      </c>
      <c r="E1100" s="5">
        <v>43801</v>
      </c>
      <c r="F1100">
        <v>13250501</v>
      </c>
      <c r="G1100">
        <v>0</v>
      </c>
      <c r="H1100" t="s">
        <v>1115</v>
      </c>
      <c r="I1100" t="s">
        <v>1116</v>
      </c>
      <c r="J1100">
        <v>1008</v>
      </c>
      <c r="K1100">
        <v>1316</v>
      </c>
      <c r="L1100" s="3">
        <v>-44780062.100000001</v>
      </c>
      <c r="M1100" s="3">
        <v>0</v>
      </c>
      <c r="N1100">
        <v>28000</v>
      </c>
      <c r="O1100">
        <v>0</v>
      </c>
      <c r="P1100">
        <v>-44808062.100000001</v>
      </c>
      <c r="Q1100" t="s">
        <v>30</v>
      </c>
      <c r="R1100" t="s">
        <v>122</v>
      </c>
      <c r="S1100" t="str">
        <v>#N/A</v>
      </c>
      <c r="T1100" t="str">
        <v>13</v>
      </c>
    </row>
    <row r="1101" spans="1:20" ht="13.7" customHeight="1" x14ac:dyDescent="0.25">
      <c r="A1101" t="s">
        <v>26</v>
      </c>
      <c r="B1101" t="s">
        <v>27</v>
      </c>
      <c r="C1101" t="s">
        <v>180</v>
      </c>
      <c r="D1101">
        <v>4</v>
      </c>
      <c r="E1101" s="5">
        <v>43803</v>
      </c>
      <c r="F1101">
        <v>13250501</v>
      </c>
      <c r="G1101">
        <v>0</v>
      </c>
      <c r="H1101" t="s">
        <v>1115</v>
      </c>
      <c r="I1101" t="s">
        <v>1116</v>
      </c>
      <c r="J1101">
        <v>1008</v>
      </c>
      <c r="K1101">
        <v>1316</v>
      </c>
      <c r="L1101" s="3">
        <v>-44808062.100000001</v>
      </c>
      <c r="M1101" s="3">
        <v>0</v>
      </c>
      <c r="N1101">
        <v>21900</v>
      </c>
      <c r="O1101">
        <v>0</v>
      </c>
      <c r="P1101">
        <v>-44829962.100000001</v>
      </c>
      <c r="Q1101" t="s">
        <v>30</v>
      </c>
      <c r="R1101" t="s">
        <v>70</v>
      </c>
      <c r="S1101" t="str">
        <v>#N/A</v>
      </c>
      <c r="T1101" t="str">
        <v>13</v>
      </c>
    </row>
    <row r="1102" spans="1:20" ht="13.7" customHeight="1" x14ac:dyDescent="0.25">
      <c r="A1102" t="s">
        <v>26</v>
      </c>
      <c r="B1102" t="s">
        <v>27</v>
      </c>
      <c r="C1102" t="s">
        <v>180</v>
      </c>
      <c r="D1102">
        <v>6</v>
      </c>
      <c r="E1102" s="5">
        <v>43803</v>
      </c>
      <c r="F1102">
        <v>13250501</v>
      </c>
      <c r="G1102">
        <v>0</v>
      </c>
      <c r="H1102" t="s">
        <v>1115</v>
      </c>
      <c r="I1102" t="s">
        <v>1116</v>
      </c>
      <c r="J1102">
        <v>1008</v>
      </c>
      <c r="K1102">
        <v>1316</v>
      </c>
      <c r="L1102" s="3">
        <v>-44829962.100000001</v>
      </c>
      <c r="M1102" s="3">
        <v>0</v>
      </c>
      <c r="N1102">
        <v>2200</v>
      </c>
      <c r="O1102">
        <v>0</v>
      </c>
      <c r="P1102">
        <v>-44832162.100000001</v>
      </c>
      <c r="Q1102" t="s">
        <v>30</v>
      </c>
      <c r="R1102" t="s">
        <v>542</v>
      </c>
      <c r="S1102" t="str">
        <v>#N/A</v>
      </c>
      <c r="T1102" t="str">
        <v>13</v>
      </c>
    </row>
    <row r="1103" spans="1:20" ht="13.7" customHeight="1" x14ac:dyDescent="0.25">
      <c r="A1103" t="s">
        <v>26</v>
      </c>
      <c r="B1103" t="s">
        <v>27</v>
      </c>
      <c r="C1103" t="s">
        <v>180</v>
      </c>
      <c r="D1103">
        <v>5</v>
      </c>
      <c r="E1103" s="5">
        <v>43804</v>
      </c>
      <c r="F1103">
        <v>13250501</v>
      </c>
      <c r="G1103">
        <v>0</v>
      </c>
      <c r="H1103" t="s">
        <v>1115</v>
      </c>
      <c r="I1103" t="s">
        <v>1116</v>
      </c>
      <c r="J1103">
        <v>1008</v>
      </c>
      <c r="K1103">
        <v>1316</v>
      </c>
      <c r="L1103" s="3">
        <v>-44832162.100000001</v>
      </c>
      <c r="M1103" s="3">
        <v>0</v>
      </c>
      <c r="N1103">
        <v>88400</v>
      </c>
      <c r="O1103">
        <v>0</v>
      </c>
      <c r="P1103">
        <v>-44920562.100000001</v>
      </c>
      <c r="Q1103" t="s">
        <v>30</v>
      </c>
      <c r="R1103" t="s">
        <v>545</v>
      </c>
      <c r="S1103" t="str">
        <v>#N/A</v>
      </c>
      <c r="T1103" t="str">
        <v>13</v>
      </c>
    </row>
    <row r="1104" spans="1:20" ht="13.7" customHeight="1" x14ac:dyDescent="0.25">
      <c r="A1104" t="s">
        <v>26</v>
      </c>
      <c r="B1104" t="s">
        <v>27</v>
      </c>
      <c r="C1104" t="s">
        <v>180</v>
      </c>
      <c r="D1104">
        <v>30</v>
      </c>
      <c r="E1104" s="5">
        <v>43805</v>
      </c>
      <c r="F1104">
        <v>13250501</v>
      </c>
      <c r="G1104">
        <v>0</v>
      </c>
      <c r="H1104" t="s">
        <v>1115</v>
      </c>
      <c r="I1104" t="s">
        <v>1116</v>
      </c>
      <c r="J1104">
        <v>1008</v>
      </c>
      <c r="K1104">
        <v>1316</v>
      </c>
      <c r="L1104" s="3">
        <v>-44920562.100000001</v>
      </c>
      <c r="M1104" s="3">
        <v>0</v>
      </c>
      <c r="N1104">
        <v>28000</v>
      </c>
      <c r="O1104">
        <v>0</v>
      </c>
      <c r="P1104">
        <v>-44948562.100000001</v>
      </c>
      <c r="Q1104" t="s">
        <v>30</v>
      </c>
      <c r="R1104" t="s">
        <v>122</v>
      </c>
      <c r="S1104" t="str">
        <v>#N/A</v>
      </c>
      <c r="T1104" t="str">
        <v>13</v>
      </c>
    </row>
    <row r="1105" spans="1:20" ht="13.7" customHeight="1" x14ac:dyDescent="0.25">
      <c r="A1105" t="s">
        <v>26</v>
      </c>
      <c r="B1105" t="s">
        <v>27</v>
      </c>
      <c r="C1105" t="s">
        <v>180</v>
      </c>
      <c r="D1105">
        <v>31</v>
      </c>
      <c r="E1105" s="5">
        <v>43805</v>
      </c>
      <c r="F1105">
        <v>13250501</v>
      </c>
      <c r="G1105">
        <v>0</v>
      </c>
      <c r="H1105" t="s">
        <v>1115</v>
      </c>
      <c r="I1105" t="s">
        <v>1116</v>
      </c>
      <c r="J1105">
        <v>1008</v>
      </c>
      <c r="K1105">
        <v>1316</v>
      </c>
      <c r="L1105" s="3">
        <v>-44948562.100000001</v>
      </c>
      <c r="M1105" s="3">
        <v>0</v>
      </c>
      <c r="N1105">
        <v>205000</v>
      </c>
      <c r="O1105">
        <v>0</v>
      </c>
      <c r="P1105">
        <v>-45153562.100000001</v>
      </c>
      <c r="Q1105" t="s">
        <v>30</v>
      </c>
      <c r="R1105" t="s">
        <v>577</v>
      </c>
      <c r="S1105" t="str">
        <v>#N/A</v>
      </c>
      <c r="T1105" t="str">
        <v>13</v>
      </c>
    </row>
    <row r="1106" spans="1:20" ht="13.7" customHeight="1" x14ac:dyDescent="0.25">
      <c r="A1106" t="s">
        <v>26</v>
      </c>
      <c r="B1106" t="s">
        <v>27</v>
      </c>
      <c r="C1106" t="s">
        <v>180</v>
      </c>
      <c r="D1106">
        <v>10</v>
      </c>
      <c r="E1106" s="5">
        <v>43807</v>
      </c>
      <c r="F1106">
        <v>13250501</v>
      </c>
      <c r="G1106">
        <v>0</v>
      </c>
      <c r="H1106" t="s">
        <v>1115</v>
      </c>
      <c r="I1106" t="s">
        <v>1116</v>
      </c>
      <c r="J1106">
        <v>1008</v>
      </c>
      <c r="K1106">
        <v>1316</v>
      </c>
      <c r="L1106" s="3">
        <v>-45153562.100000001</v>
      </c>
      <c r="M1106" s="3">
        <v>0</v>
      </c>
      <c r="N1106">
        <v>113469</v>
      </c>
      <c r="O1106">
        <v>0</v>
      </c>
      <c r="P1106">
        <v>-45267031.100000001</v>
      </c>
      <c r="Q1106" t="s">
        <v>30</v>
      </c>
      <c r="R1106" t="s">
        <v>158</v>
      </c>
      <c r="S1106" t="str">
        <v>#N/A</v>
      </c>
      <c r="T1106" t="str">
        <v>13</v>
      </c>
    </row>
    <row r="1107" spans="1:20" ht="13.7" customHeight="1" x14ac:dyDescent="0.25">
      <c r="A1107" t="s">
        <v>26</v>
      </c>
      <c r="B1107" t="s">
        <v>27</v>
      </c>
      <c r="C1107" t="s">
        <v>180</v>
      </c>
      <c r="D1107">
        <v>13</v>
      </c>
      <c r="E1107" s="5">
        <v>43812</v>
      </c>
      <c r="F1107">
        <v>13250501</v>
      </c>
      <c r="G1107">
        <v>0</v>
      </c>
      <c r="H1107" t="s">
        <v>1115</v>
      </c>
      <c r="I1107" t="s">
        <v>1116</v>
      </c>
      <c r="J1107">
        <v>1008</v>
      </c>
      <c r="K1107">
        <v>1316</v>
      </c>
      <c r="L1107" s="3">
        <v>-45267031.100000001</v>
      </c>
      <c r="M1107" s="3">
        <v>0</v>
      </c>
      <c r="N1107">
        <v>9700</v>
      </c>
      <c r="O1107">
        <v>0</v>
      </c>
      <c r="P1107">
        <v>-45276731.100000001</v>
      </c>
      <c r="Q1107" t="s">
        <v>30</v>
      </c>
      <c r="R1107" t="s">
        <v>70</v>
      </c>
      <c r="S1107" t="str">
        <v>#N/A</v>
      </c>
      <c r="T1107" t="str">
        <v>13</v>
      </c>
    </row>
    <row r="1108" spans="1:20" ht="13.7" customHeight="1" x14ac:dyDescent="0.25">
      <c r="A1108" t="s">
        <v>26</v>
      </c>
      <c r="B1108" t="s">
        <v>27</v>
      </c>
      <c r="C1108" t="s">
        <v>180</v>
      </c>
      <c r="D1108">
        <v>14</v>
      </c>
      <c r="E1108" s="5">
        <v>43812</v>
      </c>
      <c r="F1108">
        <v>13250501</v>
      </c>
      <c r="G1108">
        <v>0</v>
      </c>
      <c r="H1108" t="s">
        <v>1115</v>
      </c>
      <c r="I1108" t="s">
        <v>1116</v>
      </c>
      <c r="J1108">
        <v>1008</v>
      </c>
      <c r="K1108">
        <v>1316</v>
      </c>
      <c r="L1108" s="3">
        <v>-45276731.100000001</v>
      </c>
      <c r="M1108" s="3">
        <v>0</v>
      </c>
      <c r="N1108">
        <v>19200</v>
      </c>
      <c r="O1108">
        <v>0</v>
      </c>
      <c r="P1108">
        <v>-45295931.100000001</v>
      </c>
      <c r="Q1108" t="s">
        <v>30</v>
      </c>
      <c r="R1108" t="s">
        <v>545</v>
      </c>
      <c r="S1108" t="str">
        <v>#N/A</v>
      </c>
      <c r="T1108" t="str">
        <v>13</v>
      </c>
    </row>
    <row r="1109" spans="1:20" ht="13.7" customHeight="1" x14ac:dyDescent="0.25">
      <c r="A1109" t="s">
        <v>26</v>
      </c>
      <c r="B1109" t="s">
        <v>27</v>
      </c>
      <c r="C1109" t="s">
        <v>180</v>
      </c>
      <c r="D1109">
        <v>32</v>
      </c>
      <c r="E1109" s="5">
        <v>43812</v>
      </c>
      <c r="F1109">
        <v>13250501</v>
      </c>
      <c r="G1109">
        <v>0</v>
      </c>
      <c r="H1109" t="s">
        <v>1115</v>
      </c>
      <c r="I1109" t="s">
        <v>1116</v>
      </c>
      <c r="J1109">
        <v>1008</v>
      </c>
      <c r="K1109">
        <v>1316</v>
      </c>
      <c r="L1109" s="3">
        <v>-45295931.100000001</v>
      </c>
      <c r="M1109" s="3">
        <v>0</v>
      </c>
      <c r="N1109">
        <v>205000</v>
      </c>
      <c r="O1109">
        <v>0</v>
      </c>
      <c r="P1109">
        <v>-45500931.100000001</v>
      </c>
      <c r="Q1109" t="s">
        <v>30</v>
      </c>
      <c r="R1109" t="s">
        <v>577</v>
      </c>
      <c r="S1109" t="str">
        <v>#N/A</v>
      </c>
      <c r="T1109" t="str">
        <v>13</v>
      </c>
    </row>
    <row r="1110" spans="1:20" ht="13.7" customHeight="1" x14ac:dyDescent="0.25">
      <c r="A1110" t="s">
        <v>26</v>
      </c>
      <c r="B1110" t="s">
        <v>27</v>
      </c>
      <c r="C1110" t="s">
        <v>180</v>
      </c>
      <c r="D1110">
        <v>35</v>
      </c>
      <c r="E1110" s="5">
        <v>43813</v>
      </c>
      <c r="F1110">
        <v>13250501</v>
      </c>
      <c r="G1110">
        <v>0</v>
      </c>
      <c r="H1110" t="s">
        <v>1115</v>
      </c>
      <c r="I1110" t="s">
        <v>1116</v>
      </c>
      <c r="J1110">
        <v>1008</v>
      </c>
      <c r="K1110">
        <v>1316</v>
      </c>
      <c r="L1110" s="3">
        <v>-45500931.100000001</v>
      </c>
      <c r="M1110" s="3">
        <v>0</v>
      </c>
      <c r="N1110">
        <v>595000</v>
      </c>
      <c r="O1110">
        <v>0</v>
      </c>
      <c r="P1110">
        <v>-46095931.100000001</v>
      </c>
      <c r="Q1110" t="s">
        <v>30</v>
      </c>
      <c r="R1110" t="s">
        <v>537</v>
      </c>
      <c r="S1110" t="str">
        <v>#N/A</v>
      </c>
      <c r="T1110" t="str">
        <v>13</v>
      </c>
    </row>
    <row r="1111" spans="1:20" ht="13.7" customHeight="1" x14ac:dyDescent="0.25">
      <c r="A1111" t="s">
        <v>26</v>
      </c>
      <c r="B1111" t="s">
        <v>27</v>
      </c>
      <c r="C1111" t="s">
        <v>180</v>
      </c>
      <c r="D1111">
        <v>36</v>
      </c>
      <c r="E1111" s="5">
        <v>43813</v>
      </c>
      <c r="F1111">
        <v>13250501</v>
      </c>
      <c r="G1111">
        <v>0</v>
      </c>
      <c r="H1111" t="s">
        <v>1115</v>
      </c>
      <c r="I1111" t="s">
        <v>1116</v>
      </c>
      <c r="J1111">
        <v>1008</v>
      </c>
      <c r="K1111">
        <v>1316</v>
      </c>
      <c r="L1111" s="3">
        <v>-46095931.100000001</v>
      </c>
      <c r="M1111" s="3">
        <v>0</v>
      </c>
      <c r="N1111">
        <v>8500</v>
      </c>
      <c r="O1111">
        <v>0</v>
      </c>
      <c r="P1111">
        <v>-46104431.100000001</v>
      </c>
      <c r="Q1111" t="s">
        <v>30</v>
      </c>
      <c r="R1111" t="s">
        <v>74</v>
      </c>
      <c r="S1111" t="str">
        <v>#N/A</v>
      </c>
      <c r="T1111" t="str">
        <v>13</v>
      </c>
    </row>
    <row r="1112" spans="1:20" ht="13.7" customHeight="1" x14ac:dyDescent="0.25">
      <c r="A1112" t="s">
        <v>26</v>
      </c>
      <c r="B1112" t="s">
        <v>27</v>
      </c>
      <c r="C1112" t="s">
        <v>180</v>
      </c>
      <c r="D1112">
        <v>38</v>
      </c>
      <c r="E1112" s="5">
        <v>43814</v>
      </c>
      <c r="F1112">
        <v>13250501</v>
      </c>
      <c r="G1112">
        <v>0</v>
      </c>
      <c r="H1112" t="s">
        <v>1115</v>
      </c>
      <c r="I1112" t="s">
        <v>1116</v>
      </c>
      <c r="J1112">
        <v>1008</v>
      </c>
      <c r="K1112">
        <v>1316</v>
      </c>
      <c r="L1112" s="3">
        <v>-46104431.100000001</v>
      </c>
      <c r="M1112" s="3">
        <v>0</v>
      </c>
      <c r="N1112">
        <v>110004</v>
      </c>
      <c r="O1112">
        <v>0</v>
      </c>
      <c r="P1112">
        <v>-46214435.100000001</v>
      </c>
      <c r="Q1112" t="s">
        <v>30</v>
      </c>
      <c r="R1112" t="s">
        <v>158</v>
      </c>
      <c r="S1112" t="str">
        <v>#N/A</v>
      </c>
      <c r="T1112" t="str">
        <v>13</v>
      </c>
    </row>
    <row r="1113" spans="1:20" ht="13.7" customHeight="1" x14ac:dyDescent="0.25">
      <c r="A1113" t="s">
        <v>26</v>
      </c>
      <c r="B1113" t="s">
        <v>27</v>
      </c>
      <c r="C1113" t="s">
        <v>180</v>
      </c>
      <c r="D1113">
        <v>41</v>
      </c>
      <c r="E1113" s="5">
        <v>43815</v>
      </c>
      <c r="F1113">
        <v>13250501</v>
      </c>
      <c r="G1113">
        <v>0</v>
      </c>
      <c r="H1113" t="s">
        <v>1115</v>
      </c>
      <c r="I1113" t="s">
        <v>1116</v>
      </c>
      <c r="J1113">
        <v>1008</v>
      </c>
      <c r="K1113">
        <v>1316</v>
      </c>
      <c r="L1113" s="3">
        <v>-46214435.100000001</v>
      </c>
      <c r="M1113" s="3">
        <v>0</v>
      </c>
      <c r="N1113">
        <v>11200</v>
      </c>
      <c r="O1113">
        <v>0</v>
      </c>
      <c r="P1113">
        <v>-46225635.100000001</v>
      </c>
      <c r="Q1113" t="s">
        <v>30</v>
      </c>
      <c r="R1113" t="s">
        <v>59</v>
      </c>
      <c r="S1113" t="str">
        <v>#N/A</v>
      </c>
      <c r="T1113" t="str">
        <v>13</v>
      </c>
    </row>
    <row r="1114" spans="1:20" ht="13.7" customHeight="1" x14ac:dyDescent="0.25">
      <c r="A1114" t="s">
        <v>26</v>
      </c>
      <c r="B1114" t="s">
        <v>27</v>
      </c>
      <c r="C1114" t="s">
        <v>180</v>
      </c>
      <c r="D1114">
        <v>49</v>
      </c>
      <c r="E1114" s="5">
        <v>43817</v>
      </c>
      <c r="F1114">
        <v>13250501</v>
      </c>
      <c r="G1114">
        <v>0</v>
      </c>
      <c r="H1114" t="s">
        <v>1115</v>
      </c>
      <c r="I1114" t="s">
        <v>1116</v>
      </c>
      <c r="J1114">
        <v>1008</v>
      </c>
      <c r="K1114">
        <v>1316</v>
      </c>
      <c r="L1114" s="3">
        <v>-46225635.100000001</v>
      </c>
      <c r="M1114" s="3">
        <v>0</v>
      </c>
      <c r="N1114">
        <v>31933</v>
      </c>
      <c r="O1114">
        <v>0</v>
      </c>
      <c r="P1114">
        <v>-46257568.100000001</v>
      </c>
      <c r="Q1114" t="s">
        <v>30</v>
      </c>
      <c r="R1114" t="s">
        <v>122</v>
      </c>
      <c r="S1114" t="str">
        <v>#N/A</v>
      </c>
      <c r="T1114" t="str">
        <v>13</v>
      </c>
    </row>
    <row r="1115" spans="1:20" ht="13.7" customHeight="1" x14ac:dyDescent="0.25">
      <c r="A1115" t="s">
        <v>26</v>
      </c>
      <c r="B1115" t="s">
        <v>27</v>
      </c>
      <c r="C1115" t="s">
        <v>180</v>
      </c>
      <c r="D1115">
        <v>50</v>
      </c>
      <c r="E1115" s="5">
        <v>43817</v>
      </c>
      <c r="F1115">
        <v>13250501</v>
      </c>
      <c r="G1115">
        <v>0</v>
      </c>
      <c r="H1115" t="s">
        <v>1115</v>
      </c>
      <c r="I1115" t="s">
        <v>1116</v>
      </c>
      <c r="J1115">
        <v>1008</v>
      </c>
      <c r="K1115">
        <v>1316</v>
      </c>
      <c r="L1115" s="3">
        <v>-46257568.100000001</v>
      </c>
      <c r="M1115" s="3">
        <v>0</v>
      </c>
      <c r="N1115">
        <v>32401</v>
      </c>
      <c r="O1115">
        <v>0</v>
      </c>
      <c r="P1115">
        <v>-46289969.100000001</v>
      </c>
      <c r="Q1115" t="s">
        <v>30</v>
      </c>
      <c r="R1115" t="s">
        <v>145</v>
      </c>
      <c r="S1115" t="str">
        <v>#N/A</v>
      </c>
      <c r="T1115" t="str">
        <v>13</v>
      </c>
    </row>
    <row r="1116" spans="1:20" ht="13.7" customHeight="1" x14ac:dyDescent="0.25">
      <c r="A1116" t="s">
        <v>26</v>
      </c>
      <c r="B1116" t="s">
        <v>27</v>
      </c>
      <c r="C1116" t="s">
        <v>180</v>
      </c>
      <c r="D1116">
        <v>57</v>
      </c>
      <c r="E1116" s="5">
        <v>43822</v>
      </c>
      <c r="F1116">
        <v>13250501</v>
      </c>
      <c r="G1116">
        <v>0</v>
      </c>
      <c r="H1116" t="s">
        <v>1115</v>
      </c>
      <c r="I1116" t="s">
        <v>1116</v>
      </c>
      <c r="J1116">
        <v>1008</v>
      </c>
      <c r="K1116">
        <v>1316</v>
      </c>
      <c r="L1116" s="3">
        <v>-46289969.100000001</v>
      </c>
      <c r="M1116" s="3">
        <v>0</v>
      </c>
      <c r="N1116">
        <v>140700</v>
      </c>
      <c r="O1116">
        <v>0</v>
      </c>
      <c r="P1116">
        <v>-46430669.100000001</v>
      </c>
      <c r="Q1116" t="s">
        <v>30</v>
      </c>
      <c r="R1116" t="s">
        <v>70</v>
      </c>
      <c r="S1116" t="str">
        <v>#N/A</v>
      </c>
      <c r="T1116" t="str">
        <v>13</v>
      </c>
    </row>
    <row r="1117" spans="1:20" ht="13.7" customHeight="1" x14ac:dyDescent="0.25">
      <c r="A1117" t="s">
        <v>26</v>
      </c>
      <c r="B1117" t="s">
        <v>27</v>
      </c>
      <c r="C1117" t="s">
        <v>180</v>
      </c>
      <c r="D1117">
        <v>58</v>
      </c>
      <c r="E1117" s="5">
        <v>43822</v>
      </c>
      <c r="F1117">
        <v>13250501</v>
      </c>
      <c r="G1117">
        <v>0</v>
      </c>
      <c r="H1117" t="s">
        <v>1115</v>
      </c>
      <c r="I1117" t="s">
        <v>1116</v>
      </c>
      <c r="J1117">
        <v>1008</v>
      </c>
      <c r="K1117">
        <v>1316</v>
      </c>
      <c r="L1117" s="3">
        <v>-46430669.100000001</v>
      </c>
      <c r="M1117" s="3">
        <v>0</v>
      </c>
      <c r="N1117">
        <v>33001</v>
      </c>
      <c r="O1117">
        <v>0</v>
      </c>
      <c r="P1117">
        <v>-46463670.100000001</v>
      </c>
      <c r="Q1117" t="s">
        <v>30</v>
      </c>
      <c r="R1117" t="s">
        <v>126</v>
      </c>
      <c r="S1117" t="str">
        <v>#N/A</v>
      </c>
      <c r="T1117" t="str">
        <v>13</v>
      </c>
    </row>
    <row r="1118" spans="1:20" ht="13.7" customHeight="1" x14ac:dyDescent="0.25">
      <c r="A1118" t="s">
        <v>26</v>
      </c>
      <c r="B1118" t="s">
        <v>27</v>
      </c>
      <c r="C1118" t="s">
        <v>180</v>
      </c>
      <c r="D1118">
        <v>59</v>
      </c>
      <c r="E1118" s="5">
        <v>43822</v>
      </c>
      <c r="F1118">
        <v>13250501</v>
      </c>
      <c r="G1118">
        <v>0</v>
      </c>
      <c r="H1118" t="s">
        <v>1115</v>
      </c>
      <c r="I1118" t="s">
        <v>1116</v>
      </c>
      <c r="J1118">
        <v>1008</v>
      </c>
      <c r="K1118">
        <v>1316</v>
      </c>
      <c r="L1118" s="3">
        <v>-46463670.100000001</v>
      </c>
      <c r="M1118" s="3">
        <v>0</v>
      </c>
      <c r="N1118">
        <v>106218</v>
      </c>
      <c r="O1118">
        <v>0</v>
      </c>
      <c r="P1118">
        <v>-46569888.100000001</v>
      </c>
      <c r="Q1118" t="s">
        <v>30</v>
      </c>
      <c r="R1118" t="s">
        <v>158</v>
      </c>
      <c r="S1118" t="str">
        <v>#N/A</v>
      </c>
      <c r="T1118" t="str">
        <v>13</v>
      </c>
    </row>
    <row r="1119" spans="1:20" ht="13.7" customHeight="1" x14ac:dyDescent="0.25">
      <c r="A1119" t="s">
        <v>26</v>
      </c>
      <c r="B1119" t="s">
        <v>27</v>
      </c>
      <c r="C1119" t="s">
        <v>180</v>
      </c>
      <c r="D1119">
        <v>63</v>
      </c>
      <c r="E1119" s="5">
        <v>43823</v>
      </c>
      <c r="F1119">
        <v>13250501</v>
      </c>
      <c r="G1119">
        <v>0</v>
      </c>
      <c r="H1119" t="s">
        <v>1115</v>
      </c>
      <c r="I1119" t="s">
        <v>1116</v>
      </c>
      <c r="J1119">
        <v>1008</v>
      </c>
      <c r="K1119">
        <v>1316</v>
      </c>
      <c r="L1119" s="3">
        <v>-46569888.100000001</v>
      </c>
      <c r="M1119" s="3">
        <v>0</v>
      </c>
      <c r="N1119">
        <v>15800</v>
      </c>
      <c r="O1119">
        <v>0</v>
      </c>
      <c r="P1119">
        <v>-46585688.100000001</v>
      </c>
      <c r="Q1119" t="s">
        <v>30</v>
      </c>
      <c r="R1119" t="s">
        <v>545</v>
      </c>
      <c r="S1119" t="str">
        <v>#N/A</v>
      </c>
      <c r="T1119" t="str">
        <v>13</v>
      </c>
    </row>
    <row r="1120" spans="1:20" ht="13.7" customHeight="1" x14ac:dyDescent="0.25">
      <c r="E1120" s="5">
        <v>43465</v>
      </c>
      <c r="F1120">
        <v>13250501</v>
      </c>
      <c r="G1120">
        <v>0</v>
      </c>
      <c r="H1120" t="s">
        <v>1507</v>
      </c>
      <c r="I1120" t="s">
        <v>1508</v>
      </c>
      <c r="J1120">
        <v>0</v>
      </c>
      <c r="K1120">
        <v>0</v>
      </c>
      <c r="L1120" s="3">
        <v>-17600</v>
      </c>
      <c r="M1120" s="3">
        <v>0</v>
      </c>
      <c r="N1120">
        <v>0</v>
      </c>
      <c r="O1120">
        <v>0</v>
      </c>
      <c r="P1120">
        <v>-17600</v>
      </c>
      <c r="R1120" t="s">
        <v>1100</v>
      </c>
      <c r="S1120" t="str">
        <v>#N/A</v>
      </c>
      <c r="T1120" t="str">
        <v>#N/A</v>
      </c>
    </row>
    <row r="1121" spans="1:20" ht="13.7" customHeight="1" x14ac:dyDescent="0.25">
      <c r="E1121" s="5">
        <v>43465</v>
      </c>
      <c r="F1121">
        <v>13250501</v>
      </c>
      <c r="G1121">
        <v>0</v>
      </c>
      <c r="H1121" t="s">
        <v>1197</v>
      </c>
      <c r="I1121" t="s">
        <v>1198</v>
      </c>
      <c r="J1121">
        <v>0</v>
      </c>
      <c r="K1121">
        <v>0</v>
      </c>
      <c r="L1121" s="3">
        <v>0</v>
      </c>
      <c r="M1121" s="3">
        <v>0</v>
      </c>
      <c r="N1121">
        <v>0</v>
      </c>
      <c r="O1121">
        <v>0</v>
      </c>
      <c r="P1121">
        <v>0</v>
      </c>
      <c r="R1121" t="s">
        <v>1100</v>
      </c>
      <c r="S1121" t="str">
        <v>#N/A</v>
      </c>
      <c r="T1121" t="str">
        <v>13</v>
      </c>
    </row>
    <row r="1122" spans="1:20" ht="13.7" customHeight="1" x14ac:dyDescent="0.25">
      <c r="A1122" t="s">
        <v>26</v>
      </c>
      <c r="B1122" t="s">
        <v>27</v>
      </c>
      <c r="C1122" t="s">
        <v>35</v>
      </c>
      <c r="D1122">
        <v>33</v>
      </c>
      <c r="E1122" s="5">
        <v>43595</v>
      </c>
      <c r="F1122">
        <v>13250501</v>
      </c>
      <c r="G1122">
        <v>0</v>
      </c>
      <c r="H1122" t="s">
        <v>1197</v>
      </c>
      <c r="I1122" t="s">
        <v>1198</v>
      </c>
      <c r="J1122">
        <v>1008</v>
      </c>
      <c r="K1122">
        <v>1316</v>
      </c>
      <c r="L1122" s="3">
        <v>0</v>
      </c>
      <c r="M1122" s="3">
        <v>0</v>
      </c>
      <c r="N1122">
        <v>8700</v>
      </c>
      <c r="O1122">
        <v>0</v>
      </c>
      <c r="P1122">
        <v>-8700</v>
      </c>
      <c r="Q1122" t="s">
        <v>30</v>
      </c>
      <c r="R1122" t="s">
        <v>59</v>
      </c>
      <c r="S1122" t="str">
        <v>#N/A</v>
      </c>
      <c r="T1122" t="str">
        <v>13</v>
      </c>
    </row>
    <row r="1123" spans="1:20" ht="13.7" customHeight="1" x14ac:dyDescent="0.25">
      <c r="A1123" t="s">
        <v>26</v>
      </c>
      <c r="B1123" t="s">
        <v>27</v>
      </c>
      <c r="C1123" t="s">
        <v>36</v>
      </c>
      <c r="D1123">
        <v>46</v>
      </c>
      <c r="E1123" s="5">
        <v>43637</v>
      </c>
      <c r="F1123">
        <v>13250501</v>
      </c>
      <c r="G1123">
        <v>0</v>
      </c>
      <c r="H1123" t="s">
        <v>1197</v>
      </c>
      <c r="I1123" t="s">
        <v>1198</v>
      </c>
      <c r="J1123">
        <v>1008</v>
      </c>
      <c r="K1123">
        <v>1316</v>
      </c>
      <c r="L1123" s="3">
        <v>-8700</v>
      </c>
      <c r="M1123" s="3">
        <v>0</v>
      </c>
      <c r="N1123">
        <v>7100</v>
      </c>
      <c r="O1123">
        <v>0</v>
      </c>
      <c r="P1123">
        <v>-15800</v>
      </c>
      <c r="Q1123" t="s">
        <v>30</v>
      </c>
      <c r="R1123" t="s">
        <v>549</v>
      </c>
      <c r="S1123" t="str">
        <v>#N/A</v>
      </c>
      <c r="T1123" t="str">
        <v>13</v>
      </c>
    </row>
    <row r="1124" spans="1:20" ht="13.7" customHeight="1" x14ac:dyDescent="0.25">
      <c r="A1124" t="s">
        <v>26</v>
      </c>
      <c r="B1124" t="s">
        <v>27</v>
      </c>
      <c r="C1124" t="s">
        <v>36</v>
      </c>
      <c r="D1124">
        <v>61</v>
      </c>
      <c r="E1124" s="5">
        <v>43643</v>
      </c>
      <c r="F1124">
        <v>13250501</v>
      </c>
      <c r="G1124">
        <v>0</v>
      </c>
      <c r="H1124" t="s">
        <v>1197</v>
      </c>
      <c r="I1124" t="s">
        <v>1198</v>
      </c>
      <c r="J1124">
        <v>1008</v>
      </c>
      <c r="K1124">
        <v>1316</v>
      </c>
      <c r="L1124" s="3">
        <v>-15800</v>
      </c>
      <c r="M1124" s="3">
        <v>0</v>
      </c>
      <c r="N1124">
        <v>4900</v>
      </c>
      <c r="O1124">
        <v>0</v>
      </c>
      <c r="P1124">
        <v>-20700</v>
      </c>
      <c r="Q1124" t="s">
        <v>30</v>
      </c>
      <c r="R1124" t="s">
        <v>59</v>
      </c>
      <c r="S1124" t="str">
        <v>#N/A</v>
      </c>
      <c r="T1124" t="str">
        <v>13</v>
      </c>
    </row>
    <row r="1125" spans="1:20" ht="13.7" customHeight="1" x14ac:dyDescent="0.25">
      <c r="E1125" s="5">
        <v>43465</v>
      </c>
      <c r="F1125">
        <v>13250501</v>
      </c>
      <c r="G1125">
        <v>0</v>
      </c>
      <c r="H1125" t="s">
        <v>1376</v>
      </c>
      <c r="I1125" t="s">
        <v>1377</v>
      </c>
      <c r="J1125">
        <v>0</v>
      </c>
      <c r="K1125">
        <v>0</v>
      </c>
      <c r="L1125" s="3">
        <v>-6500</v>
      </c>
      <c r="M1125" s="3">
        <v>0</v>
      </c>
      <c r="N1125">
        <v>0</v>
      </c>
      <c r="O1125">
        <v>0</v>
      </c>
      <c r="P1125">
        <v>-6500</v>
      </c>
      <c r="R1125" t="s">
        <v>1100</v>
      </c>
      <c r="S1125" t="str">
        <v>#N/A</v>
      </c>
      <c r="T1125" t="str">
        <v>#N/A</v>
      </c>
    </row>
    <row r="1126" spans="1:20" ht="13.7" customHeight="1" x14ac:dyDescent="0.25">
      <c r="E1126" s="5">
        <v>43465</v>
      </c>
      <c r="F1126">
        <v>13250501</v>
      </c>
      <c r="G1126">
        <v>0</v>
      </c>
      <c r="H1126" t="s">
        <v>1463</v>
      </c>
      <c r="I1126" t="s">
        <v>1464</v>
      </c>
      <c r="J1126">
        <v>0</v>
      </c>
      <c r="K1126">
        <v>0</v>
      </c>
      <c r="L1126" s="3">
        <v>0</v>
      </c>
      <c r="M1126" s="3">
        <v>0</v>
      </c>
      <c r="N1126">
        <v>0</v>
      </c>
      <c r="O1126">
        <v>0</v>
      </c>
      <c r="P1126">
        <v>0</v>
      </c>
      <c r="R1126" t="s">
        <v>1100</v>
      </c>
      <c r="S1126" t="str">
        <v>#N/A</v>
      </c>
      <c r="T1126" t="str">
        <v>13</v>
      </c>
    </row>
    <row r="1127" spans="1:20" ht="13.7" customHeight="1" x14ac:dyDescent="0.25">
      <c r="A1127" t="s">
        <v>26</v>
      </c>
      <c r="B1127" t="s">
        <v>27</v>
      </c>
      <c r="C1127" t="s">
        <v>91</v>
      </c>
      <c r="D1127">
        <v>24</v>
      </c>
      <c r="E1127" s="5">
        <v>43531</v>
      </c>
      <c r="F1127">
        <v>13250501</v>
      </c>
      <c r="G1127">
        <v>0</v>
      </c>
      <c r="H1127" t="s">
        <v>1463</v>
      </c>
      <c r="I1127" t="s">
        <v>1464</v>
      </c>
      <c r="J1127">
        <v>1008</v>
      </c>
      <c r="K1127">
        <v>1316</v>
      </c>
      <c r="L1127" s="3">
        <v>0</v>
      </c>
      <c r="M1127" s="3">
        <v>0</v>
      </c>
      <c r="N1127">
        <v>15340</v>
      </c>
      <c r="O1127">
        <v>0</v>
      </c>
      <c r="P1127">
        <v>-15340</v>
      </c>
      <c r="Q1127" t="s">
        <v>30</v>
      </c>
      <c r="R1127" t="s">
        <v>59</v>
      </c>
      <c r="S1127" t="str">
        <v>#N/A</v>
      </c>
      <c r="T1127" t="str">
        <v>13</v>
      </c>
    </row>
    <row r="1128" spans="1:20" ht="13.7" customHeight="1" x14ac:dyDescent="0.25">
      <c r="E1128" s="5">
        <v>43465</v>
      </c>
      <c r="F1128">
        <v>13250501</v>
      </c>
      <c r="G1128">
        <v>0</v>
      </c>
      <c r="H1128" t="s">
        <v>1195</v>
      </c>
      <c r="I1128" t="s">
        <v>1196</v>
      </c>
      <c r="J1128">
        <v>0</v>
      </c>
      <c r="K1128">
        <v>0</v>
      </c>
      <c r="L1128" s="3">
        <v>-550000</v>
      </c>
      <c r="M1128" s="3">
        <v>0</v>
      </c>
      <c r="N1128">
        <v>0</v>
      </c>
      <c r="O1128">
        <v>0</v>
      </c>
      <c r="P1128">
        <v>-550000</v>
      </c>
      <c r="R1128" t="s">
        <v>1100</v>
      </c>
      <c r="S1128" t="str">
        <v>#N/A</v>
      </c>
      <c r="T1128" t="str">
        <v>13</v>
      </c>
    </row>
    <row r="1129" spans="1:20" ht="13.7" customHeight="1" x14ac:dyDescent="0.25">
      <c r="A1129" t="s">
        <v>26</v>
      </c>
      <c r="B1129" t="s">
        <v>27</v>
      </c>
      <c r="C1129" t="s">
        <v>91</v>
      </c>
      <c r="D1129">
        <v>4</v>
      </c>
      <c r="E1129" s="5">
        <v>43525</v>
      </c>
      <c r="F1129">
        <v>13250501</v>
      </c>
      <c r="G1129">
        <v>0</v>
      </c>
      <c r="H1129" t="s">
        <v>1195</v>
      </c>
      <c r="I1129" t="s">
        <v>1196</v>
      </c>
      <c r="J1129">
        <v>1008</v>
      </c>
      <c r="K1129">
        <v>1316</v>
      </c>
      <c r="L1129" s="3">
        <v>-550000</v>
      </c>
      <c r="M1129" s="3">
        <v>0</v>
      </c>
      <c r="N1129">
        <v>110000</v>
      </c>
      <c r="O1129">
        <v>0</v>
      </c>
      <c r="P1129">
        <v>-660000</v>
      </c>
      <c r="Q1129" t="s">
        <v>30</v>
      </c>
      <c r="R1129" t="s">
        <v>539</v>
      </c>
      <c r="S1129" t="str">
        <v>#N/A</v>
      </c>
      <c r="T1129" t="str">
        <v>13</v>
      </c>
    </row>
    <row r="1130" spans="1:20" ht="13.7" customHeight="1" x14ac:dyDescent="0.25">
      <c r="A1130" t="s">
        <v>26</v>
      </c>
      <c r="B1130" t="s">
        <v>27</v>
      </c>
      <c r="C1130" t="s">
        <v>34</v>
      </c>
      <c r="D1130">
        <v>35</v>
      </c>
      <c r="E1130" s="5">
        <v>43570</v>
      </c>
      <c r="F1130">
        <v>13250501</v>
      </c>
      <c r="G1130">
        <v>0</v>
      </c>
      <c r="H1130" t="s">
        <v>1195</v>
      </c>
      <c r="I1130" t="s">
        <v>1196</v>
      </c>
      <c r="J1130">
        <v>1008</v>
      </c>
      <c r="K1130">
        <v>1316</v>
      </c>
      <c r="L1130" s="3">
        <v>-660000</v>
      </c>
      <c r="M1130" s="3">
        <v>0</v>
      </c>
      <c r="N1130">
        <v>330000</v>
      </c>
      <c r="O1130">
        <v>0</v>
      </c>
      <c r="P1130">
        <v>-990000</v>
      </c>
      <c r="Q1130" t="s">
        <v>30</v>
      </c>
      <c r="R1130" t="s">
        <v>539</v>
      </c>
      <c r="S1130" t="str">
        <v>#N/A</v>
      </c>
      <c r="T1130" t="str">
        <v>13</v>
      </c>
    </row>
    <row r="1131" spans="1:20" ht="13.7" customHeight="1" x14ac:dyDescent="0.25">
      <c r="E1131" s="5">
        <v>43465</v>
      </c>
      <c r="F1131">
        <v>13250501</v>
      </c>
      <c r="G1131">
        <v>0</v>
      </c>
      <c r="H1131" t="s">
        <v>1301</v>
      </c>
      <c r="I1131" t="s">
        <v>1302</v>
      </c>
      <c r="J1131">
        <v>0</v>
      </c>
      <c r="K1131">
        <v>0</v>
      </c>
      <c r="L1131" s="3">
        <v>-35800</v>
      </c>
      <c r="M1131" s="3">
        <v>0</v>
      </c>
      <c r="N1131">
        <v>0</v>
      </c>
      <c r="O1131">
        <v>0</v>
      </c>
      <c r="P1131">
        <v>-35800</v>
      </c>
      <c r="R1131" t="s">
        <v>1100</v>
      </c>
      <c r="S1131" t="str">
        <v>#N/A</v>
      </c>
      <c r="T1131" t="str">
        <v>31</v>
      </c>
    </row>
    <row r="1132" spans="1:20" ht="13.7" customHeight="1" x14ac:dyDescent="0.25">
      <c r="E1132" s="5">
        <v>43465</v>
      </c>
      <c r="F1132">
        <v>13250501</v>
      </c>
      <c r="G1132">
        <v>0</v>
      </c>
      <c r="H1132" t="s">
        <v>1509</v>
      </c>
      <c r="I1132" t="s">
        <v>1510</v>
      </c>
      <c r="J1132">
        <v>0</v>
      </c>
      <c r="K1132">
        <v>0</v>
      </c>
      <c r="L1132" s="3">
        <v>-3500</v>
      </c>
      <c r="M1132" s="3">
        <v>0</v>
      </c>
      <c r="N1132">
        <v>0</v>
      </c>
      <c r="O1132">
        <v>0</v>
      </c>
      <c r="P1132">
        <v>-3500</v>
      </c>
      <c r="R1132" t="s">
        <v>1100</v>
      </c>
      <c r="S1132" t="str">
        <v>#N/A</v>
      </c>
      <c r="T1132" t="str">
        <v>#N/A</v>
      </c>
    </row>
    <row r="1133" spans="1:20" ht="13.7" customHeight="1" x14ac:dyDescent="0.25">
      <c r="E1133" s="5">
        <v>43465</v>
      </c>
      <c r="F1133">
        <v>13250501</v>
      </c>
      <c r="G1133">
        <v>0</v>
      </c>
      <c r="H1133" t="s">
        <v>1273</v>
      </c>
      <c r="I1133" t="s">
        <v>1274</v>
      </c>
      <c r="J1133">
        <v>0</v>
      </c>
      <c r="K1133">
        <v>0</v>
      </c>
      <c r="L1133" s="3">
        <v>2400000</v>
      </c>
      <c r="M1133" s="3">
        <v>0</v>
      </c>
      <c r="N1133">
        <v>0</v>
      </c>
      <c r="O1133">
        <v>0</v>
      </c>
      <c r="P1133">
        <v>2400000</v>
      </c>
      <c r="R1133" t="s">
        <v>1100</v>
      </c>
      <c r="S1133" t="str">
        <v>#N/A</v>
      </c>
      <c r="T1133" t="str">
        <v>31</v>
      </c>
    </row>
    <row r="1134" spans="1:20" ht="13.7" customHeight="1" x14ac:dyDescent="0.25">
      <c r="E1134" s="5">
        <v>43465</v>
      </c>
      <c r="F1134">
        <v>13250501</v>
      </c>
      <c r="G1134">
        <v>0</v>
      </c>
      <c r="H1134" t="s">
        <v>1313</v>
      </c>
      <c r="I1134" t="s">
        <v>1314</v>
      </c>
      <c r="J1134">
        <v>0</v>
      </c>
      <c r="K1134">
        <v>0</v>
      </c>
      <c r="L1134" s="3">
        <v>-29700</v>
      </c>
      <c r="M1134" s="3">
        <v>0</v>
      </c>
      <c r="N1134">
        <v>0</v>
      </c>
      <c r="O1134">
        <v>0</v>
      </c>
      <c r="P1134">
        <v>-29700</v>
      </c>
      <c r="R1134" t="s">
        <v>1100</v>
      </c>
      <c r="S1134" t="str">
        <v>#N/A</v>
      </c>
      <c r="T1134" t="str">
        <v>#N/A</v>
      </c>
    </row>
    <row r="1135" spans="1:20" ht="13.7" customHeight="1" x14ac:dyDescent="0.25">
      <c r="E1135" s="5">
        <v>43465</v>
      </c>
      <c r="F1135">
        <v>13250501</v>
      </c>
      <c r="G1135">
        <v>0</v>
      </c>
      <c r="H1135" t="s">
        <v>1413</v>
      </c>
      <c r="I1135" t="s">
        <v>1414</v>
      </c>
      <c r="J1135">
        <v>0</v>
      </c>
      <c r="K1135">
        <v>0</v>
      </c>
      <c r="L1135" s="3">
        <v>-41767</v>
      </c>
      <c r="M1135" s="3">
        <v>0</v>
      </c>
      <c r="N1135">
        <v>0</v>
      </c>
      <c r="O1135">
        <v>0</v>
      </c>
      <c r="P1135">
        <v>-41767</v>
      </c>
      <c r="R1135" t="s">
        <v>1100</v>
      </c>
      <c r="S1135" t="str">
        <v>#N/A</v>
      </c>
      <c r="T1135" t="str">
        <v>#N/A</v>
      </c>
    </row>
    <row r="1136" spans="1:20" ht="13.7" customHeight="1" x14ac:dyDescent="0.25">
      <c r="E1136" s="5">
        <v>43465</v>
      </c>
      <c r="F1136">
        <v>13250501</v>
      </c>
      <c r="G1136">
        <v>0</v>
      </c>
      <c r="H1136" t="s">
        <v>1467</v>
      </c>
      <c r="I1136" t="s">
        <v>1468</v>
      </c>
      <c r="J1136">
        <v>0</v>
      </c>
      <c r="K1136">
        <v>0</v>
      </c>
      <c r="L1136" s="3">
        <v>0</v>
      </c>
      <c r="M1136" s="3">
        <v>0</v>
      </c>
      <c r="N1136">
        <v>0</v>
      </c>
      <c r="O1136">
        <v>0</v>
      </c>
      <c r="P1136">
        <v>0</v>
      </c>
      <c r="R1136" t="s">
        <v>1100</v>
      </c>
      <c r="S1136" t="str">
        <v>#N/A</v>
      </c>
      <c r="T1136" t="str">
        <v>#N/A</v>
      </c>
    </row>
    <row r="1137" spans="1:20" ht="13.7" customHeight="1" x14ac:dyDescent="0.25">
      <c r="A1137" t="s">
        <v>26</v>
      </c>
      <c r="B1137" t="s">
        <v>27</v>
      </c>
      <c r="C1137" t="s">
        <v>37</v>
      </c>
      <c r="D1137">
        <v>8</v>
      </c>
      <c r="E1137" s="5">
        <v>43649</v>
      </c>
      <c r="F1137">
        <v>13250501</v>
      </c>
      <c r="G1137">
        <v>0</v>
      </c>
      <c r="H1137" t="s">
        <v>1467</v>
      </c>
      <c r="I1137" t="s">
        <v>1468</v>
      </c>
      <c r="J1137">
        <v>1008</v>
      </c>
      <c r="K1137">
        <v>1316</v>
      </c>
      <c r="L1137" s="3">
        <v>0</v>
      </c>
      <c r="M1137" s="3">
        <v>4500</v>
      </c>
      <c r="N1137">
        <v>0</v>
      </c>
      <c r="O1137">
        <v>0</v>
      </c>
      <c r="P1137">
        <v>4500</v>
      </c>
      <c r="Q1137" t="s">
        <v>30</v>
      </c>
      <c r="R1137" t="s">
        <v>59</v>
      </c>
      <c r="S1137" t="str">
        <v>#N/A</v>
      </c>
      <c r="T1137" t="str">
        <v>#N/A</v>
      </c>
    </row>
    <row r="1138" spans="1:20" ht="13.7" customHeight="1" x14ac:dyDescent="0.25">
      <c r="E1138" s="5">
        <v>43465</v>
      </c>
      <c r="F1138">
        <v>13250501</v>
      </c>
      <c r="G1138">
        <v>0</v>
      </c>
      <c r="H1138" t="s">
        <v>1511</v>
      </c>
      <c r="I1138" t="s">
        <v>1512</v>
      </c>
      <c r="J1138">
        <v>0</v>
      </c>
      <c r="K1138">
        <v>0</v>
      </c>
      <c r="L1138" s="3">
        <v>-33844</v>
      </c>
      <c r="M1138" s="3">
        <v>0</v>
      </c>
      <c r="N1138">
        <v>0</v>
      </c>
      <c r="O1138">
        <v>0</v>
      </c>
      <c r="P1138">
        <v>-33844</v>
      </c>
      <c r="R1138" t="s">
        <v>1100</v>
      </c>
      <c r="S1138" t="str">
        <v>#N/A</v>
      </c>
      <c r="T1138" t="str">
        <v>#N/A</v>
      </c>
    </row>
    <row r="1139" spans="1:20" ht="13.7" customHeight="1" x14ac:dyDescent="0.25">
      <c r="E1139" s="5">
        <v>43465</v>
      </c>
      <c r="F1139">
        <v>13250501</v>
      </c>
      <c r="G1139">
        <v>0</v>
      </c>
      <c r="H1139" t="s">
        <v>1117</v>
      </c>
      <c r="I1139" t="s">
        <v>1118</v>
      </c>
      <c r="J1139">
        <v>0</v>
      </c>
      <c r="K1139">
        <v>0</v>
      </c>
      <c r="L1139" s="3">
        <v>-192000</v>
      </c>
      <c r="M1139" s="3">
        <v>0</v>
      </c>
      <c r="N1139">
        <v>0</v>
      </c>
      <c r="O1139">
        <v>0</v>
      </c>
      <c r="P1139">
        <v>-192000</v>
      </c>
      <c r="R1139" t="s">
        <v>1100</v>
      </c>
      <c r="S1139" t="str">
        <v>#N/A</v>
      </c>
      <c r="T1139" t="str">
        <v>31</v>
      </c>
    </row>
    <row r="1140" spans="1:20" ht="13.7" customHeight="1" x14ac:dyDescent="0.25">
      <c r="E1140" s="5">
        <v>43465</v>
      </c>
      <c r="F1140">
        <v>13250501</v>
      </c>
      <c r="G1140">
        <v>0</v>
      </c>
      <c r="H1140" t="s">
        <v>1103</v>
      </c>
      <c r="I1140" t="s">
        <v>1104</v>
      </c>
      <c r="J1140">
        <v>0</v>
      </c>
      <c r="K1140">
        <v>0</v>
      </c>
      <c r="L1140" s="3">
        <v>-2565191</v>
      </c>
      <c r="M1140" s="3">
        <v>0</v>
      </c>
      <c r="N1140">
        <v>0</v>
      </c>
      <c r="O1140">
        <v>0</v>
      </c>
      <c r="P1140">
        <v>-2565191</v>
      </c>
      <c r="R1140" t="s">
        <v>1100</v>
      </c>
      <c r="S1140" t="str">
        <v>#N/A</v>
      </c>
      <c r="T1140" t="str">
        <v>31</v>
      </c>
    </row>
    <row r="1141" spans="1:20" ht="13.7" customHeight="1" x14ac:dyDescent="0.25">
      <c r="E1141" s="5">
        <v>43465</v>
      </c>
      <c r="F1141">
        <v>13250501</v>
      </c>
      <c r="G1141">
        <v>0</v>
      </c>
      <c r="H1141" t="s">
        <v>1513</v>
      </c>
      <c r="I1141" t="s">
        <v>1514</v>
      </c>
      <c r="J1141">
        <v>0</v>
      </c>
      <c r="K1141">
        <v>0</v>
      </c>
      <c r="L1141" s="3">
        <v>-11540</v>
      </c>
      <c r="M1141" s="3">
        <v>0</v>
      </c>
      <c r="N1141">
        <v>0</v>
      </c>
      <c r="O1141">
        <v>0</v>
      </c>
      <c r="P1141">
        <v>-11540</v>
      </c>
      <c r="R1141" t="s">
        <v>1100</v>
      </c>
      <c r="S1141" t="str">
        <v>#N/A</v>
      </c>
      <c r="T1141" t="str">
        <v>#N/A</v>
      </c>
    </row>
    <row r="1142" spans="1:20" ht="13.7" customHeight="1" x14ac:dyDescent="0.25">
      <c r="E1142" s="5">
        <v>43465</v>
      </c>
      <c r="F1142">
        <v>13250501</v>
      </c>
      <c r="G1142">
        <v>0</v>
      </c>
      <c r="H1142" t="s">
        <v>1348</v>
      </c>
      <c r="I1142" t="s">
        <v>1349</v>
      </c>
      <c r="J1142">
        <v>0</v>
      </c>
      <c r="K1142">
        <v>0</v>
      </c>
      <c r="L1142" s="3">
        <v>-150198</v>
      </c>
      <c r="M1142" s="3">
        <v>0</v>
      </c>
      <c r="N1142">
        <v>0</v>
      </c>
      <c r="O1142">
        <v>0</v>
      </c>
      <c r="P1142">
        <v>-150198</v>
      </c>
      <c r="R1142" t="s">
        <v>1100</v>
      </c>
      <c r="S1142" t="str">
        <v>#N/A</v>
      </c>
      <c r="T1142" t="str">
        <v>#N/A</v>
      </c>
    </row>
    <row r="1143" spans="1:20" ht="13.7" customHeight="1" x14ac:dyDescent="0.25">
      <c r="E1143" s="5">
        <v>43465</v>
      </c>
      <c r="F1143">
        <v>13250501</v>
      </c>
      <c r="G1143">
        <v>0</v>
      </c>
      <c r="H1143" t="s">
        <v>1461</v>
      </c>
      <c r="I1143" t="s">
        <v>1462</v>
      </c>
      <c r="J1143">
        <v>0</v>
      </c>
      <c r="K1143">
        <v>0</v>
      </c>
      <c r="L1143" s="3">
        <v>0</v>
      </c>
      <c r="M1143" s="3">
        <v>0</v>
      </c>
      <c r="N1143">
        <v>0</v>
      </c>
      <c r="O1143">
        <v>0</v>
      </c>
      <c r="P1143">
        <v>0</v>
      </c>
      <c r="R1143" t="s">
        <v>1100</v>
      </c>
      <c r="S1143" t="str">
        <v>#N/A</v>
      </c>
      <c r="T1143" t="str">
        <v>#N/A</v>
      </c>
    </row>
    <row r="1144" spans="1:20" ht="13.7" customHeight="1" x14ac:dyDescent="0.25">
      <c r="A1144" t="s">
        <v>26</v>
      </c>
      <c r="B1144" t="s">
        <v>27</v>
      </c>
      <c r="C1144" t="s">
        <v>35</v>
      </c>
      <c r="D1144">
        <v>34</v>
      </c>
      <c r="E1144" s="5">
        <v>43595</v>
      </c>
      <c r="F1144">
        <v>13250501</v>
      </c>
      <c r="G1144">
        <v>0</v>
      </c>
      <c r="H1144" t="s">
        <v>1461</v>
      </c>
      <c r="I1144" t="s">
        <v>1462</v>
      </c>
      <c r="J1144">
        <v>1008</v>
      </c>
      <c r="K1144">
        <v>1316</v>
      </c>
      <c r="L1144" s="3">
        <v>0</v>
      </c>
      <c r="M1144" s="3">
        <v>0</v>
      </c>
      <c r="N1144">
        <v>9100</v>
      </c>
      <c r="O1144">
        <v>0</v>
      </c>
      <c r="P1144">
        <v>-9100</v>
      </c>
      <c r="Q1144" t="s">
        <v>30</v>
      </c>
      <c r="R1144" t="s">
        <v>59</v>
      </c>
      <c r="S1144" t="str">
        <v>#N/A</v>
      </c>
      <c r="T1144" t="str">
        <v>#N/A</v>
      </c>
    </row>
    <row r="1145" spans="1:20" ht="13.7" customHeight="1" x14ac:dyDescent="0.25">
      <c r="E1145" s="5">
        <v>43465</v>
      </c>
      <c r="F1145">
        <v>13250501</v>
      </c>
      <c r="G1145">
        <v>0</v>
      </c>
      <c r="H1145" t="s">
        <v>1515</v>
      </c>
      <c r="I1145" t="s">
        <v>1516</v>
      </c>
      <c r="J1145">
        <v>0</v>
      </c>
      <c r="K1145">
        <v>0</v>
      </c>
      <c r="L1145" s="3">
        <v>-47750</v>
      </c>
      <c r="M1145" s="3">
        <v>0</v>
      </c>
      <c r="N1145">
        <v>0</v>
      </c>
      <c r="O1145">
        <v>0</v>
      </c>
      <c r="P1145">
        <v>-47750</v>
      </c>
      <c r="R1145" t="s">
        <v>1100</v>
      </c>
      <c r="S1145" t="str">
        <v>#N/A</v>
      </c>
      <c r="T1145" t="str">
        <v>#N/A</v>
      </c>
    </row>
    <row r="1146" spans="1:20" ht="13.7" customHeight="1" x14ac:dyDescent="0.25">
      <c r="E1146" s="5">
        <v>43465</v>
      </c>
      <c r="F1146">
        <v>13250501</v>
      </c>
      <c r="G1146">
        <v>0</v>
      </c>
      <c r="H1146" t="s">
        <v>1471</v>
      </c>
      <c r="I1146" t="s">
        <v>1472</v>
      </c>
      <c r="J1146">
        <v>0</v>
      </c>
      <c r="K1146">
        <v>0</v>
      </c>
      <c r="L1146" s="3">
        <v>-10000</v>
      </c>
      <c r="M1146" s="3">
        <v>0</v>
      </c>
      <c r="N1146">
        <v>0</v>
      </c>
      <c r="O1146">
        <v>0</v>
      </c>
      <c r="P1146">
        <v>-10000</v>
      </c>
      <c r="R1146" t="s">
        <v>1100</v>
      </c>
      <c r="S1146" t="str">
        <v>#N/A</v>
      </c>
      <c r="T1146" t="str">
        <v>#N/A</v>
      </c>
    </row>
    <row r="1147" spans="1:20" ht="13.7" customHeight="1" x14ac:dyDescent="0.25">
      <c r="E1147" s="5">
        <v>43465</v>
      </c>
      <c r="F1147">
        <v>13250501</v>
      </c>
      <c r="G1147">
        <v>0</v>
      </c>
      <c r="H1147" t="s">
        <v>1113</v>
      </c>
      <c r="I1147" t="s">
        <v>1114</v>
      </c>
      <c r="J1147">
        <v>0</v>
      </c>
      <c r="K1147">
        <v>0</v>
      </c>
      <c r="L1147" s="3">
        <v>0</v>
      </c>
      <c r="M1147" s="3">
        <v>0</v>
      </c>
      <c r="N1147">
        <v>0</v>
      </c>
      <c r="O1147">
        <v>0</v>
      </c>
      <c r="P1147">
        <v>0</v>
      </c>
      <c r="R1147" t="s">
        <v>1100</v>
      </c>
      <c r="S1147" t="str">
        <v>#N/A</v>
      </c>
      <c r="T1147" t="str">
        <v>31</v>
      </c>
    </row>
    <row r="1148" spans="1:20" ht="13.7" customHeight="1" x14ac:dyDescent="0.25">
      <c r="A1148" t="s">
        <v>26</v>
      </c>
      <c r="B1148" t="s">
        <v>27</v>
      </c>
      <c r="C1148" t="s">
        <v>38</v>
      </c>
      <c r="D1148">
        <v>22</v>
      </c>
      <c r="E1148" s="5">
        <v>43692</v>
      </c>
      <c r="F1148">
        <v>13250501</v>
      </c>
      <c r="G1148">
        <v>0</v>
      </c>
      <c r="H1148" t="s">
        <v>1113</v>
      </c>
      <c r="I1148" t="s">
        <v>1114</v>
      </c>
      <c r="J1148">
        <v>1008</v>
      </c>
      <c r="K1148">
        <v>1316</v>
      </c>
      <c r="L1148" s="3">
        <v>0</v>
      </c>
      <c r="M1148" s="3">
        <v>0</v>
      </c>
      <c r="N1148">
        <v>425000</v>
      </c>
      <c r="O1148">
        <v>0</v>
      </c>
      <c r="P1148">
        <v>-425000</v>
      </c>
      <c r="Q1148" t="s">
        <v>30</v>
      </c>
      <c r="R1148" t="s">
        <v>92</v>
      </c>
      <c r="S1148" t="str">
        <v>#N/A</v>
      </c>
      <c r="T1148" t="str">
        <v>31</v>
      </c>
    </row>
    <row r="1149" spans="1:20" ht="13.7" customHeight="1" x14ac:dyDescent="0.25">
      <c r="E1149" s="5">
        <v>43465</v>
      </c>
      <c r="F1149">
        <v>13250501</v>
      </c>
      <c r="G1149">
        <v>0</v>
      </c>
      <c r="H1149" t="s">
        <v>1517</v>
      </c>
      <c r="I1149" t="s">
        <v>1518</v>
      </c>
      <c r="J1149">
        <v>0</v>
      </c>
      <c r="K1149">
        <v>0</v>
      </c>
      <c r="L1149" s="3">
        <v>-12400</v>
      </c>
      <c r="M1149" s="3">
        <v>0</v>
      </c>
      <c r="N1149">
        <v>0</v>
      </c>
      <c r="O1149">
        <v>0</v>
      </c>
      <c r="P1149">
        <v>-12400</v>
      </c>
      <c r="R1149" t="s">
        <v>1100</v>
      </c>
      <c r="S1149" t="str">
        <v>#N/A</v>
      </c>
      <c r="T1149" t="str">
        <v>#N/A</v>
      </c>
    </row>
    <row r="1150" spans="1:20" ht="13.7" customHeight="1" x14ac:dyDescent="0.25">
      <c r="E1150" s="5">
        <v>43465</v>
      </c>
      <c r="F1150">
        <v>13250501</v>
      </c>
      <c r="G1150">
        <v>0</v>
      </c>
      <c r="H1150" t="s">
        <v>1131</v>
      </c>
      <c r="I1150" t="s">
        <v>1132</v>
      </c>
      <c r="J1150">
        <v>0</v>
      </c>
      <c r="K1150">
        <v>0</v>
      </c>
      <c r="L1150" s="3">
        <v>0</v>
      </c>
      <c r="M1150" s="3">
        <v>0</v>
      </c>
      <c r="N1150">
        <v>0</v>
      </c>
      <c r="O1150">
        <v>0</v>
      </c>
      <c r="P1150">
        <v>0</v>
      </c>
      <c r="R1150" t="s">
        <v>1100</v>
      </c>
      <c r="S1150" t="str">
        <v>#N/A</v>
      </c>
      <c r="T1150" t="str">
        <v>#N/A</v>
      </c>
    </row>
    <row r="1151" spans="1:20" ht="13.7" customHeight="1" x14ac:dyDescent="0.25">
      <c r="A1151" t="s">
        <v>199</v>
      </c>
      <c r="B1151" t="s">
        <v>200</v>
      </c>
      <c r="C1151" t="s">
        <v>32</v>
      </c>
      <c r="D1151">
        <v>3</v>
      </c>
      <c r="E1151" s="5">
        <v>43508</v>
      </c>
      <c r="F1151">
        <v>13250501</v>
      </c>
      <c r="G1151">
        <v>0</v>
      </c>
      <c r="H1151" t="s">
        <v>1131</v>
      </c>
      <c r="I1151" t="s">
        <v>1132</v>
      </c>
      <c r="J1151">
        <v>1008</v>
      </c>
      <c r="K1151">
        <v>1316</v>
      </c>
      <c r="L1151" s="3">
        <v>0</v>
      </c>
      <c r="M1151" s="3">
        <v>0</v>
      </c>
      <c r="N1151">
        <v>2900850</v>
      </c>
      <c r="O1151">
        <v>0</v>
      </c>
      <c r="P1151">
        <v>-2900850</v>
      </c>
      <c r="Q1151" t="s">
        <v>30</v>
      </c>
      <c r="R1151" t="s">
        <v>216</v>
      </c>
      <c r="S1151" t="str">
        <v>#N/A</v>
      </c>
      <c r="T1151" t="str">
        <v>#N/A</v>
      </c>
    </row>
    <row r="1152" spans="1:20" ht="13.7" customHeight="1" x14ac:dyDescent="0.25">
      <c r="E1152" s="5">
        <v>43465</v>
      </c>
      <c r="F1152">
        <v>13250501</v>
      </c>
      <c r="G1152">
        <v>0</v>
      </c>
      <c r="H1152" t="s">
        <v>1519</v>
      </c>
      <c r="I1152" t="s">
        <v>1520</v>
      </c>
      <c r="J1152">
        <v>0</v>
      </c>
      <c r="K1152">
        <v>0</v>
      </c>
      <c r="L1152" s="3">
        <v>-2499</v>
      </c>
      <c r="M1152" s="3">
        <v>0</v>
      </c>
      <c r="N1152">
        <v>0</v>
      </c>
      <c r="O1152">
        <v>0</v>
      </c>
      <c r="P1152">
        <v>-2499</v>
      </c>
      <c r="R1152" t="s">
        <v>1100</v>
      </c>
      <c r="S1152" t="str">
        <v>#N/A</v>
      </c>
      <c r="T1152" t="str">
        <v>#N/A</v>
      </c>
    </row>
    <row r="1153" spans="1:20" ht="13.7" customHeight="1" x14ac:dyDescent="0.25">
      <c r="E1153" s="5">
        <v>43465</v>
      </c>
      <c r="F1153">
        <v>13550501</v>
      </c>
      <c r="G1153">
        <v>0</v>
      </c>
      <c r="H1153" t="s">
        <v>1145</v>
      </c>
      <c r="I1153" t="s">
        <v>1146</v>
      </c>
      <c r="J1153">
        <v>0</v>
      </c>
      <c r="K1153">
        <v>0</v>
      </c>
      <c r="L1153" s="3">
        <v>1128</v>
      </c>
      <c r="M1153" s="3">
        <v>0</v>
      </c>
      <c r="N1153">
        <v>0</v>
      </c>
      <c r="O1153">
        <v>282000</v>
      </c>
      <c r="P1153">
        <v>1128</v>
      </c>
      <c r="R1153" t="s">
        <v>1100</v>
      </c>
      <c r="S1153" t="str">
        <v>#N/A</v>
      </c>
      <c r="T1153" t="str">
        <v>#N/A</v>
      </c>
    </row>
    <row r="1154" spans="1:20" ht="13.7" customHeight="1" x14ac:dyDescent="0.25">
      <c r="E1154" s="5">
        <v>43465</v>
      </c>
      <c r="F1154">
        <v>13550501</v>
      </c>
      <c r="G1154">
        <v>0</v>
      </c>
      <c r="H1154" t="s">
        <v>1127</v>
      </c>
      <c r="I1154" t="s">
        <v>1128</v>
      </c>
      <c r="J1154">
        <v>0</v>
      </c>
      <c r="K1154">
        <v>0</v>
      </c>
      <c r="L1154" s="3">
        <v>105674.5</v>
      </c>
      <c r="M1154" s="3">
        <v>0</v>
      </c>
      <c r="N1154">
        <v>0</v>
      </c>
      <c r="O1154">
        <v>26418625</v>
      </c>
      <c r="P1154">
        <v>105674.5</v>
      </c>
      <c r="R1154" t="s">
        <v>1100</v>
      </c>
      <c r="S1154" t="str">
        <v>#N/A</v>
      </c>
      <c r="T1154" t="str">
        <v>#N/A</v>
      </c>
    </row>
    <row r="1155" spans="1:20" ht="13.7" customHeight="1" x14ac:dyDescent="0.25">
      <c r="A1155" t="s">
        <v>320</v>
      </c>
      <c r="B1155" t="s">
        <v>321</v>
      </c>
      <c r="C1155" t="s">
        <v>142</v>
      </c>
      <c r="D1155">
        <v>335</v>
      </c>
      <c r="E1155" s="5">
        <v>43466</v>
      </c>
      <c r="F1155">
        <v>13550501</v>
      </c>
      <c r="G1155">
        <v>0</v>
      </c>
      <c r="H1155" t="s">
        <v>1127</v>
      </c>
      <c r="I1155" t="s">
        <v>1128</v>
      </c>
      <c r="J1155">
        <v>1001</v>
      </c>
      <c r="K1155">
        <v>5062</v>
      </c>
      <c r="L1155" s="3">
        <v>105674.5</v>
      </c>
      <c r="M1155" s="3">
        <v>1006.72</v>
      </c>
      <c r="N1155">
        <v>0</v>
      </c>
      <c r="O1155">
        <v>251680</v>
      </c>
      <c r="P1155">
        <v>106681.22</v>
      </c>
      <c r="Q1155" t="s">
        <v>30</v>
      </c>
      <c r="R1155" t="s">
        <v>579</v>
      </c>
      <c r="S1155" t="str">
        <v>#N/A</v>
      </c>
      <c r="T1155" t="str">
        <v>#N/A</v>
      </c>
    </row>
    <row r="1156" spans="1:20" ht="13.7" customHeight="1" x14ac:dyDescent="0.25">
      <c r="A1156" t="s">
        <v>320</v>
      </c>
      <c r="B1156" t="s">
        <v>321</v>
      </c>
      <c r="C1156" t="s">
        <v>142</v>
      </c>
      <c r="D1156">
        <v>337</v>
      </c>
      <c r="E1156" s="5">
        <v>43481</v>
      </c>
      <c r="F1156">
        <v>13550501</v>
      </c>
      <c r="G1156">
        <v>0</v>
      </c>
      <c r="H1156" t="s">
        <v>1127</v>
      </c>
      <c r="I1156" t="s">
        <v>1128</v>
      </c>
      <c r="J1156">
        <v>1001</v>
      </c>
      <c r="K1156">
        <v>5062</v>
      </c>
      <c r="L1156" s="3">
        <v>106681.22</v>
      </c>
      <c r="M1156" s="3">
        <v>1592.4480000000001</v>
      </c>
      <c r="N1156">
        <v>0</v>
      </c>
      <c r="O1156">
        <v>398112</v>
      </c>
      <c r="P1156">
        <v>108273.66800000001</v>
      </c>
      <c r="Q1156" t="s">
        <v>30</v>
      </c>
      <c r="R1156" t="s">
        <v>581</v>
      </c>
      <c r="S1156" t="str">
        <v>#N/A</v>
      </c>
      <c r="T1156" t="str">
        <v>#N/A</v>
      </c>
    </row>
    <row r="1157" spans="1:20" ht="13.7" customHeight="1" x14ac:dyDescent="0.25">
      <c r="A1157" t="s">
        <v>320</v>
      </c>
      <c r="B1157" t="s">
        <v>321</v>
      </c>
      <c r="C1157" t="s">
        <v>142</v>
      </c>
      <c r="D1157">
        <v>340</v>
      </c>
      <c r="E1157" s="5">
        <v>43482</v>
      </c>
      <c r="F1157">
        <v>13550501</v>
      </c>
      <c r="G1157">
        <v>0</v>
      </c>
      <c r="H1157" t="s">
        <v>1127</v>
      </c>
      <c r="I1157" t="s">
        <v>1128</v>
      </c>
      <c r="J1157">
        <v>1001</v>
      </c>
      <c r="K1157">
        <v>5062</v>
      </c>
      <c r="L1157" s="3">
        <v>108273.66800000001</v>
      </c>
      <c r="M1157" s="3">
        <v>1085.952</v>
      </c>
      <c r="N1157">
        <v>0</v>
      </c>
      <c r="O1157">
        <v>271488</v>
      </c>
      <c r="P1157">
        <v>109359.62</v>
      </c>
      <c r="Q1157" t="s">
        <v>30</v>
      </c>
      <c r="R1157" t="s">
        <v>584</v>
      </c>
      <c r="S1157" t="str">
        <v>#N/A</v>
      </c>
      <c r="T1157" t="str">
        <v>#N/A</v>
      </c>
    </row>
    <row r="1158" spans="1:20" ht="13.7" customHeight="1" x14ac:dyDescent="0.25">
      <c r="A1158" t="s">
        <v>320</v>
      </c>
      <c r="B1158" t="s">
        <v>321</v>
      </c>
      <c r="C1158" t="s">
        <v>142</v>
      </c>
      <c r="D1158">
        <v>342</v>
      </c>
      <c r="E1158" s="5">
        <v>43484</v>
      </c>
      <c r="F1158">
        <v>13550501</v>
      </c>
      <c r="G1158">
        <v>0</v>
      </c>
      <c r="H1158" t="s">
        <v>1127</v>
      </c>
      <c r="I1158" t="s">
        <v>1128</v>
      </c>
      <c r="J1158">
        <v>1001</v>
      </c>
      <c r="K1158">
        <v>5062</v>
      </c>
      <c r="L1158" s="3">
        <v>109359.62</v>
      </c>
      <c r="M1158" s="3">
        <v>1108.8</v>
      </c>
      <c r="N1158">
        <v>0</v>
      </c>
      <c r="O1158">
        <v>277200</v>
      </c>
      <c r="P1158">
        <v>110468.42</v>
      </c>
      <c r="Q1158" t="s">
        <v>30</v>
      </c>
      <c r="R1158" t="s">
        <v>586</v>
      </c>
      <c r="S1158" t="str">
        <v>#N/A</v>
      </c>
      <c r="T1158" t="str">
        <v>#N/A</v>
      </c>
    </row>
    <row r="1159" spans="1:20" ht="13.7" customHeight="1" x14ac:dyDescent="0.25">
      <c r="A1159" t="s">
        <v>320</v>
      </c>
      <c r="B1159" t="s">
        <v>321</v>
      </c>
      <c r="C1159" t="s">
        <v>142</v>
      </c>
      <c r="D1159">
        <v>343</v>
      </c>
      <c r="E1159" s="5">
        <v>43486</v>
      </c>
      <c r="F1159">
        <v>13550501</v>
      </c>
      <c r="G1159">
        <v>0</v>
      </c>
      <c r="H1159" t="s">
        <v>1127</v>
      </c>
      <c r="I1159" t="s">
        <v>1128</v>
      </c>
      <c r="J1159">
        <v>1001</v>
      </c>
      <c r="K1159">
        <v>5062</v>
      </c>
      <c r="L1159" s="3">
        <v>110468.42</v>
      </c>
      <c r="M1159" s="3">
        <v>1837.6</v>
      </c>
      <c r="N1159">
        <v>0</v>
      </c>
      <c r="O1159">
        <v>459400</v>
      </c>
      <c r="P1159">
        <v>112306.02</v>
      </c>
      <c r="Q1159" t="s">
        <v>30</v>
      </c>
      <c r="R1159" t="s">
        <v>587</v>
      </c>
      <c r="S1159" t="str">
        <v>#N/A</v>
      </c>
      <c r="T1159" t="str">
        <v>#N/A</v>
      </c>
    </row>
    <row r="1160" spans="1:20" ht="13.7" customHeight="1" x14ac:dyDescent="0.25">
      <c r="A1160" t="s">
        <v>320</v>
      </c>
      <c r="B1160" t="s">
        <v>321</v>
      </c>
      <c r="C1160" t="s">
        <v>142</v>
      </c>
      <c r="D1160">
        <v>345</v>
      </c>
      <c r="E1160" s="5">
        <v>43487</v>
      </c>
      <c r="F1160">
        <v>13550501</v>
      </c>
      <c r="G1160">
        <v>0</v>
      </c>
      <c r="H1160" t="s">
        <v>1127</v>
      </c>
      <c r="I1160" t="s">
        <v>1128</v>
      </c>
      <c r="J1160">
        <v>1001</v>
      </c>
      <c r="K1160">
        <v>5062</v>
      </c>
      <c r="L1160" s="3">
        <v>112306.02</v>
      </c>
      <c r="M1160" s="3">
        <v>1603.2</v>
      </c>
      <c r="N1160">
        <v>0</v>
      </c>
      <c r="O1160">
        <v>400800</v>
      </c>
      <c r="P1160">
        <v>113909.22</v>
      </c>
      <c r="Q1160" t="s">
        <v>30</v>
      </c>
      <c r="R1160" t="s">
        <v>589</v>
      </c>
      <c r="S1160" t="str">
        <v>#N/A</v>
      </c>
      <c r="T1160" t="str">
        <v>#N/A</v>
      </c>
    </row>
    <row r="1161" spans="1:20" ht="13.7" customHeight="1" x14ac:dyDescent="0.25">
      <c r="A1161" t="s">
        <v>320</v>
      </c>
      <c r="B1161" t="s">
        <v>321</v>
      </c>
      <c r="C1161" t="s">
        <v>142</v>
      </c>
      <c r="D1161">
        <v>346</v>
      </c>
      <c r="E1161" s="5">
        <v>43489</v>
      </c>
      <c r="F1161">
        <v>13550501</v>
      </c>
      <c r="G1161">
        <v>0</v>
      </c>
      <c r="H1161" t="s">
        <v>1127</v>
      </c>
      <c r="I1161" t="s">
        <v>1128</v>
      </c>
      <c r="J1161">
        <v>1001</v>
      </c>
      <c r="K1161">
        <v>5062</v>
      </c>
      <c r="L1161" s="3">
        <v>113909.22</v>
      </c>
      <c r="M1161" s="3">
        <v>1551.52</v>
      </c>
      <c r="N1161">
        <v>0</v>
      </c>
      <c r="O1161">
        <v>387880</v>
      </c>
      <c r="P1161">
        <v>115460.74</v>
      </c>
      <c r="Q1161" t="s">
        <v>30</v>
      </c>
      <c r="R1161" t="s">
        <v>590</v>
      </c>
      <c r="S1161" t="str">
        <v>#N/A</v>
      </c>
      <c r="T1161" t="str">
        <v>#N/A</v>
      </c>
    </row>
    <row r="1162" spans="1:20" ht="13.7" customHeight="1" x14ac:dyDescent="0.25">
      <c r="A1162" t="s">
        <v>320</v>
      </c>
      <c r="B1162" t="s">
        <v>321</v>
      </c>
      <c r="C1162" t="s">
        <v>142</v>
      </c>
      <c r="D1162">
        <v>347</v>
      </c>
      <c r="E1162" s="5">
        <v>43490</v>
      </c>
      <c r="F1162">
        <v>13550501</v>
      </c>
      <c r="G1162">
        <v>0</v>
      </c>
      <c r="H1162" t="s">
        <v>1127</v>
      </c>
      <c r="I1162" t="s">
        <v>1128</v>
      </c>
      <c r="J1162">
        <v>1001</v>
      </c>
      <c r="K1162">
        <v>5062</v>
      </c>
      <c r="L1162" s="3">
        <v>115460.74</v>
      </c>
      <c r="M1162" s="3">
        <v>325.76</v>
      </c>
      <c r="N1162">
        <v>0</v>
      </c>
      <c r="O1162">
        <v>81440</v>
      </c>
      <c r="P1162">
        <v>115786.5</v>
      </c>
      <c r="Q1162" t="s">
        <v>30</v>
      </c>
      <c r="R1162" t="s">
        <v>591</v>
      </c>
      <c r="S1162" t="str">
        <v>#N/A</v>
      </c>
      <c r="T1162" t="str">
        <v>#N/A</v>
      </c>
    </row>
    <row r="1163" spans="1:20" ht="13.7" customHeight="1" x14ac:dyDescent="0.25">
      <c r="A1163" t="s">
        <v>320</v>
      </c>
      <c r="B1163" t="s">
        <v>321</v>
      </c>
      <c r="C1163" t="s">
        <v>142</v>
      </c>
      <c r="D1163">
        <v>350</v>
      </c>
      <c r="E1163" s="5">
        <v>43495</v>
      </c>
      <c r="F1163">
        <v>13550501</v>
      </c>
      <c r="G1163">
        <v>0</v>
      </c>
      <c r="H1163" t="s">
        <v>1127</v>
      </c>
      <c r="I1163" t="s">
        <v>1128</v>
      </c>
      <c r="J1163">
        <v>1001</v>
      </c>
      <c r="K1163">
        <v>5062</v>
      </c>
      <c r="L1163" s="3">
        <v>115786.5</v>
      </c>
      <c r="M1163" s="3">
        <v>1961.92</v>
      </c>
      <c r="N1163">
        <v>0</v>
      </c>
      <c r="O1163">
        <v>490480</v>
      </c>
      <c r="P1163">
        <v>117748.42</v>
      </c>
      <c r="Q1163" t="s">
        <v>30</v>
      </c>
      <c r="R1163" t="s">
        <v>578</v>
      </c>
      <c r="S1163" t="str">
        <v>#N/A</v>
      </c>
      <c r="T1163" t="str">
        <v>#N/A</v>
      </c>
    </row>
    <row r="1164" spans="1:20" ht="13.7" customHeight="1" x14ac:dyDescent="0.25">
      <c r="A1164" t="s">
        <v>320</v>
      </c>
      <c r="B1164" t="s">
        <v>321</v>
      </c>
      <c r="C1164" t="s">
        <v>142</v>
      </c>
      <c r="D1164">
        <v>355</v>
      </c>
      <c r="E1164" s="5">
        <v>43501</v>
      </c>
      <c r="F1164">
        <v>13550501</v>
      </c>
      <c r="G1164">
        <v>0</v>
      </c>
      <c r="H1164" t="s">
        <v>1127</v>
      </c>
      <c r="I1164" t="s">
        <v>1128</v>
      </c>
      <c r="J1164">
        <v>1001</v>
      </c>
      <c r="K1164">
        <v>5062</v>
      </c>
      <c r="L1164" s="3">
        <v>117748.42</v>
      </c>
      <c r="M1164" s="3">
        <v>3528</v>
      </c>
      <c r="N1164">
        <v>0</v>
      </c>
      <c r="O1164">
        <v>882000</v>
      </c>
      <c r="P1164">
        <v>121276.42</v>
      </c>
      <c r="Q1164" t="s">
        <v>30</v>
      </c>
      <c r="R1164" t="s">
        <v>594</v>
      </c>
      <c r="S1164" t="str">
        <v>#N/A</v>
      </c>
      <c r="T1164" t="str">
        <v>#N/A</v>
      </c>
    </row>
    <row r="1165" spans="1:20" ht="13.7" customHeight="1" x14ac:dyDescent="0.25">
      <c r="A1165" t="s">
        <v>320</v>
      </c>
      <c r="B1165" t="s">
        <v>321</v>
      </c>
      <c r="C1165" t="s">
        <v>142</v>
      </c>
      <c r="D1165">
        <v>356</v>
      </c>
      <c r="E1165" s="5">
        <v>43504</v>
      </c>
      <c r="F1165">
        <v>13550501</v>
      </c>
      <c r="G1165">
        <v>0</v>
      </c>
      <c r="H1165" t="s">
        <v>1127</v>
      </c>
      <c r="I1165" t="s">
        <v>1128</v>
      </c>
      <c r="J1165">
        <v>1001</v>
      </c>
      <c r="K1165">
        <v>5062</v>
      </c>
      <c r="L1165" s="3">
        <v>121276.42</v>
      </c>
      <c r="M1165" s="3">
        <v>2182.4</v>
      </c>
      <c r="N1165">
        <v>0</v>
      </c>
      <c r="O1165">
        <v>545600</v>
      </c>
      <c r="P1165">
        <v>123458.82</v>
      </c>
      <c r="Q1165" t="s">
        <v>30</v>
      </c>
      <c r="R1165" t="s">
        <v>595</v>
      </c>
      <c r="S1165" t="str">
        <v>#N/A</v>
      </c>
      <c r="T1165" t="str">
        <v>#N/A</v>
      </c>
    </row>
    <row r="1166" spans="1:20" ht="13.7" customHeight="1" x14ac:dyDescent="0.25">
      <c r="A1166" t="s">
        <v>320</v>
      </c>
      <c r="B1166" t="s">
        <v>321</v>
      </c>
      <c r="C1166" t="s">
        <v>142</v>
      </c>
      <c r="D1166">
        <v>365</v>
      </c>
      <c r="E1166" s="5">
        <v>43511</v>
      </c>
      <c r="F1166">
        <v>13550501</v>
      </c>
      <c r="G1166">
        <v>0</v>
      </c>
      <c r="H1166" t="s">
        <v>1127</v>
      </c>
      <c r="I1166" t="s">
        <v>1128</v>
      </c>
      <c r="J1166">
        <v>1001</v>
      </c>
      <c r="K1166">
        <v>5062</v>
      </c>
      <c r="L1166" s="3">
        <v>123458.82</v>
      </c>
      <c r="M1166" s="3">
        <v>10864.96</v>
      </c>
      <c r="N1166">
        <v>0</v>
      </c>
      <c r="O1166">
        <v>2716240</v>
      </c>
      <c r="P1166">
        <v>134323.78</v>
      </c>
      <c r="Q1166" t="s">
        <v>30</v>
      </c>
      <c r="R1166" t="s">
        <v>603</v>
      </c>
      <c r="S1166" t="str">
        <v>#N/A</v>
      </c>
      <c r="T1166" t="str">
        <v>#N/A</v>
      </c>
    </row>
    <row r="1167" spans="1:20" ht="13.7" customHeight="1" x14ac:dyDescent="0.25">
      <c r="A1167" t="s">
        <v>320</v>
      </c>
      <c r="B1167" t="s">
        <v>321</v>
      </c>
      <c r="C1167" t="s">
        <v>142</v>
      </c>
      <c r="D1167">
        <v>366</v>
      </c>
      <c r="E1167" s="5">
        <v>43512</v>
      </c>
      <c r="F1167">
        <v>13550501</v>
      </c>
      <c r="G1167">
        <v>0</v>
      </c>
      <c r="H1167" t="s">
        <v>1127</v>
      </c>
      <c r="I1167" t="s">
        <v>1128</v>
      </c>
      <c r="J1167">
        <v>1001</v>
      </c>
      <c r="K1167">
        <v>5062</v>
      </c>
      <c r="L1167" s="3">
        <v>134323.78</v>
      </c>
      <c r="M1167" s="3">
        <v>1612.8</v>
      </c>
      <c r="N1167">
        <v>0</v>
      </c>
      <c r="O1167">
        <v>403200</v>
      </c>
      <c r="P1167">
        <v>135936.57999999999</v>
      </c>
      <c r="Q1167" t="s">
        <v>30</v>
      </c>
      <c r="R1167" t="s">
        <v>604</v>
      </c>
      <c r="S1167" t="str">
        <v>#N/A</v>
      </c>
      <c r="T1167" t="str">
        <v>#N/A</v>
      </c>
    </row>
    <row r="1168" spans="1:20" ht="13.7" customHeight="1" x14ac:dyDescent="0.25">
      <c r="A1168" t="s">
        <v>320</v>
      </c>
      <c r="B1168" t="s">
        <v>321</v>
      </c>
      <c r="C1168" t="s">
        <v>142</v>
      </c>
      <c r="D1168">
        <v>372</v>
      </c>
      <c r="E1168" s="5">
        <v>43517</v>
      </c>
      <c r="F1168">
        <v>13550501</v>
      </c>
      <c r="G1168">
        <v>0</v>
      </c>
      <c r="H1168" t="s">
        <v>1127</v>
      </c>
      <c r="I1168" t="s">
        <v>1128</v>
      </c>
      <c r="J1168">
        <v>1001</v>
      </c>
      <c r="K1168">
        <v>5062</v>
      </c>
      <c r="L1168" s="3">
        <v>135936.57999999999</v>
      </c>
      <c r="M1168" s="3">
        <v>573.6</v>
      </c>
      <c r="N1168">
        <v>0</v>
      </c>
      <c r="O1168">
        <v>143400</v>
      </c>
      <c r="P1168">
        <v>136510.18</v>
      </c>
      <c r="Q1168" t="s">
        <v>30</v>
      </c>
      <c r="R1168" t="s">
        <v>363</v>
      </c>
      <c r="S1168" t="str">
        <v>#N/A</v>
      </c>
      <c r="T1168" t="str">
        <v>#N/A</v>
      </c>
    </row>
    <row r="1169" spans="1:20" ht="13.7" customHeight="1" x14ac:dyDescent="0.25">
      <c r="A1169" t="s">
        <v>320</v>
      </c>
      <c r="B1169" t="s">
        <v>321</v>
      </c>
      <c r="C1169" t="s">
        <v>142</v>
      </c>
      <c r="D1169">
        <v>378</v>
      </c>
      <c r="E1169" s="5">
        <v>43530</v>
      </c>
      <c r="F1169">
        <v>13550501</v>
      </c>
      <c r="G1169">
        <v>0</v>
      </c>
      <c r="H1169" t="s">
        <v>1127</v>
      </c>
      <c r="I1169" t="s">
        <v>1128</v>
      </c>
      <c r="J1169">
        <v>1001</v>
      </c>
      <c r="K1169">
        <v>5062</v>
      </c>
      <c r="L1169" s="3">
        <v>136510.18</v>
      </c>
      <c r="M1169" s="3">
        <v>5343.8</v>
      </c>
      <c r="N1169">
        <v>0</v>
      </c>
      <c r="O1169">
        <v>1335950</v>
      </c>
      <c r="P1169">
        <v>141853.98000000001</v>
      </c>
      <c r="Q1169" t="s">
        <v>30</v>
      </c>
      <c r="R1169" t="s">
        <v>394</v>
      </c>
      <c r="S1169" t="str">
        <v>#N/A</v>
      </c>
      <c r="T1169" t="str">
        <v>#N/A</v>
      </c>
    </row>
    <row r="1170" spans="1:20" ht="13.7" customHeight="1" x14ac:dyDescent="0.25">
      <c r="A1170" t="s">
        <v>320</v>
      </c>
      <c r="B1170" t="s">
        <v>321</v>
      </c>
      <c r="C1170" t="s">
        <v>142</v>
      </c>
      <c r="D1170">
        <v>380</v>
      </c>
      <c r="E1170" s="5">
        <v>43533</v>
      </c>
      <c r="F1170">
        <v>13550501</v>
      </c>
      <c r="G1170">
        <v>0</v>
      </c>
      <c r="H1170" t="s">
        <v>1127</v>
      </c>
      <c r="I1170" t="s">
        <v>1128</v>
      </c>
      <c r="J1170">
        <v>1001</v>
      </c>
      <c r="K1170">
        <v>5062</v>
      </c>
      <c r="L1170" s="3">
        <v>141853.98000000001</v>
      </c>
      <c r="M1170" s="3">
        <v>5225.6000000000004</v>
      </c>
      <c r="N1170">
        <v>0</v>
      </c>
      <c r="O1170">
        <v>1306400</v>
      </c>
      <c r="P1170">
        <v>147079.57999999999</v>
      </c>
      <c r="Q1170" t="s">
        <v>30</v>
      </c>
      <c r="R1170" t="s">
        <v>398</v>
      </c>
      <c r="S1170" t="str">
        <v>#N/A</v>
      </c>
      <c r="T1170" t="str">
        <v>#N/A</v>
      </c>
    </row>
    <row r="1171" spans="1:20" ht="13.7" customHeight="1" x14ac:dyDescent="0.25">
      <c r="A1171" t="s">
        <v>320</v>
      </c>
      <c r="B1171" t="s">
        <v>321</v>
      </c>
      <c r="C1171" t="s">
        <v>142</v>
      </c>
      <c r="D1171">
        <v>382</v>
      </c>
      <c r="E1171" s="5">
        <v>43536</v>
      </c>
      <c r="F1171">
        <v>13550501</v>
      </c>
      <c r="G1171">
        <v>0</v>
      </c>
      <c r="H1171" t="s">
        <v>1127</v>
      </c>
      <c r="I1171" t="s">
        <v>1128</v>
      </c>
      <c r="J1171">
        <v>1001</v>
      </c>
      <c r="K1171">
        <v>5062</v>
      </c>
      <c r="L1171" s="3">
        <v>147079.57999999999</v>
      </c>
      <c r="M1171" s="3">
        <v>1992</v>
      </c>
      <c r="N1171">
        <v>0</v>
      </c>
      <c r="O1171">
        <v>498000</v>
      </c>
      <c r="P1171">
        <v>149071.57999999999</v>
      </c>
      <c r="Q1171" t="s">
        <v>30</v>
      </c>
      <c r="R1171" t="s">
        <v>400</v>
      </c>
      <c r="S1171" t="str">
        <v>#N/A</v>
      </c>
      <c r="T1171" t="str">
        <v>#N/A</v>
      </c>
    </row>
    <row r="1172" spans="1:20" ht="13.7" customHeight="1" x14ac:dyDescent="0.25">
      <c r="A1172" t="s">
        <v>320</v>
      </c>
      <c r="B1172" t="s">
        <v>321</v>
      </c>
      <c r="C1172" t="s">
        <v>142</v>
      </c>
      <c r="D1172">
        <v>384</v>
      </c>
      <c r="E1172" s="5">
        <v>43542</v>
      </c>
      <c r="F1172">
        <v>13550501</v>
      </c>
      <c r="G1172">
        <v>0</v>
      </c>
      <c r="H1172" t="s">
        <v>1127</v>
      </c>
      <c r="I1172" t="s">
        <v>1128</v>
      </c>
      <c r="J1172">
        <v>1001</v>
      </c>
      <c r="K1172">
        <v>5062</v>
      </c>
      <c r="L1172" s="3">
        <v>149071.57999999999</v>
      </c>
      <c r="M1172" s="3">
        <v>259.60000000000002</v>
      </c>
      <c r="N1172">
        <v>0</v>
      </c>
      <c r="O1172">
        <v>64900</v>
      </c>
      <c r="P1172">
        <v>149331.18</v>
      </c>
      <c r="Q1172" t="s">
        <v>30</v>
      </c>
      <c r="R1172" t="s">
        <v>406</v>
      </c>
      <c r="S1172" t="str">
        <v>#N/A</v>
      </c>
      <c r="T1172" t="str">
        <v>#N/A</v>
      </c>
    </row>
    <row r="1173" spans="1:20" ht="13.7" customHeight="1" x14ac:dyDescent="0.25">
      <c r="A1173" t="s">
        <v>320</v>
      </c>
      <c r="B1173" t="s">
        <v>321</v>
      </c>
      <c r="C1173" t="s">
        <v>142</v>
      </c>
      <c r="D1173">
        <v>392</v>
      </c>
      <c r="E1173" s="5">
        <v>43553</v>
      </c>
      <c r="F1173">
        <v>13550501</v>
      </c>
      <c r="G1173">
        <v>0</v>
      </c>
      <c r="H1173" t="s">
        <v>1127</v>
      </c>
      <c r="I1173" t="s">
        <v>1128</v>
      </c>
      <c r="J1173">
        <v>1001</v>
      </c>
      <c r="K1173">
        <v>5062</v>
      </c>
      <c r="L1173" s="3">
        <v>149331.18</v>
      </c>
      <c r="M1173" s="3">
        <v>500</v>
      </c>
      <c r="N1173">
        <v>0</v>
      </c>
      <c r="O1173">
        <v>125000</v>
      </c>
      <c r="P1173">
        <v>149831.18</v>
      </c>
      <c r="Q1173" t="s">
        <v>30</v>
      </c>
      <c r="R1173" t="s">
        <v>418</v>
      </c>
      <c r="S1173" t="str">
        <v>#N/A</v>
      </c>
      <c r="T1173" t="str">
        <v>#N/A</v>
      </c>
    </row>
    <row r="1174" spans="1:20" ht="13.7" customHeight="1" x14ac:dyDescent="0.25">
      <c r="A1174" t="s">
        <v>320</v>
      </c>
      <c r="B1174" t="s">
        <v>321</v>
      </c>
      <c r="C1174" t="s">
        <v>142</v>
      </c>
      <c r="D1174">
        <v>394</v>
      </c>
      <c r="E1174" s="5">
        <v>43554</v>
      </c>
      <c r="F1174">
        <v>13550501</v>
      </c>
      <c r="G1174">
        <v>0</v>
      </c>
      <c r="H1174" t="s">
        <v>1127</v>
      </c>
      <c r="I1174" t="s">
        <v>1128</v>
      </c>
      <c r="J1174">
        <v>1001</v>
      </c>
      <c r="K1174">
        <v>5062</v>
      </c>
      <c r="L1174" s="3">
        <v>149831.18</v>
      </c>
      <c r="M1174" s="3">
        <v>1760</v>
      </c>
      <c r="N1174">
        <v>0</v>
      </c>
      <c r="O1174">
        <v>440200</v>
      </c>
      <c r="P1174">
        <v>151591.18</v>
      </c>
      <c r="Q1174" t="s">
        <v>30</v>
      </c>
      <c r="R1174" t="s">
        <v>420</v>
      </c>
      <c r="S1174" t="str">
        <v>#N/A</v>
      </c>
      <c r="T1174" t="str">
        <v>#N/A</v>
      </c>
    </row>
    <row r="1175" spans="1:20" ht="13.7" customHeight="1" x14ac:dyDescent="0.25">
      <c r="A1175" t="s">
        <v>320</v>
      </c>
      <c r="B1175" t="s">
        <v>321</v>
      </c>
      <c r="C1175" t="s">
        <v>142</v>
      </c>
      <c r="D1175">
        <v>408</v>
      </c>
      <c r="E1175" s="5">
        <v>43566</v>
      </c>
      <c r="F1175">
        <v>13550501</v>
      </c>
      <c r="G1175">
        <v>0</v>
      </c>
      <c r="H1175" t="s">
        <v>1127</v>
      </c>
      <c r="I1175" t="s">
        <v>1128</v>
      </c>
      <c r="J1175">
        <v>1001</v>
      </c>
      <c r="K1175">
        <v>5062</v>
      </c>
      <c r="L1175" s="3">
        <v>151591.18</v>
      </c>
      <c r="M1175" s="3">
        <v>1017.6</v>
      </c>
      <c r="N1175">
        <v>0</v>
      </c>
      <c r="O1175">
        <v>254400</v>
      </c>
      <c r="P1175">
        <v>152608.78</v>
      </c>
      <c r="Q1175" t="s">
        <v>30</v>
      </c>
      <c r="R1175" t="s">
        <v>428</v>
      </c>
      <c r="S1175" t="str">
        <v>#N/A</v>
      </c>
      <c r="T1175" t="str">
        <v>#N/A</v>
      </c>
    </row>
    <row r="1176" spans="1:20" ht="13.7" customHeight="1" x14ac:dyDescent="0.25">
      <c r="A1176" t="s">
        <v>320</v>
      </c>
      <c r="B1176" t="s">
        <v>321</v>
      </c>
      <c r="C1176" t="s">
        <v>142</v>
      </c>
      <c r="D1176">
        <v>413</v>
      </c>
      <c r="E1176" s="5">
        <v>43572</v>
      </c>
      <c r="F1176">
        <v>13550501</v>
      </c>
      <c r="G1176">
        <v>0</v>
      </c>
      <c r="H1176" t="s">
        <v>1127</v>
      </c>
      <c r="I1176" t="s">
        <v>1128</v>
      </c>
      <c r="J1176">
        <v>1001</v>
      </c>
      <c r="K1176">
        <v>5062</v>
      </c>
      <c r="L1176" s="3">
        <v>152608.78</v>
      </c>
      <c r="M1176" s="3">
        <v>6004.6</v>
      </c>
      <c r="N1176">
        <v>0</v>
      </c>
      <c r="O1176">
        <v>1501150</v>
      </c>
      <c r="P1176">
        <v>158613.38</v>
      </c>
      <c r="Q1176" t="s">
        <v>30</v>
      </c>
      <c r="R1176" t="s">
        <v>432</v>
      </c>
      <c r="S1176" t="str">
        <v>#N/A</v>
      </c>
      <c r="T1176" t="str">
        <v>#N/A</v>
      </c>
    </row>
    <row r="1177" spans="1:20" ht="13.7" customHeight="1" x14ac:dyDescent="0.25">
      <c r="A1177" t="s">
        <v>320</v>
      </c>
      <c r="B1177" t="s">
        <v>321</v>
      </c>
      <c r="C1177" t="s">
        <v>142</v>
      </c>
      <c r="D1177">
        <v>418</v>
      </c>
      <c r="E1177" s="5">
        <v>43581</v>
      </c>
      <c r="F1177">
        <v>13550501</v>
      </c>
      <c r="G1177">
        <v>0</v>
      </c>
      <c r="H1177" t="s">
        <v>1127</v>
      </c>
      <c r="I1177" t="s">
        <v>1128</v>
      </c>
      <c r="J1177">
        <v>1001</v>
      </c>
      <c r="K1177">
        <v>5062</v>
      </c>
      <c r="L1177" s="3">
        <v>158613.38</v>
      </c>
      <c r="M1177" s="3">
        <v>3787.84</v>
      </c>
      <c r="N1177">
        <v>0</v>
      </c>
      <c r="O1177">
        <v>946960</v>
      </c>
      <c r="P1177">
        <v>162401.22</v>
      </c>
      <c r="Q1177" t="s">
        <v>30</v>
      </c>
      <c r="R1177" t="s">
        <v>437</v>
      </c>
      <c r="S1177" t="str">
        <v>#N/A</v>
      </c>
      <c r="T1177" t="str">
        <v>#N/A</v>
      </c>
    </row>
    <row r="1178" spans="1:20" ht="13.7" customHeight="1" x14ac:dyDescent="0.25">
      <c r="A1178" t="s">
        <v>320</v>
      </c>
      <c r="B1178" t="s">
        <v>321</v>
      </c>
      <c r="C1178" t="s">
        <v>142</v>
      </c>
      <c r="D1178">
        <v>421</v>
      </c>
      <c r="E1178" s="5">
        <v>43589</v>
      </c>
      <c r="F1178">
        <v>13550501</v>
      </c>
      <c r="G1178">
        <v>0</v>
      </c>
      <c r="H1178" t="s">
        <v>1127</v>
      </c>
      <c r="I1178" t="s">
        <v>1128</v>
      </c>
      <c r="J1178">
        <v>1001</v>
      </c>
      <c r="K1178">
        <v>5062</v>
      </c>
      <c r="L1178" s="3">
        <v>162401.22</v>
      </c>
      <c r="M1178" s="3">
        <v>532.79999999999995</v>
      </c>
      <c r="N1178">
        <v>0</v>
      </c>
      <c r="O1178">
        <v>133200</v>
      </c>
      <c r="P1178">
        <v>162934.01999999999</v>
      </c>
      <c r="Q1178" t="s">
        <v>30</v>
      </c>
      <c r="R1178" t="s">
        <v>440</v>
      </c>
      <c r="S1178" t="str">
        <v>#N/A</v>
      </c>
      <c r="T1178" t="str">
        <v>#N/A</v>
      </c>
    </row>
    <row r="1179" spans="1:20" ht="13.7" customHeight="1" x14ac:dyDescent="0.25">
      <c r="A1179" t="s">
        <v>320</v>
      </c>
      <c r="B1179" t="s">
        <v>321</v>
      </c>
      <c r="C1179" t="s">
        <v>142</v>
      </c>
      <c r="D1179">
        <v>424</v>
      </c>
      <c r="E1179" s="5">
        <v>43591</v>
      </c>
      <c r="F1179">
        <v>13550501</v>
      </c>
      <c r="G1179">
        <v>0</v>
      </c>
      <c r="H1179" t="s">
        <v>1127</v>
      </c>
      <c r="I1179" t="s">
        <v>1128</v>
      </c>
      <c r="J1179">
        <v>1001</v>
      </c>
      <c r="K1179">
        <v>5062</v>
      </c>
      <c r="L1179" s="3">
        <v>162934.01999999999</v>
      </c>
      <c r="M1179" s="3">
        <v>1387.2</v>
      </c>
      <c r="N1179">
        <v>0</v>
      </c>
      <c r="O1179">
        <v>346800</v>
      </c>
      <c r="P1179">
        <v>164321.22</v>
      </c>
      <c r="Q1179" t="s">
        <v>30</v>
      </c>
      <c r="R1179" t="s">
        <v>441</v>
      </c>
      <c r="S1179" t="str">
        <v>#N/A</v>
      </c>
      <c r="T1179" t="str">
        <v>#N/A</v>
      </c>
    </row>
    <row r="1180" spans="1:20" ht="13.7" customHeight="1" x14ac:dyDescent="0.25">
      <c r="A1180" t="s">
        <v>320</v>
      </c>
      <c r="B1180" t="s">
        <v>321</v>
      </c>
      <c r="C1180" t="s">
        <v>142</v>
      </c>
      <c r="D1180">
        <v>426</v>
      </c>
      <c r="E1180" s="5">
        <v>43593</v>
      </c>
      <c r="F1180">
        <v>13550501</v>
      </c>
      <c r="G1180">
        <v>0</v>
      </c>
      <c r="H1180" t="s">
        <v>1127</v>
      </c>
      <c r="I1180" t="s">
        <v>1128</v>
      </c>
      <c r="J1180">
        <v>1001</v>
      </c>
      <c r="K1180">
        <v>5062</v>
      </c>
      <c r="L1180" s="3">
        <v>164321.22</v>
      </c>
      <c r="M1180" s="3">
        <v>1000.8</v>
      </c>
      <c r="N1180">
        <v>0</v>
      </c>
      <c r="O1180">
        <v>250200</v>
      </c>
      <c r="P1180">
        <v>165322.01999999999</v>
      </c>
      <c r="Q1180" t="s">
        <v>30</v>
      </c>
      <c r="R1180" t="s">
        <v>443</v>
      </c>
      <c r="S1180" t="str">
        <v>#N/A</v>
      </c>
      <c r="T1180" t="str">
        <v>#N/A</v>
      </c>
    </row>
    <row r="1181" spans="1:20" ht="13.7" customHeight="1" x14ac:dyDescent="0.25">
      <c r="A1181" t="s">
        <v>320</v>
      </c>
      <c r="B1181" t="s">
        <v>321</v>
      </c>
      <c r="C1181" t="s">
        <v>142</v>
      </c>
      <c r="D1181">
        <v>431</v>
      </c>
      <c r="E1181" s="5">
        <v>43596</v>
      </c>
      <c r="F1181">
        <v>13550501</v>
      </c>
      <c r="G1181">
        <v>0</v>
      </c>
      <c r="H1181" t="s">
        <v>1127</v>
      </c>
      <c r="I1181" t="s">
        <v>1128</v>
      </c>
      <c r="J1181">
        <v>1001</v>
      </c>
      <c r="K1181">
        <v>5062</v>
      </c>
      <c r="L1181" s="3">
        <v>165322.01999999999</v>
      </c>
      <c r="M1181" s="3">
        <v>525.6</v>
      </c>
      <c r="N1181">
        <v>0</v>
      </c>
      <c r="O1181">
        <v>131400</v>
      </c>
      <c r="P1181">
        <v>165847.62</v>
      </c>
      <c r="Q1181" t="s">
        <v>30</v>
      </c>
      <c r="R1181" t="s">
        <v>448</v>
      </c>
      <c r="S1181" t="str">
        <v>#N/A</v>
      </c>
      <c r="T1181" t="str">
        <v>#N/A</v>
      </c>
    </row>
    <row r="1182" spans="1:20" ht="13.7" customHeight="1" x14ac:dyDescent="0.25">
      <c r="A1182" t="s">
        <v>320</v>
      </c>
      <c r="B1182" t="s">
        <v>321</v>
      </c>
      <c r="C1182" t="s">
        <v>142</v>
      </c>
      <c r="D1182">
        <v>432</v>
      </c>
      <c r="E1182" s="5">
        <v>43599</v>
      </c>
      <c r="F1182">
        <v>13550501</v>
      </c>
      <c r="G1182">
        <v>0</v>
      </c>
      <c r="H1182" t="s">
        <v>1127</v>
      </c>
      <c r="I1182" t="s">
        <v>1128</v>
      </c>
      <c r="J1182">
        <v>1001</v>
      </c>
      <c r="K1182">
        <v>5062</v>
      </c>
      <c r="L1182" s="3">
        <v>165847.62</v>
      </c>
      <c r="M1182" s="3">
        <v>352.8</v>
      </c>
      <c r="N1182">
        <v>0</v>
      </c>
      <c r="O1182">
        <v>88200</v>
      </c>
      <c r="P1182">
        <v>166200.42000000001</v>
      </c>
      <c r="Q1182" t="s">
        <v>30</v>
      </c>
      <c r="R1182" t="s">
        <v>449</v>
      </c>
      <c r="S1182" t="str">
        <v>#N/A</v>
      </c>
      <c r="T1182" t="str">
        <v>#N/A</v>
      </c>
    </row>
    <row r="1183" spans="1:20" ht="13.7" customHeight="1" x14ac:dyDescent="0.25">
      <c r="A1183" t="s">
        <v>320</v>
      </c>
      <c r="B1183" t="s">
        <v>321</v>
      </c>
      <c r="C1183" t="s">
        <v>142</v>
      </c>
      <c r="D1183">
        <v>433</v>
      </c>
      <c r="E1183" s="5">
        <v>43602</v>
      </c>
      <c r="F1183">
        <v>13550501</v>
      </c>
      <c r="G1183">
        <v>0</v>
      </c>
      <c r="H1183" t="s">
        <v>1127</v>
      </c>
      <c r="I1183" t="s">
        <v>1128</v>
      </c>
      <c r="J1183">
        <v>1001</v>
      </c>
      <c r="K1183">
        <v>5062</v>
      </c>
      <c r="L1183" s="3">
        <v>166200.42000000001</v>
      </c>
      <c r="M1183" s="3">
        <v>1046.4000000000001</v>
      </c>
      <c r="N1183">
        <v>0</v>
      </c>
      <c r="O1183">
        <v>261600</v>
      </c>
      <c r="P1183">
        <v>167246.82</v>
      </c>
      <c r="Q1183" t="s">
        <v>30</v>
      </c>
      <c r="R1183" t="s">
        <v>450</v>
      </c>
      <c r="S1183" t="str">
        <v>#N/A</v>
      </c>
      <c r="T1183" t="str">
        <v>#N/A</v>
      </c>
    </row>
    <row r="1184" spans="1:20" ht="13.7" customHeight="1" x14ac:dyDescent="0.25">
      <c r="A1184" t="s">
        <v>320</v>
      </c>
      <c r="B1184" t="s">
        <v>321</v>
      </c>
      <c r="C1184" t="s">
        <v>142</v>
      </c>
      <c r="D1184">
        <v>438</v>
      </c>
      <c r="E1184" s="5">
        <v>43607</v>
      </c>
      <c r="F1184">
        <v>13550501</v>
      </c>
      <c r="G1184">
        <v>0</v>
      </c>
      <c r="H1184" t="s">
        <v>1127</v>
      </c>
      <c r="I1184" t="s">
        <v>1128</v>
      </c>
      <c r="J1184">
        <v>1001</v>
      </c>
      <c r="K1184">
        <v>5062</v>
      </c>
      <c r="L1184" s="3">
        <v>167246.82</v>
      </c>
      <c r="M1184" s="3">
        <v>1161.5999999999999</v>
      </c>
      <c r="N1184">
        <v>0</v>
      </c>
      <c r="O1184">
        <v>290400</v>
      </c>
      <c r="P1184">
        <v>168408.42</v>
      </c>
      <c r="Q1184" t="s">
        <v>30</v>
      </c>
      <c r="R1184" t="s">
        <v>452</v>
      </c>
      <c r="S1184" t="str">
        <v>#N/A</v>
      </c>
      <c r="T1184" t="str">
        <v>#N/A</v>
      </c>
    </row>
    <row r="1185" spans="1:20" ht="13.7" customHeight="1" x14ac:dyDescent="0.25">
      <c r="A1185" t="s">
        <v>320</v>
      </c>
      <c r="B1185" t="s">
        <v>321</v>
      </c>
      <c r="C1185" t="s">
        <v>142</v>
      </c>
      <c r="D1185">
        <v>460</v>
      </c>
      <c r="E1185" s="5">
        <v>43645</v>
      </c>
      <c r="F1185">
        <v>13550501</v>
      </c>
      <c r="G1185">
        <v>0</v>
      </c>
      <c r="H1185" t="s">
        <v>1127</v>
      </c>
      <c r="I1185" t="s">
        <v>1128</v>
      </c>
      <c r="J1185">
        <v>1001</v>
      </c>
      <c r="K1185">
        <v>5062</v>
      </c>
      <c r="L1185" s="3">
        <v>168408.42</v>
      </c>
      <c r="M1185" s="3">
        <v>559.20000000000005</v>
      </c>
      <c r="N1185">
        <v>0</v>
      </c>
      <c r="O1185">
        <v>139800</v>
      </c>
      <c r="P1185">
        <v>168967.62</v>
      </c>
      <c r="Q1185" t="s">
        <v>30</v>
      </c>
      <c r="R1185" t="s">
        <v>466</v>
      </c>
      <c r="S1185" t="str">
        <v>#N/A</v>
      </c>
      <c r="T1185" t="str">
        <v>#N/A</v>
      </c>
    </row>
    <row r="1186" spans="1:20" ht="13.7" customHeight="1" x14ac:dyDescent="0.25">
      <c r="A1186" t="s">
        <v>320</v>
      </c>
      <c r="B1186" t="s">
        <v>321</v>
      </c>
      <c r="C1186" t="s">
        <v>142</v>
      </c>
      <c r="D1186">
        <v>472</v>
      </c>
      <c r="E1186" s="5">
        <v>43676</v>
      </c>
      <c r="F1186">
        <v>13550501</v>
      </c>
      <c r="G1186">
        <v>0</v>
      </c>
      <c r="H1186" t="s">
        <v>1127</v>
      </c>
      <c r="I1186" t="s">
        <v>1128</v>
      </c>
      <c r="J1186">
        <v>1001</v>
      </c>
      <c r="K1186">
        <v>5062</v>
      </c>
      <c r="L1186" s="3">
        <v>168967.62</v>
      </c>
      <c r="M1186" s="3">
        <v>1850.4</v>
      </c>
      <c r="N1186">
        <v>0</v>
      </c>
      <c r="O1186">
        <v>462600</v>
      </c>
      <c r="P1186">
        <v>170818.02</v>
      </c>
      <c r="Q1186" t="s">
        <v>30</v>
      </c>
      <c r="R1186" t="s">
        <v>472</v>
      </c>
      <c r="S1186" t="str">
        <v>#N/A</v>
      </c>
      <c r="T1186" t="str">
        <v>#N/A</v>
      </c>
    </row>
    <row r="1187" spans="1:20" ht="13.7" customHeight="1" x14ac:dyDescent="0.25">
      <c r="A1187" t="s">
        <v>320</v>
      </c>
      <c r="B1187" t="s">
        <v>321</v>
      </c>
      <c r="C1187" t="s">
        <v>142</v>
      </c>
      <c r="D1187">
        <v>494</v>
      </c>
      <c r="E1187" s="5">
        <v>43722</v>
      </c>
      <c r="F1187">
        <v>13550501</v>
      </c>
      <c r="G1187">
        <v>0</v>
      </c>
      <c r="H1187" t="s">
        <v>1127</v>
      </c>
      <c r="I1187" t="s">
        <v>1128</v>
      </c>
      <c r="J1187">
        <v>1001</v>
      </c>
      <c r="K1187">
        <v>5062</v>
      </c>
      <c r="L1187" s="3">
        <v>170818.02</v>
      </c>
      <c r="M1187" s="3">
        <v>540</v>
      </c>
      <c r="N1187">
        <v>0</v>
      </c>
      <c r="O1187">
        <v>135000</v>
      </c>
      <c r="P1187">
        <v>171358.02</v>
      </c>
      <c r="Q1187" t="s">
        <v>30</v>
      </c>
      <c r="R1187" t="s">
        <v>479</v>
      </c>
      <c r="S1187" t="str">
        <v>#N/A</v>
      </c>
      <c r="T1187" t="str">
        <v>#N/A</v>
      </c>
    </row>
    <row r="1188" spans="1:20" ht="13.7" customHeight="1" x14ac:dyDescent="0.25">
      <c r="A1188" t="s">
        <v>320</v>
      </c>
      <c r="B1188" t="s">
        <v>321</v>
      </c>
      <c r="C1188" t="s">
        <v>142</v>
      </c>
      <c r="D1188">
        <v>499</v>
      </c>
      <c r="E1188" s="5">
        <v>43734</v>
      </c>
      <c r="F1188">
        <v>13550501</v>
      </c>
      <c r="G1188">
        <v>0</v>
      </c>
      <c r="H1188" t="s">
        <v>1127</v>
      </c>
      <c r="I1188" t="s">
        <v>1128</v>
      </c>
      <c r="J1188">
        <v>1001</v>
      </c>
      <c r="K1188">
        <v>5062</v>
      </c>
      <c r="L1188" s="3">
        <v>171358.02</v>
      </c>
      <c r="M1188" s="3">
        <v>1116</v>
      </c>
      <c r="N1188">
        <v>0</v>
      </c>
      <c r="O1188">
        <v>279000</v>
      </c>
      <c r="P1188">
        <v>172474.02</v>
      </c>
      <c r="Q1188" t="s">
        <v>30</v>
      </c>
      <c r="R1188" t="s">
        <v>484</v>
      </c>
      <c r="S1188" t="str">
        <v>#N/A</v>
      </c>
      <c r="T1188" t="str">
        <v>#N/A</v>
      </c>
    </row>
    <row r="1189" spans="1:20" ht="13.7" customHeight="1" x14ac:dyDescent="0.25">
      <c r="A1189" t="s">
        <v>320</v>
      </c>
      <c r="B1189" t="s">
        <v>321</v>
      </c>
      <c r="C1189" t="s">
        <v>142</v>
      </c>
      <c r="D1189">
        <v>503</v>
      </c>
      <c r="E1189" s="5">
        <v>43739</v>
      </c>
      <c r="F1189">
        <v>13550501</v>
      </c>
      <c r="G1189">
        <v>0</v>
      </c>
      <c r="H1189" t="s">
        <v>1127</v>
      </c>
      <c r="I1189" t="s">
        <v>1128</v>
      </c>
      <c r="J1189">
        <v>1001</v>
      </c>
      <c r="K1189">
        <v>5062</v>
      </c>
      <c r="L1189" s="3">
        <v>172474.02</v>
      </c>
      <c r="M1189" s="3">
        <v>4449.6000000000004</v>
      </c>
      <c r="N1189">
        <v>0</v>
      </c>
      <c r="O1189">
        <v>1112400</v>
      </c>
      <c r="P1189">
        <v>176923.62</v>
      </c>
      <c r="Q1189" t="s">
        <v>30</v>
      </c>
      <c r="R1189" t="s">
        <v>488</v>
      </c>
      <c r="S1189" t="str">
        <v>#N/A</v>
      </c>
      <c r="T1189" t="str">
        <v>#N/A</v>
      </c>
    </row>
    <row r="1190" spans="1:20" ht="13.7" customHeight="1" x14ac:dyDescent="0.25">
      <c r="A1190" t="s">
        <v>320</v>
      </c>
      <c r="B1190" t="s">
        <v>321</v>
      </c>
      <c r="C1190" t="s">
        <v>142</v>
      </c>
      <c r="D1190">
        <v>505</v>
      </c>
      <c r="E1190" s="5">
        <v>43742</v>
      </c>
      <c r="F1190">
        <v>13550501</v>
      </c>
      <c r="G1190">
        <v>0</v>
      </c>
      <c r="H1190" t="s">
        <v>1127</v>
      </c>
      <c r="I1190" t="s">
        <v>1128</v>
      </c>
      <c r="J1190">
        <v>1001</v>
      </c>
      <c r="K1190">
        <v>5062</v>
      </c>
      <c r="L1190" s="3">
        <v>176923.62</v>
      </c>
      <c r="M1190" s="3">
        <v>1600</v>
      </c>
      <c r="N1190">
        <v>0</v>
      </c>
      <c r="O1190">
        <v>400000</v>
      </c>
      <c r="P1190">
        <v>178523.62</v>
      </c>
      <c r="Q1190" t="s">
        <v>30</v>
      </c>
      <c r="R1190" t="s">
        <v>490</v>
      </c>
      <c r="S1190" t="str">
        <v>#N/A</v>
      </c>
      <c r="T1190" t="str">
        <v>#N/A</v>
      </c>
    </row>
    <row r="1191" spans="1:20" ht="13.7" customHeight="1" x14ac:dyDescent="0.25">
      <c r="A1191" t="s">
        <v>320</v>
      </c>
      <c r="B1191" t="s">
        <v>321</v>
      </c>
      <c r="C1191" t="s">
        <v>142</v>
      </c>
      <c r="D1191">
        <v>509</v>
      </c>
      <c r="E1191" s="5">
        <v>43749</v>
      </c>
      <c r="F1191">
        <v>13550501</v>
      </c>
      <c r="G1191">
        <v>0</v>
      </c>
      <c r="H1191" t="s">
        <v>1127</v>
      </c>
      <c r="I1191" t="s">
        <v>1128</v>
      </c>
      <c r="J1191">
        <v>1001</v>
      </c>
      <c r="K1191">
        <v>5062</v>
      </c>
      <c r="L1191" s="3">
        <v>178523.62</v>
      </c>
      <c r="M1191" s="3">
        <v>1015.2</v>
      </c>
      <c r="N1191">
        <v>0</v>
      </c>
      <c r="O1191">
        <v>253800</v>
      </c>
      <c r="P1191">
        <v>179538.82</v>
      </c>
      <c r="Q1191" t="s">
        <v>30</v>
      </c>
      <c r="R1191" t="s">
        <v>494</v>
      </c>
      <c r="S1191" t="str">
        <v>#N/A</v>
      </c>
      <c r="T1191" t="str">
        <v>#N/A</v>
      </c>
    </row>
    <row r="1192" spans="1:20" ht="13.7" customHeight="1" x14ac:dyDescent="0.25">
      <c r="A1192" t="s">
        <v>320</v>
      </c>
      <c r="B1192" t="s">
        <v>321</v>
      </c>
      <c r="C1192" t="s">
        <v>142</v>
      </c>
      <c r="D1192">
        <v>512</v>
      </c>
      <c r="E1192" s="5">
        <v>43755</v>
      </c>
      <c r="F1192">
        <v>13550501</v>
      </c>
      <c r="G1192">
        <v>0</v>
      </c>
      <c r="H1192" t="s">
        <v>1127</v>
      </c>
      <c r="I1192" t="s">
        <v>1128</v>
      </c>
      <c r="J1192">
        <v>1001</v>
      </c>
      <c r="K1192">
        <v>5062</v>
      </c>
      <c r="L1192" s="3">
        <v>179538.82</v>
      </c>
      <c r="M1192" s="3">
        <v>528</v>
      </c>
      <c r="N1192">
        <v>0</v>
      </c>
      <c r="O1192">
        <v>132000</v>
      </c>
      <c r="P1192">
        <v>180066.82</v>
      </c>
      <c r="Q1192" t="s">
        <v>30</v>
      </c>
      <c r="R1192" t="s">
        <v>497</v>
      </c>
      <c r="S1192" t="str">
        <v>#N/A</v>
      </c>
      <c r="T1192" t="str">
        <v>#N/A</v>
      </c>
    </row>
    <row r="1193" spans="1:20" ht="13.7" customHeight="1" x14ac:dyDescent="0.25">
      <c r="A1193" t="s">
        <v>320</v>
      </c>
      <c r="B1193" t="s">
        <v>321</v>
      </c>
      <c r="C1193" t="s">
        <v>142</v>
      </c>
      <c r="D1193">
        <v>519</v>
      </c>
      <c r="E1193" s="5">
        <v>43766</v>
      </c>
      <c r="F1193">
        <v>13550501</v>
      </c>
      <c r="G1193">
        <v>0</v>
      </c>
      <c r="H1193" t="s">
        <v>1127</v>
      </c>
      <c r="I1193" t="s">
        <v>1128</v>
      </c>
      <c r="J1193">
        <v>1001</v>
      </c>
      <c r="K1193">
        <v>5062</v>
      </c>
      <c r="L1193" s="3">
        <v>180066.82</v>
      </c>
      <c r="M1193" s="3">
        <v>4240</v>
      </c>
      <c r="N1193">
        <v>0</v>
      </c>
      <c r="O1193">
        <v>1060000</v>
      </c>
      <c r="P1193">
        <v>184306.82</v>
      </c>
      <c r="Q1193" t="s">
        <v>30</v>
      </c>
      <c r="R1193" t="s">
        <v>503</v>
      </c>
      <c r="S1193" t="str">
        <v>#N/A</v>
      </c>
      <c r="T1193" t="str">
        <v>#N/A</v>
      </c>
    </row>
    <row r="1194" spans="1:20" ht="13.7" customHeight="1" x14ac:dyDescent="0.25">
      <c r="A1194" t="s">
        <v>320</v>
      </c>
      <c r="B1194" t="s">
        <v>321</v>
      </c>
      <c r="C1194" t="s">
        <v>142</v>
      </c>
      <c r="D1194">
        <v>526</v>
      </c>
      <c r="E1194" s="5">
        <v>43774</v>
      </c>
      <c r="F1194">
        <v>13550501</v>
      </c>
      <c r="G1194">
        <v>0</v>
      </c>
      <c r="H1194" t="s">
        <v>1127</v>
      </c>
      <c r="I1194" t="s">
        <v>1128</v>
      </c>
      <c r="J1194">
        <v>1001</v>
      </c>
      <c r="K1194">
        <v>5062</v>
      </c>
      <c r="L1194" s="3">
        <v>184306.82</v>
      </c>
      <c r="M1194" s="3">
        <v>2100</v>
      </c>
      <c r="N1194">
        <v>0</v>
      </c>
      <c r="O1194">
        <v>525000</v>
      </c>
      <c r="P1194">
        <v>186406.82</v>
      </c>
      <c r="Q1194" t="s">
        <v>30</v>
      </c>
      <c r="R1194" t="s">
        <v>508</v>
      </c>
      <c r="S1194" t="str">
        <v>#N/A</v>
      </c>
      <c r="T1194" t="str">
        <v>#N/A</v>
      </c>
    </row>
    <row r="1195" spans="1:20" ht="13.7" customHeight="1" x14ac:dyDescent="0.25">
      <c r="A1195" t="s">
        <v>320</v>
      </c>
      <c r="B1195" t="s">
        <v>321</v>
      </c>
      <c r="C1195" t="s">
        <v>142</v>
      </c>
      <c r="D1195">
        <v>528</v>
      </c>
      <c r="E1195" s="5">
        <v>43783</v>
      </c>
      <c r="F1195">
        <v>13550501</v>
      </c>
      <c r="G1195">
        <v>0</v>
      </c>
      <c r="H1195" t="s">
        <v>1127</v>
      </c>
      <c r="I1195" t="s">
        <v>1128</v>
      </c>
      <c r="J1195">
        <v>1001</v>
      </c>
      <c r="K1195">
        <v>5062</v>
      </c>
      <c r="L1195" s="3">
        <v>186406.82</v>
      </c>
      <c r="M1195" s="3">
        <v>520.79999999999995</v>
      </c>
      <c r="N1195">
        <v>0</v>
      </c>
      <c r="O1195">
        <v>130200</v>
      </c>
      <c r="P1195">
        <v>186927.62</v>
      </c>
      <c r="Q1195" t="s">
        <v>30</v>
      </c>
      <c r="R1195" t="s">
        <v>510</v>
      </c>
      <c r="S1195" t="str">
        <v>#N/A</v>
      </c>
      <c r="T1195" t="str">
        <v>#N/A</v>
      </c>
    </row>
    <row r="1196" spans="1:20" ht="13.7" customHeight="1" x14ac:dyDescent="0.25">
      <c r="E1196" s="5">
        <v>43465</v>
      </c>
      <c r="F1196">
        <v>13550501</v>
      </c>
      <c r="G1196">
        <v>0</v>
      </c>
      <c r="H1196" t="s">
        <v>1135</v>
      </c>
      <c r="I1196" t="s">
        <v>1136</v>
      </c>
      <c r="J1196">
        <v>0</v>
      </c>
      <c r="K1196">
        <v>0</v>
      </c>
      <c r="L1196" s="3">
        <v>13472.6</v>
      </c>
      <c r="M1196" s="3">
        <v>0</v>
      </c>
      <c r="N1196">
        <v>0</v>
      </c>
      <c r="O1196">
        <v>3368150</v>
      </c>
      <c r="P1196">
        <v>13472.6</v>
      </c>
      <c r="R1196" t="s">
        <v>1100</v>
      </c>
      <c r="S1196" t="str">
        <v>#N/A</v>
      </c>
      <c r="T1196" t="str">
        <v>#N/A</v>
      </c>
    </row>
    <row r="1197" spans="1:20" ht="13.7" customHeight="1" x14ac:dyDescent="0.25">
      <c r="A1197" t="s">
        <v>320</v>
      </c>
      <c r="B1197" t="s">
        <v>321</v>
      </c>
      <c r="C1197" t="s">
        <v>142</v>
      </c>
      <c r="D1197">
        <v>385</v>
      </c>
      <c r="E1197" s="5">
        <v>43543</v>
      </c>
      <c r="F1197">
        <v>13550501</v>
      </c>
      <c r="G1197">
        <v>0</v>
      </c>
      <c r="H1197" t="s">
        <v>1135</v>
      </c>
      <c r="I1197" t="s">
        <v>1136</v>
      </c>
      <c r="J1197">
        <v>1001</v>
      </c>
      <c r="K1197">
        <v>5062</v>
      </c>
      <c r="L1197" s="3">
        <v>13472.6</v>
      </c>
      <c r="M1197" s="3">
        <v>8730.1560000000009</v>
      </c>
      <c r="N1197">
        <v>0</v>
      </c>
      <c r="O1197">
        <v>2182539</v>
      </c>
      <c r="P1197">
        <v>22202.756000000001</v>
      </c>
      <c r="Q1197" t="s">
        <v>30</v>
      </c>
      <c r="R1197" t="s">
        <v>407</v>
      </c>
      <c r="S1197" t="str">
        <v>#N/A</v>
      </c>
      <c r="T1197" t="str">
        <v>#N/A</v>
      </c>
    </row>
    <row r="1198" spans="1:20" ht="13.7" customHeight="1" x14ac:dyDescent="0.25">
      <c r="A1198" t="s">
        <v>320</v>
      </c>
      <c r="B1198" t="s">
        <v>321</v>
      </c>
      <c r="C1198" t="s">
        <v>142</v>
      </c>
      <c r="D1198">
        <v>398</v>
      </c>
      <c r="E1198" s="5">
        <v>43556</v>
      </c>
      <c r="F1198">
        <v>13550501</v>
      </c>
      <c r="G1198">
        <v>0</v>
      </c>
      <c r="H1198" t="s">
        <v>1135</v>
      </c>
      <c r="I1198" t="s">
        <v>1136</v>
      </c>
      <c r="J1198">
        <v>1001</v>
      </c>
      <c r="K1198">
        <v>5062</v>
      </c>
      <c r="L1198" s="3">
        <v>22202.756000000001</v>
      </c>
      <c r="M1198" s="3">
        <v>8595.5400000000009</v>
      </c>
      <c r="N1198">
        <v>0</v>
      </c>
      <c r="O1198">
        <v>2148885</v>
      </c>
      <c r="P1198">
        <v>30798.295999999998</v>
      </c>
      <c r="Q1198" t="s">
        <v>30</v>
      </c>
      <c r="R1198" t="s">
        <v>422</v>
      </c>
      <c r="S1198" t="str">
        <v>#N/A</v>
      </c>
      <c r="T1198" t="str">
        <v>#N/A</v>
      </c>
    </row>
    <row r="1199" spans="1:20" ht="13.7" customHeight="1" x14ac:dyDescent="0.25">
      <c r="E1199" s="5">
        <v>43465</v>
      </c>
      <c r="F1199">
        <v>13550501</v>
      </c>
      <c r="G1199">
        <v>0</v>
      </c>
      <c r="H1199" t="s">
        <v>1103</v>
      </c>
      <c r="I1199" t="s">
        <v>1104</v>
      </c>
      <c r="J1199">
        <v>0</v>
      </c>
      <c r="K1199">
        <v>0</v>
      </c>
      <c r="L1199" s="3">
        <v>0</v>
      </c>
      <c r="M1199" s="3">
        <v>0</v>
      </c>
      <c r="N1199">
        <v>0</v>
      </c>
      <c r="O1199">
        <v>0</v>
      </c>
      <c r="P1199">
        <v>0</v>
      </c>
      <c r="R1199" t="s">
        <v>1100</v>
      </c>
      <c r="S1199" t="str">
        <v>#N/A</v>
      </c>
      <c r="T1199" t="str">
        <v>31</v>
      </c>
    </row>
    <row r="1200" spans="1:20" ht="13.7" customHeight="1" x14ac:dyDescent="0.25">
      <c r="A1200" t="s">
        <v>320</v>
      </c>
      <c r="B1200" t="s">
        <v>321</v>
      </c>
      <c r="C1200" t="s">
        <v>142</v>
      </c>
      <c r="D1200">
        <v>491</v>
      </c>
      <c r="E1200" s="5">
        <v>43720</v>
      </c>
      <c r="F1200">
        <v>13550501</v>
      </c>
      <c r="G1200">
        <v>0</v>
      </c>
      <c r="H1200" t="s">
        <v>1103</v>
      </c>
      <c r="I1200" t="s">
        <v>1104</v>
      </c>
      <c r="J1200">
        <v>1001</v>
      </c>
      <c r="K1200">
        <v>5062</v>
      </c>
      <c r="L1200" s="3">
        <v>0</v>
      </c>
      <c r="M1200" s="3">
        <v>8216.268</v>
      </c>
      <c r="N1200">
        <v>0</v>
      </c>
      <c r="O1200">
        <v>2054067</v>
      </c>
      <c r="P1200">
        <v>8216.268</v>
      </c>
      <c r="Q1200" t="s">
        <v>30</v>
      </c>
      <c r="R1200" t="s">
        <v>477</v>
      </c>
      <c r="S1200" t="str">
        <v>#N/A</v>
      </c>
      <c r="T1200" t="str">
        <v>31</v>
      </c>
    </row>
    <row r="1201" spans="1:20" ht="13.7" customHeight="1" x14ac:dyDescent="0.25">
      <c r="E1201" s="5">
        <v>43465</v>
      </c>
      <c r="F1201">
        <v>13550501</v>
      </c>
      <c r="G1201">
        <v>0</v>
      </c>
      <c r="H1201" t="s">
        <v>1129</v>
      </c>
      <c r="I1201" t="s">
        <v>1130</v>
      </c>
      <c r="J1201">
        <v>0</v>
      </c>
      <c r="K1201">
        <v>0</v>
      </c>
      <c r="L1201" s="3">
        <v>244036.72</v>
      </c>
      <c r="M1201" s="3">
        <v>0</v>
      </c>
      <c r="N1201">
        <v>0</v>
      </c>
      <c r="O1201">
        <v>61009180</v>
      </c>
      <c r="P1201">
        <v>244036.72</v>
      </c>
      <c r="R1201" t="s">
        <v>1100</v>
      </c>
      <c r="S1201" t="str">
        <v>#N/A</v>
      </c>
      <c r="T1201" t="str">
        <v>#N/A</v>
      </c>
    </row>
    <row r="1202" spans="1:20" ht="13.7" customHeight="1" x14ac:dyDescent="0.25">
      <c r="A1202" t="s">
        <v>320</v>
      </c>
      <c r="B1202" t="s">
        <v>321</v>
      </c>
      <c r="C1202" t="s">
        <v>142</v>
      </c>
      <c r="D1202">
        <v>336</v>
      </c>
      <c r="E1202" s="5">
        <v>43466</v>
      </c>
      <c r="F1202">
        <v>13550501</v>
      </c>
      <c r="G1202">
        <v>0</v>
      </c>
      <c r="H1202" t="s">
        <v>1129</v>
      </c>
      <c r="I1202" t="s">
        <v>1130</v>
      </c>
      <c r="J1202">
        <v>1001</v>
      </c>
      <c r="K1202">
        <v>5062</v>
      </c>
      <c r="L1202" s="3">
        <v>244036.72</v>
      </c>
      <c r="M1202" s="3">
        <v>28000</v>
      </c>
      <c r="N1202">
        <v>0</v>
      </c>
      <c r="O1202">
        <v>7000000</v>
      </c>
      <c r="P1202">
        <v>272036.71999999997</v>
      </c>
      <c r="Q1202" t="s">
        <v>30</v>
      </c>
      <c r="R1202" t="s">
        <v>580</v>
      </c>
      <c r="S1202" t="str">
        <v>#N/A</v>
      </c>
      <c r="T1202" t="str">
        <v>#N/A</v>
      </c>
    </row>
    <row r="1203" spans="1:20" ht="13.7" customHeight="1" x14ac:dyDescent="0.25">
      <c r="A1203" t="s">
        <v>320</v>
      </c>
      <c r="B1203" t="s">
        <v>321</v>
      </c>
      <c r="C1203" t="s">
        <v>142</v>
      </c>
      <c r="D1203">
        <v>338</v>
      </c>
      <c r="E1203" s="5">
        <v>43482</v>
      </c>
      <c r="F1203">
        <v>13550501</v>
      </c>
      <c r="G1203">
        <v>0</v>
      </c>
      <c r="H1203" t="s">
        <v>1129</v>
      </c>
      <c r="I1203" t="s">
        <v>1130</v>
      </c>
      <c r="J1203">
        <v>1001</v>
      </c>
      <c r="K1203">
        <v>5062</v>
      </c>
      <c r="L1203" s="3">
        <v>272036.71999999997</v>
      </c>
      <c r="M1203" s="3">
        <v>15803.04</v>
      </c>
      <c r="N1203">
        <v>0</v>
      </c>
      <c r="O1203">
        <v>3950760</v>
      </c>
      <c r="P1203">
        <v>287839.76</v>
      </c>
      <c r="Q1203" t="s">
        <v>30</v>
      </c>
      <c r="R1203" t="s">
        <v>582</v>
      </c>
      <c r="S1203" t="str">
        <v>#N/A</v>
      </c>
      <c r="T1203" t="str">
        <v>#N/A</v>
      </c>
    </row>
    <row r="1204" spans="1:20" ht="13.7" customHeight="1" x14ac:dyDescent="0.25">
      <c r="A1204" t="s">
        <v>320</v>
      </c>
      <c r="B1204" t="s">
        <v>321</v>
      </c>
      <c r="C1204" t="s">
        <v>142</v>
      </c>
      <c r="D1204">
        <v>344</v>
      </c>
      <c r="E1204" s="5">
        <v>43487</v>
      </c>
      <c r="F1204">
        <v>13550501</v>
      </c>
      <c r="G1204">
        <v>0</v>
      </c>
      <c r="H1204" t="s">
        <v>1129</v>
      </c>
      <c r="I1204" t="s">
        <v>1130</v>
      </c>
      <c r="J1204">
        <v>1001</v>
      </c>
      <c r="K1204">
        <v>5062</v>
      </c>
      <c r="L1204" s="3">
        <v>287839.76</v>
      </c>
      <c r="M1204" s="3">
        <v>2980.96</v>
      </c>
      <c r="N1204">
        <v>0</v>
      </c>
      <c r="O1204">
        <v>745240</v>
      </c>
      <c r="P1204">
        <v>290820.71999999997</v>
      </c>
      <c r="Q1204" t="s">
        <v>30</v>
      </c>
      <c r="R1204" t="s">
        <v>588</v>
      </c>
      <c r="S1204" t="str">
        <v>#N/A</v>
      </c>
      <c r="T1204" t="str">
        <v>#N/A</v>
      </c>
    </row>
    <row r="1205" spans="1:20" ht="13.7" customHeight="1" x14ac:dyDescent="0.25">
      <c r="A1205" t="s">
        <v>320</v>
      </c>
      <c r="B1205" t="s">
        <v>321</v>
      </c>
      <c r="C1205" t="s">
        <v>142</v>
      </c>
      <c r="D1205">
        <v>360</v>
      </c>
      <c r="E1205" s="5">
        <v>43507</v>
      </c>
      <c r="F1205">
        <v>13550501</v>
      </c>
      <c r="G1205">
        <v>0</v>
      </c>
      <c r="H1205" t="s">
        <v>1129</v>
      </c>
      <c r="I1205" t="s">
        <v>1130</v>
      </c>
      <c r="J1205">
        <v>1001</v>
      </c>
      <c r="K1205">
        <v>5062</v>
      </c>
      <c r="L1205" s="3">
        <v>290820.71999999997</v>
      </c>
      <c r="M1205" s="3">
        <v>45560</v>
      </c>
      <c r="N1205">
        <v>0</v>
      </c>
      <c r="O1205">
        <v>11390000</v>
      </c>
      <c r="P1205">
        <v>336380.72</v>
      </c>
      <c r="Q1205" t="s">
        <v>30</v>
      </c>
      <c r="R1205" t="s">
        <v>598</v>
      </c>
      <c r="S1205" t="str">
        <v>#N/A</v>
      </c>
      <c r="T1205" t="str">
        <v>#N/A</v>
      </c>
    </row>
    <row r="1206" spans="1:20" ht="13.7" customHeight="1" x14ac:dyDescent="0.25">
      <c r="A1206" t="s">
        <v>320</v>
      </c>
      <c r="B1206" t="s">
        <v>321</v>
      </c>
      <c r="C1206" t="s">
        <v>142</v>
      </c>
      <c r="D1206">
        <v>363</v>
      </c>
      <c r="E1206" s="5">
        <v>43508</v>
      </c>
      <c r="F1206">
        <v>13550501</v>
      </c>
      <c r="G1206">
        <v>0</v>
      </c>
      <c r="H1206" t="s">
        <v>1129</v>
      </c>
      <c r="I1206" t="s">
        <v>1130</v>
      </c>
      <c r="J1206">
        <v>1001</v>
      </c>
      <c r="K1206">
        <v>5062</v>
      </c>
      <c r="L1206" s="3">
        <v>336380.72</v>
      </c>
      <c r="M1206" s="3">
        <v>4040.16</v>
      </c>
      <c r="N1206">
        <v>0</v>
      </c>
      <c r="O1206">
        <v>1010040</v>
      </c>
      <c r="P1206">
        <v>340420.88</v>
      </c>
      <c r="Q1206" t="s">
        <v>30</v>
      </c>
      <c r="R1206" t="s">
        <v>601</v>
      </c>
      <c r="S1206" t="str">
        <v>#N/A</v>
      </c>
      <c r="T1206" t="str">
        <v>#N/A</v>
      </c>
    </row>
    <row r="1207" spans="1:20" ht="13.7" customHeight="1" x14ac:dyDescent="0.25">
      <c r="A1207" t="s">
        <v>320</v>
      </c>
      <c r="B1207" t="s">
        <v>321</v>
      </c>
      <c r="C1207" t="s">
        <v>142</v>
      </c>
      <c r="D1207">
        <v>364</v>
      </c>
      <c r="E1207" s="5">
        <v>43511</v>
      </c>
      <c r="F1207">
        <v>13550501</v>
      </c>
      <c r="G1207">
        <v>0</v>
      </c>
      <c r="H1207" t="s">
        <v>1129</v>
      </c>
      <c r="I1207" t="s">
        <v>1130</v>
      </c>
      <c r="J1207">
        <v>1001</v>
      </c>
      <c r="K1207">
        <v>5062</v>
      </c>
      <c r="L1207" s="3">
        <v>340420.88</v>
      </c>
      <c r="M1207" s="3">
        <v>5920</v>
      </c>
      <c r="N1207">
        <v>0</v>
      </c>
      <c r="O1207">
        <v>1480000</v>
      </c>
      <c r="P1207">
        <v>346340.88</v>
      </c>
      <c r="Q1207" t="s">
        <v>30</v>
      </c>
      <c r="R1207" t="s">
        <v>602</v>
      </c>
      <c r="S1207" t="str">
        <v>#N/A</v>
      </c>
      <c r="T1207" t="str">
        <v>#N/A</v>
      </c>
    </row>
    <row r="1208" spans="1:20" ht="13.7" customHeight="1" x14ac:dyDescent="0.25">
      <c r="A1208" t="s">
        <v>320</v>
      </c>
      <c r="B1208" t="s">
        <v>321</v>
      </c>
      <c r="C1208" t="s">
        <v>142</v>
      </c>
      <c r="D1208">
        <v>401</v>
      </c>
      <c r="E1208" s="5">
        <v>43559</v>
      </c>
      <c r="F1208">
        <v>13550501</v>
      </c>
      <c r="G1208">
        <v>0</v>
      </c>
      <c r="H1208" t="s">
        <v>1129</v>
      </c>
      <c r="I1208" t="s">
        <v>1130</v>
      </c>
      <c r="J1208">
        <v>1001</v>
      </c>
      <c r="K1208">
        <v>5062</v>
      </c>
      <c r="L1208" s="3">
        <v>346340.88</v>
      </c>
      <c r="M1208" s="3">
        <v>992</v>
      </c>
      <c r="N1208">
        <v>0</v>
      </c>
      <c r="O1208">
        <v>248000</v>
      </c>
      <c r="P1208">
        <v>347332.88</v>
      </c>
      <c r="Q1208" t="s">
        <v>30</v>
      </c>
      <c r="R1208" t="s">
        <v>424</v>
      </c>
      <c r="S1208" t="str">
        <v>#N/A</v>
      </c>
      <c r="T1208" t="str">
        <v>#N/A</v>
      </c>
    </row>
    <row r="1209" spans="1:20" ht="13.7" customHeight="1" x14ac:dyDescent="0.25">
      <c r="A1209" t="s">
        <v>320</v>
      </c>
      <c r="B1209" t="s">
        <v>321</v>
      </c>
      <c r="C1209" t="s">
        <v>142</v>
      </c>
      <c r="D1209">
        <v>406</v>
      </c>
      <c r="E1209" s="5">
        <v>43565</v>
      </c>
      <c r="F1209">
        <v>13550501</v>
      </c>
      <c r="G1209">
        <v>0</v>
      </c>
      <c r="H1209" t="s">
        <v>1129</v>
      </c>
      <c r="I1209" t="s">
        <v>1130</v>
      </c>
      <c r="J1209">
        <v>1001</v>
      </c>
      <c r="K1209">
        <v>5062</v>
      </c>
      <c r="L1209" s="3">
        <v>347332.88</v>
      </c>
      <c r="M1209" s="3">
        <v>46404</v>
      </c>
      <c r="N1209">
        <v>0</v>
      </c>
      <c r="O1209">
        <v>11601000</v>
      </c>
      <c r="P1209">
        <v>393736.88</v>
      </c>
      <c r="Q1209" t="s">
        <v>30</v>
      </c>
      <c r="R1209" t="s">
        <v>427</v>
      </c>
      <c r="S1209" t="str">
        <v>#N/A</v>
      </c>
      <c r="T1209" t="str">
        <v>#N/A</v>
      </c>
    </row>
    <row r="1210" spans="1:20" ht="13.7" customHeight="1" x14ac:dyDescent="0.25">
      <c r="A1210" t="s">
        <v>320</v>
      </c>
      <c r="B1210" t="s">
        <v>321</v>
      </c>
      <c r="C1210" t="s">
        <v>142</v>
      </c>
      <c r="D1210">
        <v>414</v>
      </c>
      <c r="E1210" s="5">
        <v>43577</v>
      </c>
      <c r="F1210">
        <v>13550501</v>
      </c>
      <c r="G1210">
        <v>0</v>
      </c>
      <c r="H1210" t="s">
        <v>1129</v>
      </c>
      <c r="I1210" t="s">
        <v>1130</v>
      </c>
      <c r="J1210">
        <v>1001</v>
      </c>
      <c r="K1210">
        <v>5062</v>
      </c>
      <c r="L1210" s="3">
        <v>393736.88</v>
      </c>
      <c r="M1210" s="3">
        <v>1344</v>
      </c>
      <c r="N1210">
        <v>0</v>
      </c>
      <c r="O1210">
        <v>336000</v>
      </c>
      <c r="P1210">
        <v>395080.88</v>
      </c>
      <c r="Q1210" t="s">
        <v>30</v>
      </c>
      <c r="R1210" t="s">
        <v>433</v>
      </c>
      <c r="S1210" t="str">
        <v>#N/A</v>
      </c>
      <c r="T1210" t="str">
        <v>#N/A</v>
      </c>
    </row>
    <row r="1211" spans="1:20" ht="13.7" customHeight="1" x14ac:dyDescent="0.25">
      <c r="A1211" t="s">
        <v>320</v>
      </c>
      <c r="B1211" t="s">
        <v>321</v>
      </c>
      <c r="C1211" t="s">
        <v>142</v>
      </c>
      <c r="D1211">
        <v>415</v>
      </c>
      <c r="E1211" s="5">
        <v>43577</v>
      </c>
      <c r="F1211">
        <v>13550501</v>
      </c>
      <c r="G1211">
        <v>0</v>
      </c>
      <c r="H1211" t="s">
        <v>1129</v>
      </c>
      <c r="I1211" t="s">
        <v>1130</v>
      </c>
      <c r="J1211">
        <v>1001</v>
      </c>
      <c r="K1211">
        <v>5062</v>
      </c>
      <c r="L1211" s="3">
        <v>395080.88</v>
      </c>
      <c r="M1211" s="3">
        <v>589.6</v>
      </c>
      <c r="N1211">
        <v>0</v>
      </c>
      <c r="O1211">
        <v>147400</v>
      </c>
      <c r="P1211">
        <v>395670.48</v>
      </c>
      <c r="Q1211" t="s">
        <v>30</v>
      </c>
      <c r="R1211" t="s">
        <v>434</v>
      </c>
      <c r="S1211" t="str">
        <v>#N/A</v>
      </c>
      <c r="T1211" t="str">
        <v>#N/A</v>
      </c>
    </row>
    <row r="1212" spans="1:20" ht="13.7" customHeight="1" x14ac:dyDescent="0.25">
      <c r="A1212" t="s">
        <v>320</v>
      </c>
      <c r="B1212" t="s">
        <v>321</v>
      </c>
      <c r="C1212" t="s">
        <v>142</v>
      </c>
      <c r="D1212">
        <v>416</v>
      </c>
      <c r="E1212" s="5">
        <v>43577</v>
      </c>
      <c r="F1212">
        <v>13550501</v>
      </c>
      <c r="G1212">
        <v>0</v>
      </c>
      <c r="H1212" t="s">
        <v>1129</v>
      </c>
      <c r="I1212" t="s">
        <v>1130</v>
      </c>
      <c r="J1212">
        <v>1001</v>
      </c>
      <c r="K1212">
        <v>5062</v>
      </c>
      <c r="L1212" s="3">
        <v>395670.48</v>
      </c>
      <c r="M1212" s="3">
        <v>6660</v>
      </c>
      <c r="N1212">
        <v>0</v>
      </c>
      <c r="O1212">
        <v>1665000</v>
      </c>
      <c r="P1212">
        <v>402330.48</v>
      </c>
      <c r="Q1212" t="s">
        <v>30</v>
      </c>
      <c r="R1212" t="s">
        <v>435</v>
      </c>
      <c r="S1212" t="str">
        <v>#N/A</v>
      </c>
      <c r="T1212" t="str">
        <v>#N/A</v>
      </c>
    </row>
    <row r="1213" spans="1:20" ht="13.7" customHeight="1" x14ac:dyDescent="0.25">
      <c r="A1213" t="s">
        <v>320</v>
      </c>
      <c r="B1213" t="s">
        <v>321</v>
      </c>
      <c r="C1213" t="s">
        <v>142</v>
      </c>
      <c r="D1213">
        <v>417</v>
      </c>
      <c r="E1213" s="5">
        <v>43577</v>
      </c>
      <c r="F1213">
        <v>13550501</v>
      </c>
      <c r="G1213">
        <v>0</v>
      </c>
      <c r="H1213" t="s">
        <v>1129</v>
      </c>
      <c r="I1213" t="s">
        <v>1130</v>
      </c>
      <c r="J1213">
        <v>1001</v>
      </c>
      <c r="K1213">
        <v>5062</v>
      </c>
      <c r="L1213" s="3">
        <v>402330.48</v>
      </c>
      <c r="M1213" s="3">
        <v>2812</v>
      </c>
      <c r="N1213">
        <v>0</v>
      </c>
      <c r="O1213">
        <v>703000</v>
      </c>
      <c r="P1213">
        <v>405142.48</v>
      </c>
      <c r="Q1213" t="s">
        <v>30</v>
      </c>
      <c r="R1213" t="s">
        <v>436</v>
      </c>
      <c r="S1213" t="str">
        <v>#N/A</v>
      </c>
      <c r="T1213" t="str">
        <v>#N/A</v>
      </c>
    </row>
    <row r="1214" spans="1:20" ht="13.7" customHeight="1" x14ac:dyDescent="0.25">
      <c r="A1214" t="s">
        <v>320</v>
      </c>
      <c r="B1214" t="s">
        <v>321</v>
      </c>
      <c r="C1214" t="s">
        <v>142</v>
      </c>
      <c r="D1214">
        <v>434</v>
      </c>
      <c r="E1214" s="5">
        <v>43593</v>
      </c>
      <c r="F1214">
        <v>13550501</v>
      </c>
      <c r="G1214">
        <v>0</v>
      </c>
      <c r="H1214" t="s">
        <v>1129</v>
      </c>
      <c r="I1214" t="s">
        <v>1130</v>
      </c>
      <c r="J1214">
        <v>1001</v>
      </c>
      <c r="K1214">
        <v>5062</v>
      </c>
      <c r="L1214" s="3">
        <v>405142.48</v>
      </c>
      <c r="M1214" s="3">
        <v>45600</v>
      </c>
      <c r="N1214">
        <v>0</v>
      </c>
      <c r="O1214">
        <v>11400000</v>
      </c>
      <c r="P1214">
        <v>450742.48</v>
      </c>
      <c r="Q1214" t="s">
        <v>30</v>
      </c>
      <c r="R1214" t="s">
        <v>445</v>
      </c>
      <c r="S1214" t="str">
        <v>#N/A</v>
      </c>
      <c r="T1214" t="str">
        <v>#N/A</v>
      </c>
    </row>
    <row r="1215" spans="1:20" ht="13.7" customHeight="1" x14ac:dyDescent="0.25">
      <c r="A1215" t="s">
        <v>320</v>
      </c>
      <c r="B1215" t="s">
        <v>321</v>
      </c>
      <c r="C1215" t="s">
        <v>142</v>
      </c>
      <c r="D1215">
        <v>441</v>
      </c>
      <c r="E1215" s="5">
        <v>43612</v>
      </c>
      <c r="F1215">
        <v>13550501</v>
      </c>
      <c r="G1215">
        <v>0</v>
      </c>
      <c r="H1215" t="s">
        <v>1129</v>
      </c>
      <c r="I1215" t="s">
        <v>1130</v>
      </c>
      <c r="J1215">
        <v>1001</v>
      </c>
      <c r="K1215">
        <v>5062</v>
      </c>
      <c r="L1215" s="3">
        <v>450742.48</v>
      </c>
      <c r="M1215" s="3">
        <v>5920</v>
      </c>
      <c r="N1215">
        <v>0</v>
      </c>
      <c r="O1215">
        <v>1480000</v>
      </c>
      <c r="P1215">
        <v>456662.48</v>
      </c>
      <c r="Q1215" t="s">
        <v>30</v>
      </c>
      <c r="R1215" t="s">
        <v>454</v>
      </c>
      <c r="S1215" t="str">
        <v>#N/A</v>
      </c>
      <c r="T1215" t="str">
        <v>#N/A</v>
      </c>
    </row>
    <row r="1216" spans="1:20" ht="13.7" customHeight="1" x14ac:dyDescent="0.25">
      <c r="A1216" t="s">
        <v>320</v>
      </c>
      <c r="B1216" t="s">
        <v>321</v>
      </c>
      <c r="C1216" t="s">
        <v>142</v>
      </c>
      <c r="D1216">
        <v>445</v>
      </c>
      <c r="E1216" s="5">
        <v>43617</v>
      </c>
      <c r="F1216">
        <v>13550501</v>
      </c>
      <c r="G1216">
        <v>0</v>
      </c>
      <c r="H1216" t="s">
        <v>1129</v>
      </c>
      <c r="I1216" t="s">
        <v>1130</v>
      </c>
      <c r="J1216">
        <v>1001</v>
      </c>
      <c r="K1216">
        <v>5062</v>
      </c>
      <c r="L1216" s="3">
        <v>456662.48</v>
      </c>
      <c r="M1216" s="3">
        <v>11840</v>
      </c>
      <c r="N1216">
        <v>0</v>
      </c>
      <c r="O1216">
        <v>2960000</v>
      </c>
      <c r="P1216">
        <v>468502.48</v>
      </c>
      <c r="Q1216" t="s">
        <v>30</v>
      </c>
      <c r="R1216" t="s">
        <v>456</v>
      </c>
      <c r="S1216" t="str">
        <v>#N/A</v>
      </c>
      <c r="T1216" t="str">
        <v>#N/A</v>
      </c>
    </row>
    <row r="1217" spans="1:20" ht="13.7" customHeight="1" x14ac:dyDescent="0.25">
      <c r="A1217" t="s">
        <v>320</v>
      </c>
      <c r="B1217" t="s">
        <v>321</v>
      </c>
      <c r="C1217" t="s">
        <v>142</v>
      </c>
      <c r="D1217">
        <v>446</v>
      </c>
      <c r="E1217" s="5">
        <v>43617</v>
      </c>
      <c r="F1217">
        <v>13550501</v>
      </c>
      <c r="G1217">
        <v>0</v>
      </c>
      <c r="H1217" t="s">
        <v>1129</v>
      </c>
      <c r="I1217" t="s">
        <v>1130</v>
      </c>
      <c r="J1217">
        <v>1001</v>
      </c>
      <c r="K1217">
        <v>5062</v>
      </c>
      <c r="L1217" s="3">
        <v>468502.48</v>
      </c>
      <c r="M1217" s="3">
        <v>10988</v>
      </c>
      <c r="N1217">
        <v>0</v>
      </c>
      <c r="O1217">
        <v>2747000</v>
      </c>
      <c r="P1217">
        <v>479490.48</v>
      </c>
      <c r="Q1217" t="s">
        <v>30</v>
      </c>
      <c r="R1217" t="s">
        <v>457</v>
      </c>
      <c r="S1217" t="str">
        <v>#N/A</v>
      </c>
      <c r="T1217" t="str">
        <v>#N/A</v>
      </c>
    </row>
    <row r="1218" spans="1:20" ht="13.7" customHeight="1" x14ac:dyDescent="0.25">
      <c r="A1218" t="s">
        <v>320</v>
      </c>
      <c r="B1218" t="s">
        <v>321</v>
      </c>
      <c r="C1218" t="s">
        <v>142</v>
      </c>
      <c r="D1218">
        <v>489</v>
      </c>
      <c r="E1218" s="5">
        <v>43710</v>
      </c>
      <c r="F1218">
        <v>13550501</v>
      </c>
      <c r="G1218">
        <v>0</v>
      </c>
      <c r="H1218" t="s">
        <v>1129</v>
      </c>
      <c r="I1218" t="s">
        <v>1130</v>
      </c>
      <c r="J1218">
        <v>1001</v>
      </c>
      <c r="K1218">
        <v>5062</v>
      </c>
      <c r="L1218" s="3">
        <v>479490.48</v>
      </c>
      <c r="M1218" s="3">
        <v>45600</v>
      </c>
      <c r="N1218">
        <v>0</v>
      </c>
      <c r="O1218">
        <v>11400000</v>
      </c>
      <c r="P1218">
        <v>525090.48</v>
      </c>
      <c r="Q1218" t="s">
        <v>30</v>
      </c>
      <c r="R1218" t="s">
        <v>475</v>
      </c>
      <c r="S1218" t="str">
        <v>#N/A</v>
      </c>
      <c r="T1218" t="str">
        <v>#N/A</v>
      </c>
    </row>
    <row r="1219" spans="1:20" ht="13.7" customHeight="1" x14ac:dyDescent="0.25">
      <c r="A1219" t="s">
        <v>320</v>
      </c>
      <c r="B1219" t="s">
        <v>321</v>
      </c>
      <c r="C1219" t="s">
        <v>142</v>
      </c>
      <c r="D1219">
        <v>506</v>
      </c>
      <c r="E1219" s="5">
        <v>43743</v>
      </c>
      <c r="F1219">
        <v>13550501</v>
      </c>
      <c r="G1219">
        <v>0</v>
      </c>
      <c r="H1219" t="s">
        <v>1129</v>
      </c>
      <c r="I1219" t="s">
        <v>1130</v>
      </c>
      <c r="J1219">
        <v>1001</v>
      </c>
      <c r="K1219">
        <v>5062</v>
      </c>
      <c r="L1219" s="3">
        <v>525090.48</v>
      </c>
      <c r="M1219" s="3">
        <v>45600</v>
      </c>
      <c r="N1219">
        <v>0</v>
      </c>
      <c r="O1219">
        <v>11400000</v>
      </c>
      <c r="P1219">
        <v>570690.48</v>
      </c>
      <c r="Q1219" t="s">
        <v>30</v>
      </c>
      <c r="R1219" t="s">
        <v>491</v>
      </c>
      <c r="S1219" t="str">
        <v>#N/A</v>
      </c>
      <c r="T1219" t="str">
        <v>#N/A</v>
      </c>
    </row>
    <row r="1220" spans="1:20" ht="13.7" customHeight="1" x14ac:dyDescent="0.25">
      <c r="A1220" t="s">
        <v>320</v>
      </c>
      <c r="B1220" t="s">
        <v>321</v>
      </c>
      <c r="C1220" t="s">
        <v>142</v>
      </c>
      <c r="D1220">
        <v>525</v>
      </c>
      <c r="E1220" s="5">
        <v>43771</v>
      </c>
      <c r="F1220">
        <v>13550501</v>
      </c>
      <c r="G1220">
        <v>0</v>
      </c>
      <c r="H1220" t="s">
        <v>1129</v>
      </c>
      <c r="I1220" t="s">
        <v>1130</v>
      </c>
      <c r="J1220">
        <v>1001</v>
      </c>
      <c r="K1220">
        <v>5062</v>
      </c>
      <c r="L1220" s="3">
        <v>570690.48</v>
      </c>
      <c r="M1220" s="3">
        <v>31120</v>
      </c>
      <c r="N1220">
        <v>0</v>
      </c>
      <c r="O1220">
        <v>7780000</v>
      </c>
      <c r="P1220">
        <v>601810.48</v>
      </c>
      <c r="Q1220" t="s">
        <v>30</v>
      </c>
      <c r="R1220" t="s">
        <v>507</v>
      </c>
      <c r="S1220" t="str">
        <v>#N/A</v>
      </c>
      <c r="T1220" t="str">
        <v>#N/A</v>
      </c>
    </row>
    <row r="1221" spans="1:20" ht="13.7" customHeight="1" x14ac:dyDescent="0.25">
      <c r="A1221" t="s">
        <v>320</v>
      </c>
      <c r="B1221" t="s">
        <v>321</v>
      </c>
      <c r="C1221" t="s">
        <v>142</v>
      </c>
      <c r="D1221">
        <v>534</v>
      </c>
      <c r="E1221" s="5">
        <v>43795</v>
      </c>
      <c r="F1221">
        <v>13550501</v>
      </c>
      <c r="G1221">
        <v>0</v>
      </c>
      <c r="H1221" t="s">
        <v>1129</v>
      </c>
      <c r="I1221" t="s">
        <v>1130</v>
      </c>
      <c r="J1221">
        <v>1001</v>
      </c>
      <c r="K1221">
        <v>5062</v>
      </c>
      <c r="L1221" s="3">
        <v>601810.48</v>
      </c>
      <c r="M1221" s="3">
        <v>45600</v>
      </c>
      <c r="N1221">
        <v>0</v>
      </c>
      <c r="O1221">
        <v>11400000</v>
      </c>
      <c r="P1221">
        <v>647410.48</v>
      </c>
      <c r="Q1221" t="s">
        <v>30</v>
      </c>
      <c r="R1221" t="s">
        <v>516</v>
      </c>
      <c r="S1221" t="str">
        <v>#N/A</v>
      </c>
      <c r="T1221" t="str">
        <v>#N/A</v>
      </c>
    </row>
    <row r="1222" spans="1:20" ht="13.7" customHeight="1" x14ac:dyDescent="0.25">
      <c r="E1222" s="5">
        <v>43465</v>
      </c>
      <c r="F1222">
        <v>13550501</v>
      </c>
      <c r="G1222">
        <v>0</v>
      </c>
      <c r="H1222" t="s">
        <v>1139</v>
      </c>
      <c r="I1222" t="s">
        <v>1140</v>
      </c>
      <c r="J1222">
        <v>0</v>
      </c>
      <c r="K1222">
        <v>0</v>
      </c>
      <c r="L1222" s="3">
        <v>73923.679999999993</v>
      </c>
      <c r="M1222" s="3">
        <v>0</v>
      </c>
      <c r="N1222">
        <v>0</v>
      </c>
      <c r="O1222">
        <v>18480920</v>
      </c>
      <c r="P1222">
        <v>73923.679999999993</v>
      </c>
      <c r="R1222" t="s">
        <v>1100</v>
      </c>
      <c r="S1222" t="str">
        <v>#N/A</v>
      </c>
      <c r="T1222" t="str">
        <v>#N/A</v>
      </c>
    </row>
    <row r="1223" spans="1:20" ht="13.7" customHeight="1" x14ac:dyDescent="0.25">
      <c r="A1223" t="s">
        <v>320</v>
      </c>
      <c r="B1223" t="s">
        <v>321</v>
      </c>
      <c r="C1223" t="s">
        <v>142</v>
      </c>
      <c r="D1223">
        <v>465</v>
      </c>
      <c r="E1223" s="5">
        <v>43653</v>
      </c>
      <c r="F1223">
        <v>13550501</v>
      </c>
      <c r="G1223">
        <v>0</v>
      </c>
      <c r="H1223" t="s">
        <v>1139</v>
      </c>
      <c r="I1223" t="s">
        <v>1140</v>
      </c>
      <c r="J1223">
        <v>1001</v>
      </c>
      <c r="K1223">
        <v>5062</v>
      </c>
      <c r="L1223" s="3">
        <v>73923.679999999993</v>
      </c>
      <c r="M1223" s="3">
        <v>2545.92</v>
      </c>
      <c r="N1223">
        <v>0</v>
      </c>
      <c r="O1223">
        <v>636480</v>
      </c>
      <c r="P1223">
        <v>76469.600000000006</v>
      </c>
      <c r="Q1223" t="s">
        <v>30</v>
      </c>
      <c r="R1223" t="s">
        <v>468</v>
      </c>
      <c r="S1223" t="str">
        <v>#N/A</v>
      </c>
      <c r="T1223" t="str">
        <v>#N/A</v>
      </c>
    </row>
    <row r="1224" spans="1:20" ht="13.7" customHeight="1" x14ac:dyDescent="0.25">
      <c r="E1224" s="5">
        <v>43465</v>
      </c>
      <c r="F1224">
        <v>13550501</v>
      </c>
      <c r="G1224">
        <v>0</v>
      </c>
      <c r="H1224" t="s">
        <v>1125</v>
      </c>
      <c r="I1224" t="s">
        <v>1126</v>
      </c>
      <c r="J1224">
        <v>0</v>
      </c>
      <c r="K1224">
        <v>0</v>
      </c>
      <c r="L1224" s="3">
        <v>399534.01199999999</v>
      </c>
      <c r="M1224" s="3">
        <v>0</v>
      </c>
      <c r="N1224">
        <v>0</v>
      </c>
      <c r="O1224">
        <v>99882703</v>
      </c>
      <c r="P1224">
        <v>399534.01199999999</v>
      </c>
      <c r="R1224" t="s">
        <v>1100</v>
      </c>
      <c r="S1224" t="str">
        <v>#N/A</v>
      </c>
      <c r="T1224" t="str">
        <v>31</v>
      </c>
    </row>
    <row r="1225" spans="1:20" ht="13.7" customHeight="1" x14ac:dyDescent="0.25">
      <c r="A1225" t="s">
        <v>320</v>
      </c>
      <c r="B1225" t="s">
        <v>321</v>
      </c>
      <c r="C1225" t="s">
        <v>142</v>
      </c>
      <c r="D1225">
        <v>334</v>
      </c>
      <c r="E1225" s="5">
        <v>43466</v>
      </c>
      <c r="F1225">
        <v>13550501</v>
      </c>
      <c r="G1225">
        <v>0</v>
      </c>
      <c r="H1225" t="s">
        <v>1125</v>
      </c>
      <c r="I1225" t="s">
        <v>1126</v>
      </c>
      <c r="J1225">
        <v>1001</v>
      </c>
      <c r="K1225">
        <v>5062</v>
      </c>
      <c r="L1225" s="3">
        <v>399534.01199999999</v>
      </c>
      <c r="M1225" s="3">
        <v>51400.959999999999</v>
      </c>
      <c r="N1225">
        <v>0</v>
      </c>
      <c r="O1225">
        <v>12850240</v>
      </c>
      <c r="P1225">
        <v>450934.97200000001</v>
      </c>
      <c r="Q1225" t="s">
        <v>30</v>
      </c>
      <c r="R1225" t="s">
        <v>578</v>
      </c>
      <c r="S1225" t="str">
        <v>#N/A</v>
      </c>
      <c r="T1225" t="str">
        <v>31</v>
      </c>
    </row>
    <row r="1226" spans="1:20" ht="13.7" customHeight="1" x14ac:dyDescent="0.25">
      <c r="A1226" t="s">
        <v>320</v>
      </c>
      <c r="B1226" t="s">
        <v>321</v>
      </c>
      <c r="C1226" t="s">
        <v>142</v>
      </c>
      <c r="D1226">
        <v>339</v>
      </c>
      <c r="E1226" s="5">
        <v>43482</v>
      </c>
      <c r="F1226">
        <v>13550501</v>
      </c>
      <c r="G1226">
        <v>0</v>
      </c>
      <c r="H1226" t="s">
        <v>1125</v>
      </c>
      <c r="I1226" t="s">
        <v>1126</v>
      </c>
      <c r="J1226">
        <v>1001</v>
      </c>
      <c r="K1226">
        <v>5062</v>
      </c>
      <c r="L1226" s="3">
        <v>450934.97200000001</v>
      </c>
      <c r="M1226" s="3">
        <v>1869.84</v>
      </c>
      <c r="N1226">
        <v>0</v>
      </c>
      <c r="O1226">
        <v>467460</v>
      </c>
      <c r="P1226">
        <v>452804.81199999998</v>
      </c>
      <c r="Q1226" t="s">
        <v>30</v>
      </c>
      <c r="R1226" t="s">
        <v>583</v>
      </c>
      <c r="S1226" t="str">
        <v>#N/A</v>
      </c>
      <c r="T1226" t="str">
        <v>31</v>
      </c>
    </row>
    <row r="1227" spans="1:20" ht="13.7" customHeight="1" x14ac:dyDescent="0.25">
      <c r="A1227" t="s">
        <v>320</v>
      </c>
      <c r="B1227" t="s">
        <v>321</v>
      </c>
      <c r="C1227" t="s">
        <v>142</v>
      </c>
      <c r="D1227">
        <v>341</v>
      </c>
      <c r="E1227" s="5">
        <v>43484</v>
      </c>
      <c r="F1227">
        <v>13550501</v>
      </c>
      <c r="G1227">
        <v>0</v>
      </c>
      <c r="H1227" t="s">
        <v>1125</v>
      </c>
      <c r="I1227" t="s">
        <v>1126</v>
      </c>
      <c r="J1227">
        <v>1001</v>
      </c>
      <c r="K1227">
        <v>5062</v>
      </c>
      <c r="L1227" s="3">
        <v>452804.81199999998</v>
      </c>
      <c r="M1227" s="3">
        <v>832</v>
      </c>
      <c r="N1227">
        <v>0</v>
      </c>
      <c r="O1227">
        <v>208000</v>
      </c>
      <c r="P1227">
        <v>453636.81199999998</v>
      </c>
      <c r="Q1227" t="s">
        <v>30</v>
      </c>
      <c r="R1227" t="s">
        <v>585</v>
      </c>
      <c r="S1227" t="str">
        <v>#N/A</v>
      </c>
      <c r="T1227" t="str">
        <v>31</v>
      </c>
    </row>
    <row r="1228" spans="1:20" ht="13.7" customHeight="1" x14ac:dyDescent="0.25">
      <c r="A1228" t="s">
        <v>320</v>
      </c>
      <c r="B1228" t="s">
        <v>321</v>
      </c>
      <c r="C1228" t="s">
        <v>142</v>
      </c>
      <c r="D1228">
        <v>351</v>
      </c>
      <c r="E1228" s="5">
        <v>43497</v>
      </c>
      <c r="F1228">
        <v>13550501</v>
      </c>
      <c r="G1228">
        <v>0</v>
      </c>
      <c r="H1228" t="s">
        <v>1125</v>
      </c>
      <c r="I1228" t="s">
        <v>1126</v>
      </c>
      <c r="J1228">
        <v>1001</v>
      </c>
      <c r="K1228">
        <v>5062</v>
      </c>
      <c r="L1228" s="3">
        <v>453636.81199999998</v>
      </c>
      <c r="M1228" s="3">
        <v>456</v>
      </c>
      <c r="N1228">
        <v>0</v>
      </c>
      <c r="O1228">
        <v>114000</v>
      </c>
      <c r="P1228">
        <v>454092.81199999998</v>
      </c>
      <c r="Q1228" t="s">
        <v>30</v>
      </c>
      <c r="R1228" t="s">
        <v>592</v>
      </c>
      <c r="S1228" t="str">
        <v>#N/A</v>
      </c>
      <c r="T1228" t="str">
        <v>31</v>
      </c>
    </row>
    <row r="1229" spans="1:20" ht="13.7" customHeight="1" x14ac:dyDescent="0.25">
      <c r="A1229" t="s">
        <v>320</v>
      </c>
      <c r="B1229" t="s">
        <v>321</v>
      </c>
      <c r="C1229" t="s">
        <v>142</v>
      </c>
      <c r="D1229">
        <v>353</v>
      </c>
      <c r="E1229" s="5">
        <v>43500</v>
      </c>
      <c r="F1229">
        <v>13550501</v>
      </c>
      <c r="G1229">
        <v>0</v>
      </c>
      <c r="H1229" t="s">
        <v>1125</v>
      </c>
      <c r="I1229" t="s">
        <v>1126</v>
      </c>
      <c r="J1229">
        <v>1001</v>
      </c>
      <c r="K1229">
        <v>5062</v>
      </c>
      <c r="L1229" s="3">
        <v>454092.81199999998</v>
      </c>
      <c r="M1229" s="3">
        <v>33471.983999999997</v>
      </c>
      <c r="N1229">
        <v>0</v>
      </c>
      <c r="O1229">
        <v>8367996</v>
      </c>
      <c r="P1229">
        <v>487564.79599999997</v>
      </c>
      <c r="Q1229" t="s">
        <v>30</v>
      </c>
      <c r="R1229" t="s">
        <v>346</v>
      </c>
      <c r="S1229" t="str">
        <v>#N/A</v>
      </c>
      <c r="T1229" t="str">
        <v>31</v>
      </c>
    </row>
    <row r="1230" spans="1:20" ht="13.7" customHeight="1" x14ac:dyDescent="0.25">
      <c r="A1230" t="s">
        <v>320</v>
      </c>
      <c r="B1230" t="s">
        <v>321</v>
      </c>
      <c r="C1230" t="s">
        <v>142</v>
      </c>
      <c r="D1230">
        <v>357</v>
      </c>
      <c r="E1230" s="5">
        <v>43504</v>
      </c>
      <c r="F1230">
        <v>13550501</v>
      </c>
      <c r="G1230">
        <v>0</v>
      </c>
      <c r="H1230" t="s">
        <v>1125</v>
      </c>
      <c r="I1230" t="s">
        <v>1126</v>
      </c>
      <c r="J1230">
        <v>1001</v>
      </c>
      <c r="K1230">
        <v>5062</v>
      </c>
      <c r="L1230" s="3">
        <v>487564.79599999997</v>
      </c>
      <c r="M1230" s="3">
        <v>80</v>
      </c>
      <c r="N1230">
        <v>0</v>
      </c>
      <c r="O1230">
        <v>20000</v>
      </c>
      <c r="P1230">
        <v>487644.79599999997</v>
      </c>
      <c r="Q1230" t="s">
        <v>30</v>
      </c>
      <c r="R1230" t="s">
        <v>596</v>
      </c>
      <c r="S1230" t="str">
        <v>#N/A</v>
      </c>
      <c r="T1230" t="str">
        <v>31</v>
      </c>
    </row>
    <row r="1231" spans="1:20" ht="13.7" customHeight="1" x14ac:dyDescent="0.25">
      <c r="A1231" t="s">
        <v>320</v>
      </c>
      <c r="B1231" t="s">
        <v>321</v>
      </c>
      <c r="C1231" t="s">
        <v>142</v>
      </c>
      <c r="D1231">
        <v>358</v>
      </c>
      <c r="E1231" s="5">
        <v>43507</v>
      </c>
      <c r="F1231">
        <v>13550501</v>
      </c>
      <c r="G1231">
        <v>0</v>
      </c>
      <c r="H1231" t="s">
        <v>1125</v>
      </c>
      <c r="I1231" t="s">
        <v>1126</v>
      </c>
      <c r="J1231">
        <v>1001</v>
      </c>
      <c r="K1231">
        <v>5062</v>
      </c>
      <c r="L1231" s="3">
        <v>487644.79599999997</v>
      </c>
      <c r="M1231" s="3">
        <v>7104</v>
      </c>
      <c r="N1231">
        <v>0</v>
      </c>
      <c r="O1231">
        <v>1776000</v>
      </c>
      <c r="P1231">
        <v>494748.79599999997</v>
      </c>
      <c r="Q1231" t="s">
        <v>30</v>
      </c>
      <c r="R1231" t="s">
        <v>597</v>
      </c>
      <c r="S1231" t="str">
        <v>#N/A</v>
      </c>
      <c r="T1231" t="str">
        <v>31</v>
      </c>
    </row>
    <row r="1232" spans="1:20" ht="13.7" customHeight="1" x14ac:dyDescent="0.25">
      <c r="A1232" t="s">
        <v>320</v>
      </c>
      <c r="B1232" t="s">
        <v>321</v>
      </c>
      <c r="C1232" t="s">
        <v>142</v>
      </c>
      <c r="D1232">
        <v>361</v>
      </c>
      <c r="E1232" s="5">
        <v>43507</v>
      </c>
      <c r="F1232">
        <v>13550501</v>
      </c>
      <c r="G1232">
        <v>0</v>
      </c>
      <c r="H1232" t="s">
        <v>1125</v>
      </c>
      <c r="I1232" t="s">
        <v>1126</v>
      </c>
      <c r="J1232">
        <v>1001</v>
      </c>
      <c r="K1232">
        <v>5062</v>
      </c>
      <c r="L1232" s="3">
        <v>494748.79599999997</v>
      </c>
      <c r="M1232" s="3">
        <v>4440</v>
      </c>
      <c r="N1232">
        <v>0</v>
      </c>
      <c r="O1232">
        <v>1110000</v>
      </c>
      <c r="P1232">
        <v>499188.79599999997</v>
      </c>
      <c r="Q1232" t="s">
        <v>30</v>
      </c>
      <c r="R1232" t="s">
        <v>599</v>
      </c>
      <c r="S1232" t="str">
        <v>#N/A</v>
      </c>
      <c r="T1232" t="str">
        <v>31</v>
      </c>
    </row>
    <row r="1233" spans="1:20" ht="13.7" customHeight="1" x14ac:dyDescent="0.25">
      <c r="A1233" t="s">
        <v>320</v>
      </c>
      <c r="B1233" t="s">
        <v>321</v>
      </c>
      <c r="C1233" t="s">
        <v>142</v>
      </c>
      <c r="D1233">
        <v>362</v>
      </c>
      <c r="E1233" s="5">
        <v>43508</v>
      </c>
      <c r="F1233">
        <v>13550501</v>
      </c>
      <c r="G1233">
        <v>0</v>
      </c>
      <c r="H1233" t="s">
        <v>1125</v>
      </c>
      <c r="I1233" t="s">
        <v>1126</v>
      </c>
      <c r="J1233">
        <v>1001</v>
      </c>
      <c r="K1233">
        <v>5062</v>
      </c>
      <c r="L1233" s="3">
        <v>499188.79599999997</v>
      </c>
      <c r="M1233" s="3">
        <v>2041.56</v>
      </c>
      <c r="N1233">
        <v>0</v>
      </c>
      <c r="O1233">
        <v>510390</v>
      </c>
      <c r="P1233">
        <v>501230.35600000003</v>
      </c>
      <c r="Q1233" t="s">
        <v>30</v>
      </c>
      <c r="R1233" t="s">
        <v>600</v>
      </c>
      <c r="S1233" t="str">
        <v>#N/A</v>
      </c>
      <c r="T1233" t="str">
        <v>31</v>
      </c>
    </row>
    <row r="1234" spans="1:20" ht="13.7" customHeight="1" x14ac:dyDescent="0.25">
      <c r="A1234" t="s">
        <v>320</v>
      </c>
      <c r="B1234" t="s">
        <v>321</v>
      </c>
      <c r="C1234" t="s">
        <v>142</v>
      </c>
      <c r="D1234">
        <v>374</v>
      </c>
      <c r="E1234" s="5">
        <v>43519</v>
      </c>
      <c r="F1234">
        <v>13550501</v>
      </c>
      <c r="G1234">
        <v>0</v>
      </c>
      <c r="H1234" t="s">
        <v>1125</v>
      </c>
      <c r="I1234" t="s">
        <v>1126</v>
      </c>
      <c r="J1234">
        <v>1001</v>
      </c>
      <c r="K1234">
        <v>5062</v>
      </c>
      <c r="L1234" s="3">
        <v>501230.35600000003</v>
      </c>
      <c r="M1234" s="3">
        <v>12449.6</v>
      </c>
      <c r="N1234">
        <v>0</v>
      </c>
      <c r="O1234">
        <v>3112400</v>
      </c>
      <c r="P1234">
        <v>513679.95600000001</v>
      </c>
      <c r="Q1234" t="s">
        <v>30</v>
      </c>
      <c r="R1234" t="s">
        <v>368</v>
      </c>
      <c r="S1234" t="str">
        <v>#N/A</v>
      </c>
      <c r="T1234" t="str">
        <v>31</v>
      </c>
    </row>
    <row r="1235" spans="1:20" ht="13.7" customHeight="1" x14ac:dyDescent="0.25">
      <c r="A1235" t="s">
        <v>320</v>
      </c>
      <c r="B1235" t="s">
        <v>321</v>
      </c>
      <c r="C1235" t="s">
        <v>142</v>
      </c>
      <c r="D1235">
        <v>377</v>
      </c>
      <c r="E1235" s="5">
        <v>43528</v>
      </c>
      <c r="F1235">
        <v>13550501</v>
      </c>
      <c r="G1235">
        <v>0</v>
      </c>
      <c r="H1235" t="s">
        <v>1125</v>
      </c>
      <c r="I1235" t="s">
        <v>1126</v>
      </c>
      <c r="J1235">
        <v>1001</v>
      </c>
      <c r="K1235">
        <v>5062</v>
      </c>
      <c r="L1235" s="3">
        <v>513679.95600000001</v>
      </c>
      <c r="M1235" s="3">
        <v>1140</v>
      </c>
      <c r="N1235">
        <v>0</v>
      </c>
      <c r="O1235">
        <v>285000</v>
      </c>
      <c r="P1235">
        <v>514819.95600000001</v>
      </c>
      <c r="Q1235" t="s">
        <v>30</v>
      </c>
      <c r="R1235" t="s">
        <v>392</v>
      </c>
      <c r="S1235" t="str">
        <v>#N/A</v>
      </c>
      <c r="T1235" t="str">
        <v>31</v>
      </c>
    </row>
    <row r="1236" spans="1:20" ht="13.7" customHeight="1" x14ac:dyDescent="0.25">
      <c r="A1236" t="s">
        <v>320</v>
      </c>
      <c r="B1236" t="s">
        <v>321</v>
      </c>
      <c r="C1236" t="s">
        <v>142</v>
      </c>
      <c r="D1236">
        <v>379</v>
      </c>
      <c r="E1236" s="5">
        <v>43531</v>
      </c>
      <c r="F1236">
        <v>13550501</v>
      </c>
      <c r="G1236">
        <v>0</v>
      </c>
      <c r="H1236" t="s">
        <v>1125</v>
      </c>
      <c r="I1236" t="s">
        <v>1126</v>
      </c>
      <c r="J1236">
        <v>1001</v>
      </c>
      <c r="K1236">
        <v>5062</v>
      </c>
      <c r="L1236" s="3">
        <v>514819.95600000001</v>
      </c>
      <c r="M1236" s="3">
        <v>9229.2000000000007</v>
      </c>
      <c r="N1236">
        <v>0</v>
      </c>
      <c r="O1236">
        <v>2307300</v>
      </c>
      <c r="P1236">
        <v>524049.15600000002</v>
      </c>
      <c r="Q1236" t="s">
        <v>30</v>
      </c>
      <c r="R1236" t="s">
        <v>395</v>
      </c>
      <c r="S1236" t="str">
        <v>#N/A</v>
      </c>
      <c r="T1236" t="str">
        <v>31</v>
      </c>
    </row>
    <row r="1237" spans="1:20" ht="13.7" customHeight="1" x14ac:dyDescent="0.25">
      <c r="A1237" t="s">
        <v>320</v>
      </c>
      <c r="B1237" t="s">
        <v>321</v>
      </c>
      <c r="C1237" t="s">
        <v>142</v>
      </c>
      <c r="D1237">
        <v>381</v>
      </c>
      <c r="E1237" s="5">
        <v>43535</v>
      </c>
      <c r="F1237">
        <v>13550501</v>
      </c>
      <c r="G1237">
        <v>0</v>
      </c>
      <c r="H1237" t="s">
        <v>1125</v>
      </c>
      <c r="I1237" t="s">
        <v>1126</v>
      </c>
      <c r="J1237">
        <v>1001</v>
      </c>
      <c r="K1237">
        <v>5062</v>
      </c>
      <c r="L1237" s="3">
        <v>524049.15600000002</v>
      </c>
      <c r="M1237" s="3">
        <v>508.8</v>
      </c>
      <c r="N1237">
        <v>0</v>
      </c>
      <c r="O1237">
        <v>127200</v>
      </c>
      <c r="P1237">
        <v>524557.95600000001</v>
      </c>
      <c r="Q1237" t="s">
        <v>30</v>
      </c>
      <c r="R1237" t="s">
        <v>399</v>
      </c>
      <c r="S1237" t="str">
        <v>#N/A</v>
      </c>
      <c r="T1237" t="str">
        <v>31</v>
      </c>
    </row>
    <row r="1238" spans="1:20" ht="13.7" customHeight="1" x14ac:dyDescent="0.25">
      <c r="A1238" t="s">
        <v>320</v>
      </c>
      <c r="B1238" t="s">
        <v>321</v>
      </c>
      <c r="C1238" t="s">
        <v>142</v>
      </c>
      <c r="D1238">
        <v>383</v>
      </c>
      <c r="E1238" s="5">
        <v>43542</v>
      </c>
      <c r="F1238">
        <v>13550501</v>
      </c>
      <c r="G1238">
        <v>0</v>
      </c>
      <c r="H1238" t="s">
        <v>1125</v>
      </c>
      <c r="I1238" t="s">
        <v>1126</v>
      </c>
      <c r="J1238">
        <v>1001</v>
      </c>
      <c r="K1238">
        <v>5062</v>
      </c>
      <c r="L1238" s="3">
        <v>524557.95600000001</v>
      </c>
      <c r="M1238" s="3">
        <v>1680</v>
      </c>
      <c r="N1238">
        <v>0</v>
      </c>
      <c r="O1238">
        <v>420000</v>
      </c>
      <c r="P1238">
        <v>526237.95600000001</v>
      </c>
      <c r="Q1238" t="s">
        <v>30</v>
      </c>
      <c r="R1238" t="s">
        <v>405</v>
      </c>
      <c r="S1238" t="str">
        <v>#N/A</v>
      </c>
      <c r="T1238" t="str">
        <v>31</v>
      </c>
    </row>
    <row r="1239" spans="1:20" ht="13.7" customHeight="1" x14ac:dyDescent="0.25">
      <c r="A1239" t="s">
        <v>320</v>
      </c>
      <c r="B1239" t="s">
        <v>321</v>
      </c>
      <c r="C1239" t="s">
        <v>142</v>
      </c>
      <c r="D1239">
        <v>388</v>
      </c>
      <c r="E1239" s="5">
        <v>43545</v>
      </c>
      <c r="F1239">
        <v>13550501</v>
      </c>
      <c r="G1239">
        <v>0</v>
      </c>
      <c r="H1239" t="s">
        <v>1125</v>
      </c>
      <c r="I1239" t="s">
        <v>1126</v>
      </c>
      <c r="J1239">
        <v>1001</v>
      </c>
      <c r="K1239">
        <v>5062</v>
      </c>
      <c r="L1239" s="3">
        <v>526237.95600000001</v>
      </c>
      <c r="M1239" s="3">
        <v>1728</v>
      </c>
      <c r="N1239">
        <v>0</v>
      </c>
      <c r="O1239">
        <v>432000</v>
      </c>
      <c r="P1239">
        <v>527965.95600000001</v>
      </c>
      <c r="Q1239" t="s">
        <v>30</v>
      </c>
      <c r="R1239" t="s">
        <v>408</v>
      </c>
      <c r="S1239" t="str">
        <v>#N/A</v>
      </c>
      <c r="T1239" t="str">
        <v>31</v>
      </c>
    </row>
    <row r="1240" spans="1:20" ht="13.7" customHeight="1" x14ac:dyDescent="0.25">
      <c r="A1240" t="s">
        <v>320</v>
      </c>
      <c r="B1240" t="s">
        <v>321</v>
      </c>
      <c r="C1240" t="s">
        <v>142</v>
      </c>
      <c r="D1240">
        <v>389</v>
      </c>
      <c r="E1240" s="5">
        <v>43546</v>
      </c>
      <c r="F1240">
        <v>13550501</v>
      </c>
      <c r="G1240">
        <v>0</v>
      </c>
      <c r="H1240" t="s">
        <v>1125</v>
      </c>
      <c r="I1240" t="s">
        <v>1126</v>
      </c>
      <c r="J1240">
        <v>1001</v>
      </c>
      <c r="K1240">
        <v>5062</v>
      </c>
      <c r="L1240" s="3">
        <v>527965.95600000001</v>
      </c>
      <c r="M1240" s="3">
        <v>54080</v>
      </c>
      <c r="N1240">
        <v>0</v>
      </c>
      <c r="O1240">
        <v>13520000</v>
      </c>
      <c r="P1240">
        <v>582045.95600000001</v>
      </c>
      <c r="Q1240" t="s">
        <v>30</v>
      </c>
      <c r="R1240" t="s">
        <v>409</v>
      </c>
      <c r="S1240" t="str">
        <v>#N/A</v>
      </c>
      <c r="T1240" t="str">
        <v>31</v>
      </c>
    </row>
    <row r="1241" spans="1:20" ht="13.7" customHeight="1" x14ac:dyDescent="0.25">
      <c r="A1241" t="s">
        <v>320</v>
      </c>
      <c r="B1241" t="s">
        <v>321</v>
      </c>
      <c r="C1241" t="s">
        <v>142</v>
      </c>
      <c r="D1241">
        <v>390</v>
      </c>
      <c r="E1241" s="5">
        <v>43550</v>
      </c>
      <c r="F1241">
        <v>13550501</v>
      </c>
      <c r="G1241">
        <v>0</v>
      </c>
      <c r="H1241" t="s">
        <v>1125</v>
      </c>
      <c r="I1241" t="s">
        <v>1126</v>
      </c>
      <c r="J1241">
        <v>1001</v>
      </c>
      <c r="K1241">
        <v>5062</v>
      </c>
      <c r="L1241" s="3">
        <v>582045.95600000001</v>
      </c>
      <c r="M1241" s="3">
        <v>80</v>
      </c>
      <c r="N1241">
        <v>0</v>
      </c>
      <c r="O1241">
        <v>20000</v>
      </c>
      <c r="P1241">
        <v>582125.95600000001</v>
      </c>
      <c r="Q1241" t="s">
        <v>30</v>
      </c>
      <c r="R1241" t="s">
        <v>410</v>
      </c>
      <c r="S1241" t="str">
        <v>#N/A</v>
      </c>
      <c r="T1241" t="str">
        <v>31</v>
      </c>
    </row>
    <row r="1242" spans="1:20" ht="13.7" customHeight="1" x14ac:dyDescent="0.25">
      <c r="A1242" t="s">
        <v>320</v>
      </c>
      <c r="B1242" t="s">
        <v>321</v>
      </c>
      <c r="C1242" t="s">
        <v>142</v>
      </c>
      <c r="D1242">
        <v>393</v>
      </c>
      <c r="E1242" s="5">
        <v>43553</v>
      </c>
      <c r="F1242">
        <v>13550501</v>
      </c>
      <c r="G1242">
        <v>0</v>
      </c>
      <c r="H1242" t="s">
        <v>1125</v>
      </c>
      <c r="I1242" t="s">
        <v>1126</v>
      </c>
      <c r="J1242">
        <v>1001</v>
      </c>
      <c r="K1242">
        <v>5062</v>
      </c>
      <c r="L1242" s="3">
        <v>582125.95600000001</v>
      </c>
      <c r="M1242" s="3">
        <v>5976</v>
      </c>
      <c r="N1242">
        <v>0</v>
      </c>
      <c r="O1242">
        <v>1494000</v>
      </c>
      <c r="P1242">
        <v>588101.95600000001</v>
      </c>
      <c r="Q1242" t="s">
        <v>30</v>
      </c>
      <c r="R1242" t="s">
        <v>419</v>
      </c>
      <c r="S1242" t="str">
        <v>#N/A</v>
      </c>
      <c r="T1242" t="str">
        <v>31</v>
      </c>
    </row>
    <row r="1243" spans="1:20" ht="13.7" customHeight="1" x14ac:dyDescent="0.25">
      <c r="A1243" t="s">
        <v>320</v>
      </c>
      <c r="B1243" t="s">
        <v>321</v>
      </c>
      <c r="C1243" t="s">
        <v>142</v>
      </c>
      <c r="D1243">
        <v>396</v>
      </c>
      <c r="E1243" s="5">
        <v>43556</v>
      </c>
      <c r="F1243">
        <v>13550501</v>
      </c>
      <c r="G1243">
        <v>0</v>
      </c>
      <c r="H1243" t="s">
        <v>1125</v>
      </c>
      <c r="I1243" t="s">
        <v>1126</v>
      </c>
      <c r="J1243">
        <v>1001</v>
      </c>
      <c r="K1243">
        <v>5062</v>
      </c>
      <c r="L1243" s="3">
        <v>588101.95600000001</v>
      </c>
      <c r="M1243" s="3">
        <v>180</v>
      </c>
      <c r="N1243">
        <v>0</v>
      </c>
      <c r="O1243">
        <v>45000</v>
      </c>
      <c r="P1243">
        <v>588281.95600000001</v>
      </c>
      <c r="Q1243" t="s">
        <v>30</v>
      </c>
      <c r="R1243" t="s">
        <v>421</v>
      </c>
      <c r="S1243" t="str">
        <v>#N/A</v>
      </c>
      <c r="T1243" t="str">
        <v>31</v>
      </c>
    </row>
    <row r="1244" spans="1:20" ht="13.7" customHeight="1" x14ac:dyDescent="0.25">
      <c r="A1244" t="s">
        <v>320</v>
      </c>
      <c r="B1244" t="s">
        <v>321</v>
      </c>
      <c r="C1244" t="s">
        <v>142</v>
      </c>
      <c r="D1244">
        <v>399</v>
      </c>
      <c r="E1244" s="5">
        <v>43559</v>
      </c>
      <c r="F1244">
        <v>13550501</v>
      </c>
      <c r="G1244">
        <v>0</v>
      </c>
      <c r="H1244" t="s">
        <v>1125</v>
      </c>
      <c r="I1244" t="s">
        <v>1126</v>
      </c>
      <c r="J1244">
        <v>1001</v>
      </c>
      <c r="K1244">
        <v>5062</v>
      </c>
      <c r="L1244" s="3">
        <v>588281.95600000001</v>
      </c>
      <c r="M1244" s="3">
        <v>2742</v>
      </c>
      <c r="N1244">
        <v>0</v>
      </c>
      <c r="O1244">
        <v>685500</v>
      </c>
      <c r="P1244">
        <v>591023.95600000001</v>
      </c>
      <c r="Q1244" t="s">
        <v>30</v>
      </c>
      <c r="R1244" t="s">
        <v>423</v>
      </c>
      <c r="S1244" t="str">
        <v>#N/A</v>
      </c>
      <c r="T1244" t="str">
        <v>31</v>
      </c>
    </row>
    <row r="1245" spans="1:20" ht="13.7" customHeight="1" x14ac:dyDescent="0.25">
      <c r="A1245" t="s">
        <v>320</v>
      </c>
      <c r="B1245" t="s">
        <v>321</v>
      </c>
      <c r="C1245" t="s">
        <v>142</v>
      </c>
      <c r="D1245">
        <v>402</v>
      </c>
      <c r="E1245" s="5">
        <v>43560</v>
      </c>
      <c r="F1245">
        <v>13550501</v>
      </c>
      <c r="G1245">
        <v>0</v>
      </c>
      <c r="H1245" t="s">
        <v>1125</v>
      </c>
      <c r="I1245" t="s">
        <v>1126</v>
      </c>
      <c r="J1245">
        <v>1001</v>
      </c>
      <c r="K1245">
        <v>5062</v>
      </c>
      <c r="L1245" s="3">
        <v>591023.95600000001</v>
      </c>
      <c r="M1245" s="3">
        <v>16200</v>
      </c>
      <c r="N1245">
        <v>0</v>
      </c>
      <c r="O1245">
        <v>4050000</v>
      </c>
      <c r="P1245">
        <v>607223.95600000001</v>
      </c>
      <c r="Q1245" t="s">
        <v>30</v>
      </c>
      <c r="R1245" t="s">
        <v>425</v>
      </c>
      <c r="S1245" t="str">
        <v>#N/A</v>
      </c>
      <c r="T1245" t="str">
        <v>31</v>
      </c>
    </row>
    <row r="1246" spans="1:20" ht="13.7" customHeight="1" x14ac:dyDescent="0.25">
      <c r="A1246" t="s">
        <v>320</v>
      </c>
      <c r="B1246" t="s">
        <v>321</v>
      </c>
      <c r="C1246" t="s">
        <v>142</v>
      </c>
      <c r="D1246">
        <v>404</v>
      </c>
      <c r="E1246" s="5">
        <v>43560</v>
      </c>
      <c r="F1246">
        <v>13550501</v>
      </c>
      <c r="G1246">
        <v>0</v>
      </c>
      <c r="H1246" t="s">
        <v>1125</v>
      </c>
      <c r="I1246" t="s">
        <v>1126</v>
      </c>
      <c r="J1246">
        <v>1001</v>
      </c>
      <c r="K1246">
        <v>5062</v>
      </c>
      <c r="L1246" s="3">
        <v>607223.95600000001</v>
      </c>
      <c r="M1246" s="3">
        <v>3665.6</v>
      </c>
      <c r="N1246">
        <v>0</v>
      </c>
      <c r="O1246">
        <v>916400</v>
      </c>
      <c r="P1246">
        <v>610889.55599999998</v>
      </c>
      <c r="Q1246" t="s">
        <v>30</v>
      </c>
      <c r="R1246" t="s">
        <v>426</v>
      </c>
      <c r="S1246" t="str">
        <v>#N/A</v>
      </c>
      <c r="T1246" t="str">
        <v>31</v>
      </c>
    </row>
    <row r="1247" spans="1:20" ht="13.7" customHeight="1" x14ac:dyDescent="0.25">
      <c r="A1247" t="s">
        <v>320</v>
      </c>
      <c r="B1247" t="s">
        <v>321</v>
      </c>
      <c r="C1247" t="s">
        <v>142</v>
      </c>
      <c r="D1247">
        <v>409</v>
      </c>
      <c r="E1247" s="5">
        <v>43567</v>
      </c>
      <c r="F1247">
        <v>13550501</v>
      </c>
      <c r="G1247">
        <v>0</v>
      </c>
      <c r="H1247" t="s">
        <v>1125</v>
      </c>
      <c r="I1247" t="s">
        <v>1126</v>
      </c>
      <c r="J1247">
        <v>1001</v>
      </c>
      <c r="K1247">
        <v>5062</v>
      </c>
      <c r="L1247" s="3">
        <v>610889.55599999998</v>
      </c>
      <c r="M1247" s="3">
        <v>8192.4</v>
      </c>
      <c r="N1247">
        <v>0</v>
      </c>
      <c r="O1247">
        <v>2048100</v>
      </c>
      <c r="P1247">
        <v>619081.95600000001</v>
      </c>
      <c r="Q1247" t="s">
        <v>30</v>
      </c>
      <c r="R1247" t="s">
        <v>429</v>
      </c>
      <c r="S1247" t="str">
        <v>#N/A</v>
      </c>
      <c r="T1247" t="str">
        <v>31</v>
      </c>
    </row>
    <row r="1248" spans="1:20" ht="13.7" customHeight="1" x14ac:dyDescent="0.25">
      <c r="A1248" t="s">
        <v>320</v>
      </c>
      <c r="B1248" t="s">
        <v>321</v>
      </c>
      <c r="C1248" t="s">
        <v>142</v>
      </c>
      <c r="D1248">
        <v>410</v>
      </c>
      <c r="E1248" s="5">
        <v>43570</v>
      </c>
      <c r="F1248">
        <v>13550501</v>
      </c>
      <c r="G1248">
        <v>0</v>
      </c>
      <c r="H1248" t="s">
        <v>1125</v>
      </c>
      <c r="I1248" t="s">
        <v>1126</v>
      </c>
      <c r="J1248">
        <v>1001</v>
      </c>
      <c r="K1248">
        <v>5062</v>
      </c>
      <c r="L1248" s="3">
        <v>619081.95600000001</v>
      </c>
      <c r="M1248" s="3">
        <v>1628.36</v>
      </c>
      <c r="N1248">
        <v>0</v>
      </c>
      <c r="O1248">
        <v>407090</v>
      </c>
      <c r="P1248">
        <v>620710.31599999999</v>
      </c>
      <c r="Q1248" t="s">
        <v>30</v>
      </c>
      <c r="R1248" t="s">
        <v>430</v>
      </c>
      <c r="S1248" t="str">
        <v>#N/A</v>
      </c>
      <c r="T1248" t="str">
        <v>31</v>
      </c>
    </row>
    <row r="1249" spans="1:20" ht="13.7" customHeight="1" x14ac:dyDescent="0.25">
      <c r="A1249" t="s">
        <v>320</v>
      </c>
      <c r="B1249" t="s">
        <v>321</v>
      </c>
      <c r="C1249" t="s">
        <v>142</v>
      </c>
      <c r="D1249">
        <v>411</v>
      </c>
      <c r="E1249" s="5">
        <v>43570</v>
      </c>
      <c r="F1249">
        <v>13550501</v>
      </c>
      <c r="G1249">
        <v>0</v>
      </c>
      <c r="H1249" t="s">
        <v>1125</v>
      </c>
      <c r="I1249" t="s">
        <v>1126</v>
      </c>
      <c r="J1249">
        <v>1001</v>
      </c>
      <c r="K1249">
        <v>5062</v>
      </c>
      <c r="L1249" s="3">
        <v>620710.31599999999</v>
      </c>
      <c r="M1249" s="3">
        <v>1188</v>
      </c>
      <c r="N1249">
        <v>0</v>
      </c>
      <c r="O1249">
        <v>297000</v>
      </c>
      <c r="P1249">
        <v>621898.31599999999</v>
      </c>
      <c r="Q1249" t="s">
        <v>30</v>
      </c>
      <c r="R1249" t="s">
        <v>431</v>
      </c>
      <c r="S1249" t="str">
        <v>#N/A</v>
      </c>
      <c r="T1249" t="str">
        <v>31</v>
      </c>
    </row>
    <row r="1250" spans="1:20" ht="13.7" customHeight="1" x14ac:dyDescent="0.25">
      <c r="A1250" t="s">
        <v>320</v>
      </c>
      <c r="B1250" t="s">
        <v>321</v>
      </c>
      <c r="C1250" t="s">
        <v>142</v>
      </c>
      <c r="D1250">
        <v>419</v>
      </c>
      <c r="E1250" s="5">
        <v>43584</v>
      </c>
      <c r="F1250">
        <v>13550501</v>
      </c>
      <c r="G1250">
        <v>0</v>
      </c>
      <c r="H1250" t="s">
        <v>1125</v>
      </c>
      <c r="I1250" t="s">
        <v>1126</v>
      </c>
      <c r="J1250">
        <v>1001</v>
      </c>
      <c r="K1250">
        <v>5062</v>
      </c>
      <c r="L1250" s="3">
        <v>621898.31599999999</v>
      </c>
      <c r="M1250" s="3">
        <v>4325.6000000000004</v>
      </c>
      <c r="N1250">
        <v>0</v>
      </c>
      <c r="O1250">
        <v>1081400</v>
      </c>
      <c r="P1250">
        <v>626223.91599999997</v>
      </c>
      <c r="Q1250" t="s">
        <v>30</v>
      </c>
      <c r="R1250" t="s">
        <v>438</v>
      </c>
      <c r="S1250" t="str">
        <v>#N/A</v>
      </c>
      <c r="T1250" t="str">
        <v>31</v>
      </c>
    </row>
    <row r="1251" spans="1:20" ht="13.7" customHeight="1" x14ac:dyDescent="0.25">
      <c r="A1251" t="s">
        <v>320</v>
      </c>
      <c r="B1251" t="s">
        <v>321</v>
      </c>
      <c r="C1251" t="s">
        <v>142</v>
      </c>
      <c r="D1251">
        <v>420</v>
      </c>
      <c r="E1251" s="5">
        <v>43587</v>
      </c>
      <c r="F1251">
        <v>13550501</v>
      </c>
      <c r="G1251">
        <v>0</v>
      </c>
      <c r="H1251" t="s">
        <v>1125</v>
      </c>
      <c r="I1251" t="s">
        <v>1126</v>
      </c>
      <c r="J1251">
        <v>1001</v>
      </c>
      <c r="K1251">
        <v>5062</v>
      </c>
      <c r="L1251" s="3">
        <v>626223.91599999997</v>
      </c>
      <c r="M1251" s="3">
        <v>240</v>
      </c>
      <c r="N1251">
        <v>0</v>
      </c>
      <c r="O1251">
        <v>60000</v>
      </c>
      <c r="P1251">
        <v>626463.91599999997</v>
      </c>
      <c r="Q1251" t="s">
        <v>30</v>
      </c>
      <c r="R1251" t="s">
        <v>439</v>
      </c>
      <c r="S1251" t="str">
        <v>#N/A</v>
      </c>
      <c r="T1251" t="str">
        <v>31</v>
      </c>
    </row>
    <row r="1252" spans="1:20" ht="13.7" customHeight="1" x14ac:dyDescent="0.25">
      <c r="A1252" t="s">
        <v>320</v>
      </c>
      <c r="B1252" t="s">
        <v>321</v>
      </c>
      <c r="C1252" t="s">
        <v>142</v>
      </c>
      <c r="D1252">
        <v>425</v>
      </c>
      <c r="E1252" s="5">
        <v>43592</v>
      </c>
      <c r="F1252">
        <v>13550501</v>
      </c>
      <c r="G1252">
        <v>0</v>
      </c>
      <c r="H1252" t="s">
        <v>1125</v>
      </c>
      <c r="I1252" t="s">
        <v>1126</v>
      </c>
      <c r="J1252">
        <v>1001</v>
      </c>
      <c r="K1252">
        <v>5062</v>
      </c>
      <c r="L1252" s="3">
        <v>626463.91599999997</v>
      </c>
      <c r="M1252" s="3">
        <v>3562.68</v>
      </c>
      <c r="N1252">
        <v>0</v>
      </c>
      <c r="O1252">
        <v>890670</v>
      </c>
      <c r="P1252">
        <v>630026.59600000002</v>
      </c>
      <c r="Q1252" t="s">
        <v>30</v>
      </c>
      <c r="R1252" t="s">
        <v>442</v>
      </c>
      <c r="S1252" t="str">
        <v>#N/A</v>
      </c>
      <c r="T1252" t="str">
        <v>31</v>
      </c>
    </row>
    <row r="1253" spans="1:20" ht="13.7" customHeight="1" x14ac:dyDescent="0.25">
      <c r="A1253" t="s">
        <v>320</v>
      </c>
      <c r="B1253" t="s">
        <v>321</v>
      </c>
      <c r="C1253" t="s">
        <v>142</v>
      </c>
      <c r="D1253">
        <v>428</v>
      </c>
      <c r="E1253" s="5">
        <v>43593</v>
      </c>
      <c r="F1253">
        <v>13550501</v>
      </c>
      <c r="G1253">
        <v>0</v>
      </c>
      <c r="H1253" t="s">
        <v>1125</v>
      </c>
      <c r="I1253" t="s">
        <v>1126</v>
      </c>
      <c r="J1253">
        <v>1001</v>
      </c>
      <c r="K1253">
        <v>5062</v>
      </c>
      <c r="L1253" s="3">
        <v>630026.59600000002</v>
      </c>
      <c r="M1253" s="3">
        <v>200</v>
      </c>
      <c r="N1253">
        <v>0</v>
      </c>
      <c r="O1253">
        <v>50000</v>
      </c>
      <c r="P1253">
        <v>630226.59600000002</v>
      </c>
      <c r="Q1253" t="s">
        <v>30</v>
      </c>
      <c r="R1253" t="s">
        <v>444</v>
      </c>
      <c r="S1253" t="str">
        <v>#N/A</v>
      </c>
      <c r="T1253" t="str">
        <v>31</v>
      </c>
    </row>
    <row r="1254" spans="1:20" ht="13.7" customHeight="1" x14ac:dyDescent="0.25">
      <c r="A1254" t="s">
        <v>320</v>
      </c>
      <c r="B1254" t="s">
        <v>321</v>
      </c>
      <c r="C1254" t="s">
        <v>142</v>
      </c>
      <c r="D1254">
        <v>429</v>
      </c>
      <c r="E1254" s="5">
        <v>43594</v>
      </c>
      <c r="F1254">
        <v>13550501</v>
      </c>
      <c r="G1254">
        <v>0</v>
      </c>
      <c r="H1254" t="s">
        <v>1125</v>
      </c>
      <c r="I1254" t="s">
        <v>1126</v>
      </c>
      <c r="J1254">
        <v>1001</v>
      </c>
      <c r="K1254">
        <v>5062</v>
      </c>
      <c r="L1254" s="3">
        <v>630226.59600000002</v>
      </c>
      <c r="M1254" s="3">
        <v>5268.68</v>
      </c>
      <c r="N1254">
        <v>0</v>
      </c>
      <c r="O1254">
        <v>1317170</v>
      </c>
      <c r="P1254">
        <v>635495.27599999995</v>
      </c>
      <c r="Q1254" t="s">
        <v>30</v>
      </c>
      <c r="R1254" t="s">
        <v>446</v>
      </c>
      <c r="S1254" t="str">
        <v>#N/A</v>
      </c>
      <c r="T1254" t="str">
        <v>31</v>
      </c>
    </row>
    <row r="1255" spans="1:20" ht="13.7" customHeight="1" x14ac:dyDescent="0.25">
      <c r="A1255" t="s">
        <v>320</v>
      </c>
      <c r="B1255" t="s">
        <v>321</v>
      </c>
      <c r="C1255" t="s">
        <v>142</v>
      </c>
      <c r="D1255">
        <v>430</v>
      </c>
      <c r="E1255" s="5">
        <v>43595</v>
      </c>
      <c r="F1255">
        <v>13550501</v>
      </c>
      <c r="G1255">
        <v>0</v>
      </c>
      <c r="H1255" t="s">
        <v>1125</v>
      </c>
      <c r="I1255" t="s">
        <v>1126</v>
      </c>
      <c r="J1255">
        <v>1001</v>
      </c>
      <c r="K1255">
        <v>5062</v>
      </c>
      <c r="L1255" s="3">
        <v>635495.27599999995</v>
      </c>
      <c r="M1255" s="3">
        <v>1036.8</v>
      </c>
      <c r="N1255">
        <v>0</v>
      </c>
      <c r="O1255">
        <v>259200</v>
      </c>
      <c r="P1255">
        <v>636532.076</v>
      </c>
      <c r="Q1255" t="s">
        <v>30</v>
      </c>
      <c r="R1255" t="s">
        <v>447</v>
      </c>
      <c r="S1255" t="str">
        <v>#N/A</v>
      </c>
      <c r="T1255" t="str">
        <v>31</v>
      </c>
    </row>
    <row r="1256" spans="1:20" ht="13.7" customHeight="1" x14ac:dyDescent="0.25">
      <c r="A1256" t="s">
        <v>320</v>
      </c>
      <c r="B1256" t="s">
        <v>321</v>
      </c>
      <c r="C1256" t="s">
        <v>142</v>
      </c>
      <c r="D1256">
        <v>437</v>
      </c>
      <c r="E1256" s="5">
        <v>43606</v>
      </c>
      <c r="F1256">
        <v>13550501</v>
      </c>
      <c r="G1256">
        <v>0</v>
      </c>
      <c r="H1256" t="s">
        <v>1125</v>
      </c>
      <c r="I1256" t="s">
        <v>1126</v>
      </c>
      <c r="J1256">
        <v>1001</v>
      </c>
      <c r="K1256">
        <v>5062</v>
      </c>
      <c r="L1256" s="3">
        <v>636532.076</v>
      </c>
      <c r="M1256" s="3">
        <v>5342</v>
      </c>
      <c r="N1256">
        <v>0</v>
      </c>
      <c r="O1256">
        <v>1335500</v>
      </c>
      <c r="P1256">
        <v>641874.076</v>
      </c>
      <c r="Q1256" t="s">
        <v>30</v>
      </c>
      <c r="R1256" t="s">
        <v>451</v>
      </c>
      <c r="S1256" t="str">
        <v>#N/A</v>
      </c>
      <c r="T1256" t="str">
        <v>31</v>
      </c>
    </row>
    <row r="1257" spans="1:20" ht="13.7" customHeight="1" x14ac:dyDescent="0.25">
      <c r="A1257" t="s">
        <v>320</v>
      </c>
      <c r="B1257" t="s">
        <v>321</v>
      </c>
      <c r="C1257" t="s">
        <v>142</v>
      </c>
      <c r="D1257">
        <v>442</v>
      </c>
      <c r="E1257" s="5">
        <v>43613</v>
      </c>
      <c r="F1257">
        <v>13550501</v>
      </c>
      <c r="G1257">
        <v>0</v>
      </c>
      <c r="H1257" t="s">
        <v>1125</v>
      </c>
      <c r="I1257" t="s">
        <v>1126</v>
      </c>
      <c r="J1257">
        <v>1001</v>
      </c>
      <c r="K1257">
        <v>5062</v>
      </c>
      <c r="L1257" s="3">
        <v>641874.076</v>
      </c>
      <c r="M1257" s="3">
        <v>520</v>
      </c>
      <c r="N1257">
        <v>0</v>
      </c>
      <c r="O1257">
        <v>130000</v>
      </c>
      <c r="P1257">
        <v>642394.076</v>
      </c>
      <c r="Q1257" t="s">
        <v>30</v>
      </c>
      <c r="R1257" t="s">
        <v>455</v>
      </c>
      <c r="S1257" t="str">
        <v>#N/A</v>
      </c>
      <c r="T1257" t="str">
        <v>31</v>
      </c>
    </row>
    <row r="1258" spans="1:20" ht="13.7" customHeight="1" x14ac:dyDescent="0.25">
      <c r="A1258" t="s">
        <v>320</v>
      </c>
      <c r="B1258" t="s">
        <v>321</v>
      </c>
      <c r="C1258" t="s">
        <v>142</v>
      </c>
      <c r="D1258">
        <v>447</v>
      </c>
      <c r="E1258" s="5">
        <v>43620</v>
      </c>
      <c r="F1258">
        <v>13550501</v>
      </c>
      <c r="G1258">
        <v>0</v>
      </c>
      <c r="H1258" t="s">
        <v>1125</v>
      </c>
      <c r="I1258" t="s">
        <v>1126</v>
      </c>
      <c r="J1258">
        <v>1001</v>
      </c>
      <c r="K1258">
        <v>5062</v>
      </c>
      <c r="L1258" s="3">
        <v>642394.076</v>
      </c>
      <c r="M1258" s="3">
        <v>200</v>
      </c>
      <c r="N1258">
        <v>0</v>
      </c>
      <c r="O1258">
        <v>50000</v>
      </c>
      <c r="P1258">
        <v>642594.076</v>
      </c>
      <c r="Q1258" t="s">
        <v>30</v>
      </c>
      <c r="R1258" t="s">
        <v>458</v>
      </c>
      <c r="S1258" t="str">
        <v>#N/A</v>
      </c>
      <c r="T1258" t="str">
        <v>31</v>
      </c>
    </row>
    <row r="1259" spans="1:20" ht="13.7" customHeight="1" x14ac:dyDescent="0.25">
      <c r="A1259" t="s">
        <v>320</v>
      </c>
      <c r="B1259" t="s">
        <v>321</v>
      </c>
      <c r="C1259" t="s">
        <v>142</v>
      </c>
      <c r="D1259">
        <v>455</v>
      </c>
      <c r="E1259" s="5">
        <v>43629</v>
      </c>
      <c r="F1259">
        <v>13550501</v>
      </c>
      <c r="G1259">
        <v>0</v>
      </c>
      <c r="H1259" t="s">
        <v>1125</v>
      </c>
      <c r="I1259" t="s">
        <v>1126</v>
      </c>
      <c r="J1259">
        <v>1001</v>
      </c>
      <c r="K1259">
        <v>5062</v>
      </c>
      <c r="L1259" s="3">
        <v>642594.076</v>
      </c>
      <c r="M1259" s="3">
        <v>12696</v>
      </c>
      <c r="N1259">
        <v>0</v>
      </c>
      <c r="O1259">
        <v>3174000</v>
      </c>
      <c r="P1259">
        <v>655290.076</v>
      </c>
      <c r="Q1259" t="s">
        <v>30</v>
      </c>
      <c r="R1259" t="s">
        <v>460</v>
      </c>
      <c r="S1259" t="str">
        <v>#N/A</v>
      </c>
      <c r="T1259" t="str">
        <v>31</v>
      </c>
    </row>
    <row r="1260" spans="1:20" ht="13.7" customHeight="1" x14ac:dyDescent="0.25">
      <c r="A1260" t="s">
        <v>320</v>
      </c>
      <c r="B1260" t="s">
        <v>321</v>
      </c>
      <c r="C1260" t="s">
        <v>142</v>
      </c>
      <c r="D1260">
        <v>458</v>
      </c>
      <c r="E1260" s="5">
        <v>43633</v>
      </c>
      <c r="F1260">
        <v>13550501</v>
      </c>
      <c r="G1260">
        <v>0</v>
      </c>
      <c r="H1260" t="s">
        <v>1125</v>
      </c>
      <c r="I1260" t="s">
        <v>1126</v>
      </c>
      <c r="J1260">
        <v>1001</v>
      </c>
      <c r="K1260">
        <v>5062</v>
      </c>
      <c r="L1260" s="3">
        <v>655290.076</v>
      </c>
      <c r="M1260" s="3">
        <v>2184</v>
      </c>
      <c r="N1260">
        <v>0</v>
      </c>
      <c r="O1260">
        <v>546000</v>
      </c>
      <c r="P1260">
        <v>657474.076</v>
      </c>
      <c r="Q1260" t="s">
        <v>30</v>
      </c>
      <c r="R1260" t="s">
        <v>463</v>
      </c>
      <c r="S1260" t="str">
        <v>#N/A</v>
      </c>
      <c r="T1260" t="str">
        <v>31</v>
      </c>
    </row>
    <row r="1261" spans="1:20" ht="13.7" customHeight="1" x14ac:dyDescent="0.25">
      <c r="A1261" t="s">
        <v>320</v>
      </c>
      <c r="B1261" t="s">
        <v>321</v>
      </c>
      <c r="C1261" t="s">
        <v>142</v>
      </c>
      <c r="D1261">
        <v>459</v>
      </c>
      <c r="E1261" s="5">
        <v>43635</v>
      </c>
      <c r="F1261">
        <v>13550501</v>
      </c>
      <c r="G1261">
        <v>0</v>
      </c>
      <c r="H1261" t="s">
        <v>1125</v>
      </c>
      <c r="I1261" t="s">
        <v>1126</v>
      </c>
      <c r="J1261">
        <v>1001</v>
      </c>
      <c r="K1261">
        <v>5062</v>
      </c>
      <c r="L1261" s="3">
        <v>657474.076</v>
      </c>
      <c r="M1261" s="3">
        <v>560</v>
      </c>
      <c r="N1261">
        <v>0</v>
      </c>
      <c r="O1261">
        <v>140000</v>
      </c>
      <c r="P1261">
        <v>658034.076</v>
      </c>
      <c r="Q1261" t="s">
        <v>30</v>
      </c>
      <c r="R1261" t="s">
        <v>464</v>
      </c>
      <c r="S1261" t="str">
        <v>#N/A</v>
      </c>
      <c r="T1261" t="str">
        <v>31</v>
      </c>
    </row>
    <row r="1262" spans="1:20" ht="13.7" customHeight="1" x14ac:dyDescent="0.25">
      <c r="A1262" t="s">
        <v>320</v>
      </c>
      <c r="B1262" t="s">
        <v>321</v>
      </c>
      <c r="C1262" t="s">
        <v>142</v>
      </c>
      <c r="D1262">
        <v>461</v>
      </c>
      <c r="E1262" s="5">
        <v>43642</v>
      </c>
      <c r="F1262">
        <v>13550501</v>
      </c>
      <c r="G1262">
        <v>0</v>
      </c>
      <c r="H1262" t="s">
        <v>1125</v>
      </c>
      <c r="I1262" t="s">
        <v>1126</v>
      </c>
      <c r="J1262">
        <v>1001</v>
      </c>
      <c r="K1262">
        <v>5062</v>
      </c>
      <c r="L1262" s="3">
        <v>658034.076</v>
      </c>
      <c r="M1262" s="3">
        <v>467.2</v>
      </c>
      <c r="N1262">
        <v>0</v>
      </c>
      <c r="O1262">
        <v>116800</v>
      </c>
      <c r="P1262">
        <v>658501.27599999995</v>
      </c>
      <c r="Q1262" t="s">
        <v>30</v>
      </c>
      <c r="R1262" t="s">
        <v>465</v>
      </c>
      <c r="S1262" t="str">
        <v>#N/A</v>
      </c>
      <c r="T1262" t="str">
        <v>31</v>
      </c>
    </row>
    <row r="1263" spans="1:20" ht="13.7" customHeight="1" x14ac:dyDescent="0.25">
      <c r="A1263" t="s">
        <v>320</v>
      </c>
      <c r="B1263" t="s">
        <v>321</v>
      </c>
      <c r="C1263" t="s">
        <v>142</v>
      </c>
      <c r="D1263">
        <v>464</v>
      </c>
      <c r="E1263" s="5">
        <v>43653</v>
      </c>
      <c r="F1263">
        <v>13550501</v>
      </c>
      <c r="G1263">
        <v>0</v>
      </c>
      <c r="H1263" t="s">
        <v>1125</v>
      </c>
      <c r="I1263" t="s">
        <v>1126</v>
      </c>
      <c r="J1263">
        <v>1001</v>
      </c>
      <c r="K1263">
        <v>5062</v>
      </c>
      <c r="L1263" s="3">
        <v>658501.27599999995</v>
      </c>
      <c r="M1263" s="3">
        <v>17327.36</v>
      </c>
      <c r="N1263">
        <v>0</v>
      </c>
      <c r="O1263">
        <v>4331840</v>
      </c>
      <c r="P1263">
        <v>675828.63600000006</v>
      </c>
      <c r="Q1263" t="s">
        <v>30</v>
      </c>
      <c r="R1263" t="s">
        <v>467</v>
      </c>
      <c r="S1263" t="str">
        <v>#N/A</v>
      </c>
      <c r="T1263" t="str">
        <v>31</v>
      </c>
    </row>
    <row r="1264" spans="1:20" ht="13.7" customHeight="1" x14ac:dyDescent="0.25">
      <c r="A1264" t="s">
        <v>320</v>
      </c>
      <c r="B1264" t="s">
        <v>321</v>
      </c>
      <c r="C1264" t="s">
        <v>142</v>
      </c>
      <c r="D1264">
        <v>467</v>
      </c>
      <c r="E1264" s="5">
        <v>43656</v>
      </c>
      <c r="F1264">
        <v>13550501</v>
      </c>
      <c r="G1264">
        <v>0</v>
      </c>
      <c r="H1264" t="s">
        <v>1125</v>
      </c>
      <c r="I1264" t="s">
        <v>1126</v>
      </c>
      <c r="J1264">
        <v>1001</v>
      </c>
      <c r="K1264">
        <v>5062</v>
      </c>
      <c r="L1264" s="3">
        <v>675828.63600000006</v>
      </c>
      <c r="M1264" s="3">
        <v>1446</v>
      </c>
      <c r="N1264">
        <v>0</v>
      </c>
      <c r="O1264">
        <v>361500</v>
      </c>
      <c r="P1264">
        <v>677274.63600000006</v>
      </c>
      <c r="Q1264" t="s">
        <v>30</v>
      </c>
      <c r="R1264" t="s">
        <v>469</v>
      </c>
      <c r="S1264" t="str">
        <v>#N/A</v>
      </c>
      <c r="T1264" t="str">
        <v>31</v>
      </c>
    </row>
    <row r="1265" spans="1:20" ht="13.7" customHeight="1" x14ac:dyDescent="0.25">
      <c r="A1265" t="s">
        <v>320</v>
      </c>
      <c r="B1265" t="s">
        <v>321</v>
      </c>
      <c r="C1265" t="s">
        <v>142</v>
      </c>
      <c r="D1265">
        <v>468</v>
      </c>
      <c r="E1265" s="5">
        <v>43665</v>
      </c>
      <c r="F1265">
        <v>13550501</v>
      </c>
      <c r="G1265">
        <v>0</v>
      </c>
      <c r="H1265" t="s">
        <v>1125</v>
      </c>
      <c r="I1265" t="s">
        <v>1126</v>
      </c>
      <c r="J1265">
        <v>1001</v>
      </c>
      <c r="K1265">
        <v>5062</v>
      </c>
      <c r="L1265" s="3">
        <v>677274.63600000006</v>
      </c>
      <c r="M1265" s="3">
        <v>612</v>
      </c>
      <c r="N1265">
        <v>0</v>
      </c>
      <c r="O1265">
        <v>153000</v>
      </c>
      <c r="P1265">
        <v>677886.63600000006</v>
      </c>
      <c r="Q1265" t="s">
        <v>30</v>
      </c>
      <c r="R1265" t="s">
        <v>470</v>
      </c>
      <c r="S1265" t="str">
        <v>#N/A</v>
      </c>
      <c r="T1265" t="str">
        <v>31</v>
      </c>
    </row>
    <row r="1266" spans="1:20" ht="13.7" customHeight="1" x14ac:dyDescent="0.25">
      <c r="A1266" t="s">
        <v>320</v>
      </c>
      <c r="B1266" t="s">
        <v>321</v>
      </c>
      <c r="C1266" t="s">
        <v>142</v>
      </c>
      <c r="D1266">
        <v>469</v>
      </c>
      <c r="E1266" s="5">
        <v>43670</v>
      </c>
      <c r="F1266">
        <v>13550501</v>
      </c>
      <c r="G1266">
        <v>0</v>
      </c>
      <c r="H1266" t="s">
        <v>1125</v>
      </c>
      <c r="I1266" t="s">
        <v>1126</v>
      </c>
      <c r="J1266">
        <v>1001</v>
      </c>
      <c r="K1266">
        <v>5062</v>
      </c>
      <c r="L1266" s="3">
        <v>677886.63600000006</v>
      </c>
      <c r="M1266" s="3">
        <v>35164.120000000003</v>
      </c>
      <c r="N1266">
        <v>0</v>
      </c>
      <c r="O1266">
        <v>8791030</v>
      </c>
      <c r="P1266">
        <v>713050.75600000005</v>
      </c>
      <c r="Q1266" t="s">
        <v>30</v>
      </c>
      <c r="R1266" t="s">
        <v>471</v>
      </c>
      <c r="S1266" t="str">
        <v>#N/A</v>
      </c>
      <c r="T1266" t="str">
        <v>31</v>
      </c>
    </row>
    <row r="1267" spans="1:20" ht="13.7" customHeight="1" x14ac:dyDescent="0.25">
      <c r="A1267" t="s">
        <v>320</v>
      </c>
      <c r="B1267" t="s">
        <v>321</v>
      </c>
      <c r="C1267" t="s">
        <v>142</v>
      </c>
      <c r="D1267">
        <v>473</v>
      </c>
      <c r="E1267" s="5">
        <v>43676</v>
      </c>
      <c r="F1267">
        <v>13550501</v>
      </c>
      <c r="G1267">
        <v>0</v>
      </c>
      <c r="H1267" t="s">
        <v>1125</v>
      </c>
      <c r="I1267" t="s">
        <v>1126</v>
      </c>
      <c r="J1267">
        <v>1001</v>
      </c>
      <c r="K1267">
        <v>5062</v>
      </c>
      <c r="L1267" s="3">
        <v>713050.75600000005</v>
      </c>
      <c r="M1267" s="3">
        <v>220</v>
      </c>
      <c r="N1267">
        <v>0</v>
      </c>
      <c r="O1267">
        <v>55000</v>
      </c>
      <c r="P1267">
        <v>713270.75600000005</v>
      </c>
      <c r="Q1267" t="s">
        <v>30</v>
      </c>
      <c r="R1267" t="s">
        <v>473</v>
      </c>
      <c r="S1267" t="str">
        <v>#N/A</v>
      </c>
      <c r="T1267" t="str">
        <v>31</v>
      </c>
    </row>
    <row r="1268" spans="1:20" ht="13.7" customHeight="1" x14ac:dyDescent="0.25">
      <c r="A1268" t="s">
        <v>320</v>
      </c>
      <c r="B1268" t="s">
        <v>321</v>
      </c>
      <c r="C1268" t="s">
        <v>142</v>
      </c>
      <c r="D1268">
        <v>490</v>
      </c>
      <c r="E1268" s="5">
        <v>43710</v>
      </c>
      <c r="F1268">
        <v>13550501</v>
      </c>
      <c r="G1268">
        <v>0</v>
      </c>
      <c r="H1268" t="s">
        <v>1125</v>
      </c>
      <c r="I1268" t="s">
        <v>1126</v>
      </c>
      <c r="J1268">
        <v>1001</v>
      </c>
      <c r="K1268">
        <v>5062</v>
      </c>
      <c r="L1268" s="3">
        <v>713270.75600000005</v>
      </c>
      <c r="M1268" s="3">
        <v>4304.28</v>
      </c>
      <c r="N1268">
        <v>0</v>
      </c>
      <c r="O1268">
        <v>1076070</v>
      </c>
      <c r="P1268">
        <v>717575.03599999996</v>
      </c>
      <c r="Q1268" t="s">
        <v>30</v>
      </c>
      <c r="R1268" t="s">
        <v>476</v>
      </c>
      <c r="S1268" t="str">
        <v>#N/A</v>
      </c>
      <c r="T1268" t="str">
        <v>31</v>
      </c>
    </row>
    <row r="1269" spans="1:20" ht="13.7" customHeight="1" x14ac:dyDescent="0.25">
      <c r="A1269" t="s">
        <v>320</v>
      </c>
      <c r="B1269" t="s">
        <v>321</v>
      </c>
      <c r="C1269" t="s">
        <v>142</v>
      </c>
      <c r="D1269">
        <v>492</v>
      </c>
      <c r="E1269" s="5">
        <v>43721</v>
      </c>
      <c r="F1269">
        <v>13550501</v>
      </c>
      <c r="G1269">
        <v>0</v>
      </c>
      <c r="H1269" t="s">
        <v>1125</v>
      </c>
      <c r="I1269" t="s">
        <v>1126</v>
      </c>
      <c r="J1269">
        <v>1001</v>
      </c>
      <c r="K1269">
        <v>5062</v>
      </c>
      <c r="L1269" s="3">
        <v>717575.03599999996</v>
      </c>
      <c r="M1269" s="3">
        <v>12927.92</v>
      </c>
      <c r="N1269">
        <v>0</v>
      </c>
      <c r="O1269">
        <v>3231980</v>
      </c>
      <c r="P1269">
        <v>730502.95600000001</v>
      </c>
      <c r="Q1269" t="s">
        <v>30</v>
      </c>
      <c r="R1269" t="s">
        <v>478</v>
      </c>
      <c r="S1269" t="str">
        <v>#N/A</v>
      </c>
      <c r="T1269" t="str">
        <v>31</v>
      </c>
    </row>
    <row r="1270" spans="1:20" ht="13.7" customHeight="1" x14ac:dyDescent="0.25">
      <c r="A1270" t="s">
        <v>320</v>
      </c>
      <c r="B1270" t="s">
        <v>321</v>
      </c>
      <c r="C1270" t="s">
        <v>142</v>
      </c>
      <c r="D1270">
        <v>495</v>
      </c>
      <c r="E1270" s="5">
        <v>43727</v>
      </c>
      <c r="F1270">
        <v>13550501</v>
      </c>
      <c r="G1270">
        <v>0</v>
      </c>
      <c r="H1270" t="s">
        <v>1125</v>
      </c>
      <c r="I1270" t="s">
        <v>1126</v>
      </c>
      <c r="J1270">
        <v>1001</v>
      </c>
      <c r="K1270">
        <v>5062</v>
      </c>
      <c r="L1270" s="3">
        <v>730502.95600000001</v>
      </c>
      <c r="M1270" s="3">
        <v>2600</v>
      </c>
      <c r="N1270">
        <v>0</v>
      </c>
      <c r="O1270">
        <v>650000</v>
      </c>
      <c r="P1270">
        <v>733102.95600000001</v>
      </c>
      <c r="Q1270" t="s">
        <v>30</v>
      </c>
      <c r="R1270" t="s">
        <v>480</v>
      </c>
      <c r="S1270" t="str">
        <v>#N/A</v>
      </c>
      <c r="T1270" t="str">
        <v>31</v>
      </c>
    </row>
    <row r="1271" spans="1:20" ht="13.7" customHeight="1" x14ac:dyDescent="0.25">
      <c r="A1271" t="s">
        <v>320</v>
      </c>
      <c r="B1271" t="s">
        <v>321</v>
      </c>
      <c r="C1271" t="s">
        <v>142</v>
      </c>
      <c r="D1271">
        <v>497</v>
      </c>
      <c r="E1271" s="5">
        <v>43728</v>
      </c>
      <c r="F1271">
        <v>13550501</v>
      </c>
      <c r="G1271">
        <v>0</v>
      </c>
      <c r="H1271" t="s">
        <v>1125</v>
      </c>
      <c r="I1271" t="s">
        <v>1126</v>
      </c>
      <c r="J1271">
        <v>1001</v>
      </c>
      <c r="K1271">
        <v>5062</v>
      </c>
      <c r="L1271" s="3">
        <v>733102.95600000001</v>
      </c>
      <c r="M1271" s="3">
        <v>24000</v>
      </c>
      <c r="N1271">
        <v>0</v>
      </c>
      <c r="O1271">
        <v>6000000</v>
      </c>
      <c r="P1271">
        <v>757102.95600000001</v>
      </c>
      <c r="Q1271" t="s">
        <v>30</v>
      </c>
      <c r="R1271" t="s">
        <v>482</v>
      </c>
      <c r="S1271" t="str">
        <v>#N/A</v>
      </c>
      <c r="T1271" t="str">
        <v>31</v>
      </c>
    </row>
    <row r="1272" spans="1:20" ht="13.7" customHeight="1" x14ac:dyDescent="0.25">
      <c r="A1272" t="s">
        <v>320</v>
      </c>
      <c r="B1272" t="s">
        <v>321</v>
      </c>
      <c r="C1272" t="s">
        <v>142</v>
      </c>
      <c r="D1272">
        <v>501</v>
      </c>
      <c r="E1272" s="5">
        <v>43738</v>
      </c>
      <c r="F1272">
        <v>13550501</v>
      </c>
      <c r="G1272">
        <v>0</v>
      </c>
      <c r="H1272" t="s">
        <v>1125</v>
      </c>
      <c r="I1272" t="s">
        <v>1126</v>
      </c>
      <c r="J1272">
        <v>1001</v>
      </c>
      <c r="K1272">
        <v>5062</v>
      </c>
      <c r="L1272" s="3">
        <v>757102.95600000001</v>
      </c>
      <c r="M1272" s="3">
        <v>8383.86</v>
      </c>
      <c r="N1272">
        <v>0</v>
      </c>
      <c r="O1272">
        <v>2095965</v>
      </c>
      <c r="P1272">
        <v>765486.81599999999</v>
      </c>
      <c r="Q1272" t="s">
        <v>30</v>
      </c>
      <c r="R1272" t="s">
        <v>486</v>
      </c>
      <c r="S1272" t="str">
        <v>#N/A</v>
      </c>
      <c r="T1272" t="str">
        <v>31</v>
      </c>
    </row>
    <row r="1273" spans="1:20" ht="13.7" customHeight="1" x14ac:dyDescent="0.25">
      <c r="A1273" t="s">
        <v>320</v>
      </c>
      <c r="B1273" t="s">
        <v>321</v>
      </c>
      <c r="C1273" t="s">
        <v>142</v>
      </c>
      <c r="D1273">
        <v>502</v>
      </c>
      <c r="E1273" s="5">
        <v>43738</v>
      </c>
      <c r="F1273">
        <v>13550501</v>
      </c>
      <c r="G1273">
        <v>0</v>
      </c>
      <c r="H1273" t="s">
        <v>1125</v>
      </c>
      <c r="I1273" t="s">
        <v>1126</v>
      </c>
      <c r="J1273">
        <v>1001</v>
      </c>
      <c r="K1273">
        <v>5062</v>
      </c>
      <c r="L1273" s="3">
        <v>765486.81599999999</v>
      </c>
      <c r="M1273" s="3">
        <v>592</v>
      </c>
      <c r="N1273">
        <v>0</v>
      </c>
      <c r="O1273">
        <v>148000</v>
      </c>
      <c r="P1273">
        <v>766078.81599999999</v>
      </c>
      <c r="Q1273" t="s">
        <v>30</v>
      </c>
      <c r="R1273" t="s">
        <v>487</v>
      </c>
      <c r="S1273" t="str">
        <v>#N/A</v>
      </c>
      <c r="T1273" t="str">
        <v>31</v>
      </c>
    </row>
    <row r="1274" spans="1:20" ht="13.7" customHeight="1" x14ac:dyDescent="0.25">
      <c r="A1274" t="s">
        <v>320</v>
      </c>
      <c r="B1274" t="s">
        <v>321</v>
      </c>
      <c r="C1274" t="s">
        <v>142</v>
      </c>
      <c r="D1274">
        <v>504</v>
      </c>
      <c r="E1274" s="5">
        <v>43741</v>
      </c>
      <c r="F1274">
        <v>13550501</v>
      </c>
      <c r="G1274">
        <v>0</v>
      </c>
      <c r="H1274" t="s">
        <v>1125</v>
      </c>
      <c r="I1274" t="s">
        <v>1126</v>
      </c>
      <c r="J1274">
        <v>1001</v>
      </c>
      <c r="K1274">
        <v>5062</v>
      </c>
      <c r="L1274" s="3">
        <v>766078.81599999999</v>
      </c>
      <c r="M1274" s="3">
        <v>11544</v>
      </c>
      <c r="N1274">
        <v>0</v>
      </c>
      <c r="O1274">
        <v>2886000</v>
      </c>
      <c r="P1274">
        <v>777622.81599999999</v>
      </c>
      <c r="Q1274" t="s">
        <v>30</v>
      </c>
      <c r="R1274" t="s">
        <v>489</v>
      </c>
      <c r="S1274" t="str">
        <v>#N/A</v>
      </c>
      <c r="T1274" t="str">
        <v>31</v>
      </c>
    </row>
    <row r="1275" spans="1:20" ht="13.7" customHeight="1" x14ac:dyDescent="0.25">
      <c r="A1275" t="s">
        <v>320</v>
      </c>
      <c r="B1275" t="s">
        <v>321</v>
      </c>
      <c r="C1275" t="s">
        <v>142</v>
      </c>
      <c r="D1275">
        <v>508</v>
      </c>
      <c r="E1275" s="5">
        <v>43748</v>
      </c>
      <c r="F1275">
        <v>13550501</v>
      </c>
      <c r="G1275">
        <v>0</v>
      </c>
      <c r="H1275" t="s">
        <v>1125</v>
      </c>
      <c r="I1275" t="s">
        <v>1126</v>
      </c>
      <c r="J1275">
        <v>1001</v>
      </c>
      <c r="K1275">
        <v>5062</v>
      </c>
      <c r="L1275" s="3">
        <v>777622.81599999999</v>
      </c>
      <c r="M1275" s="3">
        <v>16054.388000000001</v>
      </c>
      <c r="N1275">
        <v>0</v>
      </c>
      <c r="O1275">
        <v>4013597</v>
      </c>
      <c r="P1275">
        <v>793677.20400000003</v>
      </c>
      <c r="Q1275" t="s">
        <v>30</v>
      </c>
      <c r="R1275" t="s">
        <v>493</v>
      </c>
      <c r="S1275" t="str">
        <v>#N/A</v>
      </c>
      <c r="T1275" t="str">
        <v>31</v>
      </c>
    </row>
    <row r="1276" spans="1:20" ht="13.7" customHeight="1" x14ac:dyDescent="0.25">
      <c r="A1276" t="s">
        <v>320</v>
      </c>
      <c r="B1276" t="s">
        <v>321</v>
      </c>
      <c r="C1276" t="s">
        <v>142</v>
      </c>
      <c r="D1276">
        <v>510</v>
      </c>
      <c r="E1276" s="5">
        <v>43749</v>
      </c>
      <c r="F1276">
        <v>13550501</v>
      </c>
      <c r="G1276">
        <v>0</v>
      </c>
      <c r="H1276" t="s">
        <v>1125</v>
      </c>
      <c r="I1276" t="s">
        <v>1126</v>
      </c>
      <c r="J1276">
        <v>1001</v>
      </c>
      <c r="K1276">
        <v>5062</v>
      </c>
      <c r="L1276" s="3">
        <v>793677.20400000003</v>
      </c>
      <c r="M1276" s="3">
        <v>832</v>
      </c>
      <c r="N1276">
        <v>0</v>
      </c>
      <c r="O1276">
        <v>208000</v>
      </c>
      <c r="P1276">
        <v>794509.20400000003</v>
      </c>
      <c r="Q1276" t="s">
        <v>30</v>
      </c>
      <c r="R1276" t="s">
        <v>495</v>
      </c>
      <c r="S1276" t="str">
        <v>#N/A</v>
      </c>
      <c r="T1276" t="str">
        <v>31</v>
      </c>
    </row>
    <row r="1277" spans="1:20" ht="13.7" customHeight="1" x14ac:dyDescent="0.25">
      <c r="A1277" t="s">
        <v>320</v>
      </c>
      <c r="B1277" t="s">
        <v>321</v>
      </c>
      <c r="C1277" t="s">
        <v>142</v>
      </c>
      <c r="D1277">
        <v>511</v>
      </c>
      <c r="E1277" s="5">
        <v>43754</v>
      </c>
      <c r="F1277">
        <v>13550501</v>
      </c>
      <c r="G1277">
        <v>0</v>
      </c>
      <c r="H1277" t="s">
        <v>1125</v>
      </c>
      <c r="I1277" t="s">
        <v>1126</v>
      </c>
      <c r="J1277">
        <v>1001</v>
      </c>
      <c r="K1277">
        <v>5062</v>
      </c>
      <c r="L1277" s="3">
        <v>794509.20400000003</v>
      </c>
      <c r="M1277" s="3">
        <v>2876.8</v>
      </c>
      <c r="N1277">
        <v>0</v>
      </c>
      <c r="O1277">
        <v>719200</v>
      </c>
      <c r="P1277">
        <v>797386.00399999996</v>
      </c>
      <c r="Q1277" t="s">
        <v>30</v>
      </c>
      <c r="R1277" t="s">
        <v>496</v>
      </c>
      <c r="S1277" t="str">
        <v>#N/A</v>
      </c>
      <c r="T1277" t="str">
        <v>31</v>
      </c>
    </row>
    <row r="1278" spans="1:20" ht="13.7" customHeight="1" x14ac:dyDescent="0.25">
      <c r="A1278" t="s">
        <v>320</v>
      </c>
      <c r="B1278" t="s">
        <v>321</v>
      </c>
      <c r="C1278" t="s">
        <v>142</v>
      </c>
      <c r="D1278">
        <v>514</v>
      </c>
      <c r="E1278" s="5">
        <v>43759</v>
      </c>
      <c r="F1278">
        <v>13550501</v>
      </c>
      <c r="G1278">
        <v>0</v>
      </c>
      <c r="H1278" t="s">
        <v>1125</v>
      </c>
      <c r="I1278" t="s">
        <v>1126</v>
      </c>
      <c r="J1278">
        <v>1001</v>
      </c>
      <c r="K1278">
        <v>5062</v>
      </c>
      <c r="L1278" s="3">
        <v>797386.00399999996</v>
      </c>
      <c r="M1278" s="3">
        <v>280</v>
      </c>
      <c r="N1278">
        <v>0</v>
      </c>
      <c r="O1278">
        <v>70000</v>
      </c>
      <c r="P1278">
        <v>797666.00399999996</v>
      </c>
      <c r="Q1278" t="s">
        <v>30</v>
      </c>
      <c r="R1278" t="s">
        <v>499</v>
      </c>
      <c r="S1278" t="str">
        <v>#N/A</v>
      </c>
      <c r="T1278" t="str">
        <v>31</v>
      </c>
    </row>
    <row r="1279" spans="1:20" ht="13.7" customHeight="1" x14ac:dyDescent="0.25">
      <c r="A1279" t="s">
        <v>320</v>
      </c>
      <c r="B1279" t="s">
        <v>321</v>
      </c>
      <c r="C1279" t="s">
        <v>142</v>
      </c>
      <c r="D1279">
        <v>522</v>
      </c>
      <c r="E1279" s="5">
        <v>43768</v>
      </c>
      <c r="F1279">
        <v>13550501</v>
      </c>
      <c r="G1279">
        <v>0</v>
      </c>
      <c r="H1279" t="s">
        <v>1125</v>
      </c>
      <c r="I1279" t="s">
        <v>1126</v>
      </c>
      <c r="J1279">
        <v>1001</v>
      </c>
      <c r="K1279">
        <v>5062</v>
      </c>
      <c r="L1279" s="3">
        <v>797666.00399999996</v>
      </c>
      <c r="M1279" s="3">
        <v>2963.2559999999999</v>
      </c>
      <c r="N1279">
        <v>0</v>
      </c>
      <c r="O1279">
        <v>740814</v>
      </c>
      <c r="P1279">
        <v>800629.26</v>
      </c>
      <c r="Q1279" t="s">
        <v>30</v>
      </c>
      <c r="R1279" t="s">
        <v>504</v>
      </c>
      <c r="S1279" t="str">
        <v>#N/A</v>
      </c>
      <c r="T1279" t="str">
        <v>31</v>
      </c>
    </row>
    <row r="1280" spans="1:20" ht="13.7" customHeight="1" x14ac:dyDescent="0.25">
      <c r="A1280" t="s">
        <v>320</v>
      </c>
      <c r="B1280" t="s">
        <v>321</v>
      </c>
      <c r="C1280" t="s">
        <v>142</v>
      </c>
      <c r="D1280">
        <v>523</v>
      </c>
      <c r="E1280" s="5">
        <v>43770</v>
      </c>
      <c r="F1280">
        <v>13550501</v>
      </c>
      <c r="G1280">
        <v>0</v>
      </c>
      <c r="H1280" t="s">
        <v>1125</v>
      </c>
      <c r="I1280" t="s">
        <v>1126</v>
      </c>
      <c r="J1280">
        <v>1001</v>
      </c>
      <c r="K1280">
        <v>5062</v>
      </c>
      <c r="L1280" s="3">
        <v>800629.26</v>
      </c>
      <c r="M1280" s="3">
        <v>3280</v>
      </c>
      <c r="N1280">
        <v>0</v>
      </c>
      <c r="O1280">
        <v>820000</v>
      </c>
      <c r="P1280">
        <v>803909.26</v>
      </c>
      <c r="Q1280" t="s">
        <v>30</v>
      </c>
      <c r="R1280" t="s">
        <v>505</v>
      </c>
      <c r="S1280" t="str">
        <v>#N/A</v>
      </c>
      <c r="T1280" t="str">
        <v>31</v>
      </c>
    </row>
    <row r="1281" spans="1:20" ht="13.7" customHeight="1" x14ac:dyDescent="0.25">
      <c r="A1281" t="s">
        <v>320</v>
      </c>
      <c r="B1281" t="s">
        <v>321</v>
      </c>
      <c r="C1281" t="s">
        <v>142</v>
      </c>
      <c r="D1281">
        <v>524</v>
      </c>
      <c r="E1281" s="5">
        <v>43770</v>
      </c>
      <c r="F1281">
        <v>13550501</v>
      </c>
      <c r="G1281">
        <v>0</v>
      </c>
      <c r="H1281" t="s">
        <v>1125</v>
      </c>
      <c r="I1281" t="s">
        <v>1126</v>
      </c>
      <c r="J1281">
        <v>1001</v>
      </c>
      <c r="K1281">
        <v>5062</v>
      </c>
      <c r="L1281" s="3">
        <v>803909.26</v>
      </c>
      <c r="M1281" s="3">
        <v>4028</v>
      </c>
      <c r="N1281">
        <v>0</v>
      </c>
      <c r="O1281">
        <v>1007000</v>
      </c>
      <c r="P1281">
        <v>807937.26</v>
      </c>
      <c r="Q1281" t="s">
        <v>30</v>
      </c>
      <c r="R1281" t="s">
        <v>506</v>
      </c>
      <c r="S1281" t="str">
        <v>#N/A</v>
      </c>
      <c r="T1281" t="str">
        <v>31</v>
      </c>
    </row>
    <row r="1282" spans="1:20" ht="13.7" customHeight="1" x14ac:dyDescent="0.25">
      <c r="A1282" t="s">
        <v>320</v>
      </c>
      <c r="B1282" t="s">
        <v>321</v>
      </c>
      <c r="C1282" t="s">
        <v>142</v>
      </c>
      <c r="D1282">
        <v>527</v>
      </c>
      <c r="E1282" s="5">
        <v>43778</v>
      </c>
      <c r="F1282">
        <v>13550501</v>
      </c>
      <c r="G1282">
        <v>0</v>
      </c>
      <c r="H1282" t="s">
        <v>1125</v>
      </c>
      <c r="I1282" t="s">
        <v>1126</v>
      </c>
      <c r="J1282">
        <v>1001</v>
      </c>
      <c r="K1282">
        <v>5062</v>
      </c>
      <c r="L1282" s="3">
        <v>807937.26</v>
      </c>
      <c r="M1282" s="3">
        <v>1768</v>
      </c>
      <c r="N1282">
        <v>0</v>
      </c>
      <c r="O1282">
        <v>442000</v>
      </c>
      <c r="P1282">
        <v>809705.26</v>
      </c>
      <c r="Q1282" t="s">
        <v>30</v>
      </c>
      <c r="R1282" t="s">
        <v>509</v>
      </c>
      <c r="S1282" t="str">
        <v>#N/A</v>
      </c>
      <c r="T1282" t="str">
        <v>31</v>
      </c>
    </row>
    <row r="1283" spans="1:20" ht="13.7" customHeight="1" x14ac:dyDescent="0.25">
      <c r="A1283" t="s">
        <v>320</v>
      </c>
      <c r="B1283" t="s">
        <v>321</v>
      </c>
      <c r="C1283" t="s">
        <v>142</v>
      </c>
      <c r="D1283">
        <v>529</v>
      </c>
      <c r="E1283" s="5">
        <v>43784</v>
      </c>
      <c r="F1283">
        <v>13550501</v>
      </c>
      <c r="G1283">
        <v>0</v>
      </c>
      <c r="H1283" t="s">
        <v>1125</v>
      </c>
      <c r="I1283" t="s">
        <v>1126</v>
      </c>
      <c r="J1283">
        <v>1001</v>
      </c>
      <c r="K1283">
        <v>5062</v>
      </c>
      <c r="L1283" s="3">
        <v>809705.26</v>
      </c>
      <c r="M1283" s="3">
        <v>314</v>
      </c>
      <c r="N1283">
        <v>0</v>
      </c>
      <c r="O1283">
        <v>78500</v>
      </c>
      <c r="P1283">
        <v>810019.26</v>
      </c>
      <c r="Q1283" t="s">
        <v>30</v>
      </c>
      <c r="R1283" t="s">
        <v>511</v>
      </c>
      <c r="S1283" t="str">
        <v>#N/A</v>
      </c>
      <c r="T1283" t="str">
        <v>31</v>
      </c>
    </row>
    <row r="1284" spans="1:20" ht="13.7" customHeight="1" x14ac:dyDescent="0.25">
      <c r="A1284" t="s">
        <v>320</v>
      </c>
      <c r="B1284" t="s">
        <v>321</v>
      </c>
      <c r="C1284" t="s">
        <v>142</v>
      </c>
      <c r="D1284">
        <v>531</v>
      </c>
      <c r="E1284" s="5">
        <v>43787</v>
      </c>
      <c r="F1284">
        <v>13550501</v>
      </c>
      <c r="G1284">
        <v>0</v>
      </c>
      <c r="H1284" t="s">
        <v>1125</v>
      </c>
      <c r="I1284" t="s">
        <v>1126</v>
      </c>
      <c r="J1284">
        <v>1001</v>
      </c>
      <c r="K1284">
        <v>5062</v>
      </c>
      <c r="L1284" s="3">
        <v>810019.26</v>
      </c>
      <c r="M1284" s="3">
        <v>1021.8</v>
      </c>
      <c r="N1284">
        <v>0</v>
      </c>
      <c r="O1284">
        <v>255450</v>
      </c>
      <c r="P1284">
        <v>811041.06</v>
      </c>
      <c r="Q1284" t="s">
        <v>30</v>
      </c>
      <c r="R1284" t="s">
        <v>513</v>
      </c>
      <c r="S1284" t="str">
        <v>#N/A</v>
      </c>
      <c r="T1284" t="str">
        <v>31</v>
      </c>
    </row>
    <row r="1285" spans="1:20" ht="13.7" customHeight="1" x14ac:dyDescent="0.25">
      <c r="A1285" t="s">
        <v>320</v>
      </c>
      <c r="B1285" t="s">
        <v>321</v>
      </c>
      <c r="C1285" t="s">
        <v>142</v>
      </c>
      <c r="D1285">
        <v>532</v>
      </c>
      <c r="E1285" s="5">
        <v>43789</v>
      </c>
      <c r="F1285">
        <v>13550501</v>
      </c>
      <c r="G1285">
        <v>0</v>
      </c>
      <c r="H1285" t="s">
        <v>1125</v>
      </c>
      <c r="I1285" t="s">
        <v>1126</v>
      </c>
      <c r="J1285">
        <v>1001</v>
      </c>
      <c r="K1285">
        <v>5062</v>
      </c>
      <c r="L1285" s="3">
        <v>811041.06</v>
      </c>
      <c r="M1285" s="3">
        <v>800</v>
      </c>
      <c r="N1285">
        <v>0</v>
      </c>
      <c r="O1285">
        <v>200000</v>
      </c>
      <c r="P1285">
        <v>811841.06</v>
      </c>
      <c r="Q1285" t="s">
        <v>30</v>
      </c>
      <c r="R1285" t="s">
        <v>514</v>
      </c>
      <c r="S1285" t="str">
        <v>#N/A</v>
      </c>
      <c r="T1285" t="str">
        <v>31</v>
      </c>
    </row>
    <row r="1286" spans="1:20" ht="13.7" customHeight="1" x14ac:dyDescent="0.25">
      <c r="A1286" t="s">
        <v>320</v>
      </c>
      <c r="B1286" t="s">
        <v>321</v>
      </c>
      <c r="C1286" t="s">
        <v>142</v>
      </c>
      <c r="D1286">
        <v>533</v>
      </c>
      <c r="E1286" s="5">
        <v>43794</v>
      </c>
      <c r="F1286">
        <v>13550501</v>
      </c>
      <c r="G1286">
        <v>0</v>
      </c>
      <c r="H1286" t="s">
        <v>1125</v>
      </c>
      <c r="I1286" t="s">
        <v>1126</v>
      </c>
      <c r="J1286">
        <v>1001</v>
      </c>
      <c r="K1286">
        <v>5062</v>
      </c>
      <c r="L1286" s="3">
        <v>811841.06</v>
      </c>
      <c r="M1286" s="3">
        <v>1344</v>
      </c>
      <c r="N1286">
        <v>0</v>
      </c>
      <c r="O1286">
        <v>336000</v>
      </c>
      <c r="P1286">
        <v>813185.06</v>
      </c>
      <c r="Q1286" t="s">
        <v>30</v>
      </c>
      <c r="R1286" t="s">
        <v>515</v>
      </c>
      <c r="S1286" t="str">
        <v>#N/A</v>
      </c>
      <c r="T1286" t="str">
        <v>31</v>
      </c>
    </row>
    <row r="1287" spans="1:20" ht="13.7" customHeight="1" x14ac:dyDescent="0.25">
      <c r="A1287" t="s">
        <v>320</v>
      </c>
      <c r="B1287" t="s">
        <v>321</v>
      </c>
      <c r="C1287" t="s">
        <v>142</v>
      </c>
      <c r="D1287">
        <v>535</v>
      </c>
      <c r="E1287" s="5">
        <v>43796</v>
      </c>
      <c r="F1287">
        <v>13550501</v>
      </c>
      <c r="G1287">
        <v>0</v>
      </c>
      <c r="H1287" t="s">
        <v>1125</v>
      </c>
      <c r="I1287" t="s">
        <v>1126</v>
      </c>
      <c r="J1287">
        <v>1001</v>
      </c>
      <c r="K1287">
        <v>5062</v>
      </c>
      <c r="L1287" s="3">
        <v>813185.06</v>
      </c>
      <c r="M1287" s="3">
        <v>9026.52</v>
      </c>
      <c r="N1287">
        <v>0</v>
      </c>
      <c r="O1287">
        <v>2256630</v>
      </c>
      <c r="P1287">
        <v>822211.58</v>
      </c>
      <c r="Q1287" t="s">
        <v>30</v>
      </c>
      <c r="R1287" t="s">
        <v>517</v>
      </c>
      <c r="S1287" t="str">
        <v>#N/A</v>
      </c>
      <c r="T1287" t="str">
        <v>31</v>
      </c>
    </row>
    <row r="1288" spans="1:20" ht="13.7" customHeight="1" x14ac:dyDescent="0.25">
      <c r="E1288" s="5">
        <v>43465</v>
      </c>
      <c r="F1288">
        <v>13550501</v>
      </c>
      <c r="G1288">
        <v>0</v>
      </c>
      <c r="H1288" t="s">
        <v>1131</v>
      </c>
      <c r="I1288" t="s">
        <v>1132</v>
      </c>
      <c r="J1288">
        <v>0</v>
      </c>
      <c r="K1288">
        <v>0</v>
      </c>
      <c r="L1288" s="3">
        <v>106975.2</v>
      </c>
      <c r="M1288" s="3">
        <v>0</v>
      </c>
      <c r="N1288">
        <v>0</v>
      </c>
      <c r="O1288">
        <v>26743800</v>
      </c>
      <c r="P1288">
        <v>106975.2</v>
      </c>
      <c r="R1288" t="s">
        <v>1100</v>
      </c>
      <c r="S1288" t="str">
        <v>#N/A</v>
      </c>
      <c r="T1288" t="str">
        <v>#N/A</v>
      </c>
    </row>
    <row r="1289" spans="1:20" ht="13.7" customHeight="1" x14ac:dyDescent="0.25">
      <c r="A1289" t="s">
        <v>320</v>
      </c>
      <c r="B1289" t="s">
        <v>321</v>
      </c>
      <c r="C1289" t="s">
        <v>142</v>
      </c>
      <c r="D1289">
        <v>354</v>
      </c>
      <c r="E1289" s="5">
        <v>43501</v>
      </c>
      <c r="F1289">
        <v>13550501</v>
      </c>
      <c r="G1289">
        <v>0</v>
      </c>
      <c r="H1289" t="s">
        <v>1131</v>
      </c>
      <c r="I1289" t="s">
        <v>1132</v>
      </c>
      <c r="J1289">
        <v>1001</v>
      </c>
      <c r="K1289">
        <v>5062</v>
      </c>
      <c r="L1289" s="3">
        <v>106975.2</v>
      </c>
      <c r="M1289" s="3">
        <v>9960</v>
      </c>
      <c r="N1289">
        <v>0</v>
      </c>
      <c r="O1289">
        <v>2490000</v>
      </c>
      <c r="P1289">
        <v>116935.2</v>
      </c>
      <c r="Q1289" t="s">
        <v>30</v>
      </c>
      <c r="R1289" t="s">
        <v>593</v>
      </c>
      <c r="S1289" t="str">
        <v>#N/A</v>
      </c>
      <c r="T1289" t="str">
        <v>#N/A</v>
      </c>
    </row>
    <row r="1290" spans="1:20" ht="13.7" customHeight="1" x14ac:dyDescent="0.25">
      <c r="A1290" t="s">
        <v>320</v>
      </c>
      <c r="B1290" t="s">
        <v>321</v>
      </c>
      <c r="C1290" t="s">
        <v>142</v>
      </c>
      <c r="D1290">
        <v>376</v>
      </c>
      <c r="E1290" s="5">
        <v>43525</v>
      </c>
      <c r="F1290">
        <v>13550501</v>
      </c>
      <c r="G1290">
        <v>0</v>
      </c>
      <c r="H1290" t="s">
        <v>1131</v>
      </c>
      <c r="I1290" t="s">
        <v>1132</v>
      </c>
      <c r="J1290">
        <v>1001</v>
      </c>
      <c r="K1290">
        <v>5062</v>
      </c>
      <c r="L1290" s="3">
        <v>116935.2</v>
      </c>
      <c r="M1290" s="3">
        <v>25610</v>
      </c>
      <c r="N1290">
        <v>0</v>
      </c>
      <c r="O1290">
        <v>6402500</v>
      </c>
      <c r="P1290">
        <v>142545.20000000001</v>
      </c>
      <c r="Q1290" t="s">
        <v>30</v>
      </c>
      <c r="R1290" t="s">
        <v>578</v>
      </c>
      <c r="S1290" t="str">
        <v>#N/A</v>
      </c>
      <c r="T1290" t="str">
        <v>#N/A</v>
      </c>
    </row>
    <row r="1291" spans="1:20" ht="13.7" customHeight="1" x14ac:dyDescent="0.25">
      <c r="A1291" t="s">
        <v>320</v>
      </c>
      <c r="B1291" t="s">
        <v>321</v>
      </c>
      <c r="C1291" t="s">
        <v>142</v>
      </c>
      <c r="D1291">
        <v>457</v>
      </c>
      <c r="E1291" s="5">
        <v>43630</v>
      </c>
      <c r="F1291">
        <v>13550501</v>
      </c>
      <c r="G1291">
        <v>0</v>
      </c>
      <c r="H1291" t="s">
        <v>1131</v>
      </c>
      <c r="I1291" t="s">
        <v>1132</v>
      </c>
      <c r="J1291">
        <v>1001</v>
      </c>
      <c r="K1291">
        <v>5062</v>
      </c>
      <c r="L1291" s="3">
        <v>142545.20000000001</v>
      </c>
      <c r="M1291" s="3">
        <v>6883.2</v>
      </c>
      <c r="N1291">
        <v>0</v>
      </c>
      <c r="O1291">
        <v>1720800</v>
      </c>
      <c r="P1291">
        <v>149428.4</v>
      </c>
      <c r="Q1291" t="s">
        <v>30</v>
      </c>
      <c r="R1291" t="s">
        <v>462</v>
      </c>
      <c r="S1291" t="str">
        <v>#N/A</v>
      </c>
      <c r="T1291" t="str">
        <v>#N/A</v>
      </c>
    </row>
    <row r="1292" spans="1:20" ht="13.7" customHeight="1" x14ac:dyDescent="0.25">
      <c r="A1292" t="s">
        <v>320</v>
      </c>
      <c r="B1292" t="s">
        <v>321</v>
      </c>
      <c r="C1292" t="s">
        <v>142</v>
      </c>
      <c r="D1292">
        <v>498</v>
      </c>
      <c r="E1292" s="5">
        <v>43732</v>
      </c>
      <c r="F1292">
        <v>13550501</v>
      </c>
      <c r="G1292">
        <v>0</v>
      </c>
      <c r="H1292" t="s">
        <v>1131</v>
      </c>
      <c r="I1292" t="s">
        <v>1132</v>
      </c>
      <c r="J1292">
        <v>1001</v>
      </c>
      <c r="K1292">
        <v>5062</v>
      </c>
      <c r="L1292" s="3">
        <v>149428.4</v>
      </c>
      <c r="M1292" s="3">
        <v>8666</v>
      </c>
      <c r="N1292">
        <v>0</v>
      </c>
      <c r="O1292">
        <v>2166500</v>
      </c>
      <c r="P1292">
        <v>158094.39999999999</v>
      </c>
      <c r="Q1292" t="s">
        <v>30</v>
      </c>
      <c r="R1292" t="s">
        <v>483</v>
      </c>
      <c r="S1292" t="str">
        <v>#N/A</v>
      </c>
      <c r="T1292" t="str">
        <v>#N/A</v>
      </c>
    </row>
    <row r="1293" spans="1:20" ht="13.7" customHeight="1" x14ac:dyDescent="0.25">
      <c r="E1293" s="5">
        <v>43465</v>
      </c>
      <c r="F1293">
        <v>13550501</v>
      </c>
      <c r="G1293">
        <v>0</v>
      </c>
      <c r="H1293" t="s">
        <v>1133</v>
      </c>
      <c r="I1293" t="s">
        <v>1134</v>
      </c>
      <c r="J1293">
        <v>0</v>
      </c>
      <c r="K1293">
        <v>0</v>
      </c>
      <c r="L1293" s="3">
        <v>3416.232</v>
      </c>
      <c r="M1293" s="3">
        <v>0</v>
      </c>
      <c r="N1293">
        <v>0</v>
      </c>
      <c r="O1293">
        <v>854058</v>
      </c>
      <c r="P1293">
        <v>3416.232</v>
      </c>
      <c r="R1293" t="s">
        <v>1100</v>
      </c>
      <c r="S1293" t="str">
        <v>#N/A</v>
      </c>
      <c r="T1293" t="str">
        <v>#N/A</v>
      </c>
    </row>
    <row r="1294" spans="1:20" ht="13.7" customHeight="1" x14ac:dyDescent="0.25">
      <c r="A1294" t="s">
        <v>320</v>
      </c>
      <c r="B1294" t="s">
        <v>321</v>
      </c>
      <c r="C1294" t="s">
        <v>142</v>
      </c>
      <c r="D1294">
        <v>367</v>
      </c>
      <c r="E1294" s="5">
        <v>43512</v>
      </c>
      <c r="F1294">
        <v>13550501</v>
      </c>
      <c r="G1294">
        <v>0</v>
      </c>
      <c r="H1294" t="s">
        <v>1133</v>
      </c>
      <c r="I1294" t="s">
        <v>1134</v>
      </c>
      <c r="J1294">
        <v>1001</v>
      </c>
      <c r="K1294">
        <v>5062</v>
      </c>
      <c r="L1294" s="3">
        <v>3416.232</v>
      </c>
      <c r="M1294" s="3">
        <v>1708.2719999999999</v>
      </c>
      <c r="N1294">
        <v>0</v>
      </c>
      <c r="O1294">
        <v>427068</v>
      </c>
      <c r="P1294">
        <v>5124.5039999999999</v>
      </c>
      <c r="Q1294" t="s">
        <v>30</v>
      </c>
      <c r="R1294" t="s">
        <v>605</v>
      </c>
      <c r="S1294" t="str">
        <v>#N/A</v>
      </c>
      <c r="T1294" t="str">
        <v>#N/A</v>
      </c>
    </row>
    <row r="1295" spans="1:20" ht="13.7" customHeight="1" x14ac:dyDescent="0.25">
      <c r="A1295" t="s">
        <v>320</v>
      </c>
      <c r="B1295" t="s">
        <v>321</v>
      </c>
      <c r="C1295" t="s">
        <v>142</v>
      </c>
      <c r="D1295">
        <v>368</v>
      </c>
      <c r="E1295" s="5">
        <v>43513</v>
      </c>
      <c r="F1295">
        <v>13550501</v>
      </c>
      <c r="G1295">
        <v>0</v>
      </c>
      <c r="H1295" t="s">
        <v>1133</v>
      </c>
      <c r="I1295" t="s">
        <v>1134</v>
      </c>
      <c r="J1295">
        <v>1001</v>
      </c>
      <c r="K1295">
        <v>5062</v>
      </c>
      <c r="L1295" s="3">
        <v>5124.5039999999999</v>
      </c>
      <c r="M1295" s="3">
        <v>1888.0319999999999</v>
      </c>
      <c r="N1295">
        <v>0</v>
      </c>
      <c r="O1295">
        <v>472008</v>
      </c>
      <c r="P1295">
        <v>7012.5360000000001</v>
      </c>
      <c r="Q1295" t="s">
        <v>30</v>
      </c>
      <c r="R1295" t="s">
        <v>606</v>
      </c>
      <c r="S1295" t="str">
        <v>#N/A</v>
      </c>
      <c r="T1295" t="str">
        <v>#N/A</v>
      </c>
    </row>
    <row r="1296" spans="1:20" ht="13.7" customHeight="1" x14ac:dyDescent="0.25">
      <c r="A1296" t="s">
        <v>320</v>
      </c>
      <c r="B1296" t="s">
        <v>321</v>
      </c>
      <c r="C1296" t="s">
        <v>142</v>
      </c>
      <c r="D1296">
        <v>369</v>
      </c>
      <c r="E1296" s="5">
        <v>43514</v>
      </c>
      <c r="F1296">
        <v>13550501</v>
      </c>
      <c r="G1296">
        <v>0</v>
      </c>
      <c r="H1296" t="s">
        <v>1133</v>
      </c>
      <c r="I1296" t="s">
        <v>1134</v>
      </c>
      <c r="J1296">
        <v>1001</v>
      </c>
      <c r="K1296">
        <v>5062</v>
      </c>
      <c r="L1296" s="3">
        <v>7012.5360000000001</v>
      </c>
      <c r="M1296" s="3">
        <v>1553.36</v>
      </c>
      <c r="N1296">
        <v>0</v>
      </c>
      <c r="O1296">
        <v>388340</v>
      </c>
      <c r="P1296">
        <v>8565.8960000000006</v>
      </c>
      <c r="Q1296" t="s">
        <v>30</v>
      </c>
      <c r="R1296" t="s">
        <v>607</v>
      </c>
      <c r="S1296" t="str">
        <v>#N/A</v>
      </c>
      <c r="T1296" t="str">
        <v>#N/A</v>
      </c>
    </row>
    <row r="1297" spans="1:20" ht="13.7" customHeight="1" x14ac:dyDescent="0.25">
      <c r="A1297" t="s">
        <v>320</v>
      </c>
      <c r="B1297" t="s">
        <v>321</v>
      </c>
      <c r="C1297" t="s">
        <v>142</v>
      </c>
      <c r="D1297">
        <v>371</v>
      </c>
      <c r="E1297" s="5">
        <v>43516</v>
      </c>
      <c r="F1297">
        <v>13550501</v>
      </c>
      <c r="G1297">
        <v>0</v>
      </c>
      <c r="H1297" t="s">
        <v>1133</v>
      </c>
      <c r="I1297" t="s">
        <v>1134</v>
      </c>
      <c r="J1297">
        <v>1001</v>
      </c>
      <c r="K1297">
        <v>5062</v>
      </c>
      <c r="L1297" s="3">
        <v>8565.8960000000006</v>
      </c>
      <c r="M1297" s="3">
        <v>1073.52</v>
      </c>
      <c r="N1297">
        <v>0</v>
      </c>
      <c r="O1297">
        <v>268380</v>
      </c>
      <c r="P1297">
        <v>9639.4159999999993</v>
      </c>
      <c r="Q1297" t="s">
        <v>30</v>
      </c>
      <c r="R1297" t="s">
        <v>362</v>
      </c>
      <c r="S1297" t="str">
        <v>#N/A</v>
      </c>
      <c r="T1297" t="str">
        <v>#N/A</v>
      </c>
    </row>
    <row r="1298" spans="1:20" ht="13.7" customHeight="1" x14ac:dyDescent="0.25">
      <c r="A1298" t="s">
        <v>320</v>
      </c>
      <c r="B1298" t="s">
        <v>321</v>
      </c>
      <c r="C1298" t="s">
        <v>142</v>
      </c>
      <c r="D1298">
        <v>375</v>
      </c>
      <c r="E1298" s="5">
        <v>43524</v>
      </c>
      <c r="F1298">
        <v>13550501</v>
      </c>
      <c r="G1298">
        <v>0</v>
      </c>
      <c r="H1298" t="s">
        <v>1133</v>
      </c>
      <c r="I1298" t="s">
        <v>1134</v>
      </c>
      <c r="J1298">
        <v>1001</v>
      </c>
      <c r="K1298">
        <v>5062</v>
      </c>
      <c r="L1298" s="3">
        <v>9639.4159999999993</v>
      </c>
      <c r="M1298" s="3">
        <v>462.92</v>
      </c>
      <c r="N1298">
        <v>0</v>
      </c>
      <c r="O1298">
        <v>115730</v>
      </c>
      <c r="P1298">
        <v>10102.335999999999</v>
      </c>
      <c r="Q1298" t="s">
        <v>30</v>
      </c>
      <c r="R1298" t="s">
        <v>390</v>
      </c>
      <c r="S1298" t="str">
        <v>#N/A</v>
      </c>
      <c r="T1298" t="str">
        <v>#N/A</v>
      </c>
    </row>
    <row r="1299" spans="1:20" ht="13.7" customHeight="1" x14ac:dyDescent="0.25">
      <c r="A1299" t="s">
        <v>320</v>
      </c>
      <c r="B1299" t="s">
        <v>321</v>
      </c>
      <c r="C1299" t="s">
        <v>142</v>
      </c>
      <c r="D1299">
        <v>456</v>
      </c>
      <c r="E1299" s="5">
        <v>43630</v>
      </c>
      <c r="F1299">
        <v>13550501</v>
      </c>
      <c r="G1299">
        <v>0</v>
      </c>
      <c r="H1299" t="s">
        <v>1133</v>
      </c>
      <c r="I1299" t="s">
        <v>1134</v>
      </c>
      <c r="J1299">
        <v>1001</v>
      </c>
      <c r="K1299">
        <v>5062</v>
      </c>
      <c r="L1299" s="3">
        <v>10102.335999999999</v>
      </c>
      <c r="M1299" s="3">
        <v>1859.6320000000001</v>
      </c>
      <c r="N1299">
        <v>0</v>
      </c>
      <c r="O1299">
        <v>464908</v>
      </c>
      <c r="P1299">
        <v>11961.968000000001</v>
      </c>
      <c r="Q1299" t="s">
        <v>30</v>
      </c>
      <c r="R1299" t="s">
        <v>461</v>
      </c>
      <c r="S1299" t="str">
        <v>#N/A</v>
      </c>
      <c r="T1299" t="str">
        <v>#N/A</v>
      </c>
    </row>
    <row r="1300" spans="1:20" ht="13.7" customHeight="1" x14ac:dyDescent="0.25">
      <c r="A1300" t="s">
        <v>320</v>
      </c>
      <c r="B1300" t="s">
        <v>321</v>
      </c>
      <c r="C1300" t="s">
        <v>142</v>
      </c>
      <c r="D1300">
        <v>487</v>
      </c>
      <c r="E1300" s="5">
        <v>43708</v>
      </c>
      <c r="F1300">
        <v>13550501</v>
      </c>
      <c r="G1300">
        <v>0</v>
      </c>
      <c r="H1300" t="s">
        <v>1133</v>
      </c>
      <c r="I1300" t="s">
        <v>1134</v>
      </c>
      <c r="J1300">
        <v>1001</v>
      </c>
      <c r="K1300">
        <v>5062</v>
      </c>
      <c r="L1300" s="3">
        <v>11961.968000000001</v>
      </c>
      <c r="M1300" s="3">
        <v>677.37599999999998</v>
      </c>
      <c r="N1300">
        <v>0</v>
      </c>
      <c r="O1300">
        <v>169344</v>
      </c>
      <c r="P1300">
        <v>12639.343999999999</v>
      </c>
      <c r="Q1300" t="s">
        <v>30</v>
      </c>
      <c r="R1300" t="s">
        <v>474</v>
      </c>
      <c r="S1300" t="str">
        <v>#N/A</v>
      </c>
      <c r="T1300" t="str">
        <v>#N/A</v>
      </c>
    </row>
    <row r="1301" spans="1:20" ht="13.7" customHeight="1" x14ac:dyDescent="0.25">
      <c r="A1301" t="s">
        <v>320</v>
      </c>
      <c r="B1301" t="s">
        <v>321</v>
      </c>
      <c r="C1301" t="s">
        <v>142</v>
      </c>
      <c r="D1301">
        <v>496</v>
      </c>
      <c r="E1301" s="5">
        <v>43727</v>
      </c>
      <c r="F1301">
        <v>13550501</v>
      </c>
      <c r="G1301">
        <v>0</v>
      </c>
      <c r="H1301" t="s">
        <v>1133</v>
      </c>
      <c r="I1301" t="s">
        <v>1134</v>
      </c>
      <c r="J1301">
        <v>1001</v>
      </c>
      <c r="K1301">
        <v>5062</v>
      </c>
      <c r="L1301" s="3">
        <v>12639.343999999999</v>
      </c>
      <c r="M1301" s="3">
        <v>615.52</v>
      </c>
      <c r="N1301">
        <v>0</v>
      </c>
      <c r="O1301">
        <v>153880</v>
      </c>
      <c r="P1301">
        <v>13254.864</v>
      </c>
      <c r="Q1301" t="s">
        <v>30</v>
      </c>
      <c r="R1301" t="s">
        <v>481</v>
      </c>
      <c r="S1301" t="str">
        <v>#N/A</v>
      </c>
      <c r="T1301" t="str">
        <v>#N/A</v>
      </c>
    </row>
    <row r="1302" spans="1:20" ht="13.7" customHeight="1" x14ac:dyDescent="0.25">
      <c r="A1302" t="s">
        <v>320</v>
      </c>
      <c r="B1302" t="s">
        <v>321</v>
      </c>
      <c r="C1302" t="s">
        <v>142</v>
      </c>
      <c r="D1302">
        <v>507</v>
      </c>
      <c r="E1302" s="5">
        <v>43747</v>
      </c>
      <c r="F1302">
        <v>13550501</v>
      </c>
      <c r="G1302">
        <v>0</v>
      </c>
      <c r="H1302" t="s">
        <v>1133</v>
      </c>
      <c r="I1302" t="s">
        <v>1134</v>
      </c>
      <c r="J1302">
        <v>1001</v>
      </c>
      <c r="K1302">
        <v>5062</v>
      </c>
      <c r="L1302" s="3">
        <v>13254.864</v>
      </c>
      <c r="M1302" s="3">
        <v>700</v>
      </c>
      <c r="N1302">
        <v>0</v>
      </c>
      <c r="O1302">
        <v>175020</v>
      </c>
      <c r="P1302">
        <v>13954.864</v>
      </c>
      <c r="Q1302" t="s">
        <v>30</v>
      </c>
      <c r="R1302" t="s">
        <v>608</v>
      </c>
      <c r="S1302" t="str">
        <v>#N/A</v>
      </c>
      <c r="T1302" t="str">
        <v>#N/A</v>
      </c>
    </row>
    <row r="1303" spans="1:20" ht="13.7" customHeight="1" x14ac:dyDescent="0.25">
      <c r="A1303" t="s">
        <v>320</v>
      </c>
      <c r="B1303" t="s">
        <v>321</v>
      </c>
      <c r="C1303" t="s">
        <v>142</v>
      </c>
      <c r="D1303">
        <v>516</v>
      </c>
      <c r="E1303" s="5">
        <v>43760</v>
      </c>
      <c r="F1303">
        <v>13550501</v>
      </c>
      <c r="G1303">
        <v>0</v>
      </c>
      <c r="H1303" t="s">
        <v>1133</v>
      </c>
      <c r="I1303" t="s">
        <v>1134</v>
      </c>
      <c r="J1303">
        <v>1001</v>
      </c>
      <c r="K1303">
        <v>5062</v>
      </c>
      <c r="L1303" s="3">
        <v>13954.864</v>
      </c>
      <c r="M1303" s="3">
        <v>1721.44</v>
      </c>
      <c r="N1303">
        <v>0</v>
      </c>
      <c r="O1303">
        <v>430360</v>
      </c>
      <c r="P1303">
        <v>15676.304</v>
      </c>
      <c r="Q1303" t="s">
        <v>30</v>
      </c>
      <c r="R1303" t="s">
        <v>500</v>
      </c>
      <c r="S1303" t="str">
        <v>#N/A</v>
      </c>
      <c r="T1303" t="str">
        <v>#N/A</v>
      </c>
    </row>
    <row r="1304" spans="1:20" ht="13.7" customHeight="1" x14ac:dyDescent="0.25">
      <c r="A1304" t="s">
        <v>320</v>
      </c>
      <c r="B1304" t="s">
        <v>321</v>
      </c>
      <c r="C1304" t="s">
        <v>142</v>
      </c>
      <c r="D1304">
        <v>517</v>
      </c>
      <c r="E1304" s="5">
        <v>43762</v>
      </c>
      <c r="F1304">
        <v>13550501</v>
      </c>
      <c r="G1304">
        <v>0</v>
      </c>
      <c r="H1304" t="s">
        <v>1133</v>
      </c>
      <c r="I1304" t="s">
        <v>1134</v>
      </c>
      <c r="J1304">
        <v>1001</v>
      </c>
      <c r="K1304">
        <v>5062</v>
      </c>
      <c r="L1304" s="3">
        <v>15676.304</v>
      </c>
      <c r="M1304" s="3">
        <v>1600.8</v>
      </c>
      <c r="N1304">
        <v>0</v>
      </c>
      <c r="O1304">
        <v>400200</v>
      </c>
      <c r="P1304">
        <v>17277.103999999999</v>
      </c>
      <c r="Q1304" t="s">
        <v>30</v>
      </c>
      <c r="R1304" t="s">
        <v>501</v>
      </c>
      <c r="S1304" t="str">
        <v>#N/A</v>
      </c>
      <c r="T1304" t="str">
        <v>#N/A</v>
      </c>
    </row>
    <row r="1305" spans="1:20" ht="13.7" customHeight="1" x14ac:dyDescent="0.25">
      <c r="A1305" t="s">
        <v>320</v>
      </c>
      <c r="B1305" t="s">
        <v>321</v>
      </c>
      <c r="C1305" t="s">
        <v>142</v>
      </c>
      <c r="D1305">
        <v>518</v>
      </c>
      <c r="E1305" s="5">
        <v>43766</v>
      </c>
      <c r="F1305">
        <v>13550501</v>
      </c>
      <c r="G1305">
        <v>0</v>
      </c>
      <c r="H1305" t="s">
        <v>1133</v>
      </c>
      <c r="I1305" t="s">
        <v>1134</v>
      </c>
      <c r="J1305">
        <v>1001</v>
      </c>
      <c r="K1305">
        <v>5062</v>
      </c>
      <c r="L1305" s="3">
        <v>17277.103999999999</v>
      </c>
      <c r="M1305" s="3">
        <v>1619.36</v>
      </c>
      <c r="N1305">
        <v>0</v>
      </c>
      <c r="O1305">
        <v>404840</v>
      </c>
      <c r="P1305">
        <v>18896.464</v>
      </c>
      <c r="Q1305" t="s">
        <v>30</v>
      </c>
      <c r="R1305" t="s">
        <v>502</v>
      </c>
      <c r="S1305" t="str">
        <v>#N/A</v>
      </c>
      <c r="T1305" t="str">
        <v>#N/A</v>
      </c>
    </row>
    <row r="1306" spans="1:20" ht="13.7" customHeight="1" x14ac:dyDescent="0.25">
      <c r="E1306" s="5">
        <v>43465</v>
      </c>
      <c r="F1306">
        <v>13550501</v>
      </c>
      <c r="G1306">
        <v>0</v>
      </c>
      <c r="H1306" t="s">
        <v>1137</v>
      </c>
      <c r="I1306" t="s">
        <v>1138</v>
      </c>
      <c r="J1306">
        <v>0</v>
      </c>
      <c r="K1306">
        <v>0</v>
      </c>
      <c r="L1306" s="3">
        <v>0</v>
      </c>
      <c r="M1306" s="3">
        <v>0</v>
      </c>
      <c r="N1306">
        <v>0</v>
      </c>
      <c r="O1306">
        <v>0</v>
      </c>
      <c r="P1306">
        <v>0</v>
      </c>
      <c r="R1306" t="s">
        <v>1100</v>
      </c>
      <c r="S1306" t="str">
        <v>#N/A</v>
      </c>
      <c r="T1306" t="str">
        <v>#N/A</v>
      </c>
    </row>
    <row r="1307" spans="1:20" ht="13.7" customHeight="1" x14ac:dyDescent="0.25">
      <c r="A1307" t="s">
        <v>320</v>
      </c>
      <c r="B1307" t="s">
        <v>321</v>
      </c>
      <c r="C1307" t="s">
        <v>142</v>
      </c>
      <c r="D1307">
        <v>439</v>
      </c>
      <c r="E1307" s="5">
        <v>43608</v>
      </c>
      <c r="F1307">
        <v>13550501</v>
      </c>
      <c r="G1307">
        <v>0</v>
      </c>
      <c r="H1307" t="s">
        <v>1137</v>
      </c>
      <c r="I1307" t="s">
        <v>1138</v>
      </c>
      <c r="J1307">
        <v>1001</v>
      </c>
      <c r="K1307">
        <v>5062</v>
      </c>
      <c r="L1307" s="3">
        <v>0</v>
      </c>
      <c r="M1307" s="3">
        <v>1344</v>
      </c>
      <c r="N1307">
        <v>0</v>
      </c>
      <c r="O1307">
        <v>336000</v>
      </c>
      <c r="P1307">
        <v>1344</v>
      </c>
      <c r="Q1307" t="s">
        <v>30</v>
      </c>
      <c r="R1307" t="s">
        <v>453</v>
      </c>
      <c r="S1307" t="str">
        <v>#N/A</v>
      </c>
      <c r="T1307" t="str">
        <v>#N/A</v>
      </c>
    </row>
    <row r="1308" spans="1:20" ht="13.7" customHeight="1" x14ac:dyDescent="0.25">
      <c r="A1308" t="s">
        <v>320</v>
      </c>
      <c r="B1308" t="s">
        <v>321</v>
      </c>
      <c r="C1308" t="s">
        <v>142</v>
      </c>
      <c r="D1308">
        <v>450</v>
      </c>
      <c r="E1308" s="5">
        <v>43628</v>
      </c>
      <c r="F1308">
        <v>13550501</v>
      </c>
      <c r="G1308">
        <v>0</v>
      </c>
      <c r="H1308" t="s">
        <v>1137</v>
      </c>
      <c r="I1308" t="s">
        <v>1138</v>
      </c>
      <c r="J1308">
        <v>1001</v>
      </c>
      <c r="K1308">
        <v>5062</v>
      </c>
      <c r="L1308" s="3">
        <v>1344</v>
      </c>
      <c r="M1308" s="3">
        <v>7700</v>
      </c>
      <c r="N1308">
        <v>0</v>
      </c>
      <c r="O1308">
        <v>1925000</v>
      </c>
      <c r="P1308">
        <v>9044</v>
      </c>
      <c r="Q1308" t="s">
        <v>30</v>
      </c>
      <c r="R1308" t="s">
        <v>459</v>
      </c>
      <c r="S1308" t="str">
        <v>#N/A</v>
      </c>
      <c r="T1308" t="str">
        <v>#N/A</v>
      </c>
    </row>
    <row r="1309" spans="1:20" ht="13.7" customHeight="1" x14ac:dyDescent="0.25">
      <c r="A1309" t="s">
        <v>320</v>
      </c>
      <c r="B1309" t="s">
        <v>321</v>
      </c>
      <c r="C1309" t="s">
        <v>142</v>
      </c>
      <c r="D1309">
        <v>500</v>
      </c>
      <c r="E1309" s="5">
        <v>43734</v>
      </c>
      <c r="F1309">
        <v>13550501</v>
      </c>
      <c r="G1309">
        <v>0</v>
      </c>
      <c r="H1309" t="s">
        <v>1137</v>
      </c>
      <c r="I1309" t="s">
        <v>1138</v>
      </c>
      <c r="J1309">
        <v>1001</v>
      </c>
      <c r="K1309">
        <v>5062</v>
      </c>
      <c r="L1309" s="3">
        <v>9044</v>
      </c>
      <c r="M1309" s="3">
        <v>7700</v>
      </c>
      <c r="N1309">
        <v>0</v>
      </c>
      <c r="O1309">
        <v>1925000</v>
      </c>
      <c r="P1309">
        <v>16744</v>
      </c>
      <c r="Q1309" t="s">
        <v>30</v>
      </c>
      <c r="R1309" t="s">
        <v>485</v>
      </c>
      <c r="S1309" t="str">
        <v>#N/A</v>
      </c>
      <c r="T1309" t="str">
        <v>#N/A</v>
      </c>
    </row>
    <row r="1310" spans="1:20" ht="13.7" customHeight="1" x14ac:dyDescent="0.25">
      <c r="E1310" s="5">
        <v>43465</v>
      </c>
      <c r="F1310">
        <v>13551001</v>
      </c>
      <c r="G1310">
        <v>0</v>
      </c>
      <c r="H1310" t="s">
        <v>1127</v>
      </c>
      <c r="I1310" t="s">
        <v>1128</v>
      </c>
      <c r="J1310">
        <v>0</v>
      </c>
      <c r="K1310">
        <v>0</v>
      </c>
      <c r="L1310" s="3">
        <v>207947.894</v>
      </c>
      <c r="M1310" s="3">
        <v>0</v>
      </c>
      <c r="N1310">
        <v>0</v>
      </c>
      <c r="O1310">
        <v>27006220</v>
      </c>
      <c r="P1310">
        <v>207947.894</v>
      </c>
      <c r="R1310" t="s">
        <v>1100</v>
      </c>
      <c r="S1310" t="str">
        <v>#N/A</v>
      </c>
      <c r="T1310" t="str">
        <v>#N/A</v>
      </c>
    </row>
    <row r="1311" spans="1:20" ht="13.7" customHeight="1" x14ac:dyDescent="0.25">
      <c r="A1311" t="s">
        <v>320</v>
      </c>
      <c r="B1311" t="s">
        <v>321</v>
      </c>
      <c r="C1311" t="s">
        <v>142</v>
      </c>
      <c r="D1311">
        <v>355</v>
      </c>
      <c r="E1311" s="5">
        <v>43501</v>
      </c>
      <c r="F1311">
        <v>13551001</v>
      </c>
      <c r="G1311">
        <v>0</v>
      </c>
      <c r="H1311" t="s">
        <v>1127</v>
      </c>
      <c r="I1311" t="s">
        <v>1128</v>
      </c>
      <c r="J1311">
        <v>0</v>
      </c>
      <c r="K1311">
        <v>0</v>
      </c>
      <c r="L1311" s="3">
        <v>207947.894</v>
      </c>
      <c r="M1311" s="3">
        <v>6791.4</v>
      </c>
      <c r="N1311">
        <v>0</v>
      </c>
      <c r="O1311">
        <v>882000</v>
      </c>
      <c r="P1311">
        <v>214739.29399999999</v>
      </c>
      <c r="Q1311" t="s">
        <v>30</v>
      </c>
      <c r="R1311" t="s">
        <v>611</v>
      </c>
      <c r="S1311" t="str">
        <v>#N/A</v>
      </c>
      <c r="T1311" t="str">
        <v>#N/A</v>
      </c>
    </row>
    <row r="1312" spans="1:20" ht="13.7" customHeight="1" x14ac:dyDescent="0.25">
      <c r="A1312" t="s">
        <v>320</v>
      </c>
      <c r="B1312" t="s">
        <v>321</v>
      </c>
      <c r="C1312" t="s">
        <v>142</v>
      </c>
      <c r="D1312">
        <v>356</v>
      </c>
      <c r="E1312" s="5">
        <v>43504</v>
      </c>
      <c r="F1312">
        <v>13551001</v>
      </c>
      <c r="G1312">
        <v>0</v>
      </c>
      <c r="H1312" t="s">
        <v>1127</v>
      </c>
      <c r="I1312" t="s">
        <v>1128</v>
      </c>
      <c r="J1312">
        <v>0</v>
      </c>
      <c r="K1312">
        <v>0</v>
      </c>
      <c r="L1312" s="3">
        <v>214739.29399999999</v>
      </c>
      <c r="M1312" s="3">
        <v>4201.12</v>
      </c>
      <c r="N1312">
        <v>0</v>
      </c>
      <c r="O1312">
        <v>545600</v>
      </c>
      <c r="P1312">
        <v>218940.41399999999</v>
      </c>
      <c r="Q1312" t="s">
        <v>30</v>
      </c>
      <c r="R1312" t="s">
        <v>612</v>
      </c>
      <c r="S1312" t="str">
        <v>#N/A</v>
      </c>
      <c r="T1312" t="str">
        <v>#N/A</v>
      </c>
    </row>
    <row r="1313" spans="1:20" ht="13.7" customHeight="1" x14ac:dyDescent="0.25">
      <c r="A1313" t="s">
        <v>320</v>
      </c>
      <c r="B1313" t="s">
        <v>321</v>
      </c>
      <c r="C1313" t="s">
        <v>142</v>
      </c>
      <c r="D1313">
        <v>365</v>
      </c>
      <c r="E1313" s="5">
        <v>43511</v>
      </c>
      <c r="F1313">
        <v>13551001</v>
      </c>
      <c r="G1313">
        <v>0</v>
      </c>
      <c r="H1313" t="s">
        <v>1127</v>
      </c>
      <c r="I1313" t="s">
        <v>1128</v>
      </c>
      <c r="J1313">
        <v>0</v>
      </c>
      <c r="K1313">
        <v>0</v>
      </c>
      <c r="L1313" s="3">
        <v>218940.41399999999</v>
      </c>
      <c r="M1313" s="3">
        <v>20915.047999999999</v>
      </c>
      <c r="N1313">
        <v>0</v>
      </c>
      <c r="O1313">
        <v>2716240</v>
      </c>
      <c r="P1313">
        <v>239855.462</v>
      </c>
      <c r="Q1313" t="s">
        <v>30</v>
      </c>
      <c r="R1313" t="s">
        <v>616</v>
      </c>
      <c r="S1313" t="str">
        <v>#N/A</v>
      </c>
      <c r="T1313" t="str">
        <v>#N/A</v>
      </c>
    </row>
    <row r="1314" spans="1:20" ht="13.7" customHeight="1" x14ac:dyDescent="0.25">
      <c r="A1314" t="s">
        <v>320</v>
      </c>
      <c r="B1314" t="s">
        <v>321</v>
      </c>
      <c r="C1314" t="s">
        <v>142</v>
      </c>
      <c r="D1314">
        <v>378</v>
      </c>
      <c r="E1314" s="5">
        <v>43530</v>
      </c>
      <c r="F1314">
        <v>13551001</v>
      </c>
      <c r="G1314">
        <v>0</v>
      </c>
      <c r="H1314" t="s">
        <v>1127</v>
      </c>
      <c r="I1314" t="s">
        <v>1128</v>
      </c>
      <c r="J1314">
        <v>0</v>
      </c>
      <c r="K1314">
        <v>0</v>
      </c>
      <c r="L1314" s="3">
        <v>239855.462</v>
      </c>
      <c r="M1314" s="3">
        <v>10286.815000000001</v>
      </c>
      <c r="N1314">
        <v>0</v>
      </c>
      <c r="O1314">
        <v>1335950</v>
      </c>
      <c r="P1314">
        <v>250142.277</v>
      </c>
      <c r="Q1314" t="s">
        <v>30</v>
      </c>
      <c r="R1314" t="s">
        <v>394</v>
      </c>
      <c r="S1314" t="str">
        <v>#N/A</v>
      </c>
      <c r="T1314" t="str">
        <v>#N/A</v>
      </c>
    </row>
    <row r="1315" spans="1:20" ht="13.7" customHeight="1" x14ac:dyDescent="0.25">
      <c r="A1315" t="s">
        <v>320</v>
      </c>
      <c r="B1315" t="s">
        <v>321</v>
      </c>
      <c r="C1315" t="s">
        <v>142</v>
      </c>
      <c r="D1315">
        <v>380</v>
      </c>
      <c r="E1315" s="5">
        <v>43533</v>
      </c>
      <c r="F1315">
        <v>13551001</v>
      </c>
      <c r="G1315">
        <v>0</v>
      </c>
      <c r="H1315" t="s">
        <v>1127</v>
      </c>
      <c r="I1315" t="s">
        <v>1128</v>
      </c>
      <c r="J1315">
        <v>0</v>
      </c>
      <c r="K1315">
        <v>0</v>
      </c>
      <c r="L1315" s="3">
        <v>250142.277</v>
      </c>
      <c r="M1315" s="3">
        <v>10059.280000000001</v>
      </c>
      <c r="N1315">
        <v>0</v>
      </c>
      <c r="O1315">
        <v>1306400</v>
      </c>
      <c r="P1315">
        <v>260201.557</v>
      </c>
      <c r="Q1315" t="s">
        <v>30</v>
      </c>
      <c r="R1315" t="s">
        <v>617</v>
      </c>
      <c r="S1315" t="str">
        <v>#N/A</v>
      </c>
      <c r="T1315" t="str">
        <v>#N/A</v>
      </c>
    </row>
    <row r="1316" spans="1:20" ht="13.7" customHeight="1" x14ac:dyDescent="0.25">
      <c r="A1316" t="s">
        <v>320</v>
      </c>
      <c r="B1316" t="s">
        <v>321</v>
      </c>
      <c r="C1316" t="s">
        <v>142</v>
      </c>
      <c r="D1316">
        <v>382</v>
      </c>
      <c r="E1316" s="5">
        <v>43536</v>
      </c>
      <c r="F1316">
        <v>13551001</v>
      </c>
      <c r="G1316">
        <v>0</v>
      </c>
      <c r="H1316" t="s">
        <v>1127</v>
      </c>
      <c r="I1316" t="s">
        <v>1128</v>
      </c>
      <c r="J1316">
        <v>0</v>
      </c>
      <c r="K1316">
        <v>0</v>
      </c>
      <c r="L1316" s="3">
        <v>260201.557</v>
      </c>
      <c r="M1316" s="3">
        <v>3834.6</v>
      </c>
      <c r="N1316">
        <v>0</v>
      </c>
      <c r="O1316">
        <v>498000</v>
      </c>
      <c r="P1316">
        <v>264036.15700000001</v>
      </c>
      <c r="Q1316" t="s">
        <v>30</v>
      </c>
      <c r="R1316" t="s">
        <v>400</v>
      </c>
      <c r="S1316" t="str">
        <v>#N/A</v>
      </c>
      <c r="T1316" t="str">
        <v>#N/A</v>
      </c>
    </row>
    <row r="1317" spans="1:20" ht="13.7" customHeight="1" x14ac:dyDescent="0.25">
      <c r="A1317" t="s">
        <v>320</v>
      </c>
      <c r="B1317" t="s">
        <v>321</v>
      </c>
      <c r="C1317" t="s">
        <v>142</v>
      </c>
      <c r="D1317">
        <v>413</v>
      </c>
      <c r="E1317" s="5">
        <v>43572</v>
      </c>
      <c r="F1317">
        <v>13551001</v>
      </c>
      <c r="G1317">
        <v>0</v>
      </c>
      <c r="H1317" t="s">
        <v>1127</v>
      </c>
      <c r="I1317" t="s">
        <v>1128</v>
      </c>
      <c r="J1317">
        <v>0</v>
      </c>
      <c r="K1317">
        <v>0</v>
      </c>
      <c r="L1317" s="3">
        <v>264036.15700000001</v>
      </c>
      <c r="M1317" s="3">
        <v>11558.855</v>
      </c>
      <c r="N1317">
        <v>0</v>
      </c>
      <c r="O1317">
        <v>1501150</v>
      </c>
      <c r="P1317">
        <v>275595.01199999999</v>
      </c>
      <c r="Q1317" t="s">
        <v>30</v>
      </c>
      <c r="R1317" t="s">
        <v>432</v>
      </c>
      <c r="S1317" t="str">
        <v>#N/A</v>
      </c>
      <c r="T1317" t="str">
        <v>#N/A</v>
      </c>
    </row>
    <row r="1318" spans="1:20" ht="13.7" customHeight="1" x14ac:dyDescent="0.25">
      <c r="A1318" t="s">
        <v>320</v>
      </c>
      <c r="B1318" t="s">
        <v>321</v>
      </c>
      <c r="C1318" t="s">
        <v>142</v>
      </c>
      <c r="D1318">
        <v>418</v>
      </c>
      <c r="E1318" s="5">
        <v>43581</v>
      </c>
      <c r="F1318">
        <v>13551001</v>
      </c>
      <c r="G1318">
        <v>0</v>
      </c>
      <c r="H1318" t="s">
        <v>1127</v>
      </c>
      <c r="I1318" t="s">
        <v>1128</v>
      </c>
      <c r="J1318">
        <v>0</v>
      </c>
      <c r="K1318">
        <v>0</v>
      </c>
      <c r="L1318" s="3">
        <v>275595.01199999999</v>
      </c>
      <c r="M1318" s="3">
        <v>7291.5919999999996</v>
      </c>
      <c r="N1318">
        <v>0</v>
      </c>
      <c r="O1318">
        <v>946960</v>
      </c>
      <c r="P1318">
        <v>282886.60399999999</v>
      </c>
      <c r="Q1318" t="s">
        <v>30</v>
      </c>
      <c r="R1318" t="s">
        <v>437</v>
      </c>
      <c r="S1318" t="str">
        <v>#N/A</v>
      </c>
      <c r="T1318" t="str">
        <v>#N/A</v>
      </c>
    </row>
    <row r="1319" spans="1:20" ht="13.7" customHeight="1" x14ac:dyDescent="0.25">
      <c r="A1319" t="s">
        <v>320</v>
      </c>
      <c r="B1319" t="s">
        <v>321</v>
      </c>
      <c r="C1319" t="s">
        <v>142</v>
      </c>
      <c r="D1319">
        <v>503</v>
      </c>
      <c r="E1319" s="5">
        <v>43739</v>
      </c>
      <c r="F1319">
        <v>13551001</v>
      </c>
      <c r="G1319">
        <v>0</v>
      </c>
      <c r="H1319" t="s">
        <v>1127</v>
      </c>
      <c r="I1319" t="s">
        <v>1128</v>
      </c>
      <c r="J1319">
        <v>0</v>
      </c>
      <c r="K1319">
        <v>0</v>
      </c>
      <c r="L1319" s="3">
        <v>282886.60399999999</v>
      </c>
      <c r="M1319" s="3">
        <v>8565.48</v>
      </c>
      <c r="N1319">
        <v>0</v>
      </c>
      <c r="O1319">
        <v>1112400</v>
      </c>
      <c r="P1319">
        <v>291452.08399999997</v>
      </c>
      <c r="Q1319" t="s">
        <v>30</v>
      </c>
      <c r="R1319" t="s">
        <v>488</v>
      </c>
      <c r="S1319" t="str">
        <v>#N/A</v>
      </c>
      <c r="T1319" t="str">
        <v>#N/A</v>
      </c>
    </row>
    <row r="1320" spans="1:20" ht="13.7" customHeight="1" x14ac:dyDescent="0.25">
      <c r="A1320" t="s">
        <v>320</v>
      </c>
      <c r="B1320" t="s">
        <v>321</v>
      </c>
      <c r="C1320" t="s">
        <v>142</v>
      </c>
      <c r="D1320">
        <v>519</v>
      </c>
      <c r="E1320" s="5">
        <v>43766</v>
      </c>
      <c r="F1320">
        <v>13551001</v>
      </c>
      <c r="G1320">
        <v>0</v>
      </c>
      <c r="H1320" t="s">
        <v>1127</v>
      </c>
      <c r="I1320" t="s">
        <v>1128</v>
      </c>
      <c r="J1320">
        <v>0</v>
      </c>
      <c r="K1320">
        <v>0</v>
      </c>
      <c r="L1320" s="3">
        <v>291452.08399999997</v>
      </c>
      <c r="M1320" s="3">
        <v>8162</v>
      </c>
      <c r="N1320">
        <v>0</v>
      </c>
      <c r="O1320">
        <v>1060000</v>
      </c>
      <c r="P1320">
        <v>299614.08399999997</v>
      </c>
      <c r="Q1320" t="s">
        <v>30</v>
      </c>
      <c r="R1320" t="s">
        <v>503</v>
      </c>
      <c r="S1320" t="str">
        <v>#N/A</v>
      </c>
      <c r="T1320" t="str">
        <v>#N/A</v>
      </c>
    </row>
    <row r="1321" spans="1:20" ht="13.7" customHeight="1" x14ac:dyDescent="0.25">
      <c r="A1321" t="s">
        <v>320</v>
      </c>
      <c r="B1321" t="s">
        <v>321</v>
      </c>
      <c r="C1321" t="s">
        <v>142</v>
      </c>
      <c r="D1321">
        <v>526</v>
      </c>
      <c r="E1321" s="5">
        <v>43774</v>
      </c>
      <c r="F1321">
        <v>13551001</v>
      </c>
      <c r="G1321">
        <v>0</v>
      </c>
      <c r="H1321" t="s">
        <v>1127</v>
      </c>
      <c r="I1321" t="s">
        <v>1128</v>
      </c>
      <c r="J1321">
        <v>0</v>
      </c>
      <c r="K1321">
        <v>0</v>
      </c>
      <c r="L1321" s="3">
        <v>299614.08399999997</v>
      </c>
      <c r="M1321" s="3">
        <v>4042.5</v>
      </c>
      <c r="N1321">
        <v>0</v>
      </c>
      <c r="O1321">
        <v>525000</v>
      </c>
      <c r="P1321">
        <v>303656.58399999997</v>
      </c>
      <c r="Q1321" t="s">
        <v>30</v>
      </c>
      <c r="R1321" t="s">
        <v>508</v>
      </c>
      <c r="S1321" t="str">
        <v>#N/A</v>
      </c>
      <c r="T1321" t="str">
        <v>#N/A</v>
      </c>
    </row>
    <row r="1322" spans="1:20" ht="13.7" customHeight="1" x14ac:dyDescent="0.25">
      <c r="E1322" s="5">
        <v>43465</v>
      </c>
      <c r="F1322">
        <v>13551001</v>
      </c>
      <c r="G1322">
        <v>0</v>
      </c>
      <c r="H1322" t="s">
        <v>1135</v>
      </c>
      <c r="I1322" t="s">
        <v>1136</v>
      </c>
      <c r="J1322">
        <v>0</v>
      </c>
      <c r="K1322">
        <v>0</v>
      </c>
      <c r="L1322" s="3">
        <v>51869.51</v>
      </c>
      <c r="M1322" s="3">
        <v>0</v>
      </c>
      <c r="N1322">
        <v>0</v>
      </c>
      <c r="O1322">
        <v>6736300</v>
      </c>
      <c r="P1322">
        <v>51869.51</v>
      </c>
      <c r="R1322" t="s">
        <v>1100</v>
      </c>
      <c r="S1322" t="str">
        <v>#N/A</v>
      </c>
      <c r="T1322" t="str">
        <v>#N/A</v>
      </c>
    </row>
    <row r="1323" spans="1:20" ht="13.7" customHeight="1" x14ac:dyDescent="0.25">
      <c r="A1323" t="s">
        <v>320</v>
      </c>
      <c r="B1323" t="s">
        <v>321</v>
      </c>
      <c r="C1323" t="s">
        <v>142</v>
      </c>
      <c r="D1323">
        <v>385</v>
      </c>
      <c r="E1323" s="5">
        <v>43543</v>
      </c>
      <c r="F1323">
        <v>13551001</v>
      </c>
      <c r="G1323">
        <v>0</v>
      </c>
      <c r="H1323" t="s">
        <v>1135</v>
      </c>
      <c r="I1323" t="s">
        <v>1136</v>
      </c>
      <c r="J1323">
        <v>0</v>
      </c>
      <c r="K1323">
        <v>0</v>
      </c>
      <c r="L1323" s="3">
        <v>51869.51</v>
      </c>
      <c r="M1323" s="3">
        <v>16805.550299999999</v>
      </c>
      <c r="N1323">
        <v>0</v>
      </c>
      <c r="O1323">
        <v>2182539</v>
      </c>
      <c r="P1323">
        <v>68675.060299999997</v>
      </c>
      <c r="Q1323" t="s">
        <v>30</v>
      </c>
      <c r="R1323" t="s">
        <v>407</v>
      </c>
      <c r="S1323" t="str">
        <v>#N/A</v>
      </c>
      <c r="T1323" t="str">
        <v>#N/A</v>
      </c>
    </row>
    <row r="1324" spans="1:20" ht="13.7" customHeight="1" x14ac:dyDescent="0.25">
      <c r="A1324" t="s">
        <v>320</v>
      </c>
      <c r="B1324" t="s">
        <v>321</v>
      </c>
      <c r="C1324" t="s">
        <v>142</v>
      </c>
      <c r="D1324">
        <v>398</v>
      </c>
      <c r="E1324" s="5">
        <v>43556</v>
      </c>
      <c r="F1324">
        <v>13551001</v>
      </c>
      <c r="G1324">
        <v>0</v>
      </c>
      <c r="H1324" t="s">
        <v>1135</v>
      </c>
      <c r="I1324" t="s">
        <v>1136</v>
      </c>
      <c r="J1324">
        <v>0</v>
      </c>
      <c r="K1324">
        <v>0</v>
      </c>
      <c r="L1324" s="3">
        <v>68675.060299999997</v>
      </c>
      <c r="M1324" s="3">
        <v>16546.414499999999</v>
      </c>
      <c r="N1324">
        <v>0</v>
      </c>
      <c r="O1324">
        <v>2148885</v>
      </c>
      <c r="P1324">
        <v>85221.474799999996</v>
      </c>
      <c r="Q1324" t="s">
        <v>30</v>
      </c>
      <c r="R1324" t="s">
        <v>422</v>
      </c>
      <c r="S1324" t="str">
        <v>#N/A</v>
      </c>
      <c r="T1324" t="str">
        <v>#N/A</v>
      </c>
    </row>
    <row r="1325" spans="1:20" ht="13.7" customHeight="1" x14ac:dyDescent="0.25">
      <c r="E1325" s="5">
        <v>43465</v>
      </c>
      <c r="F1325">
        <v>13551001</v>
      </c>
      <c r="G1325">
        <v>0</v>
      </c>
      <c r="H1325" t="s">
        <v>1129</v>
      </c>
      <c r="I1325" t="s">
        <v>1130</v>
      </c>
      <c r="J1325">
        <v>0</v>
      </c>
      <c r="K1325">
        <v>0</v>
      </c>
      <c r="L1325" s="3">
        <v>82698</v>
      </c>
      <c r="M1325" s="3">
        <v>0</v>
      </c>
      <c r="N1325">
        <v>0</v>
      </c>
      <c r="O1325">
        <v>10740000</v>
      </c>
      <c r="P1325">
        <v>82698</v>
      </c>
      <c r="R1325" t="s">
        <v>1100</v>
      </c>
      <c r="S1325" t="str">
        <v>#N/A</v>
      </c>
      <c r="T1325" t="str">
        <v>#N/A</v>
      </c>
    </row>
    <row r="1326" spans="1:20" ht="13.7" customHeight="1" x14ac:dyDescent="0.25">
      <c r="E1326" s="5">
        <v>43465</v>
      </c>
      <c r="F1326">
        <v>13551001</v>
      </c>
      <c r="G1326">
        <v>0</v>
      </c>
      <c r="H1326" t="s">
        <v>1139</v>
      </c>
      <c r="I1326" t="s">
        <v>1140</v>
      </c>
      <c r="J1326">
        <v>0</v>
      </c>
      <c r="K1326">
        <v>0</v>
      </c>
      <c r="L1326" s="3">
        <v>247458.59599999999</v>
      </c>
      <c r="M1326" s="3">
        <v>0</v>
      </c>
      <c r="N1326">
        <v>0</v>
      </c>
      <c r="O1326">
        <v>32137480</v>
      </c>
      <c r="P1326">
        <v>247458.59599999999</v>
      </c>
      <c r="R1326" t="s">
        <v>1100</v>
      </c>
      <c r="S1326" t="str">
        <v>#N/A</v>
      </c>
      <c r="T1326" t="str">
        <v>#N/A</v>
      </c>
    </row>
    <row r="1327" spans="1:20" ht="13.7" customHeight="1" x14ac:dyDescent="0.25">
      <c r="A1327" t="s">
        <v>320</v>
      </c>
      <c r="B1327" t="s">
        <v>321</v>
      </c>
      <c r="C1327" t="s">
        <v>142</v>
      </c>
      <c r="D1327">
        <v>465</v>
      </c>
      <c r="E1327" s="5">
        <v>43653</v>
      </c>
      <c r="F1327">
        <v>13551001</v>
      </c>
      <c r="G1327">
        <v>0</v>
      </c>
      <c r="H1327" t="s">
        <v>1139</v>
      </c>
      <c r="I1327" t="s">
        <v>1140</v>
      </c>
      <c r="J1327">
        <v>0</v>
      </c>
      <c r="K1327">
        <v>0</v>
      </c>
      <c r="L1327" s="3">
        <v>247458.59599999999</v>
      </c>
      <c r="M1327" s="3">
        <v>4900.8999999999996</v>
      </c>
      <c r="N1327">
        <v>0</v>
      </c>
      <c r="O1327">
        <v>636480</v>
      </c>
      <c r="P1327">
        <v>252359.49600000001</v>
      </c>
      <c r="Q1327" t="s">
        <v>30</v>
      </c>
      <c r="R1327" t="s">
        <v>468</v>
      </c>
      <c r="S1327" t="str">
        <v>#N/A</v>
      </c>
      <c r="T1327" t="str">
        <v>#N/A</v>
      </c>
    </row>
    <row r="1328" spans="1:20" ht="13.7" customHeight="1" x14ac:dyDescent="0.25">
      <c r="E1328" s="5">
        <v>43465</v>
      </c>
      <c r="F1328">
        <v>13551001</v>
      </c>
      <c r="G1328">
        <v>0</v>
      </c>
      <c r="H1328" t="s">
        <v>1125</v>
      </c>
      <c r="I1328" t="s">
        <v>1126</v>
      </c>
      <c r="J1328">
        <v>0</v>
      </c>
      <c r="K1328">
        <v>0</v>
      </c>
      <c r="L1328" s="3">
        <v>1142616.4365000001</v>
      </c>
      <c r="M1328" s="3">
        <v>0</v>
      </c>
      <c r="N1328">
        <v>0</v>
      </c>
      <c r="O1328">
        <v>148391745</v>
      </c>
      <c r="P1328">
        <v>1142616.4365000001</v>
      </c>
      <c r="R1328" t="s">
        <v>1100</v>
      </c>
      <c r="S1328" t="str">
        <v>#N/A</v>
      </c>
      <c r="T1328" t="str">
        <v>31</v>
      </c>
    </row>
    <row r="1329" spans="1:20" ht="13.7" customHeight="1" x14ac:dyDescent="0.25">
      <c r="A1329" t="s">
        <v>320</v>
      </c>
      <c r="B1329" t="s">
        <v>321</v>
      </c>
      <c r="C1329" t="s">
        <v>142</v>
      </c>
      <c r="D1329">
        <v>334</v>
      </c>
      <c r="E1329" s="5">
        <v>43466</v>
      </c>
      <c r="F1329">
        <v>13551001</v>
      </c>
      <c r="G1329">
        <v>0</v>
      </c>
      <c r="H1329" t="s">
        <v>1125</v>
      </c>
      <c r="I1329" t="s">
        <v>1126</v>
      </c>
      <c r="J1329">
        <v>0</v>
      </c>
      <c r="K1329">
        <v>0</v>
      </c>
      <c r="L1329" s="3">
        <v>1142616.4365000001</v>
      </c>
      <c r="M1329" s="3">
        <v>98946.847999999998</v>
      </c>
      <c r="N1329">
        <v>0</v>
      </c>
      <c r="O1329">
        <v>12850240</v>
      </c>
      <c r="P1329">
        <v>1241563.2845000001</v>
      </c>
      <c r="Q1329" t="s">
        <v>30</v>
      </c>
      <c r="R1329" t="s">
        <v>609</v>
      </c>
      <c r="S1329" t="str">
        <v>#N/A</v>
      </c>
      <c r="T1329" t="str">
        <v>31</v>
      </c>
    </row>
    <row r="1330" spans="1:20" ht="13.7" customHeight="1" x14ac:dyDescent="0.25">
      <c r="A1330" t="s">
        <v>320</v>
      </c>
      <c r="B1330" t="s">
        <v>321</v>
      </c>
      <c r="C1330" t="s">
        <v>142</v>
      </c>
      <c r="D1330">
        <v>353</v>
      </c>
      <c r="E1330" s="5">
        <v>43500</v>
      </c>
      <c r="F1330">
        <v>13551001</v>
      </c>
      <c r="G1330">
        <v>0</v>
      </c>
      <c r="H1330" t="s">
        <v>1125</v>
      </c>
      <c r="I1330" t="s">
        <v>1126</v>
      </c>
      <c r="J1330">
        <v>0</v>
      </c>
      <c r="K1330">
        <v>0</v>
      </c>
      <c r="L1330" s="3">
        <v>1241563.2845000001</v>
      </c>
      <c r="M1330" s="3">
        <v>64433.569199999998</v>
      </c>
      <c r="N1330">
        <v>0</v>
      </c>
      <c r="O1330">
        <v>8367996</v>
      </c>
      <c r="P1330">
        <v>1305996.8537000001</v>
      </c>
      <c r="Q1330" t="s">
        <v>30</v>
      </c>
      <c r="R1330" t="s">
        <v>610</v>
      </c>
      <c r="S1330" t="str">
        <v>#N/A</v>
      </c>
      <c r="T1330" t="str">
        <v>31</v>
      </c>
    </row>
    <row r="1331" spans="1:20" ht="13.7" customHeight="1" x14ac:dyDescent="0.25">
      <c r="A1331" t="s">
        <v>320</v>
      </c>
      <c r="B1331" t="s">
        <v>321</v>
      </c>
      <c r="C1331" t="s">
        <v>142</v>
      </c>
      <c r="D1331">
        <v>358</v>
      </c>
      <c r="E1331" s="5">
        <v>43507</v>
      </c>
      <c r="F1331">
        <v>13551001</v>
      </c>
      <c r="G1331">
        <v>0</v>
      </c>
      <c r="H1331" t="s">
        <v>1125</v>
      </c>
      <c r="I1331" t="s">
        <v>1126</v>
      </c>
      <c r="J1331">
        <v>0</v>
      </c>
      <c r="K1331">
        <v>0</v>
      </c>
      <c r="L1331" s="3">
        <v>1305996.8537000001</v>
      </c>
      <c r="M1331" s="3">
        <v>13675.2</v>
      </c>
      <c r="N1331">
        <v>0</v>
      </c>
      <c r="O1331">
        <v>1776000</v>
      </c>
      <c r="P1331">
        <v>1319672.0537</v>
      </c>
      <c r="Q1331" t="s">
        <v>30</v>
      </c>
      <c r="R1331" t="s">
        <v>613</v>
      </c>
      <c r="S1331" t="str">
        <v>#N/A</v>
      </c>
      <c r="T1331" t="str">
        <v>31</v>
      </c>
    </row>
    <row r="1332" spans="1:20" ht="13.7" customHeight="1" x14ac:dyDescent="0.25">
      <c r="A1332" t="s">
        <v>320</v>
      </c>
      <c r="B1332" t="s">
        <v>321</v>
      </c>
      <c r="C1332" t="s">
        <v>142</v>
      </c>
      <c r="D1332">
        <v>361</v>
      </c>
      <c r="E1332" s="5">
        <v>43507</v>
      </c>
      <c r="F1332">
        <v>13551001</v>
      </c>
      <c r="G1332">
        <v>0</v>
      </c>
      <c r="H1332" t="s">
        <v>1125</v>
      </c>
      <c r="I1332" t="s">
        <v>1126</v>
      </c>
      <c r="J1332">
        <v>0</v>
      </c>
      <c r="K1332">
        <v>0</v>
      </c>
      <c r="L1332" s="3">
        <v>1319672.0537</v>
      </c>
      <c r="M1332" s="3">
        <v>8547</v>
      </c>
      <c r="N1332">
        <v>0</v>
      </c>
      <c r="O1332">
        <v>1110000</v>
      </c>
      <c r="P1332">
        <v>1328219.0537</v>
      </c>
      <c r="Q1332" t="s">
        <v>30</v>
      </c>
      <c r="R1332" t="s">
        <v>614</v>
      </c>
      <c r="S1332" t="str">
        <v>#N/A</v>
      </c>
      <c r="T1332" t="str">
        <v>31</v>
      </c>
    </row>
    <row r="1333" spans="1:20" ht="13.7" customHeight="1" x14ac:dyDescent="0.25">
      <c r="A1333" t="s">
        <v>320</v>
      </c>
      <c r="B1333" t="s">
        <v>321</v>
      </c>
      <c r="C1333" t="s">
        <v>142</v>
      </c>
      <c r="D1333">
        <v>362</v>
      </c>
      <c r="E1333" s="5">
        <v>43508</v>
      </c>
      <c r="F1333">
        <v>13551001</v>
      </c>
      <c r="G1333">
        <v>0</v>
      </c>
      <c r="H1333" t="s">
        <v>1125</v>
      </c>
      <c r="I1333" t="s">
        <v>1126</v>
      </c>
      <c r="J1333">
        <v>0</v>
      </c>
      <c r="K1333">
        <v>0</v>
      </c>
      <c r="L1333" s="3">
        <v>1328219.0537</v>
      </c>
      <c r="M1333" s="3">
        <v>3930.0030000000002</v>
      </c>
      <c r="N1333">
        <v>0</v>
      </c>
      <c r="O1333">
        <v>510390</v>
      </c>
      <c r="P1333">
        <v>1332149.0567000001</v>
      </c>
      <c r="Q1333" t="s">
        <v>30</v>
      </c>
      <c r="R1333" t="s">
        <v>615</v>
      </c>
      <c r="S1333" t="str">
        <v>#N/A</v>
      </c>
      <c r="T1333" t="str">
        <v>31</v>
      </c>
    </row>
    <row r="1334" spans="1:20" ht="13.7" customHeight="1" x14ac:dyDescent="0.25">
      <c r="A1334" t="s">
        <v>320</v>
      </c>
      <c r="B1334" t="s">
        <v>321</v>
      </c>
      <c r="C1334" t="s">
        <v>142</v>
      </c>
      <c r="D1334">
        <v>374</v>
      </c>
      <c r="E1334" s="5">
        <v>43519</v>
      </c>
      <c r="F1334">
        <v>13551001</v>
      </c>
      <c r="G1334">
        <v>0</v>
      </c>
      <c r="H1334" t="s">
        <v>1125</v>
      </c>
      <c r="I1334" t="s">
        <v>1126</v>
      </c>
      <c r="J1334">
        <v>0</v>
      </c>
      <c r="K1334">
        <v>0</v>
      </c>
      <c r="L1334" s="3">
        <v>1332149.0567000001</v>
      </c>
      <c r="M1334" s="3">
        <v>23965.48</v>
      </c>
      <c r="N1334">
        <v>0</v>
      </c>
      <c r="O1334">
        <v>3112400</v>
      </c>
      <c r="P1334">
        <v>1356114.5367000001</v>
      </c>
      <c r="Q1334" t="s">
        <v>30</v>
      </c>
      <c r="R1334" t="s">
        <v>368</v>
      </c>
      <c r="S1334" t="str">
        <v>#N/A</v>
      </c>
      <c r="T1334" t="str">
        <v>31</v>
      </c>
    </row>
    <row r="1335" spans="1:20" ht="13.7" customHeight="1" x14ac:dyDescent="0.25">
      <c r="A1335" t="s">
        <v>320</v>
      </c>
      <c r="B1335" t="s">
        <v>321</v>
      </c>
      <c r="C1335" t="s">
        <v>142</v>
      </c>
      <c r="D1335">
        <v>379</v>
      </c>
      <c r="E1335" s="5">
        <v>43531</v>
      </c>
      <c r="F1335">
        <v>13551001</v>
      </c>
      <c r="G1335">
        <v>0</v>
      </c>
      <c r="H1335" t="s">
        <v>1125</v>
      </c>
      <c r="I1335" t="s">
        <v>1126</v>
      </c>
      <c r="J1335">
        <v>0</v>
      </c>
      <c r="K1335">
        <v>0</v>
      </c>
      <c r="L1335" s="3">
        <v>1356114.5367000001</v>
      </c>
      <c r="M1335" s="3">
        <v>17766.21</v>
      </c>
      <c r="N1335">
        <v>0</v>
      </c>
      <c r="O1335">
        <v>2307300</v>
      </c>
      <c r="P1335">
        <v>1373880.7467</v>
      </c>
      <c r="Q1335" t="s">
        <v>30</v>
      </c>
      <c r="R1335" t="s">
        <v>395</v>
      </c>
      <c r="S1335" t="str">
        <v>#N/A</v>
      </c>
      <c r="T1335" t="str">
        <v>31</v>
      </c>
    </row>
    <row r="1336" spans="1:20" ht="13.7" customHeight="1" x14ac:dyDescent="0.25">
      <c r="A1336" t="s">
        <v>320</v>
      </c>
      <c r="B1336" t="s">
        <v>321</v>
      </c>
      <c r="C1336" t="s">
        <v>142</v>
      </c>
      <c r="D1336">
        <v>389</v>
      </c>
      <c r="E1336" s="5">
        <v>43546</v>
      </c>
      <c r="F1336">
        <v>13551001</v>
      </c>
      <c r="G1336">
        <v>0</v>
      </c>
      <c r="H1336" t="s">
        <v>1125</v>
      </c>
      <c r="I1336" t="s">
        <v>1126</v>
      </c>
      <c r="J1336">
        <v>0</v>
      </c>
      <c r="K1336">
        <v>0</v>
      </c>
      <c r="L1336" s="3">
        <v>1373880.7467</v>
      </c>
      <c r="M1336" s="3">
        <v>104104</v>
      </c>
      <c r="N1336">
        <v>0</v>
      </c>
      <c r="O1336">
        <v>13520000</v>
      </c>
      <c r="P1336">
        <v>1477984.7467</v>
      </c>
      <c r="Q1336" t="s">
        <v>30</v>
      </c>
      <c r="R1336" t="s">
        <v>409</v>
      </c>
      <c r="S1336" t="str">
        <v>#N/A</v>
      </c>
      <c r="T1336" t="str">
        <v>31</v>
      </c>
    </row>
    <row r="1337" spans="1:20" ht="13.7" customHeight="1" x14ac:dyDescent="0.25">
      <c r="A1337" t="s">
        <v>320</v>
      </c>
      <c r="B1337" t="s">
        <v>321</v>
      </c>
      <c r="C1337" t="s">
        <v>142</v>
      </c>
      <c r="D1337">
        <v>393</v>
      </c>
      <c r="E1337" s="5">
        <v>43553</v>
      </c>
      <c r="F1337">
        <v>13551001</v>
      </c>
      <c r="G1337">
        <v>0</v>
      </c>
      <c r="H1337" t="s">
        <v>1125</v>
      </c>
      <c r="I1337" t="s">
        <v>1126</v>
      </c>
      <c r="J1337">
        <v>0</v>
      </c>
      <c r="K1337">
        <v>0</v>
      </c>
      <c r="L1337" s="3">
        <v>1477984.7467</v>
      </c>
      <c r="M1337" s="3">
        <v>11503.8</v>
      </c>
      <c r="N1337">
        <v>0</v>
      </c>
      <c r="O1337">
        <v>1494000</v>
      </c>
      <c r="P1337">
        <v>1489488.5467000001</v>
      </c>
      <c r="Q1337" t="s">
        <v>30</v>
      </c>
      <c r="R1337" t="s">
        <v>419</v>
      </c>
      <c r="S1337" t="str">
        <v>#N/A</v>
      </c>
      <c r="T1337" t="str">
        <v>31</v>
      </c>
    </row>
    <row r="1338" spans="1:20" ht="13.7" customHeight="1" x14ac:dyDescent="0.25">
      <c r="A1338" t="s">
        <v>320</v>
      </c>
      <c r="B1338" t="s">
        <v>321</v>
      </c>
      <c r="C1338" t="s">
        <v>142</v>
      </c>
      <c r="D1338">
        <v>399</v>
      </c>
      <c r="E1338" s="5">
        <v>43559</v>
      </c>
      <c r="F1338">
        <v>13551001</v>
      </c>
      <c r="G1338">
        <v>0</v>
      </c>
      <c r="H1338" t="s">
        <v>1125</v>
      </c>
      <c r="I1338" t="s">
        <v>1126</v>
      </c>
      <c r="J1338">
        <v>0</v>
      </c>
      <c r="K1338">
        <v>0</v>
      </c>
      <c r="L1338" s="3">
        <v>1489488.5467000001</v>
      </c>
      <c r="M1338" s="3">
        <v>5278.35</v>
      </c>
      <c r="N1338">
        <v>0</v>
      </c>
      <c r="O1338">
        <v>685500</v>
      </c>
      <c r="P1338">
        <v>1494766.8966999999</v>
      </c>
      <c r="Q1338" t="s">
        <v>30</v>
      </c>
      <c r="R1338" t="s">
        <v>423</v>
      </c>
      <c r="S1338" t="str">
        <v>#N/A</v>
      </c>
      <c r="T1338" t="str">
        <v>31</v>
      </c>
    </row>
    <row r="1339" spans="1:20" ht="13.7" customHeight="1" x14ac:dyDescent="0.25">
      <c r="A1339" t="s">
        <v>320</v>
      </c>
      <c r="B1339" t="s">
        <v>321</v>
      </c>
      <c r="C1339" t="s">
        <v>142</v>
      </c>
      <c r="D1339">
        <v>402</v>
      </c>
      <c r="E1339" s="5">
        <v>43560</v>
      </c>
      <c r="F1339">
        <v>13551001</v>
      </c>
      <c r="G1339">
        <v>0</v>
      </c>
      <c r="H1339" t="s">
        <v>1125</v>
      </c>
      <c r="I1339" t="s">
        <v>1126</v>
      </c>
      <c r="J1339">
        <v>0</v>
      </c>
      <c r="K1339">
        <v>0</v>
      </c>
      <c r="L1339" s="3">
        <v>1494766.8966999999</v>
      </c>
      <c r="M1339" s="3">
        <v>31185</v>
      </c>
      <c r="N1339">
        <v>0</v>
      </c>
      <c r="O1339">
        <v>4050000</v>
      </c>
      <c r="P1339">
        <v>1525951.8966999999</v>
      </c>
      <c r="Q1339" t="s">
        <v>30</v>
      </c>
      <c r="R1339" t="s">
        <v>425</v>
      </c>
      <c r="S1339" t="str">
        <v>#N/A</v>
      </c>
      <c r="T1339" t="str">
        <v>31</v>
      </c>
    </row>
    <row r="1340" spans="1:20" ht="13.7" customHeight="1" x14ac:dyDescent="0.25">
      <c r="A1340" t="s">
        <v>320</v>
      </c>
      <c r="B1340" t="s">
        <v>321</v>
      </c>
      <c r="C1340" t="s">
        <v>142</v>
      </c>
      <c r="D1340">
        <v>404</v>
      </c>
      <c r="E1340" s="5">
        <v>43560</v>
      </c>
      <c r="F1340">
        <v>13551001</v>
      </c>
      <c r="G1340">
        <v>0</v>
      </c>
      <c r="H1340" t="s">
        <v>1125</v>
      </c>
      <c r="I1340" t="s">
        <v>1126</v>
      </c>
      <c r="J1340">
        <v>0</v>
      </c>
      <c r="K1340">
        <v>0</v>
      </c>
      <c r="L1340" s="3">
        <v>1525951.8966999999</v>
      </c>
      <c r="M1340" s="3">
        <v>7056.28</v>
      </c>
      <c r="N1340">
        <v>0</v>
      </c>
      <c r="O1340">
        <v>916400</v>
      </c>
      <c r="P1340">
        <v>1533008.1767</v>
      </c>
      <c r="Q1340" t="s">
        <v>30</v>
      </c>
      <c r="R1340" t="s">
        <v>426</v>
      </c>
      <c r="S1340" t="str">
        <v>#N/A</v>
      </c>
      <c r="T1340" t="str">
        <v>31</v>
      </c>
    </row>
    <row r="1341" spans="1:20" ht="13.7" customHeight="1" x14ac:dyDescent="0.25">
      <c r="A1341" t="s">
        <v>320</v>
      </c>
      <c r="B1341" t="s">
        <v>321</v>
      </c>
      <c r="C1341" t="s">
        <v>142</v>
      </c>
      <c r="D1341">
        <v>409</v>
      </c>
      <c r="E1341" s="5">
        <v>43567</v>
      </c>
      <c r="F1341">
        <v>13551001</v>
      </c>
      <c r="G1341">
        <v>0</v>
      </c>
      <c r="H1341" t="s">
        <v>1125</v>
      </c>
      <c r="I1341" t="s">
        <v>1126</v>
      </c>
      <c r="J1341">
        <v>0</v>
      </c>
      <c r="K1341">
        <v>0</v>
      </c>
      <c r="L1341" s="3">
        <v>1533008.1767</v>
      </c>
      <c r="M1341" s="3">
        <v>15770.37</v>
      </c>
      <c r="N1341">
        <v>0</v>
      </c>
      <c r="O1341">
        <v>2048100</v>
      </c>
      <c r="P1341">
        <v>1548778.5467000001</v>
      </c>
      <c r="Q1341" t="s">
        <v>30</v>
      </c>
      <c r="R1341" t="s">
        <v>429</v>
      </c>
      <c r="S1341" t="str">
        <v>#N/A</v>
      </c>
      <c r="T1341" t="str">
        <v>31</v>
      </c>
    </row>
    <row r="1342" spans="1:20" ht="13.7" customHeight="1" x14ac:dyDescent="0.25">
      <c r="A1342" t="s">
        <v>320</v>
      </c>
      <c r="B1342" t="s">
        <v>321</v>
      </c>
      <c r="C1342" t="s">
        <v>142</v>
      </c>
      <c r="D1342">
        <v>419</v>
      </c>
      <c r="E1342" s="5">
        <v>43584</v>
      </c>
      <c r="F1342">
        <v>13551001</v>
      </c>
      <c r="G1342">
        <v>0</v>
      </c>
      <c r="H1342" t="s">
        <v>1125</v>
      </c>
      <c r="I1342" t="s">
        <v>1126</v>
      </c>
      <c r="J1342">
        <v>0</v>
      </c>
      <c r="K1342">
        <v>0</v>
      </c>
      <c r="L1342" s="3">
        <v>1548778.5467000001</v>
      </c>
      <c r="M1342" s="3">
        <v>8326.7800000000007</v>
      </c>
      <c r="N1342">
        <v>0</v>
      </c>
      <c r="O1342">
        <v>1081400</v>
      </c>
      <c r="P1342">
        <v>1557105.3267000001</v>
      </c>
      <c r="Q1342" t="s">
        <v>30</v>
      </c>
      <c r="R1342" t="s">
        <v>438</v>
      </c>
      <c r="S1342" t="str">
        <v>#N/A</v>
      </c>
      <c r="T1342" t="str">
        <v>31</v>
      </c>
    </row>
    <row r="1343" spans="1:20" ht="13.7" customHeight="1" x14ac:dyDescent="0.25">
      <c r="A1343" t="s">
        <v>320</v>
      </c>
      <c r="B1343" t="s">
        <v>321</v>
      </c>
      <c r="C1343" t="s">
        <v>142</v>
      </c>
      <c r="D1343">
        <v>425</v>
      </c>
      <c r="E1343" s="5">
        <v>43592</v>
      </c>
      <c r="F1343">
        <v>13551001</v>
      </c>
      <c r="G1343">
        <v>0</v>
      </c>
      <c r="H1343" t="s">
        <v>1125</v>
      </c>
      <c r="I1343" t="s">
        <v>1126</v>
      </c>
      <c r="J1343">
        <v>0</v>
      </c>
      <c r="K1343">
        <v>0</v>
      </c>
      <c r="L1343" s="3">
        <v>1557105.3267000001</v>
      </c>
      <c r="M1343" s="3">
        <v>6858.1589999999997</v>
      </c>
      <c r="N1343">
        <v>0</v>
      </c>
      <c r="O1343">
        <v>890670</v>
      </c>
      <c r="P1343">
        <v>1563963.4857000001</v>
      </c>
      <c r="Q1343" t="s">
        <v>30</v>
      </c>
      <c r="R1343" t="s">
        <v>442</v>
      </c>
      <c r="S1343" t="str">
        <v>#N/A</v>
      </c>
      <c r="T1343" t="str">
        <v>31</v>
      </c>
    </row>
    <row r="1344" spans="1:20" ht="13.7" customHeight="1" x14ac:dyDescent="0.25">
      <c r="A1344" t="s">
        <v>320</v>
      </c>
      <c r="B1344" t="s">
        <v>321</v>
      </c>
      <c r="C1344" t="s">
        <v>142</v>
      </c>
      <c r="D1344">
        <v>429</v>
      </c>
      <c r="E1344" s="5">
        <v>43594</v>
      </c>
      <c r="F1344">
        <v>13551001</v>
      </c>
      <c r="G1344">
        <v>0</v>
      </c>
      <c r="H1344" t="s">
        <v>1125</v>
      </c>
      <c r="I1344" t="s">
        <v>1126</v>
      </c>
      <c r="J1344">
        <v>0</v>
      </c>
      <c r="K1344">
        <v>0</v>
      </c>
      <c r="L1344" s="3">
        <v>1563963.4857000001</v>
      </c>
      <c r="M1344" s="3">
        <v>10142.209000000001</v>
      </c>
      <c r="N1344">
        <v>0</v>
      </c>
      <c r="O1344">
        <v>1317170</v>
      </c>
      <c r="P1344">
        <v>1574105.6947000001</v>
      </c>
      <c r="Q1344" t="s">
        <v>30</v>
      </c>
      <c r="R1344" t="s">
        <v>446</v>
      </c>
      <c r="S1344" t="str">
        <v>#N/A</v>
      </c>
      <c r="T1344" t="str">
        <v>31</v>
      </c>
    </row>
    <row r="1345" spans="1:20" ht="13.7" customHeight="1" x14ac:dyDescent="0.25">
      <c r="A1345" t="s">
        <v>320</v>
      </c>
      <c r="B1345" t="s">
        <v>321</v>
      </c>
      <c r="C1345" t="s">
        <v>142</v>
      </c>
      <c r="D1345">
        <v>437</v>
      </c>
      <c r="E1345" s="5">
        <v>43606</v>
      </c>
      <c r="F1345">
        <v>13551001</v>
      </c>
      <c r="G1345">
        <v>0</v>
      </c>
      <c r="H1345" t="s">
        <v>1125</v>
      </c>
      <c r="I1345" t="s">
        <v>1126</v>
      </c>
      <c r="J1345">
        <v>0</v>
      </c>
      <c r="K1345">
        <v>0</v>
      </c>
      <c r="L1345" s="3">
        <v>1574105.6947000001</v>
      </c>
      <c r="M1345" s="3">
        <v>10283.35</v>
      </c>
      <c r="N1345">
        <v>0</v>
      </c>
      <c r="O1345">
        <v>1335500</v>
      </c>
      <c r="P1345">
        <v>1584389.0447</v>
      </c>
      <c r="Q1345" t="s">
        <v>30</v>
      </c>
      <c r="R1345" t="s">
        <v>451</v>
      </c>
      <c r="S1345" t="str">
        <v>#N/A</v>
      </c>
      <c r="T1345" t="str">
        <v>31</v>
      </c>
    </row>
    <row r="1346" spans="1:20" ht="13.7" customHeight="1" x14ac:dyDescent="0.25">
      <c r="A1346" t="s">
        <v>320</v>
      </c>
      <c r="B1346" t="s">
        <v>321</v>
      </c>
      <c r="C1346" t="s">
        <v>142</v>
      </c>
      <c r="D1346">
        <v>455</v>
      </c>
      <c r="E1346" s="5">
        <v>43629</v>
      </c>
      <c r="F1346">
        <v>13551001</v>
      </c>
      <c r="G1346">
        <v>0</v>
      </c>
      <c r="H1346" t="s">
        <v>1125</v>
      </c>
      <c r="I1346" t="s">
        <v>1126</v>
      </c>
      <c r="J1346">
        <v>0</v>
      </c>
      <c r="K1346">
        <v>0</v>
      </c>
      <c r="L1346" s="3">
        <v>1584389.0447</v>
      </c>
      <c r="M1346" s="3">
        <v>24439.8</v>
      </c>
      <c r="N1346">
        <v>0</v>
      </c>
      <c r="O1346">
        <v>3174000</v>
      </c>
      <c r="P1346">
        <v>1608828.8447</v>
      </c>
      <c r="Q1346" t="s">
        <v>30</v>
      </c>
      <c r="R1346" t="s">
        <v>460</v>
      </c>
      <c r="S1346" t="str">
        <v>#N/A</v>
      </c>
      <c r="T1346" t="str">
        <v>31</v>
      </c>
    </row>
    <row r="1347" spans="1:20" ht="13.7" customHeight="1" x14ac:dyDescent="0.25">
      <c r="A1347" t="s">
        <v>320</v>
      </c>
      <c r="B1347" t="s">
        <v>321</v>
      </c>
      <c r="C1347" t="s">
        <v>142</v>
      </c>
      <c r="D1347">
        <v>458</v>
      </c>
      <c r="E1347" s="5">
        <v>43633</v>
      </c>
      <c r="F1347">
        <v>13551001</v>
      </c>
      <c r="G1347">
        <v>0</v>
      </c>
      <c r="H1347" t="s">
        <v>1125</v>
      </c>
      <c r="I1347" t="s">
        <v>1126</v>
      </c>
      <c r="J1347">
        <v>0</v>
      </c>
      <c r="K1347">
        <v>0</v>
      </c>
      <c r="L1347" s="3">
        <v>1608828.8447</v>
      </c>
      <c r="M1347" s="3">
        <v>4204.2</v>
      </c>
      <c r="N1347">
        <v>0</v>
      </c>
      <c r="O1347">
        <v>546000</v>
      </c>
      <c r="P1347">
        <v>1613033.0447</v>
      </c>
      <c r="Q1347" t="s">
        <v>30</v>
      </c>
      <c r="R1347" t="s">
        <v>463</v>
      </c>
      <c r="S1347" t="str">
        <v>#N/A</v>
      </c>
      <c r="T1347" t="str">
        <v>31</v>
      </c>
    </row>
    <row r="1348" spans="1:20" ht="13.7" customHeight="1" x14ac:dyDescent="0.25">
      <c r="A1348" t="s">
        <v>320</v>
      </c>
      <c r="B1348" t="s">
        <v>321</v>
      </c>
      <c r="C1348" t="s">
        <v>142</v>
      </c>
      <c r="D1348">
        <v>464</v>
      </c>
      <c r="E1348" s="5">
        <v>43653</v>
      </c>
      <c r="F1348">
        <v>13551001</v>
      </c>
      <c r="G1348">
        <v>0</v>
      </c>
      <c r="H1348" t="s">
        <v>1125</v>
      </c>
      <c r="I1348" t="s">
        <v>1126</v>
      </c>
      <c r="J1348">
        <v>0</v>
      </c>
      <c r="K1348">
        <v>0</v>
      </c>
      <c r="L1348" s="3">
        <v>1613033.0447</v>
      </c>
      <c r="M1348" s="3">
        <v>33355.167999999998</v>
      </c>
      <c r="N1348">
        <v>0</v>
      </c>
      <c r="O1348">
        <v>4331840</v>
      </c>
      <c r="P1348">
        <v>1646388.2127</v>
      </c>
      <c r="Q1348" t="s">
        <v>30</v>
      </c>
      <c r="R1348" t="s">
        <v>467</v>
      </c>
      <c r="S1348" t="str">
        <v>#N/A</v>
      </c>
      <c r="T1348" t="str">
        <v>31</v>
      </c>
    </row>
    <row r="1349" spans="1:20" ht="13.7" customHeight="1" x14ac:dyDescent="0.25">
      <c r="A1349" t="s">
        <v>320</v>
      </c>
      <c r="B1349" t="s">
        <v>321</v>
      </c>
      <c r="C1349" t="s">
        <v>142</v>
      </c>
      <c r="D1349">
        <v>469</v>
      </c>
      <c r="E1349" s="5">
        <v>43670</v>
      </c>
      <c r="F1349">
        <v>13551001</v>
      </c>
      <c r="G1349">
        <v>0</v>
      </c>
      <c r="H1349" t="s">
        <v>1125</v>
      </c>
      <c r="I1349" t="s">
        <v>1126</v>
      </c>
      <c r="J1349">
        <v>0</v>
      </c>
      <c r="K1349">
        <v>0</v>
      </c>
      <c r="L1349" s="3">
        <v>1646388.2127</v>
      </c>
      <c r="M1349" s="3">
        <v>67690.930999999997</v>
      </c>
      <c r="N1349">
        <v>0</v>
      </c>
      <c r="O1349">
        <v>8791030</v>
      </c>
      <c r="P1349">
        <v>1714079.1436999999</v>
      </c>
      <c r="Q1349" t="s">
        <v>30</v>
      </c>
      <c r="R1349" t="s">
        <v>471</v>
      </c>
      <c r="S1349" t="str">
        <v>#N/A</v>
      </c>
      <c r="T1349" t="str">
        <v>31</v>
      </c>
    </row>
    <row r="1350" spans="1:20" ht="13.7" customHeight="1" x14ac:dyDescent="0.25">
      <c r="A1350" t="s">
        <v>320</v>
      </c>
      <c r="B1350" t="s">
        <v>321</v>
      </c>
      <c r="C1350" t="s">
        <v>142</v>
      </c>
      <c r="D1350">
        <v>490</v>
      </c>
      <c r="E1350" s="5">
        <v>43710</v>
      </c>
      <c r="F1350">
        <v>13551001</v>
      </c>
      <c r="G1350">
        <v>0</v>
      </c>
      <c r="H1350" t="s">
        <v>1125</v>
      </c>
      <c r="I1350" t="s">
        <v>1126</v>
      </c>
      <c r="J1350">
        <v>0</v>
      </c>
      <c r="K1350">
        <v>0</v>
      </c>
      <c r="L1350" s="3">
        <v>1714079.1436999999</v>
      </c>
      <c r="M1350" s="3">
        <v>8285.7389999999996</v>
      </c>
      <c r="N1350">
        <v>0</v>
      </c>
      <c r="O1350">
        <v>1076070</v>
      </c>
      <c r="P1350">
        <v>1722364.8827</v>
      </c>
      <c r="Q1350" t="s">
        <v>30</v>
      </c>
      <c r="R1350" t="s">
        <v>476</v>
      </c>
      <c r="S1350" t="str">
        <v>#N/A</v>
      </c>
      <c r="T1350" t="str">
        <v>31</v>
      </c>
    </row>
    <row r="1351" spans="1:20" ht="13.7" customHeight="1" x14ac:dyDescent="0.25">
      <c r="A1351" t="s">
        <v>320</v>
      </c>
      <c r="B1351" t="s">
        <v>321</v>
      </c>
      <c r="C1351" t="s">
        <v>142</v>
      </c>
      <c r="D1351">
        <v>492</v>
      </c>
      <c r="E1351" s="5">
        <v>43721</v>
      </c>
      <c r="F1351">
        <v>13551001</v>
      </c>
      <c r="G1351">
        <v>0</v>
      </c>
      <c r="H1351" t="s">
        <v>1125</v>
      </c>
      <c r="I1351" t="s">
        <v>1126</v>
      </c>
      <c r="J1351">
        <v>0</v>
      </c>
      <c r="K1351">
        <v>0</v>
      </c>
      <c r="L1351" s="3">
        <v>1722364.8827</v>
      </c>
      <c r="M1351" s="3">
        <v>24886.245999999999</v>
      </c>
      <c r="N1351">
        <v>0</v>
      </c>
      <c r="O1351">
        <v>3231980</v>
      </c>
      <c r="P1351">
        <v>1747251.1287</v>
      </c>
      <c r="Q1351" t="s">
        <v>30</v>
      </c>
      <c r="R1351" t="s">
        <v>618</v>
      </c>
      <c r="S1351" t="str">
        <v>#N/A</v>
      </c>
      <c r="T1351" t="str">
        <v>31</v>
      </c>
    </row>
    <row r="1352" spans="1:20" ht="13.7" customHeight="1" x14ac:dyDescent="0.25">
      <c r="A1352" t="s">
        <v>320</v>
      </c>
      <c r="B1352" t="s">
        <v>321</v>
      </c>
      <c r="C1352" t="s">
        <v>142</v>
      </c>
      <c r="D1352">
        <v>495</v>
      </c>
      <c r="E1352" s="5">
        <v>43727</v>
      </c>
      <c r="F1352">
        <v>13551001</v>
      </c>
      <c r="G1352">
        <v>0</v>
      </c>
      <c r="H1352" t="s">
        <v>1125</v>
      </c>
      <c r="I1352" t="s">
        <v>1126</v>
      </c>
      <c r="J1352">
        <v>0</v>
      </c>
      <c r="K1352">
        <v>0</v>
      </c>
      <c r="L1352" s="3">
        <v>1747251.1287</v>
      </c>
      <c r="M1352" s="3">
        <v>5005</v>
      </c>
      <c r="N1352">
        <v>0</v>
      </c>
      <c r="O1352">
        <v>650000</v>
      </c>
      <c r="P1352">
        <v>1752256.1287</v>
      </c>
      <c r="Q1352" t="s">
        <v>30</v>
      </c>
      <c r="R1352" t="s">
        <v>480</v>
      </c>
      <c r="S1352" t="str">
        <v>#N/A</v>
      </c>
      <c r="T1352" t="str">
        <v>31</v>
      </c>
    </row>
    <row r="1353" spans="1:20" ht="13.7" customHeight="1" x14ac:dyDescent="0.25">
      <c r="A1353" t="s">
        <v>320</v>
      </c>
      <c r="B1353" t="s">
        <v>321</v>
      </c>
      <c r="C1353" t="s">
        <v>142</v>
      </c>
      <c r="D1353">
        <v>497</v>
      </c>
      <c r="E1353" s="5">
        <v>43728</v>
      </c>
      <c r="F1353">
        <v>13551001</v>
      </c>
      <c r="G1353">
        <v>0</v>
      </c>
      <c r="H1353" t="s">
        <v>1125</v>
      </c>
      <c r="I1353" t="s">
        <v>1126</v>
      </c>
      <c r="J1353">
        <v>0</v>
      </c>
      <c r="K1353">
        <v>0</v>
      </c>
      <c r="L1353" s="3">
        <v>1752256.1287</v>
      </c>
      <c r="M1353" s="3">
        <v>46200</v>
      </c>
      <c r="N1353">
        <v>0</v>
      </c>
      <c r="O1353">
        <v>6000000</v>
      </c>
      <c r="P1353">
        <v>1798456.1287</v>
      </c>
      <c r="Q1353" t="s">
        <v>30</v>
      </c>
      <c r="R1353" t="s">
        <v>482</v>
      </c>
      <c r="S1353" t="str">
        <v>#N/A</v>
      </c>
      <c r="T1353" t="str">
        <v>31</v>
      </c>
    </row>
    <row r="1354" spans="1:20" ht="13.7" customHeight="1" x14ac:dyDescent="0.25">
      <c r="A1354" t="s">
        <v>320</v>
      </c>
      <c r="B1354" t="s">
        <v>321</v>
      </c>
      <c r="C1354" t="s">
        <v>142</v>
      </c>
      <c r="D1354">
        <v>501</v>
      </c>
      <c r="E1354" s="5">
        <v>43738</v>
      </c>
      <c r="F1354">
        <v>13551001</v>
      </c>
      <c r="G1354">
        <v>0</v>
      </c>
      <c r="H1354" t="s">
        <v>1125</v>
      </c>
      <c r="I1354" t="s">
        <v>1126</v>
      </c>
      <c r="J1354">
        <v>0</v>
      </c>
      <c r="K1354">
        <v>0</v>
      </c>
      <c r="L1354" s="3">
        <v>1798456.1287</v>
      </c>
      <c r="M1354" s="3">
        <v>16138.9305</v>
      </c>
      <c r="N1354">
        <v>0</v>
      </c>
      <c r="O1354">
        <v>2095965</v>
      </c>
      <c r="P1354">
        <v>1814595.0592</v>
      </c>
      <c r="Q1354" t="s">
        <v>30</v>
      </c>
      <c r="R1354" t="s">
        <v>486</v>
      </c>
      <c r="S1354" t="str">
        <v>#N/A</v>
      </c>
      <c r="T1354" t="str">
        <v>31</v>
      </c>
    </row>
    <row r="1355" spans="1:20" ht="13.7" customHeight="1" x14ac:dyDescent="0.25">
      <c r="A1355" t="s">
        <v>320</v>
      </c>
      <c r="B1355" t="s">
        <v>321</v>
      </c>
      <c r="C1355" t="s">
        <v>142</v>
      </c>
      <c r="D1355">
        <v>504</v>
      </c>
      <c r="E1355" s="5">
        <v>43741</v>
      </c>
      <c r="F1355">
        <v>13551001</v>
      </c>
      <c r="G1355">
        <v>0</v>
      </c>
      <c r="H1355" t="s">
        <v>1125</v>
      </c>
      <c r="I1355" t="s">
        <v>1126</v>
      </c>
      <c r="J1355">
        <v>0</v>
      </c>
      <c r="K1355">
        <v>0</v>
      </c>
      <c r="L1355" s="3">
        <v>1814595.0592</v>
      </c>
      <c r="M1355" s="3">
        <v>22222.2</v>
      </c>
      <c r="N1355">
        <v>0</v>
      </c>
      <c r="O1355">
        <v>2886000</v>
      </c>
      <c r="P1355">
        <v>1836817.2592</v>
      </c>
      <c r="Q1355" t="s">
        <v>30</v>
      </c>
      <c r="R1355" t="s">
        <v>619</v>
      </c>
      <c r="S1355" t="str">
        <v>#N/A</v>
      </c>
      <c r="T1355" t="str">
        <v>31</v>
      </c>
    </row>
    <row r="1356" spans="1:20" ht="13.7" customHeight="1" x14ac:dyDescent="0.25">
      <c r="A1356" t="s">
        <v>320</v>
      </c>
      <c r="B1356" t="s">
        <v>321</v>
      </c>
      <c r="C1356" t="s">
        <v>142</v>
      </c>
      <c r="D1356">
        <v>508</v>
      </c>
      <c r="E1356" s="5">
        <v>43748</v>
      </c>
      <c r="F1356">
        <v>13551001</v>
      </c>
      <c r="G1356">
        <v>0</v>
      </c>
      <c r="H1356" t="s">
        <v>1125</v>
      </c>
      <c r="I1356" t="s">
        <v>1126</v>
      </c>
      <c r="J1356">
        <v>0</v>
      </c>
      <c r="K1356">
        <v>0</v>
      </c>
      <c r="L1356" s="3">
        <v>1836817.2592</v>
      </c>
      <c r="M1356" s="3">
        <v>30904.696899999999</v>
      </c>
      <c r="N1356">
        <v>0</v>
      </c>
      <c r="O1356">
        <v>4013597</v>
      </c>
      <c r="P1356">
        <v>1867721.9561000001</v>
      </c>
      <c r="Q1356" t="s">
        <v>30</v>
      </c>
      <c r="R1356" t="s">
        <v>493</v>
      </c>
      <c r="S1356" t="str">
        <v>#N/A</v>
      </c>
      <c r="T1356" t="str">
        <v>31</v>
      </c>
    </row>
    <row r="1357" spans="1:20" ht="13.7" customHeight="1" x14ac:dyDescent="0.25">
      <c r="A1357" t="s">
        <v>320</v>
      </c>
      <c r="B1357" t="s">
        <v>321</v>
      </c>
      <c r="C1357" t="s">
        <v>142</v>
      </c>
      <c r="D1357">
        <v>511</v>
      </c>
      <c r="E1357" s="5">
        <v>43754</v>
      </c>
      <c r="F1357">
        <v>13551001</v>
      </c>
      <c r="G1357">
        <v>0</v>
      </c>
      <c r="H1357" t="s">
        <v>1125</v>
      </c>
      <c r="I1357" t="s">
        <v>1126</v>
      </c>
      <c r="J1357">
        <v>0</v>
      </c>
      <c r="K1357">
        <v>0</v>
      </c>
      <c r="L1357" s="3">
        <v>1867721.9561000001</v>
      </c>
      <c r="M1357" s="3">
        <v>5537.84</v>
      </c>
      <c r="N1357">
        <v>0</v>
      </c>
      <c r="O1357">
        <v>719200</v>
      </c>
      <c r="P1357">
        <v>1873259.7960999999</v>
      </c>
      <c r="Q1357" t="s">
        <v>30</v>
      </c>
      <c r="R1357" t="s">
        <v>496</v>
      </c>
      <c r="S1357" t="str">
        <v>#N/A</v>
      </c>
      <c r="T1357" t="str">
        <v>31</v>
      </c>
    </row>
    <row r="1358" spans="1:20" ht="13.7" customHeight="1" x14ac:dyDescent="0.25">
      <c r="A1358" t="s">
        <v>320</v>
      </c>
      <c r="B1358" t="s">
        <v>321</v>
      </c>
      <c r="C1358" t="s">
        <v>142</v>
      </c>
      <c r="D1358">
        <v>522</v>
      </c>
      <c r="E1358" s="5">
        <v>43768</v>
      </c>
      <c r="F1358">
        <v>13551001</v>
      </c>
      <c r="G1358">
        <v>0</v>
      </c>
      <c r="H1358" t="s">
        <v>1125</v>
      </c>
      <c r="I1358" t="s">
        <v>1126</v>
      </c>
      <c r="J1358">
        <v>0</v>
      </c>
      <c r="K1358">
        <v>0</v>
      </c>
      <c r="L1358" s="3">
        <v>1873259.7960999999</v>
      </c>
      <c r="M1358" s="3">
        <v>5704.2677999999996</v>
      </c>
      <c r="N1358">
        <v>0</v>
      </c>
      <c r="O1358">
        <v>740814</v>
      </c>
      <c r="P1358">
        <v>1878964.0639</v>
      </c>
      <c r="Q1358" t="s">
        <v>30</v>
      </c>
      <c r="R1358" t="s">
        <v>504</v>
      </c>
      <c r="S1358" t="str">
        <v>#N/A</v>
      </c>
      <c r="T1358" t="str">
        <v>31</v>
      </c>
    </row>
    <row r="1359" spans="1:20" ht="13.7" customHeight="1" x14ac:dyDescent="0.25">
      <c r="A1359" t="s">
        <v>320</v>
      </c>
      <c r="B1359" t="s">
        <v>321</v>
      </c>
      <c r="C1359" t="s">
        <v>142</v>
      </c>
      <c r="D1359">
        <v>523</v>
      </c>
      <c r="E1359" s="5">
        <v>43770</v>
      </c>
      <c r="F1359">
        <v>13551001</v>
      </c>
      <c r="G1359">
        <v>0</v>
      </c>
      <c r="H1359" t="s">
        <v>1125</v>
      </c>
      <c r="I1359" t="s">
        <v>1126</v>
      </c>
      <c r="J1359">
        <v>0</v>
      </c>
      <c r="K1359">
        <v>0</v>
      </c>
      <c r="L1359" s="3">
        <v>1878964.0639</v>
      </c>
      <c r="M1359" s="3">
        <v>6314</v>
      </c>
      <c r="N1359">
        <v>0</v>
      </c>
      <c r="O1359">
        <v>820000</v>
      </c>
      <c r="P1359">
        <v>1885278.0639</v>
      </c>
      <c r="Q1359" t="s">
        <v>30</v>
      </c>
      <c r="R1359" t="s">
        <v>505</v>
      </c>
      <c r="S1359" t="str">
        <v>#N/A</v>
      </c>
      <c r="T1359" t="str">
        <v>31</v>
      </c>
    </row>
    <row r="1360" spans="1:20" ht="13.7" customHeight="1" x14ac:dyDescent="0.25">
      <c r="A1360" t="s">
        <v>320</v>
      </c>
      <c r="B1360" t="s">
        <v>321</v>
      </c>
      <c r="C1360" t="s">
        <v>142</v>
      </c>
      <c r="D1360">
        <v>524</v>
      </c>
      <c r="E1360" s="5">
        <v>43770</v>
      </c>
      <c r="F1360">
        <v>13551001</v>
      </c>
      <c r="G1360">
        <v>0</v>
      </c>
      <c r="H1360" t="s">
        <v>1125</v>
      </c>
      <c r="I1360" t="s">
        <v>1126</v>
      </c>
      <c r="J1360">
        <v>0</v>
      </c>
      <c r="K1360">
        <v>0</v>
      </c>
      <c r="L1360" s="3">
        <v>1885278.0639</v>
      </c>
      <c r="M1360" s="3">
        <v>7753.9</v>
      </c>
      <c r="N1360">
        <v>0</v>
      </c>
      <c r="O1360">
        <v>1007000</v>
      </c>
      <c r="P1360">
        <v>1893031.9639000001</v>
      </c>
      <c r="Q1360" t="s">
        <v>30</v>
      </c>
      <c r="R1360" t="s">
        <v>506</v>
      </c>
      <c r="S1360" t="str">
        <v>#N/A</v>
      </c>
      <c r="T1360" t="str">
        <v>31</v>
      </c>
    </row>
    <row r="1361" spans="1:20" ht="13.7" customHeight="1" x14ac:dyDescent="0.25">
      <c r="A1361" t="s">
        <v>320</v>
      </c>
      <c r="B1361" t="s">
        <v>321</v>
      </c>
      <c r="C1361" t="s">
        <v>142</v>
      </c>
      <c r="D1361">
        <v>535</v>
      </c>
      <c r="E1361" s="5">
        <v>43796</v>
      </c>
      <c r="F1361">
        <v>13551001</v>
      </c>
      <c r="G1361">
        <v>0</v>
      </c>
      <c r="H1361" t="s">
        <v>1125</v>
      </c>
      <c r="I1361" t="s">
        <v>1126</v>
      </c>
      <c r="J1361">
        <v>0</v>
      </c>
      <c r="K1361">
        <v>0</v>
      </c>
      <c r="L1361" s="3">
        <v>1893031.9639000001</v>
      </c>
      <c r="M1361" s="3">
        <v>17376.050999999999</v>
      </c>
      <c r="N1361">
        <v>0</v>
      </c>
      <c r="O1361">
        <v>2256630</v>
      </c>
      <c r="P1361">
        <v>1910408.0149000001</v>
      </c>
      <c r="Q1361" t="s">
        <v>30</v>
      </c>
      <c r="R1361" t="s">
        <v>517</v>
      </c>
      <c r="S1361" t="str">
        <v>#N/A</v>
      </c>
      <c r="T1361" t="str">
        <v>31</v>
      </c>
    </row>
    <row r="1362" spans="1:20" ht="13.7" customHeight="1" x14ac:dyDescent="0.25">
      <c r="E1362" s="5">
        <v>43465</v>
      </c>
      <c r="F1362">
        <v>13551001</v>
      </c>
      <c r="G1362">
        <v>0</v>
      </c>
      <c r="H1362" t="s">
        <v>1131</v>
      </c>
      <c r="I1362" t="s">
        <v>1132</v>
      </c>
      <c r="J1362">
        <v>0</v>
      </c>
      <c r="K1362">
        <v>0</v>
      </c>
      <c r="L1362" s="3">
        <v>25421.55</v>
      </c>
      <c r="M1362" s="3">
        <v>0</v>
      </c>
      <c r="N1362">
        <v>0</v>
      </c>
      <c r="O1362">
        <v>3301500</v>
      </c>
      <c r="P1362">
        <v>25421.55</v>
      </c>
      <c r="R1362" t="s">
        <v>1100</v>
      </c>
      <c r="S1362" t="str">
        <v>#N/A</v>
      </c>
      <c r="T1362" t="str">
        <v>#N/A</v>
      </c>
    </row>
    <row r="1363" spans="1:20" ht="13.7" customHeight="1" x14ac:dyDescent="0.25">
      <c r="E1363" s="5">
        <v>43465</v>
      </c>
      <c r="F1363">
        <v>13551001</v>
      </c>
      <c r="G1363">
        <v>0</v>
      </c>
      <c r="H1363" t="s">
        <v>1133</v>
      </c>
      <c r="I1363" t="s">
        <v>1134</v>
      </c>
      <c r="J1363">
        <v>0</v>
      </c>
      <c r="K1363">
        <v>0</v>
      </c>
      <c r="L1363" s="3">
        <v>6576.2466000000004</v>
      </c>
      <c r="M1363" s="3">
        <v>0</v>
      </c>
      <c r="N1363">
        <v>0</v>
      </c>
      <c r="O1363">
        <v>854058</v>
      </c>
      <c r="P1363">
        <v>6576.2466000000004</v>
      </c>
      <c r="R1363" t="s">
        <v>1100</v>
      </c>
      <c r="S1363" t="str">
        <v>#N/A</v>
      </c>
      <c r="T1363" t="str">
        <v>#N/A</v>
      </c>
    </row>
    <row r="1364" spans="1:20" ht="13.7" customHeight="1" x14ac:dyDescent="0.25">
      <c r="E1364" s="5">
        <v>43465</v>
      </c>
      <c r="F1364">
        <v>13551501</v>
      </c>
      <c r="G1364">
        <v>0</v>
      </c>
      <c r="H1364" t="s">
        <v>1127</v>
      </c>
      <c r="I1364" t="s">
        <v>1128</v>
      </c>
      <c r="J1364">
        <v>0</v>
      </c>
      <c r="K1364">
        <v>0</v>
      </c>
      <c r="L1364" s="3">
        <v>553189.44999999995</v>
      </c>
      <c r="M1364" s="3">
        <v>0</v>
      </c>
      <c r="N1364">
        <v>0</v>
      </c>
      <c r="O1364">
        <v>22127578</v>
      </c>
      <c r="P1364">
        <v>553189.44999999995</v>
      </c>
      <c r="R1364" t="s">
        <v>1100</v>
      </c>
      <c r="S1364" t="str">
        <v>#N/A</v>
      </c>
      <c r="T1364" t="str">
        <v>#N/A</v>
      </c>
    </row>
    <row r="1365" spans="1:20" ht="13.7" customHeight="1" x14ac:dyDescent="0.25">
      <c r="A1365" t="s">
        <v>320</v>
      </c>
      <c r="B1365" t="s">
        <v>321</v>
      </c>
      <c r="C1365" t="s">
        <v>142</v>
      </c>
      <c r="D1365">
        <v>365</v>
      </c>
      <c r="E1365" s="5">
        <v>43511</v>
      </c>
      <c r="F1365">
        <v>13551501</v>
      </c>
      <c r="G1365">
        <v>0</v>
      </c>
      <c r="H1365" t="s">
        <v>1127</v>
      </c>
      <c r="I1365" t="s">
        <v>1128</v>
      </c>
      <c r="J1365">
        <v>1003</v>
      </c>
      <c r="K1365">
        <v>1302</v>
      </c>
      <c r="L1365" s="3">
        <v>553189.44999999995</v>
      </c>
      <c r="M1365" s="3">
        <v>67906</v>
      </c>
      <c r="N1365">
        <v>0</v>
      </c>
      <c r="O1365">
        <v>2716240</v>
      </c>
      <c r="P1365">
        <v>621095.44999999995</v>
      </c>
      <c r="Q1365" t="s">
        <v>30</v>
      </c>
      <c r="R1365" t="s">
        <v>630</v>
      </c>
      <c r="S1365" t="str">
        <v>#N/A</v>
      </c>
      <c r="T1365" t="str">
        <v>#N/A</v>
      </c>
    </row>
    <row r="1366" spans="1:20" ht="13.7" customHeight="1" x14ac:dyDescent="0.25">
      <c r="A1366" t="s">
        <v>320</v>
      </c>
      <c r="B1366" t="s">
        <v>321</v>
      </c>
      <c r="C1366" t="s">
        <v>142</v>
      </c>
      <c r="D1366">
        <v>378</v>
      </c>
      <c r="E1366" s="5">
        <v>43530</v>
      </c>
      <c r="F1366">
        <v>13551501</v>
      </c>
      <c r="G1366">
        <v>0</v>
      </c>
      <c r="H1366" t="s">
        <v>1127</v>
      </c>
      <c r="I1366" t="s">
        <v>1128</v>
      </c>
      <c r="J1366">
        <v>1003</v>
      </c>
      <c r="K1366">
        <v>1302</v>
      </c>
      <c r="L1366" s="3">
        <v>621095.44999999995</v>
      </c>
      <c r="M1366" s="3">
        <v>33398.75</v>
      </c>
      <c r="N1366">
        <v>0</v>
      </c>
      <c r="O1366">
        <v>1335950</v>
      </c>
      <c r="P1366">
        <v>654494.19999999995</v>
      </c>
      <c r="Q1366" t="s">
        <v>30</v>
      </c>
      <c r="R1366" t="s">
        <v>394</v>
      </c>
      <c r="S1366" t="str">
        <v>#N/A</v>
      </c>
      <c r="T1366" t="str">
        <v>#N/A</v>
      </c>
    </row>
    <row r="1367" spans="1:20" ht="13.7" customHeight="1" x14ac:dyDescent="0.25">
      <c r="A1367" t="s">
        <v>320</v>
      </c>
      <c r="B1367" t="s">
        <v>321</v>
      </c>
      <c r="C1367" t="s">
        <v>142</v>
      </c>
      <c r="D1367">
        <v>380</v>
      </c>
      <c r="E1367" s="5">
        <v>43533</v>
      </c>
      <c r="F1367">
        <v>13551501</v>
      </c>
      <c r="G1367">
        <v>0</v>
      </c>
      <c r="H1367" t="s">
        <v>1127</v>
      </c>
      <c r="I1367" t="s">
        <v>1128</v>
      </c>
      <c r="J1367">
        <v>1003</v>
      </c>
      <c r="K1367">
        <v>1302</v>
      </c>
      <c r="L1367" s="3">
        <v>654494.19999999995</v>
      </c>
      <c r="M1367" s="3">
        <v>32660</v>
      </c>
      <c r="N1367">
        <v>0</v>
      </c>
      <c r="O1367">
        <v>1306400</v>
      </c>
      <c r="P1367">
        <v>687154.2</v>
      </c>
      <c r="Q1367" t="s">
        <v>30</v>
      </c>
      <c r="R1367" t="s">
        <v>617</v>
      </c>
      <c r="S1367" t="str">
        <v>#N/A</v>
      </c>
      <c r="T1367" t="str">
        <v>#N/A</v>
      </c>
    </row>
    <row r="1368" spans="1:20" ht="13.7" customHeight="1" x14ac:dyDescent="0.25">
      <c r="A1368" t="s">
        <v>320</v>
      </c>
      <c r="B1368" t="s">
        <v>321</v>
      </c>
      <c r="C1368" t="s">
        <v>142</v>
      </c>
      <c r="D1368">
        <v>413</v>
      </c>
      <c r="E1368" s="5">
        <v>43572</v>
      </c>
      <c r="F1368">
        <v>13551501</v>
      </c>
      <c r="G1368">
        <v>0</v>
      </c>
      <c r="H1368" t="s">
        <v>1127</v>
      </c>
      <c r="I1368" t="s">
        <v>1128</v>
      </c>
      <c r="J1368">
        <v>1003</v>
      </c>
      <c r="K1368">
        <v>1302</v>
      </c>
      <c r="L1368" s="3">
        <v>687154.2</v>
      </c>
      <c r="M1368" s="3">
        <v>37528.75</v>
      </c>
      <c r="N1368">
        <v>0</v>
      </c>
      <c r="O1368">
        <v>1501150</v>
      </c>
      <c r="P1368">
        <v>724682.95</v>
      </c>
      <c r="Q1368" t="s">
        <v>30</v>
      </c>
      <c r="R1368" t="s">
        <v>432</v>
      </c>
      <c r="S1368" t="str">
        <v>#N/A</v>
      </c>
      <c r="T1368" t="str">
        <v>#N/A</v>
      </c>
    </row>
    <row r="1369" spans="1:20" ht="13.7" customHeight="1" x14ac:dyDescent="0.25">
      <c r="A1369" t="s">
        <v>320</v>
      </c>
      <c r="B1369" t="s">
        <v>321</v>
      </c>
      <c r="C1369" t="s">
        <v>142</v>
      </c>
      <c r="D1369">
        <v>418</v>
      </c>
      <c r="E1369" s="5">
        <v>43581</v>
      </c>
      <c r="F1369">
        <v>13551501</v>
      </c>
      <c r="G1369">
        <v>0</v>
      </c>
      <c r="H1369" t="s">
        <v>1127</v>
      </c>
      <c r="I1369" t="s">
        <v>1128</v>
      </c>
      <c r="J1369">
        <v>1003</v>
      </c>
      <c r="K1369">
        <v>1302</v>
      </c>
      <c r="L1369" s="3">
        <v>724682.95</v>
      </c>
      <c r="M1369" s="3">
        <v>23674</v>
      </c>
      <c r="N1369">
        <v>0</v>
      </c>
      <c r="O1369">
        <v>946960</v>
      </c>
      <c r="P1369">
        <v>748356.95</v>
      </c>
      <c r="Q1369" t="s">
        <v>30</v>
      </c>
      <c r="R1369" t="s">
        <v>437</v>
      </c>
      <c r="S1369" t="str">
        <v>#N/A</v>
      </c>
      <c r="T1369" t="str">
        <v>#N/A</v>
      </c>
    </row>
    <row r="1370" spans="1:20" ht="13.7" customHeight="1" x14ac:dyDescent="0.25">
      <c r="A1370" t="s">
        <v>320</v>
      </c>
      <c r="B1370" t="s">
        <v>321</v>
      </c>
      <c r="C1370" t="s">
        <v>142</v>
      </c>
      <c r="D1370">
        <v>503</v>
      </c>
      <c r="E1370" s="5">
        <v>43739</v>
      </c>
      <c r="F1370">
        <v>13551501</v>
      </c>
      <c r="G1370">
        <v>0</v>
      </c>
      <c r="H1370" t="s">
        <v>1127</v>
      </c>
      <c r="I1370" t="s">
        <v>1128</v>
      </c>
      <c r="J1370">
        <v>1003</v>
      </c>
      <c r="K1370">
        <v>1302</v>
      </c>
      <c r="L1370" s="3">
        <v>748356.95</v>
      </c>
      <c r="M1370" s="3">
        <v>27810</v>
      </c>
      <c r="N1370">
        <v>0</v>
      </c>
      <c r="O1370">
        <v>1112400</v>
      </c>
      <c r="P1370">
        <v>776166.95</v>
      </c>
      <c r="Q1370" t="s">
        <v>30</v>
      </c>
      <c r="R1370" t="s">
        <v>488</v>
      </c>
      <c r="S1370" t="str">
        <v>#N/A</v>
      </c>
      <c r="T1370" t="str">
        <v>#N/A</v>
      </c>
    </row>
    <row r="1371" spans="1:20" ht="13.7" customHeight="1" x14ac:dyDescent="0.25">
      <c r="A1371" t="s">
        <v>320</v>
      </c>
      <c r="B1371" t="s">
        <v>321</v>
      </c>
      <c r="C1371" t="s">
        <v>142</v>
      </c>
      <c r="D1371">
        <v>519</v>
      </c>
      <c r="E1371" s="5">
        <v>43766</v>
      </c>
      <c r="F1371">
        <v>13551501</v>
      </c>
      <c r="G1371">
        <v>0</v>
      </c>
      <c r="H1371" t="s">
        <v>1127</v>
      </c>
      <c r="I1371" t="s">
        <v>1128</v>
      </c>
      <c r="J1371">
        <v>1003</v>
      </c>
      <c r="K1371">
        <v>1302</v>
      </c>
      <c r="L1371" s="3">
        <v>776166.95</v>
      </c>
      <c r="M1371" s="3">
        <v>26500</v>
      </c>
      <c r="N1371">
        <v>0</v>
      </c>
      <c r="O1371">
        <v>1060000</v>
      </c>
      <c r="P1371">
        <v>802666.95</v>
      </c>
      <c r="Q1371" t="s">
        <v>30</v>
      </c>
      <c r="R1371" t="s">
        <v>503</v>
      </c>
      <c r="S1371" t="str">
        <v>#N/A</v>
      </c>
      <c r="T1371" t="str">
        <v>#N/A</v>
      </c>
    </row>
    <row r="1372" spans="1:20" ht="13.7" customHeight="1" x14ac:dyDescent="0.25">
      <c r="E1372" s="5">
        <v>43465</v>
      </c>
      <c r="F1372">
        <v>13551501</v>
      </c>
      <c r="G1372">
        <v>0</v>
      </c>
      <c r="H1372" t="s">
        <v>1135</v>
      </c>
      <c r="I1372" t="s">
        <v>1136</v>
      </c>
      <c r="J1372">
        <v>0</v>
      </c>
      <c r="K1372">
        <v>0</v>
      </c>
      <c r="L1372" s="3">
        <v>134885</v>
      </c>
      <c r="M1372" s="3">
        <v>0</v>
      </c>
      <c r="N1372">
        <v>0</v>
      </c>
      <c r="O1372">
        <v>5395400</v>
      </c>
      <c r="P1372">
        <v>134885</v>
      </c>
      <c r="R1372" t="s">
        <v>1100</v>
      </c>
      <c r="S1372" t="str">
        <v>#N/A</v>
      </c>
      <c r="T1372" t="str">
        <v>#N/A</v>
      </c>
    </row>
    <row r="1373" spans="1:20" ht="13.7" customHeight="1" x14ac:dyDescent="0.25">
      <c r="A1373" t="s">
        <v>320</v>
      </c>
      <c r="B1373" t="s">
        <v>321</v>
      </c>
      <c r="C1373" t="s">
        <v>142</v>
      </c>
      <c r="D1373">
        <v>385</v>
      </c>
      <c r="E1373" s="5">
        <v>43543</v>
      </c>
      <c r="F1373">
        <v>13551501</v>
      </c>
      <c r="G1373">
        <v>0</v>
      </c>
      <c r="H1373" t="s">
        <v>1135</v>
      </c>
      <c r="I1373" t="s">
        <v>1136</v>
      </c>
      <c r="J1373">
        <v>1003</v>
      </c>
      <c r="K1373">
        <v>1302</v>
      </c>
      <c r="L1373" s="3">
        <v>134885</v>
      </c>
      <c r="M1373" s="3">
        <v>54563.474999999999</v>
      </c>
      <c r="N1373">
        <v>0</v>
      </c>
      <c r="O1373">
        <v>2182539</v>
      </c>
      <c r="P1373">
        <v>189448.47500000001</v>
      </c>
      <c r="Q1373" t="s">
        <v>30</v>
      </c>
      <c r="R1373" t="s">
        <v>407</v>
      </c>
      <c r="S1373" t="str">
        <v>#N/A</v>
      </c>
      <c r="T1373" t="str">
        <v>#N/A</v>
      </c>
    </row>
    <row r="1374" spans="1:20" ht="13.7" customHeight="1" x14ac:dyDescent="0.25">
      <c r="A1374" t="s">
        <v>320</v>
      </c>
      <c r="B1374" t="s">
        <v>321</v>
      </c>
      <c r="C1374" t="s">
        <v>142</v>
      </c>
      <c r="D1374">
        <v>398</v>
      </c>
      <c r="E1374" s="5">
        <v>43556</v>
      </c>
      <c r="F1374">
        <v>13551501</v>
      </c>
      <c r="G1374">
        <v>0</v>
      </c>
      <c r="H1374" t="s">
        <v>1135</v>
      </c>
      <c r="I1374" t="s">
        <v>1136</v>
      </c>
      <c r="J1374">
        <v>1003</v>
      </c>
      <c r="K1374">
        <v>1302</v>
      </c>
      <c r="L1374" s="3">
        <v>189448.47500000001</v>
      </c>
      <c r="M1374" s="3">
        <v>53722.125</v>
      </c>
      <c r="N1374">
        <v>0</v>
      </c>
      <c r="O1374">
        <v>2148885</v>
      </c>
      <c r="P1374">
        <v>243170.6</v>
      </c>
      <c r="Q1374" t="s">
        <v>30</v>
      </c>
      <c r="R1374" t="s">
        <v>422</v>
      </c>
      <c r="S1374" t="str">
        <v>#N/A</v>
      </c>
      <c r="T1374" t="str">
        <v>#N/A</v>
      </c>
    </row>
    <row r="1375" spans="1:20" ht="13.7" customHeight="1" x14ac:dyDescent="0.25">
      <c r="E1375" s="5">
        <v>43465</v>
      </c>
      <c r="F1375">
        <v>13551501</v>
      </c>
      <c r="G1375">
        <v>0</v>
      </c>
      <c r="H1375" t="s">
        <v>1129</v>
      </c>
      <c r="I1375" t="s">
        <v>1130</v>
      </c>
      <c r="J1375">
        <v>0</v>
      </c>
      <c r="K1375">
        <v>0</v>
      </c>
      <c r="L1375" s="3">
        <v>2301743</v>
      </c>
      <c r="M1375" s="3">
        <v>0</v>
      </c>
      <c r="N1375">
        <v>0</v>
      </c>
      <c r="O1375">
        <v>92069700</v>
      </c>
      <c r="P1375">
        <v>2301743</v>
      </c>
      <c r="R1375" t="s">
        <v>1100</v>
      </c>
      <c r="S1375" t="str">
        <v>#N/A</v>
      </c>
      <c r="T1375" t="str">
        <v>#N/A</v>
      </c>
    </row>
    <row r="1376" spans="1:20" ht="13.7" customHeight="1" x14ac:dyDescent="0.25">
      <c r="A1376" t="s">
        <v>320</v>
      </c>
      <c r="B1376" t="s">
        <v>321</v>
      </c>
      <c r="C1376" t="s">
        <v>142</v>
      </c>
      <c r="D1376">
        <v>336</v>
      </c>
      <c r="E1376" s="5">
        <v>43466</v>
      </c>
      <c r="F1376">
        <v>13551501</v>
      </c>
      <c r="G1376">
        <v>0</v>
      </c>
      <c r="H1376" t="s">
        <v>1129</v>
      </c>
      <c r="I1376" t="s">
        <v>1130</v>
      </c>
      <c r="J1376">
        <v>1003</v>
      </c>
      <c r="K1376">
        <v>1302</v>
      </c>
      <c r="L1376" s="3">
        <v>2301743</v>
      </c>
      <c r="M1376" s="3">
        <v>175000</v>
      </c>
      <c r="N1376">
        <v>0</v>
      </c>
      <c r="O1376">
        <v>7000000</v>
      </c>
      <c r="P1376">
        <v>2476743</v>
      </c>
      <c r="Q1376" t="s">
        <v>30</v>
      </c>
      <c r="R1376" t="s">
        <v>621</v>
      </c>
      <c r="S1376" t="str">
        <v>#N/A</v>
      </c>
      <c r="T1376" t="str">
        <v>#N/A</v>
      </c>
    </row>
    <row r="1377" spans="1:20" ht="13.7" customHeight="1" x14ac:dyDescent="0.25">
      <c r="A1377" t="s">
        <v>320</v>
      </c>
      <c r="B1377" t="s">
        <v>321</v>
      </c>
      <c r="C1377" t="s">
        <v>142</v>
      </c>
      <c r="D1377">
        <v>338</v>
      </c>
      <c r="E1377" s="5">
        <v>43482</v>
      </c>
      <c r="F1377">
        <v>13551501</v>
      </c>
      <c r="G1377">
        <v>0</v>
      </c>
      <c r="H1377" t="s">
        <v>1129</v>
      </c>
      <c r="I1377" t="s">
        <v>1130</v>
      </c>
      <c r="J1377">
        <v>1003</v>
      </c>
      <c r="K1377">
        <v>1302</v>
      </c>
      <c r="L1377" s="3">
        <v>2476743</v>
      </c>
      <c r="M1377" s="3">
        <v>98769</v>
      </c>
      <c r="N1377">
        <v>0</v>
      </c>
      <c r="O1377">
        <v>3950760</v>
      </c>
      <c r="P1377">
        <v>2575512</v>
      </c>
      <c r="Q1377" t="s">
        <v>30</v>
      </c>
      <c r="R1377" t="s">
        <v>622</v>
      </c>
      <c r="S1377" t="str">
        <v>#N/A</v>
      </c>
      <c r="T1377" t="str">
        <v>#N/A</v>
      </c>
    </row>
    <row r="1378" spans="1:20" ht="13.7" customHeight="1" x14ac:dyDescent="0.25">
      <c r="A1378" t="s">
        <v>320</v>
      </c>
      <c r="B1378" t="s">
        <v>321</v>
      </c>
      <c r="C1378" t="s">
        <v>142</v>
      </c>
      <c r="D1378">
        <v>360</v>
      </c>
      <c r="E1378" s="5">
        <v>43507</v>
      </c>
      <c r="F1378">
        <v>13551501</v>
      </c>
      <c r="G1378">
        <v>0</v>
      </c>
      <c r="H1378" t="s">
        <v>1129</v>
      </c>
      <c r="I1378" t="s">
        <v>1130</v>
      </c>
      <c r="J1378">
        <v>1003</v>
      </c>
      <c r="K1378">
        <v>1302</v>
      </c>
      <c r="L1378" s="3">
        <v>2575512</v>
      </c>
      <c r="M1378" s="3">
        <v>284750</v>
      </c>
      <c r="N1378">
        <v>0</v>
      </c>
      <c r="O1378">
        <v>11390000</v>
      </c>
      <c r="P1378">
        <v>2860262</v>
      </c>
      <c r="Q1378" t="s">
        <v>30</v>
      </c>
      <c r="R1378" t="s">
        <v>626</v>
      </c>
      <c r="S1378" t="str">
        <v>#N/A</v>
      </c>
      <c r="T1378" t="str">
        <v>#N/A</v>
      </c>
    </row>
    <row r="1379" spans="1:20" ht="13.7" customHeight="1" x14ac:dyDescent="0.25">
      <c r="A1379" t="s">
        <v>320</v>
      </c>
      <c r="B1379" t="s">
        <v>321</v>
      </c>
      <c r="C1379" t="s">
        <v>142</v>
      </c>
      <c r="D1379">
        <v>363</v>
      </c>
      <c r="E1379" s="5">
        <v>43508</v>
      </c>
      <c r="F1379">
        <v>13551501</v>
      </c>
      <c r="G1379">
        <v>0</v>
      </c>
      <c r="H1379" t="s">
        <v>1129</v>
      </c>
      <c r="I1379" t="s">
        <v>1130</v>
      </c>
      <c r="J1379">
        <v>1003</v>
      </c>
      <c r="K1379">
        <v>1302</v>
      </c>
      <c r="L1379" s="3">
        <v>2860262</v>
      </c>
      <c r="M1379" s="3">
        <v>25251</v>
      </c>
      <c r="N1379">
        <v>0</v>
      </c>
      <c r="O1379">
        <v>1010040</v>
      </c>
      <c r="P1379">
        <v>2885513</v>
      </c>
      <c r="Q1379" t="s">
        <v>30</v>
      </c>
      <c r="R1379" t="s">
        <v>628</v>
      </c>
      <c r="S1379" t="str">
        <v>#N/A</v>
      </c>
      <c r="T1379" t="str">
        <v>#N/A</v>
      </c>
    </row>
    <row r="1380" spans="1:20" ht="13.7" customHeight="1" x14ac:dyDescent="0.25">
      <c r="A1380" t="s">
        <v>320</v>
      </c>
      <c r="B1380" t="s">
        <v>321</v>
      </c>
      <c r="C1380" t="s">
        <v>142</v>
      </c>
      <c r="D1380">
        <v>364</v>
      </c>
      <c r="E1380" s="5">
        <v>43511</v>
      </c>
      <c r="F1380">
        <v>13551501</v>
      </c>
      <c r="G1380">
        <v>0</v>
      </c>
      <c r="H1380" t="s">
        <v>1129</v>
      </c>
      <c r="I1380" t="s">
        <v>1130</v>
      </c>
      <c r="J1380">
        <v>1003</v>
      </c>
      <c r="K1380">
        <v>1302</v>
      </c>
      <c r="L1380" s="3">
        <v>2885513</v>
      </c>
      <c r="M1380" s="3">
        <v>37000</v>
      </c>
      <c r="N1380">
        <v>0</v>
      </c>
      <c r="O1380">
        <v>1480000</v>
      </c>
      <c r="P1380">
        <v>2922513</v>
      </c>
      <c r="Q1380" t="s">
        <v>30</v>
      </c>
      <c r="R1380" t="s">
        <v>629</v>
      </c>
      <c r="S1380" t="str">
        <v>#N/A</v>
      </c>
      <c r="T1380" t="str">
        <v>#N/A</v>
      </c>
    </row>
    <row r="1381" spans="1:20" ht="13.7" customHeight="1" x14ac:dyDescent="0.25">
      <c r="A1381" t="s">
        <v>320</v>
      </c>
      <c r="B1381" t="s">
        <v>321</v>
      </c>
      <c r="C1381" t="s">
        <v>142</v>
      </c>
      <c r="D1381">
        <v>406</v>
      </c>
      <c r="E1381" s="5">
        <v>43565</v>
      </c>
      <c r="F1381">
        <v>13551501</v>
      </c>
      <c r="G1381">
        <v>0</v>
      </c>
      <c r="H1381" t="s">
        <v>1129</v>
      </c>
      <c r="I1381" t="s">
        <v>1130</v>
      </c>
      <c r="J1381">
        <v>1003</v>
      </c>
      <c r="K1381">
        <v>1302</v>
      </c>
      <c r="L1381" s="3">
        <v>2922513</v>
      </c>
      <c r="M1381" s="3">
        <v>290025</v>
      </c>
      <c r="N1381">
        <v>0</v>
      </c>
      <c r="O1381">
        <v>11601000</v>
      </c>
      <c r="P1381">
        <v>3212538</v>
      </c>
      <c r="Q1381" t="s">
        <v>30</v>
      </c>
      <c r="R1381" t="s">
        <v>427</v>
      </c>
      <c r="S1381" t="str">
        <v>#N/A</v>
      </c>
      <c r="T1381" t="str">
        <v>#N/A</v>
      </c>
    </row>
    <row r="1382" spans="1:20" ht="13.7" customHeight="1" x14ac:dyDescent="0.25">
      <c r="A1382" t="s">
        <v>320</v>
      </c>
      <c r="B1382" t="s">
        <v>321</v>
      </c>
      <c r="C1382" t="s">
        <v>142</v>
      </c>
      <c r="D1382">
        <v>416</v>
      </c>
      <c r="E1382" s="5">
        <v>43577</v>
      </c>
      <c r="F1382">
        <v>13551501</v>
      </c>
      <c r="G1382">
        <v>0</v>
      </c>
      <c r="H1382" t="s">
        <v>1129</v>
      </c>
      <c r="I1382" t="s">
        <v>1130</v>
      </c>
      <c r="J1382">
        <v>1003</v>
      </c>
      <c r="K1382">
        <v>1302</v>
      </c>
      <c r="L1382" s="3">
        <v>3212538</v>
      </c>
      <c r="M1382" s="3">
        <v>41625</v>
      </c>
      <c r="N1382">
        <v>0</v>
      </c>
      <c r="O1382">
        <v>1665000</v>
      </c>
      <c r="P1382">
        <v>3254163</v>
      </c>
      <c r="Q1382" t="s">
        <v>30</v>
      </c>
      <c r="R1382" t="s">
        <v>435</v>
      </c>
      <c r="S1382" t="str">
        <v>#N/A</v>
      </c>
      <c r="T1382" t="str">
        <v>#N/A</v>
      </c>
    </row>
    <row r="1383" spans="1:20" ht="13.7" customHeight="1" x14ac:dyDescent="0.25">
      <c r="A1383" t="s">
        <v>320</v>
      </c>
      <c r="B1383" t="s">
        <v>321</v>
      </c>
      <c r="C1383" t="s">
        <v>142</v>
      </c>
      <c r="D1383">
        <v>434</v>
      </c>
      <c r="E1383" s="5">
        <v>43593</v>
      </c>
      <c r="F1383">
        <v>13551501</v>
      </c>
      <c r="G1383">
        <v>0</v>
      </c>
      <c r="H1383" t="s">
        <v>1129</v>
      </c>
      <c r="I1383" t="s">
        <v>1130</v>
      </c>
      <c r="J1383">
        <v>1003</v>
      </c>
      <c r="K1383">
        <v>1302</v>
      </c>
      <c r="L1383" s="3">
        <v>3254163</v>
      </c>
      <c r="M1383" s="3">
        <v>285000</v>
      </c>
      <c r="N1383">
        <v>0</v>
      </c>
      <c r="O1383">
        <v>11400000</v>
      </c>
      <c r="P1383">
        <v>3539163</v>
      </c>
      <c r="Q1383" t="s">
        <v>30</v>
      </c>
      <c r="R1383" t="s">
        <v>445</v>
      </c>
      <c r="S1383" t="str">
        <v>#N/A</v>
      </c>
      <c r="T1383" t="str">
        <v>#N/A</v>
      </c>
    </row>
    <row r="1384" spans="1:20" ht="13.7" customHeight="1" x14ac:dyDescent="0.25">
      <c r="A1384" t="s">
        <v>320</v>
      </c>
      <c r="B1384" t="s">
        <v>321</v>
      </c>
      <c r="C1384" t="s">
        <v>142</v>
      </c>
      <c r="D1384">
        <v>441</v>
      </c>
      <c r="E1384" s="5">
        <v>43612</v>
      </c>
      <c r="F1384">
        <v>13551501</v>
      </c>
      <c r="G1384">
        <v>0</v>
      </c>
      <c r="H1384" t="s">
        <v>1129</v>
      </c>
      <c r="I1384" t="s">
        <v>1130</v>
      </c>
      <c r="J1384">
        <v>1003</v>
      </c>
      <c r="K1384">
        <v>1302</v>
      </c>
      <c r="L1384" s="3">
        <v>3539163</v>
      </c>
      <c r="M1384" s="3">
        <v>37000</v>
      </c>
      <c r="N1384">
        <v>0</v>
      </c>
      <c r="O1384">
        <v>1480000</v>
      </c>
      <c r="P1384">
        <v>3576163</v>
      </c>
      <c r="Q1384" t="s">
        <v>30</v>
      </c>
      <c r="R1384" t="s">
        <v>454</v>
      </c>
      <c r="S1384" t="str">
        <v>#N/A</v>
      </c>
      <c r="T1384" t="str">
        <v>#N/A</v>
      </c>
    </row>
    <row r="1385" spans="1:20" ht="13.7" customHeight="1" x14ac:dyDescent="0.25">
      <c r="A1385" t="s">
        <v>320</v>
      </c>
      <c r="B1385" t="s">
        <v>321</v>
      </c>
      <c r="C1385" t="s">
        <v>142</v>
      </c>
      <c r="D1385">
        <v>445</v>
      </c>
      <c r="E1385" s="5">
        <v>43617</v>
      </c>
      <c r="F1385">
        <v>13551501</v>
      </c>
      <c r="G1385">
        <v>0</v>
      </c>
      <c r="H1385" t="s">
        <v>1129</v>
      </c>
      <c r="I1385" t="s">
        <v>1130</v>
      </c>
      <c r="J1385">
        <v>1003</v>
      </c>
      <c r="K1385">
        <v>1302</v>
      </c>
      <c r="L1385" s="3">
        <v>3576163</v>
      </c>
      <c r="M1385" s="3">
        <v>74000</v>
      </c>
      <c r="N1385">
        <v>0</v>
      </c>
      <c r="O1385">
        <v>2960000</v>
      </c>
      <c r="P1385">
        <v>3650163</v>
      </c>
      <c r="Q1385" t="s">
        <v>30</v>
      </c>
      <c r="R1385" t="s">
        <v>456</v>
      </c>
      <c r="S1385" t="str">
        <v>#N/A</v>
      </c>
      <c r="T1385" t="str">
        <v>#N/A</v>
      </c>
    </row>
    <row r="1386" spans="1:20" ht="13.7" customHeight="1" x14ac:dyDescent="0.25">
      <c r="A1386" t="s">
        <v>320</v>
      </c>
      <c r="B1386" t="s">
        <v>321</v>
      </c>
      <c r="C1386" t="s">
        <v>142</v>
      </c>
      <c r="D1386">
        <v>446</v>
      </c>
      <c r="E1386" s="5">
        <v>43617</v>
      </c>
      <c r="F1386">
        <v>13551501</v>
      </c>
      <c r="G1386">
        <v>0</v>
      </c>
      <c r="H1386" t="s">
        <v>1129</v>
      </c>
      <c r="I1386" t="s">
        <v>1130</v>
      </c>
      <c r="J1386">
        <v>1003</v>
      </c>
      <c r="K1386">
        <v>1302</v>
      </c>
      <c r="L1386" s="3">
        <v>3650163</v>
      </c>
      <c r="M1386" s="3">
        <v>68675</v>
      </c>
      <c r="N1386">
        <v>0</v>
      </c>
      <c r="O1386">
        <v>2747000</v>
      </c>
      <c r="P1386">
        <v>3718838</v>
      </c>
      <c r="Q1386" t="s">
        <v>30</v>
      </c>
      <c r="R1386" t="s">
        <v>457</v>
      </c>
      <c r="S1386" t="str">
        <v>#N/A</v>
      </c>
      <c r="T1386" t="str">
        <v>#N/A</v>
      </c>
    </row>
    <row r="1387" spans="1:20" ht="13.7" customHeight="1" x14ac:dyDescent="0.25">
      <c r="A1387" t="s">
        <v>320</v>
      </c>
      <c r="B1387" t="s">
        <v>321</v>
      </c>
      <c r="C1387" t="s">
        <v>142</v>
      </c>
      <c r="D1387">
        <v>489</v>
      </c>
      <c r="E1387" s="5">
        <v>43710</v>
      </c>
      <c r="F1387">
        <v>13551501</v>
      </c>
      <c r="G1387">
        <v>0</v>
      </c>
      <c r="H1387" t="s">
        <v>1129</v>
      </c>
      <c r="I1387" t="s">
        <v>1130</v>
      </c>
      <c r="J1387">
        <v>1003</v>
      </c>
      <c r="K1387">
        <v>1302</v>
      </c>
      <c r="L1387" s="3">
        <v>3718838</v>
      </c>
      <c r="M1387" s="3">
        <v>285000</v>
      </c>
      <c r="N1387">
        <v>0</v>
      </c>
      <c r="O1387">
        <v>11400000</v>
      </c>
      <c r="P1387">
        <v>4003838</v>
      </c>
      <c r="Q1387" t="s">
        <v>30</v>
      </c>
      <c r="R1387" t="s">
        <v>475</v>
      </c>
      <c r="S1387" t="str">
        <v>#N/A</v>
      </c>
      <c r="T1387" t="str">
        <v>#N/A</v>
      </c>
    </row>
    <row r="1388" spans="1:20" ht="13.7" customHeight="1" x14ac:dyDescent="0.25">
      <c r="A1388" t="s">
        <v>320</v>
      </c>
      <c r="B1388" t="s">
        <v>321</v>
      </c>
      <c r="C1388" t="s">
        <v>142</v>
      </c>
      <c r="D1388">
        <v>506</v>
      </c>
      <c r="E1388" s="5">
        <v>43743</v>
      </c>
      <c r="F1388">
        <v>13551501</v>
      </c>
      <c r="G1388">
        <v>0</v>
      </c>
      <c r="H1388" t="s">
        <v>1129</v>
      </c>
      <c r="I1388" t="s">
        <v>1130</v>
      </c>
      <c r="J1388">
        <v>1003</v>
      </c>
      <c r="K1388">
        <v>1302</v>
      </c>
      <c r="L1388" s="3">
        <v>4003838</v>
      </c>
      <c r="M1388" s="3">
        <v>285000</v>
      </c>
      <c r="N1388">
        <v>0</v>
      </c>
      <c r="O1388">
        <v>11400000</v>
      </c>
      <c r="P1388">
        <v>4288838</v>
      </c>
      <c r="Q1388" t="s">
        <v>30</v>
      </c>
      <c r="R1388" t="s">
        <v>632</v>
      </c>
      <c r="S1388" t="str">
        <v>#N/A</v>
      </c>
      <c r="T1388" t="str">
        <v>#N/A</v>
      </c>
    </row>
    <row r="1389" spans="1:20" ht="13.7" customHeight="1" x14ac:dyDescent="0.25">
      <c r="A1389" t="s">
        <v>320</v>
      </c>
      <c r="B1389" t="s">
        <v>321</v>
      </c>
      <c r="C1389" t="s">
        <v>142</v>
      </c>
      <c r="D1389">
        <v>525</v>
      </c>
      <c r="E1389" s="5">
        <v>43771</v>
      </c>
      <c r="F1389">
        <v>13551501</v>
      </c>
      <c r="G1389">
        <v>0</v>
      </c>
      <c r="H1389" t="s">
        <v>1129</v>
      </c>
      <c r="I1389" t="s">
        <v>1130</v>
      </c>
      <c r="J1389">
        <v>1003</v>
      </c>
      <c r="K1389">
        <v>1302</v>
      </c>
      <c r="L1389" s="3">
        <v>4288838</v>
      </c>
      <c r="M1389" s="3">
        <v>194500</v>
      </c>
      <c r="N1389">
        <v>0</v>
      </c>
      <c r="O1389">
        <v>7780000</v>
      </c>
      <c r="P1389">
        <v>4483338</v>
      </c>
      <c r="Q1389" t="s">
        <v>30</v>
      </c>
      <c r="R1389" t="s">
        <v>507</v>
      </c>
      <c r="S1389" t="str">
        <v>#N/A</v>
      </c>
      <c r="T1389" t="str">
        <v>#N/A</v>
      </c>
    </row>
    <row r="1390" spans="1:20" ht="13.7" customHeight="1" x14ac:dyDescent="0.25">
      <c r="A1390" t="s">
        <v>320</v>
      </c>
      <c r="B1390" t="s">
        <v>321</v>
      </c>
      <c r="C1390" t="s">
        <v>142</v>
      </c>
      <c r="D1390">
        <v>534</v>
      </c>
      <c r="E1390" s="5">
        <v>43795</v>
      </c>
      <c r="F1390">
        <v>13551501</v>
      </c>
      <c r="G1390">
        <v>0</v>
      </c>
      <c r="H1390" t="s">
        <v>1129</v>
      </c>
      <c r="I1390" t="s">
        <v>1130</v>
      </c>
      <c r="J1390">
        <v>1003</v>
      </c>
      <c r="K1390">
        <v>1302</v>
      </c>
      <c r="L1390" s="3">
        <v>4483338</v>
      </c>
      <c r="M1390" s="3">
        <v>285000</v>
      </c>
      <c r="N1390">
        <v>0</v>
      </c>
      <c r="O1390">
        <v>11400000</v>
      </c>
      <c r="P1390">
        <v>4768338</v>
      </c>
      <c r="Q1390" t="s">
        <v>30</v>
      </c>
      <c r="R1390" t="s">
        <v>516</v>
      </c>
      <c r="S1390" t="str">
        <v>#N/A</v>
      </c>
      <c r="T1390" t="str">
        <v>#N/A</v>
      </c>
    </row>
    <row r="1391" spans="1:20" ht="13.7" customHeight="1" x14ac:dyDescent="0.25">
      <c r="A1391" t="s">
        <v>219</v>
      </c>
      <c r="B1391" t="s">
        <v>220</v>
      </c>
      <c r="C1391" t="s">
        <v>180</v>
      </c>
      <c r="D1391">
        <v>1</v>
      </c>
      <c r="E1391" s="5">
        <v>43829</v>
      </c>
      <c r="F1391">
        <v>13551501</v>
      </c>
      <c r="G1391">
        <v>0</v>
      </c>
      <c r="H1391" t="s">
        <v>1129</v>
      </c>
      <c r="I1391" t="s">
        <v>1130</v>
      </c>
      <c r="J1391">
        <v>1003</v>
      </c>
      <c r="K1391">
        <v>1302</v>
      </c>
      <c r="L1391" s="3">
        <v>4768338</v>
      </c>
      <c r="M1391" s="3">
        <v>0</v>
      </c>
      <c r="N1391">
        <v>175000</v>
      </c>
      <c r="O1391">
        <v>-7000000</v>
      </c>
      <c r="P1391">
        <v>4593338</v>
      </c>
      <c r="Q1391" t="s">
        <v>30</v>
      </c>
      <c r="R1391" t="s">
        <v>528</v>
      </c>
      <c r="S1391" t="str">
        <v>#N/A</v>
      </c>
      <c r="T1391" t="str">
        <v>#N/A</v>
      </c>
    </row>
    <row r="1392" spans="1:20" ht="13.7" customHeight="1" x14ac:dyDescent="0.25">
      <c r="E1392" s="5">
        <v>43465</v>
      </c>
      <c r="F1392">
        <v>13551501</v>
      </c>
      <c r="G1392">
        <v>0</v>
      </c>
      <c r="H1392" t="s">
        <v>1139</v>
      </c>
      <c r="I1392" t="s">
        <v>1140</v>
      </c>
      <c r="J1392">
        <v>0</v>
      </c>
      <c r="K1392">
        <v>0</v>
      </c>
      <c r="L1392" s="3">
        <v>803437</v>
      </c>
      <c r="M1392" s="3">
        <v>0</v>
      </c>
      <c r="N1392">
        <v>0</v>
      </c>
      <c r="O1392">
        <v>32137480</v>
      </c>
      <c r="P1392">
        <v>803437</v>
      </c>
      <c r="R1392" t="s">
        <v>1100</v>
      </c>
      <c r="S1392" t="str">
        <v>#N/A</v>
      </c>
      <c r="T1392" t="str">
        <v>#N/A</v>
      </c>
    </row>
    <row r="1393" spans="1:20" ht="13.7" customHeight="1" x14ac:dyDescent="0.25">
      <c r="E1393" s="5">
        <v>43465</v>
      </c>
      <c r="F1393">
        <v>13551501</v>
      </c>
      <c r="G1393">
        <v>0</v>
      </c>
      <c r="H1393" t="s">
        <v>1125</v>
      </c>
      <c r="I1393" t="s">
        <v>1126</v>
      </c>
      <c r="J1393">
        <v>0</v>
      </c>
      <c r="K1393">
        <v>0</v>
      </c>
      <c r="L1393" s="3">
        <v>3497873.5</v>
      </c>
      <c r="M1393" s="3">
        <v>0</v>
      </c>
      <c r="N1393">
        <v>0</v>
      </c>
      <c r="O1393">
        <v>139914940</v>
      </c>
      <c r="P1393">
        <v>3497873.5</v>
      </c>
      <c r="R1393" t="s">
        <v>1100</v>
      </c>
      <c r="S1393" t="str">
        <v>#N/A</v>
      </c>
      <c r="T1393" t="str">
        <v>31</v>
      </c>
    </row>
    <row r="1394" spans="1:20" ht="13.7" customHeight="1" x14ac:dyDescent="0.25">
      <c r="A1394" t="s">
        <v>320</v>
      </c>
      <c r="B1394" t="s">
        <v>321</v>
      </c>
      <c r="C1394" t="s">
        <v>142</v>
      </c>
      <c r="D1394">
        <v>334</v>
      </c>
      <c r="E1394" s="5">
        <v>43466</v>
      </c>
      <c r="F1394">
        <v>13551501</v>
      </c>
      <c r="G1394">
        <v>0</v>
      </c>
      <c r="H1394" t="s">
        <v>1125</v>
      </c>
      <c r="I1394" t="s">
        <v>1126</v>
      </c>
      <c r="J1394">
        <v>1003</v>
      </c>
      <c r="K1394">
        <v>1302</v>
      </c>
      <c r="L1394" s="3">
        <v>3497873.5</v>
      </c>
      <c r="M1394" s="3">
        <v>321256</v>
      </c>
      <c r="N1394">
        <v>0</v>
      </c>
      <c r="O1394">
        <v>12850240</v>
      </c>
      <c r="P1394">
        <v>3819129.5</v>
      </c>
      <c r="Q1394" t="s">
        <v>30</v>
      </c>
      <c r="R1394" t="s">
        <v>620</v>
      </c>
      <c r="S1394" t="str">
        <v>#N/A</v>
      </c>
      <c r="T1394" t="str">
        <v>31</v>
      </c>
    </row>
    <row r="1395" spans="1:20" ht="13.7" customHeight="1" x14ac:dyDescent="0.25">
      <c r="A1395" t="s">
        <v>320</v>
      </c>
      <c r="B1395" t="s">
        <v>321</v>
      </c>
      <c r="C1395" t="s">
        <v>142</v>
      </c>
      <c r="D1395">
        <v>353</v>
      </c>
      <c r="E1395" s="5">
        <v>43500</v>
      </c>
      <c r="F1395">
        <v>13551501</v>
      </c>
      <c r="G1395">
        <v>0</v>
      </c>
      <c r="H1395" t="s">
        <v>1125</v>
      </c>
      <c r="I1395" t="s">
        <v>1126</v>
      </c>
      <c r="J1395">
        <v>1003</v>
      </c>
      <c r="K1395">
        <v>1302</v>
      </c>
      <c r="L1395" s="3">
        <v>3819129.5</v>
      </c>
      <c r="M1395" s="3">
        <v>209199.9</v>
      </c>
      <c r="N1395">
        <v>0</v>
      </c>
      <c r="O1395">
        <v>8367996</v>
      </c>
      <c r="P1395">
        <v>4028329.4</v>
      </c>
      <c r="Q1395" t="s">
        <v>30</v>
      </c>
      <c r="R1395" t="s">
        <v>623</v>
      </c>
      <c r="S1395" t="str">
        <v>#N/A</v>
      </c>
      <c r="T1395" t="str">
        <v>31</v>
      </c>
    </row>
    <row r="1396" spans="1:20" ht="13.7" customHeight="1" x14ac:dyDescent="0.25">
      <c r="A1396" t="s">
        <v>320</v>
      </c>
      <c r="B1396" t="s">
        <v>321</v>
      </c>
      <c r="C1396" t="s">
        <v>142</v>
      </c>
      <c r="D1396">
        <v>358</v>
      </c>
      <c r="E1396" s="5">
        <v>43507</v>
      </c>
      <c r="F1396">
        <v>13551501</v>
      </c>
      <c r="G1396">
        <v>0</v>
      </c>
      <c r="H1396" t="s">
        <v>1125</v>
      </c>
      <c r="I1396" t="s">
        <v>1126</v>
      </c>
      <c r="J1396">
        <v>1003</v>
      </c>
      <c r="K1396">
        <v>1302</v>
      </c>
      <c r="L1396" s="3">
        <v>4028329.4</v>
      </c>
      <c r="M1396" s="3">
        <v>44400</v>
      </c>
      <c r="N1396">
        <v>0</v>
      </c>
      <c r="O1396">
        <v>1776000</v>
      </c>
      <c r="P1396">
        <v>4072729.4</v>
      </c>
      <c r="Q1396" t="s">
        <v>30</v>
      </c>
      <c r="R1396" t="s">
        <v>625</v>
      </c>
      <c r="S1396" t="str">
        <v>#N/A</v>
      </c>
      <c r="T1396" t="str">
        <v>31</v>
      </c>
    </row>
    <row r="1397" spans="1:20" ht="13.7" customHeight="1" x14ac:dyDescent="0.25">
      <c r="A1397" t="s">
        <v>320</v>
      </c>
      <c r="B1397" t="s">
        <v>321</v>
      </c>
      <c r="C1397" t="s">
        <v>142</v>
      </c>
      <c r="D1397">
        <v>361</v>
      </c>
      <c r="E1397" s="5">
        <v>43507</v>
      </c>
      <c r="F1397">
        <v>13551501</v>
      </c>
      <c r="G1397">
        <v>0</v>
      </c>
      <c r="H1397" t="s">
        <v>1125</v>
      </c>
      <c r="I1397" t="s">
        <v>1126</v>
      </c>
      <c r="J1397">
        <v>1003</v>
      </c>
      <c r="K1397">
        <v>1302</v>
      </c>
      <c r="L1397" s="3">
        <v>4072729.4</v>
      </c>
      <c r="M1397" s="3">
        <v>27750</v>
      </c>
      <c r="N1397">
        <v>0</v>
      </c>
      <c r="O1397">
        <v>1110000</v>
      </c>
      <c r="P1397">
        <v>4100479.4</v>
      </c>
      <c r="Q1397" t="s">
        <v>30</v>
      </c>
      <c r="R1397" t="s">
        <v>627</v>
      </c>
      <c r="S1397" t="str">
        <v>#N/A</v>
      </c>
      <c r="T1397" t="str">
        <v>31</v>
      </c>
    </row>
    <row r="1398" spans="1:20" ht="13.7" customHeight="1" x14ac:dyDescent="0.25">
      <c r="A1398" t="s">
        <v>320</v>
      </c>
      <c r="B1398" t="s">
        <v>321</v>
      </c>
      <c r="C1398" t="s">
        <v>142</v>
      </c>
      <c r="D1398">
        <v>374</v>
      </c>
      <c r="E1398" s="5">
        <v>43519</v>
      </c>
      <c r="F1398">
        <v>13551501</v>
      </c>
      <c r="G1398">
        <v>0</v>
      </c>
      <c r="H1398" t="s">
        <v>1125</v>
      </c>
      <c r="I1398" t="s">
        <v>1126</v>
      </c>
      <c r="J1398">
        <v>1003</v>
      </c>
      <c r="K1398">
        <v>1302</v>
      </c>
      <c r="L1398" s="3">
        <v>4100479.4</v>
      </c>
      <c r="M1398" s="3">
        <v>77810</v>
      </c>
      <c r="N1398">
        <v>0</v>
      </c>
      <c r="O1398">
        <v>3112400</v>
      </c>
      <c r="P1398">
        <v>4178289.4</v>
      </c>
      <c r="Q1398" t="s">
        <v>30</v>
      </c>
      <c r="R1398" t="s">
        <v>368</v>
      </c>
      <c r="S1398" t="str">
        <v>#N/A</v>
      </c>
      <c r="T1398" t="str">
        <v>31</v>
      </c>
    </row>
    <row r="1399" spans="1:20" ht="13.7" customHeight="1" x14ac:dyDescent="0.25">
      <c r="A1399" t="s">
        <v>320</v>
      </c>
      <c r="B1399" t="s">
        <v>321</v>
      </c>
      <c r="C1399" t="s">
        <v>142</v>
      </c>
      <c r="D1399">
        <v>379</v>
      </c>
      <c r="E1399" s="5">
        <v>43531</v>
      </c>
      <c r="F1399">
        <v>13551501</v>
      </c>
      <c r="G1399">
        <v>0</v>
      </c>
      <c r="H1399" t="s">
        <v>1125</v>
      </c>
      <c r="I1399" t="s">
        <v>1126</v>
      </c>
      <c r="J1399">
        <v>1003</v>
      </c>
      <c r="K1399">
        <v>1302</v>
      </c>
      <c r="L1399" s="3">
        <v>4178289.4</v>
      </c>
      <c r="M1399" s="3">
        <v>57682.5</v>
      </c>
      <c r="N1399">
        <v>0</v>
      </c>
      <c r="O1399">
        <v>2307300</v>
      </c>
      <c r="P1399">
        <v>4235971.9000000004</v>
      </c>
      <c r="Q1399" t="s">
        <v>30</v>
      </c>
      <c r="R1399" t="s">
        <v>395</v>
      </c>
      <c r="S1399" t="str">
        <v>#N/A</v>
      </c>
      <c r="T1399" t="str">
        <v>31</v>
      </c>
    </row>
    <row r="1400" spans="1:20" ht="13.7" customHeight="1" x14ac:dyDescent="0.25">
      <c r="A1400" t="s">
        <v>320</v>
      </c>
      <c r="B1400" t="s">
        <v>321</v>
      </c>
      <c r="C1400" t="s">
        <v>142</v>
      </c>
      <c r="D1400">
        <v>389</v>
      </c>
      <c r="E1400" s="5">
        <v>43546</v>
      </c>
      <c r="F1400">
        <v>13551501</v>
      </c>
      <c r="G1400">
        <v>0</v>
      </c>
      <c r="H1400" t="s">
        <v>1125</v>
      </c>
      <c r="I1400" t="s">
        <v>1126</v>
      </c>
      <c r="J1400">
        <v>1003</v>
      </c>
      <c r="K1400">
        <v>1302</v>
      </c>
      <c r="L1400" s="3">
        <v>4235971.9000000004</v>
      </c>
      <c r="M1400" s="3">
        <v>338000</v>
      </c>
      <c r="N1400">
        <v>0</v>
      </c>
      <c r="O1400">
        <v>13520000</v>
      </c>
      <c r="P1400">
        <v>4573971.9000000004</v>
      </c>
      <c r="Q1400" t="s">
        <v>30</v>
      </c>
      <c r="R1400" t="s">
        <v>409</v>
      </c>
      <c r="S1400" t="str">
        <v>#N/A</v>
      </c>
      <c r="T1400" t="str">
        <v>31</v>
      </c>
    </row>
    <row r="1401" spans="1:20" ht="13.7" customHeight="1" x14ac:dyDescent="0.25">
      <c r="A1401" t="s">
        <v>320</v>
      </c>
      <c r="B1401" t="s">
        <v>321</v>
      </c>
      <c r="C1401" t="s">
        <v>142</v>
      </c>
      <c r="D1401">
        <v>393</v>
      </c>
      <c r="E1401" s="5">
        <v>43553</v>
      </c>
      <c r="F1401">
        <v>13551501</v>
      </c>
      <c r="G1401">
        <v>0</v>
      </c>
      <c r="H1401" t="s">
        <v>1125</v>
      </c>
      <c r="I1401" t="s">
        <v>1126</v>
      </c>
      <c r="J1401">
        <v>1003</v>
      </c>
      <c r="K1401">
        <v>1302</v>
      </c>
      <c r="L1401" s="3">
        <v>4573971.9000000004</v>
      </c>
      <c r="M1401" s="3">
        <v>37350</v>
      </c>
      <c r="N1401">
        <v>0</v>
      </c>
      <c r="O1401">
        <v>1494000</v>
      </c>
      <c r="P1401">
        <v>4611321.9000000004</v>
      </c>
      <c r="Q1401" t="s">
        <v>30</v>
      </c>
      <c r="R1401" t="s">
        <v>419</v>
      </c>
      <c r="S1401" t="str">
        <v>#N/A</v>
      </c>
      <c r="T1401" t="str">
        <v>31</v>
      </c>
    </row>
    <row r="1402" spans="1:20" ht="13.7" customHeight="1" x14ac:dyDescent="0.25">
      <c r="A1402" t="s">
        <v>320</v>
      </c>
      <c r="B1402" t="s">
        <v>321</v>
      </c>
      <c r="C1402" t="s">
        <v>142</v>
      </c>
      <c r="D1402">
        <v>402</v>
      </c>
      <c r="E1402" s="5">
        <v>43560</v>
      </c>
      <c r="F1402">
        <v>13551501</v>
      </c>
      <c r="G1402">
        <v>0</v>
      </c>
      <c r="H1402" t="s">
        <v>1125</v>
      </c>
      <c r="I1402" t="s">
        <v>1126</v>
      </c>
      <c r="J1402">
        <v>1003</v>
      </c>
      <c r="K1402">
        <v>1302</v>
      </c>
      <c r="L1402" s="3">
        <v>4611321.9000000004</v>
      </c>
      <c r="M1402" s="3">
        <v>101250</v>
      </c>
      <c r="N1402">
        <v>0</v>
      </c>
      <c r="O1402">
        <v>4050000</v>
      </c>
      <c r="P1402">
        <v>4712571.9000000004</v>
      </c>
      <c r="Q1402" t="s">
        <v>30</v>
      </c>
      <c r="R1402" t="s">
        <v>425</v>
      </c>
      <c r="S1402" t="str">
        <v>#N/A</v>
      </c>
      <c r="T1402" t="str">
        <v>31</v>
      </c>
    </row>
    <row r="1403" spans="1:20" ht="13.7" customHeight="1" x14ac:dyDescent="0.25">
      <c r="A1403" t="s">
        <v>320</v>
      </c>
      <c r="B1403" t="s">
        <v>321</v>
      </c>
      <c r="C1403" t="s">
        <v>142</v>
      </c>
      <c r="D1403">
        <v>404</v>
      </c>
      <c r="E1403" s="5">
        <v>43560</v>
      </c>
      <c r="F1403">
        <v>13551501</v>
      </c>
      <c r="G1403">
        <v>0</v>
      </c>
      <c r="H1403" t="s">
        <v>1125</v>
      </c>
      <c r="I1403" t="s">
        <v>1126</v>
      </c>
      <c r="J1403">
        <v>1003</v>
      </c>
      <c r="K1403">
        <v>1302</v>
      </c>
      <c r="L1403" s="3">
        <v>4712571.9000000004</v>
      </c>
      <c r="M1403" s="3">
        <v>22910</v>
      </c>
      <c r="N1403">
        <v>0</v>
      </c>
      <c r="O1403">
        <v>916400</v>
      </c>
      <c r="P1403">
        <v>4735481.9000000004</v>
      </c>
      <c r="Q1403" t="s">
        <v>30</v>
      </c>
      <c r="R1403" t="s">
        <v>426</v>
      </c>
      <c r="S1403" t="str">
        <v>#N/A</v>
      </c>
      <c r="T1403" t="str">
        <v>31</v>
      </c>
    </row>
    <row r="1404" spans="1:20" ht="13.7" customHeight="1" x14ac:dyDescent="0.25">
      <c r="A1404" t="s">
        <v>320</v>
      </c>
      <c r="B1404" t="s">
        <v>321</v>
      </c>
      <c r="C1404" t="s">
        <v>142</v>
      </c>
      <c r="D1404">
        <v>409</v>
      </c>
      <c r="E1404" s="5">
        <v>43567</v>
      </c>
      <c r="F1404">
        <v>13551501</v>
      </c>
      <c r="G1404">
        <v>0</v>
      </c>
      <c r="H1404" t="s">
        <v>1125</v>
      </c>
      <c r="I1404" t="s">
        <v>1126</v>
      </c>
      <c r="J1404">
        <v>1003</v>
      </c>
      <c r="K1404">
        <v>1302</v>
      </c>
      <c r="L1404" s="3">
        <v>4735481.9000000004</v>
      </c>
      <c r="M1404" s="3">
        <v>51202.5</v>
      </c>
      <c r="N1404">
        <v>0</v>
      </c>
      <c r="O1404">
        <v>2048100</v>
      </c>
      <c r="P1404">
        <v>4786684.4000000004</v>
      </c>
      <c r="Q1404" t="s">
        <v>30</v>
      </c>
      <c r="R1404" t="s">
        <v>429</v>
      </c>
      <c r="S1404" t="str">
        <v>#N/A</v>
      </c>
      <c r="T1404" t="str">
        <v>31</v>
      </c>
    </row>
    <row r="1405" spans="1:20" ht="13.7" customHeight="1" x14ac:dyDescent="0.25">
      <c r="A1405" t="s">
        <v>320</v>
      </c>
      <c r="B1405" t="s">
        <v>321</v>
      </c>
      <c r="C1405" t="s">
        <v>142</v>
      </c>
      <c r="D1405">
        <v>419</v>
      </c>
      <c r="E1405" s="5">
        <v>43584</v>
      </c>
      <c r="F1405">
        <v>13551501</v>
      </c>
      <c r="G1405">
        <v>0</v>
      </c>
      <c r="H1405" t="s">
        <v>1125</v>
      </c>
      <c r="I1405" t="s">
        <v>1126</v>
      </c>
      <c r="J1405">
        <v>1003</v>
      </c>
      <c r="K1405">
        <v>1302</v>
      </c>
      <c r="L1405" s="3">
        <v>4786684.4000000004</v>
      </c>
      <c r="M1405" s="3">
        <v>27035</v>
      </c>
      <c r="N1405">
        <v>0</v>
      </c>
      <c r="O1405">
        <v>1081400</v>
      </c>
      <c r="P1405">
        <v>4813719.4000000004</v>
      </c>
      <c r="Q1405" t="s">
        <v>30</v>
      </c>
      <c r="R1405" t="s">
        <v>438</v>
      </c>
      <c r="S1405" t="str">
        <v>#N/A</v>
      </c>
      <c r="T1405" t="str">
        <v>31</v>
      </c>
    </row>
    <row r="1406" spans="1:20" ht="13.7" customHeight="1" x14ac:dyDescent="0.25">
      <c r="A1406" t="s">
        <v>320</v>
      </c>
      <c r="B1406" t="s">
        <v>321</v>
      </c>
      <c r="C1406" t="s">
        <v>142</v>
      </c>
      <c r="D1406">
        <v>425</v>
      </c>
      <c r="E1406" s="5">
        <v>43592</v>
      </c>
      <c r="F1406">
        <v>13551501</v>
      </c>
      <c r="G1406">
        <v>0</v>
      </c>
      <c r="H1406" t="s">
        <v>1125</v>
      </c>
      <c r="I1406" t="s">
        <v>1126</v>
      </c>
      <c r="J1406">
        <v>1003</v>
      </c>
      <c r="K1406">
        <v>1302</v>
      </c>
      <c r="L1406" s="3">
        <v>4813719.4000000004</v>
      </c>
      <c r="M1406" s="3">
        <v>22266.75</v>
      </c>
      <c r="N1406">
        <v>0</v>
      </c>
      <c r="O1406">
        <v>890670</v>
      </c>
      <c r="P1406">
        <v>4835986.1500000004</v>
      </c>
      <c r="Q1406" t="s">
        <v>30</v>
      </c>
      <c r="R1406" t="s">
        <v>442</v>
      </c>
      <c r="S1406" t="str">
        <v>#N/A</v>
      </c>
      <c r="T1406" t="str">
        <v>31</v>
      </c>
    </row>
    <row r="1407" spans="1:20" ht="13.7" customHeight="1" x14ac:dyDescent="0.25">
      <c r="A1407" t="s">
        <v>320</v>
      </c>
      <c r="B1407" t="s">
        <v>321</v>
      </c>
      <c r="C1407" t="s">
        <v>142</v>
      </c>
      <c r="D1407">
        <v>429</v>
      </c>
      <c r="E1407" s="5">
        <v>43594</v>
      </c>
      <c r="F1407">
        <v>13551501</v>
      </c>
      <c r="G1407">
        <v>0</v>
      </c>
      <c r="H1407" t="s">
        <v>1125</v>
      </c>
      <c r="I1407" t="s">
        <v>1126</v>
      </c>
      <c r="J1407">
        <v>1003</v>
      </c>
      <c r="K1407">
        <v>1302</v>
      </c>
      <c r="L1407" s="3">
        <v>4835986.1500000004</v>
      </c>
      <c r="M1407" s="3">
        <v>32929.25</v>
      </c>
      <c r="N1407">
        <v>0</v>
      </c>
      <c r="O1407">
        <v>1317170</v>
      </c>
      <c r="P1407">
        <v>4868915.4000000004</v>
      </c>
      <c r="Q1407" t="s">
        <v>30</v>
      </c>
      <c r="R1407" t="s">
        <v>446</v>
      </c>
      <c r="S1407" t="str">
        <v>#N/A</v>
      </c>
      <c r="T1407" t="str">
        <v>31</v>
      </c>
    </row>
    <row r="1408" spans="1:20" ht="13.7" customHeight="1" x14ac:dyDescent="0.25">
      <c r="A1408" t="s">
        <v>320</v>
      </c>
      <c r="B1408" t="s">
        <v>321</v>
      </c>
      <c r="C1408" t="s">
        <v>142</v>
      </c>
      <c r="D1408">
        <v>437</v>
      </c>
      <c r="E1408" s="5">
        <v>43606</v>
      </c>
      <c r="F1408">
        <v>13551501</v>
      </c>
      <c r="G1408">
        <v>0</v>
      </c>
      <c r="H1408" t="s">
        <v>1125</v>
      </c>
      <c r="I1408" t="s">
        <v>1126</v>
      </c>
      <c r="J1408">
        <v>1003</v>
      </c>
      <c r="K1408">
        <v>1302</v>
      </c>
      <c r="L1408" s="3">
        <v>4868915.4000000004</v>
      </c>
      <c r="M1408" s="3">
        <v>33387.5</v>
      </c>
      <c r="N1408">
        <v>0</v>
      </c>
      <c r="O1408">
        <v>1335500</v>
      </c>
      <c r="P1408">
        <v>4902302.9000000004</v>
      </c>
      <c r="Q1408" t="s">
        <v>30</v>
      </c>
      <c r="R1408" t="s">
        <v>451</v>
      </c>
      <c r="S1408" t="str">
        <v>#N/A</v>
      </c>
      <c r="T1408" t="str">
        <v>31</v>
      </c>
    </row>
    <row r="1409" spans="1:20" ht="13.7" customHeight="1" x14ac:dyDescent="0.25">
      <c r="A1409" t="s">
        <v>320</v>
      </c>
      <c r="B1409" t="s">
        <v>321</v>
      </c>
      <c r="C1409" t="s">
        <v>142</v>
      </c>
      <c r="D1409">
        <v>455</v>
      </c>
      <c r="E1409" s="5">
        <v>43629</v>
      </c>
      <c r="F1409">
        <v>13551501</v>
      </c>
      <c r="G1409">
        <v>0</v>
      </c>
      <c r="H1409" t="s">
        <v>1125</v>
      </c>
      <c r="I1409" t="s">
        <v>1126</v>
      </c>
      <c r="J1409">
        <v>1003</v>
      </c>
      <c r="K1409">
        <v>1302</v>
      </c>
      <c r="L1409" s="3">
        <v>4902302.9000000004</v>
      </c>
      <c r="M1409" s="3">
        <v>79350</v>
      </c>
      <c r="N1409">
        <v>0</v>
      </c>
      <c r="O1409">
        <v>3174000</v>
      </c>
      <c r="P1409">
        <v>4981652.9000000004</v>
      </c>
      <c r="Q1409" t="s">
        <v>30</v>
      </c>
      <c r="R1409" t="s">
        <v>460</v>
      </c>
      <c r="S1409" t="str">
        <v>#N/A</v>
      </c>
      <c r="T1409" t="str">
        <v>31</v>
      </c>
    </row>
    <row r="1410" spans="1:20" ht="13.7" customHeight="1" x14ac:dyDescent="0.25">
      <c r="A1410" t="s">
        <v>320</v>
      </c>
      <c r="B1410" t="s">
        <v>321</v>
      </c>
      <c r="C1410" t="s">
        <v>142</v>
      </c>
      <c r="D1410">
        <v>464</v>
      </c>
      <c r="E1410" s="5">
        <v>43653</v>
      </c>
      <c r="F1410">
        <v>13551501</v>
      </c>
      <c r="G1410">
        <v>0</v>
      </c>
      <c r="H1410" t="s">
        <v>1125</v>
      </c>
      <c r="I1410" t="s">
        <v>1126</v>
      </c>
      <c r="J1410">
        <v>1003</v>
      </c>
      <c r="K1410">
        <v>1302</v>
      </c>
      <c r="L1410" s="3">
        <v>4981652.9000000004</v>
      </c>
      <c r="M1410" s="3">
        <v>108296</v>
      </c>
      <c r="N1410">
        <v>0</v>
      </c>
      <c r="O1410">
        <v>4331840</v>
      </c>
      <c r="P1410">
        <v>5089948.9000000004</v>
      </c>
      <c r="Q1410" t="s">
        <v>30</v>
      </c>
      <c r="R1410" t="s">
        <v>467</v>
      </c>
      <c r="S1410" t="str">
        <v>#N/A</v>
      </c>
      <c r="T1410" t="str">
        <v>31</v>
      </c>
    </row>
    <row r="1411" spans="1:20" ht="13.7" customHeight="1" x14ac:dyDescent="0.25">
      <c r="A1411" t="s">
        <v>320</v>
      </c>
      <c r="B1411" t="s">
        <v>321</v>
      </c>
      <c r="C1411" t="s">
        <v>142</v>
      </c>
      <c r="D1411">
        <v>469</v>
      </c>
      <c r="E1411" s="5">
        <v>43670</v>
      </c>
      <c r="F1411">
        <v>13551501</v>
      </c>
      <c r="G1411">
        <v>0</v>
      </c>
      <c r="H1411" t="s">
        <v>1125</v>
      </c>
      <c r="I1411" t="s">
        <v>1126</v>
      </c>
      <c r="J1411">
        <v>1003</v>
      </c>
      <c r="K1411">
        <v>1302</v>
      </c>
      <c r="L1411" s="3">
        <v>5089948.9000000004</v>
      </c>
      <c r="M1411" s="3">
        <v>219775.75</v>
      </c>
      <c r="N1411">
        <v>0</v>
      </c>
      <c r="O1411">
        <v>8791030</v>
      </c>
      <c r="P1411">
        <v>5309724.6500000004</v>
      </c>
      <c r="Q1411" t="s">
        <v>30</v>
      </c>
      <c r="R1411" t="s">
        <v>471</v>
      </c>
      <c r="S1411" t="str">
        <v>#N/A</v>
      </c>
      <c r="T1411" t="str">
        <v>31</v>
      </c>
    </row>
    <row r="1412" spans="1:20" ht="13.7" customHeight="1" x14ac:dyDescent="0.25">
      <c r="A1412" t="s">
        <v>320</v>
      </c>
      <c r="B1412" t="s">
        <v>321</v>
      </c>
      <c r="C1412" t="s">
        <v>142</v>
      </c>
      <c r="D1412">
        <v>490</v>
      </c>
      <c r="E1412" s="5">
        <v>43710</v>
      </c>
      <c r="F1412">
        <v>13551501</v>
      </c>
      <c r="G1412">
        <v>0</v>
      </c>
      <c r="H1412" t="s">
        <v>1125</v>
      </c>
      <c r="I1412" t="s">
        <v>1126</v>
      </c>
      <c r="J1412">
        <v>1003</v>
      </c>
      <c r="K1412">
        <v>1302</v>
      </c>
      <c r="L1412" s="3">
        <v>5309724.6500000004</v>
      </c>
      <c r="M1412" s="3">
        <v>26901.75</v>
      </c>
      <c r="N1412">
        <v>0</v>
      </c>
      <c r="O1412">
        <v>1076070</v>
      </c>
      <c r="P1412">
        <v>5336626.4000000004</v>
      </c>
      <c r="Q1412" t="s">
        <v>30</v>
      </c>
      <c r="R1412" t="s">
        <v>476</v>
      </c>
      <c r="S1412" t="str">
        <v>#N/A</v>
      </c>
      <c r="T1412" t="str">
        <v>31</v>
      </c>
    </row>
    <row r="1413" spans="1:20" ht="13.7" customHeight="1" x14ac:dyDescent="0.25">
      <c r="A1413" t="s">
        <v>320</v>
      </c>
      <c r="B1413" t="s">
        <v>321</v>
      </c>
      <c r="C1413" t="s">
        <v>142</v>
      </c>
      <c r="D1413">
        <v>492</v>
      </c>
      <c r="E1413" s="5">
        <v>43721</v>
      </c>
      <c r="F1413">
        <v>13551501</v>
      </c>
      <c r="G1413">
        <v>0</v>
      </c>
      <c r="H1413" t="s">
        <v>1125</v>
      </c>
      <c r="I1413" t="s">
        <v>1126</v>
      </c>
      <c r="J1413">
        <v>1003</v>
      </c>
      <c r="K1413">
        <v>1302</v>
      </c>
      <c r="L1413" s="3">
        <v>5336626.4000000004</v>
      </c>
      <c r="M1413" s="3">
        <v>80799.5</v>
      </c>
      <c r="N1413">
        <v>0</v>
      </c>
      <c r="O1413">
        <v>3231980</v>
      </c>
      <c r="P1413">
        <v>5417425.9000000004</v>
      </c>
      <c r="Q1413" t="s">
        <v>30</v>
      </c>
      <c r="R1413" t="s">
        <v>618</v>
      </c>
      <c r="S1413" t="str">
        <v>#N/A</v>
      </c>
      <c r="T1413" t="str">
        <v>31</v>
      </c>
    </row>
    <row r="1414" spans="1:20" ht="13.7" customHeight="1" x14ac:dyDescent="0.25">
      <c r="A1414" t="s">
        <v>320</v>
      </c>
      <c r="B1414" t="s">
        <v>321</v>
      </c>
      <c r="C1414" t="s">
        <v>142</v>
      </c>
      <c r="D1414">
        <v>497</v>
      </c>
      <c r="E1414" s="5">
        <v>43728</v>
      </c>
      <c r="F1414">
        <v>13551501</v>
      </c>
      <c r="G1414">
        <v>0</v>
      </c>
      <c r="H1414" t="s">
        <v>1125</v>
      </c>
      <c r="I1414" t="s">
        <v>1126</v>
      </c>
      <c r="J1414">
        <v>1003</v>
      </c>
      <c r="K1414">
        <v>1302</v>
      </c>
      <c r="L1414" s="3">
        <v>5417425.9000000004</v>
      </c>
      <c r="M1414" s="3">
        <v>150000</v>
      </c>
      <c r="N1414">
        <v>0</v>
      </c>
      <c r="O1414">
        <v>6000000</v>
      </c>
      <c r="P1414">
        <v>5567425.9000000004</v>
      </c>
      <c r="Q1414" t="s">
        <v>30</v>
      </c>
      <c r="R1414" t="s">
        <v>482</v>
      </c>
      <c r="S1414" t="str">
        <v>#N/A</v>
      </c>
      <c r="T1414" t="str">
        <v>31</v>
      </c>
    </row>
    <row r="1415" spans="1:20" ht="13.7" customHeight="1" x14ac:dyDescent="0.25">
      <c r="A1415" t="s">
        <v>320</v>
      </c>
      <c r="B1415" t="s">
        <v>321</v>
      </c>
      <c r="C1415" t="s">
        <v>142</v>
      </c>
      <c r="D1415">
        <v>501</v>
      </c>
      <c r="E1415" s="5">
        <v>43738</v>
      </c>
      <c r="F1415">
        <v>13551501</v>
      </c>
      <c r="G1415">
        <v>0</v>
      </c>
      <c r="H1415" t="s">
        <v>1125</v>
      </c>
      <c r="I1415" t="s">
        <v>1126</v>
      </c>
      <c r="J1415">
        <v>1003</v>
      </c>
      <c r="K1415">
        <v>1302</v>
      </c>
      <c r="L1415" s="3">
        <v>5567425.9000000004</v>
      </c>
      <c r="M1415" s="3">
        <v>52399.125</v>
      </c>
      <c r="N1415">
        <v>0</v>
      </c>
      <c r="O1415">
        <v>2095965</v>
      </c>
      <c r="P1415">
        <v>5619825.0250000004</v>
      </c>
      <c r="Q1415" t="s">
        <v>30</v>
      </c>
      <c r="R1415" t="s">
        <v>486</v>
      </c>
      <c r="S1415" t="str">
        <v>#N/A</v>
      </c>
      <c r="T1415" t="str">
        <v>31</v>
      </c>
    </row>
    <row r="1416" spans="1:20" ht="13.7" customHeight="1" x14ac:dyDescent="0.25">
      <c r="A1416" t="s">
        <v>320</v>
      </c>
      <c r="B1416" t="s">
        <v>321</v>
      </c>
      <c r="C1416" t="s">
        <v>142</v>
      </c>
      <c r="D1416">
        <v>504</v>
      </c>
      <c r="E1416" s="5">
        <v>43741</v>
      </c>
      <c r="F1416">
        <v>13551501</v>
      </c>
      <c r="G1416">
        <v>0</v>
      </c>
      <c r="H1416" t="s">
        <v>1125</v>
      </c>
      <c r="I1416" t="s">
        <v>1126</v>
      </c>
      <c r="J1416">
        <v>1003</v>
      </c>
      <c r="K1416">
        <v>1302</v>
      </c>
      <c r="L1416" s="3">
        <v>5619825.0250000004</v>
      </c>
      <c r="M1416" s="3">
        <v>72150</v>
      </c>
      <c r="N1416">
        <v>0</v>
      </c>
      <c r="O1416">
        <v>2886000</v>
      </c>
      <c r="P1416">
        <v>5691975.0250000004</v>
      </c>
      <c r="Q1416" t="s">
        <v>30</v>
      </c>
      <c r="R1416" t="s">
        <v>619</v>
      </c>
      <c r="S1416" t="str">
        <v>#N/A</v>
      </c>
      <c r="T1416" t="str">
        <v>31</v>
      </c>
    </row>
    <row r="1417" spans="1:20" ht="13.7" customHeight="1" x14ac:dyDescent="0.25">
      <c r="A1417" t="s">
        <v>320</v>
      </c>
      <c r="B1417" t="s">
        <v>321</v>
      </c>
      <c r="C1417" t="s">
        <v>142</v>
      </c>
      <c r="D1417">
        <v>508</v>
      </c>
      <c r="E1417" s="5">
        <v>43748</v>
      </c>
      <c r="F1417">
        <v>13551501</v>
      </c>
      <c r="G1417">
        <v>0</v>
      </c>
      <c r="H1417" t="s">
        <v>1125</v>
      </c>
      <c r="I1417" t="s">
        <v>1126</v>
      </c>
      <c r="J1417">
        <v>1003</v>
      </c>
      <c r="K1417">
        <v>1302</v>
      </c>
      <c r="L1417" s="3">
        <v>5691975.0250000004</v>
      </c>
      <c r="M1417" s="3">
        <v>100339.925</v>
      </c>
      <c r="N1417">
        <v>0</v>
      </c>
      <c r="O1417">
        <v>4013597</v>
      </c>
      <c r="P1417">
        <v>5792314.9500000002</v>
      </c>
      <c r="Q1417" t="s">
        <v>30</v>
      </c>
      <c r="R1417" t="s">
        <v>493</v>
      </c>
      <c r="S1417" t="str">
        <v>#N/A</v>
      </c>
      <c r="T1417" t="str">
        <v>31</v>
      </c>
    </row>
    <row r="1418" spans="1:20" ht="13.7" customHeight="1" x14ac:dyDescent="0.25">
      <c r="A1418" t="s">
        <v>320</v>
      </c>
      <c r="B1418" t="s">
        <v>321</v>
      </c>
      <c r="C1418" t="s">
        <v>142</v>
      </c>
      <c r="D1418">
        <v>524</v>
      </c>
      <c r="E1418" s="5">
        <v>43770</v>
      </c>
      <c r="F1418">
        <v>13551501</v>
      </c>
      <c r="G1418">
        <v>0</v>
      </c>
      <c r="H1418" t="s">
        <v>1125</v>
      </c>
      <c r="I1418" t="s">
        <v>1126</v>
      </c>
      <c r="J1418">
        <v>1003</v>
      </c>
      <c r="K1418">
        <v>1302</v>
      </c>
      <c r="L1418" s="3">
        <v>5792314.9500000002</v>
      </c>
      <c r="M1418" s="3">
        <v>25175</v>
      </c>
      <c r="N1418">
        <v>0</v>
      </c>
      <c r="O1418">
        <v>1007000</v>
      </c>
      <c r="P1418">
        <v>5817489.9500000002</v>
      </c>
      <c r="Q1418" t="s">
        <v>30</v>
      </c>
      <c r="R1418" t="s">
        <v>506</v>
      </c>
      <c r="S1418" t="str">
        <v>#N/A</v>
      </c>
      <c r="T1418" t="str">
        <v>31</v>
      </c>
    </row>
    <row r="1419" spans="1:20" ht="13.7" customHeight="1" x14ac:dyDescent="0.25">
      <c r="A1419" t="s">
        <v>320</v>
      </c>
      <c r="B1419" t="s">
        <v>321</v>
      </c>
      <c r="C1419" t="s">
        <v>142</v>
      </c>
      <c r="D1419">
        <v>535</v>
      </c>
      <c r="E1419" s="5">
        <v>43796</v>
      </c>
      <c r="F1419">
        <v>13551501</v>
      </c>
      <c r="G1419">
        <v>0</v>
      </c>
      <c r="H1419" t="s">
        <v>1125</v>
      </c>
      <c r="I1419" t="s">
        <v>1126</v>
      </c>
      <c r="J1419">
        <v>1003</v>
      </c>
      <c r="K1419">
        <v>1302</v>
      </c>
      <c r="L1419" s="3">
        <v>5817489.9500000002</v>
      </c>
      <c r="M1419" s="3">
        <v>56415.75</v>
      </c>
      <c r="N1419">
        <v>0</v>
      </c>
      <c r="O1419">
        <v>2256630</v>
      </c>
      <c r="P1419">
        <v>5873905.7000000002</v>
      </c>
      <c r="Q1419" t="s">
        <v>30</v>
      </c>
      <c r="R1419" t="s">
        <v>517</v>
      </c>
      <c r="S1419" t="str">
        <v>#N/A</v>
      </c>
      <c r="T1419" t="str">
        <v>31</v>
      </c>
    </row>
    <row r="1420" spans="1:20" ht="13.7" customHeight="1" x14ac:dyDescent="0.25">
      <c r="A1420" t="s">
        <v>518</v>
      </c>
      <c r="B1420" t="s">
        <v>519</v>
      </c>
      <c r="C1420" t="s">
        <v>520</v>
      </c>
      <c r="D1420">
        <v>1</v>
      </c>
      <c r="E1420" s="5">
        <v>43801</v>
      </c>
      <c r="F1420">
        <v>13551501</v>
      </c>
      <c r="G1420">
        <v>0</v>
      </c>
      <c r="H1420" t="s">
        <v>1125</v>
      </c>
      <c r="I1420" t="s">
        <v>1126</v>
      </c>
      <c r="J1420">
        <v>1003</v>
      </c>
      <c r="K1420">
        <v>1302</v>
      </c>
      <c r="L1420" s="3">
        <v>5873905.7000000002</v>
      </c>
      <c r="M1420" s="3">
        <v>32600</v>
      </c>
      <c r="N1420">
        <v>0</v>
      </c>
      <c r="O1420">
        <v>1304000</v>
      </c>
      <c r="P1420">
        <v>5906505.7000000002</v>
      </c>
      <c r="Q1420" t="s">
        <v>30</v>
      </c>
      <c r="R1420" t="s">
        <v>633</v>
      </c>
      <c r="S1420" t="str">
        <v>#N/A</v>
      </c>
      <c r="T1420" t="str">
        <v>31</v>
      </c>
    </row>
    <row r="1421" spans="1:20" ht="13.7" customHeight="1" x14ac:dyDescent="0.25">
      <c r="A1421" t="s">
        <v>518</v>
      </c>
      <c r="B1421" t="s">
        <v>519</v>
      </c>
      <c r="C1421" t="s">
        <v>520</v>
      </c>
      <c r="D1421">
        <v>4</v>
      </c>
      <c r="E1421" s="5">
        <v>43810</v>
      </c>
      <c r="F1421">
        <v>13551501</v>
      </c>
      <c r="G1421">
        <v>0</v>
      </c>
      <c r="H1421" t="s">
        <v>1125</v>
      </c>
      <c r="I1421" t="s">
        <v>1126</v>
      </c>
      <c r="J1421">
        <v>1003</v>
      </c>
      <c r="K1421">
        <v>1302</v>
      </c>
      <c r="L1421" s="3">
        <v>5906505.7000000002</v>
      </c>
      <c r="M1421" s="3">
        <v>42375</v>
      </c>
      <c r="N1421">
        <v>0</v>
      </c>
      <c r="O1421">
        <v>1695000</v>
      </c>
      <c r="P1421">
        <v>5948880.7000000002</v>
      </c>
      <c r="Q1421" t="s">
        <v>30</v>
      </c>
      <c r="R1421" t="s">
        <v>633</v>
      </c>
      <c r="S1421" t="str">
        <v>#N/A</v>
      </c>
      <c r="T1421" t="str">
        <v>31</v>
      </c>
    </row>
    <row r="1422" spans="1:20" ht="13.7" customHeight="1" x14ac:dyDescent="0.25">
      <c r="A1422" t="s">
        <v>518</v>
      </c>
      <c r="B1422" t="s">
        <v>519</v>
      </c>
      <c r="C1422" t="s">
        <v>520</v>
      </c>
      <c r="D1422">
        <v>7</v>
      </c>
      <c r="E1422" s="5">
        <v>43815</v>
      </c>
      <c r="F1422">
        <v>13551501</v>
      </c>
      <c r="G1422">
        <v>0</v>
      </c>
      <c r="H1422" t="s">
        <v>1125</v>
      </c>
      <c r="I1422" t="s">
        <v>1126</v>
      </c>
      <c r="J1422">
        <v>1003</v>
      </c>
      <c r="K1422">
        <v>1302</v>
      </c>
      <c r="L1422" s="3">
        <v>5948880.7000000002</v>
      </c>
      <c r="M1422" s="3">
        <v>38506</v>
      </c>
      <c r="N1422">
        <v>0</v>
      </c>
      <c r="O1422">
        <v>1540250</v>
      </c>
      <c r="P1422">
        <v>5987386.7000000002</v>
      </c>
      <c r="Q1422" t="s">
        <v>30</v>
      </c>
      <c r="R1422" t="s">
        <v>633</v>
      </c>
      <c r="S1422" t="str">
        <v>#N/A</v>
      </c>
      <c r="T1422" t="str">
        <v>31</v>
      </c>
    </row>
    <row r="1423" spans="1:20" ht="13.7" customHeight="1" x14ac:dyDescent="0.25">
      <c r="E1423" s="5">
        <v>43465</v>
      </c>
      <c r="F1423">
        <v>13551501</v>
      </c>
      <c r="G1423">
        <v>0</v>
      </c>
      <c r="H1423" t="s">
        <v>1131</v>
      </c>
      <c r="I1423" t="s">
        <v>1132</v>
      </c>
      <c r="J1423">
        <v>0</v>
      </c>
      <c r="K1423">
        <v>0</v>
      </c>
      <c r="L1423" s="3">
        <v>927570</v>
      </c>
      <c r="M1423" s="3">
        <v>0</v>
      </c>
      <c r="N1423">
        <v>0</v>
      </c>
      <c r="O1423">
        <v>37102800</v>
      </c>
      <c r="P1423">
        <v>927570</v>
      </c>
      <c r="R1423" t="s">
        <v>1100</v>
      </c>
      <c r="S1423" t="str">
        <v>#N/A</v>
      </c>
      <c r="T1423" t="str">
        <v>#N/A</v>
      </c>
    </row>
    <row r="1424" spans="1:20" ht="13.7" customHeight="1" x14ac:dyDescent="0.25">
      <c r="A1424" t="s">
        <v>320</v>
      </c>
      <c r="B1424" t="s">
        <v>321</v>
      </c>
      <c r="C1424" t="s">
        <v>142</v>
      </c>
      <c r="D1424">
        <v>354</v>
      </c>
      <c r="E1424" s="5">
        <v>43501</v>
      </c>
      <c r="F1424">
        <v>13551501</v>
      </c>
      <c r="G1424">
        <v>0</v>
      </c>
      <c r="H1424" t="s">
        <v>1131</v>
      </c>
      <c r="I1424" t="s">
        <v>1132</v>
      </c>
      <c r="J1424">
        <v>1003</v>
      </c>
      <c r="K1424">
        <v>1302</v>
      </c>
      <c r="L1424" s="3">
        <v>927570</v>
      </c>
      <c r="M1424" s="3">
        <v>62250</v>
      </c>
      <c r="N1424">
        <v>0</v>
      </c>
      <c r="O1424">
        <v>2490000</v>
      </c>
      <c r="P1424">
        <v>989820</v>
      </c>
      <c r="Q1424" t="s">
        <v>30</v>
      </c>
      <c r="R1424" t="s">
        <v>624</v>
      </c>
      <c r="S1424" t="str">
        <v>#N/A</v>
      </c>
      <c r="T1424" t="str">
        <v>#N/A</v>
      </c>
    </row>
    <row r="1425" spans="1:20" ht="13.7" customHeight="1" x14ac:dyDescent="0.25">
      <c r="A1425" t="s">
        <v>320</v>
      </c>
      <c r="B1425" t="s">
        <v>321</v>
      </c>
      <c r="C1425" t="s">
        <v>142</v>
      </c>
      <c r="D1425">
        <v>376</v>
      </c>
      <c r="E1425" s="5">
        <v>43525</v>
      </c>
      <c r="F1425">
        <v>13551501</v>
      </c>
      <c r="G1425">
        <v>0</v>
      </c>
      <c r="H1425" t="s">
        <v>1131</v>
      </c>
      <c r="I1425" t="s">
        <v>1132</v>
      </c>
      <c r="J1425">
        <v>1003</v>
      </c>
      <c r="K1425">
        <v>1302</v>
      </c>
      <c r="L1425" s="3">
        <v>989820</v>
      </c>
      <c r="M1425" s="3">
        <v>160062.5</v>
      </c>
      <c r="N1425">
        <v>0</v>
      </c>
      <c r="O1425">
        <v>6402500</v>
      </c>
      <c r="P1425">
        <v>1149882.5</v>
      </c>
      <c r="Q1425" t="s">
        <v>30</v>
      </c>
      <c r="R1425" t="s">
        <v>631</v>
      </c>
      <c r="S1425" t="str">
        <v>#N/A</v>
      </c>
      <c r="T1425" t="str">
        <v>#N/A</v>
      </c>
    </row>
    <row r="1426" spans="1:20" ht="13.7" customHeight="1" x14ac:dyDescent="0.25">
      <c r="A1426" t="s">
        <v>320</v>
      </c>
      <c r="B1426" t="s">
        <v>321</v>
      </c>
      <c r="C1426" t="s">
        <v>142</v>
      </c>
      <c r="D1426">
        <v>457</v>
      </c>
      <c r="E1426" s="5">
        <v>43630</v>
      </c>
      <c r="F1426">
        <v>13551501</v>
      </c>
      <c r="G1426">
        <v>0</v>
      </c>
      <c r="H1426" t="s">
        <v>1131</v>
      </c>
      <c r="I1426" t="s">
        <v>1132</v>
      </c>
      <c r="J1426">
        <v>1003</v>
      </c>
      <c r="K1426">
        <v>1302</v>
      </c>
      <c r="L1426" s="3">
        <v>1149882.5</v>
      </c>
      <c r="M1426" s="3">
        <v>43020</v>
      </c>
      <c r="N1426">
        <v>0</v>
      </c>
      <c r="O1426">
        <v>1720800</v>
      </c>
      <c r="P1426">
        <v>1192902.5</v>
      </c>
      <c r="Q1426" t="s">
        <v>30</v>
      </c>
      <c r="R1426" t="s">
        <v>462</v>
      </c>
      <c r="S1426" t="str">
        <v>#N/A</v>
      </c>
      <c r="T1426" t="str">
        <v>#N/A</v>
      </c>
    </row>
    <row r="1427" spans="1:20" ht="13.7" customHeight="1" x14ac:dyDescent="0.25">
      <c r="A1427" t="s">
        <v>320</v>
      </c>
      <c r="B1427" t="s">
        <v>321</v>
      </c>
      <c r="C1427" t="s">
        <v>142</v>
      </c>
      <c r="D1427">
        <v>498</v>
      </c>
      <c r="E1427" s="5">
        <v>43732</v>
      </c>
      <c r="F1427">
        <v>13551501</v>
      </c>
      <c r="G1427">
        <v>0</v>
      </c>
      <c r="H1427" t="s">
        <v>1131</v>
      </c>
      <c r="I1427" t="s">
        <v>1132</v>
      </c>
      <c r="J1427">
        <v>1003</v>
      </c>
      <c r="K1427">
        <v>1302</v>
      </c>
      <c r="L1427" s="3">
        <v>1192902.5</v>
      </c>
      <c r="M1427" s="3">
        <v>54162.5</v>
      </c>
      <c r="N1427">
        <v>0</v>
      </c>
      <c r="O1427">
        <v>2166500</v>
      </c>
      <c r="P1427">
        <v>1247065</v>
      </c>
      <c r="Q1427" t="s">
        <v>30</v>
      </c>
      <c r="R1427" t="s">
        <v>483</v>
      </c>
      <c r="S1427" t="str">
        <v>#N/A</v>
      </c>
      <c r="T1427" t="str">
        <v>#N/A</v>
      </c>
    </row>
    <row r="1428" spans="1:20" ht="13.7" customHeight="1" x14ac:dyDescent="0.25">
      <c r="E1428" s="5">
        <v>43465</v>
      </c>
      <c r="F1428">
        <v>13551501</v>
      </c>
      <c r="G1428">
        <v>0</v>
      </c>
      <c r="H1428" t="s">
        <v>1133</v>
      </c>
      <c r="I1428" t="s">
        <v>1134</v>
      </c>
      <c r="J1428">
        <v>0</v>
      </c>
      <c r="K1428">
        <v>0</v>
      </c>
      <c r="L1428" s="3">
        <v>21351.45</v>
      </c>
      <c r="M1428" s="3">
        <v>0</v>
      </c>
      <c r="N1428">
        <v>0</v>
      </c>
      <c r="O1428">
        <v>854058</v>
      </c>
      <c r="P1428">
        <v>21351.45</v>
      </c>
      <c r="R1428" t="s">
        <v>1100</v>
      </c>
      <c r="S1428" t="str">
        <v>#N/A</v>
      </c>
      <c r="T1428" t="str">
        <v>#N/A</v>
      </c>
    </row>
    <row r="1429" spans="1:20" ht="13.7" customHeight="1" x14ac:dyDescent="0.25">
      <c r="E1429" s="5">
        <v>43465</v>
      </c>
      <c r="F1429">
        <v>13551501</v>
      </c>
      <c r="G1429">
        <v>0</v>
      </c>
      <c r="H1429" t="s">
        <v>1137</v>
      </c>
      <c r="I1429" t="s">
        <v>1138</v>
      </c>
      <c r="J1429">
        <v>0</v>
      </c>
      <c r="K1429">
        <v>0</v>
      </c>
      <c r="L1429" s="3">
        <v>0</v>
      </c>
      <c r="M1429" s="3">
        <v>0</v>
      </c>
      <c r="N1429">
        <v>0</v>
      </c>
      <c r="O1429">
        <v>0</v>
      </c>
      <c r="P1429">
        <v>0</v>
      </c>
      <c r="R1429" t="s">
        <v>1100</v>
      </c>
      <c r="S1429" t="str">
        <v>#N/A</v>
      </c>
      <c r="T1429" t="str">
        <v>#N/A</v>
      </c>
    </row>
    <row r="1430" spans="1:20" ht="13.7" customHeight="1" x14ac:dyDescent="0.25">
      <c r="A1430" t="s">
        <v>320</v>
      </c>
      <c r="B1430" t="s">
        <v>321</v>
      </c>
      <c r="C1430" t="s">
        <v>142</v>
      </c>
      <c r="D1430">
        <v>450</v>
      </c>
      <c r="E1430" s="5">
        <v>43628</v>
      </c>
      <c r="F1430">
        <v>13551501</v>
      </c>
      <c r="G1430">
        <v>0</v>
      </c>
      <c r="H1430" t="s">
        <v>1137</v>
      </c>
      <c r="I1430" t="s">
        <v>1138</v>
      </c>
      <c r="J1430">
        <v>1003</v>
      </c>
      <c r="K1430">
        <v>1302</v>
      </c>
      <c r="L1430" s="3">
        <v>0</v>
      </c>
      <c r="M1430" s="3">
        <v>48125</v>
      </c>
      <c r="N1430">
        <v>0</v>
      </c>
      <c r="O1430">
        <v>1925000</v>
      </c>
      <c r="P1430">
        <v>48125</v>
      </c>
      <c r="Q1430" t="s">
        <v>30</v>
      </c>
      <c r="R1430" t="s">
        <v>459</v>
      </c>
      <c r="S1430" t="str">
        <v>#N/A</v>
      </c>
      <c r="T1430" t="str">
        <v>#N/A</v>
      </c>
    </row>
    <row r="1431" spans="1:20" ht="13.7" customHeight="1" x14ac:dyDescent="0.25">
      <c r="A1431" t="s">
        <v>320</v>
      </c>
      <c r="B1431" t="s">
        <v>321</v>
      </c>
      <c r="C1431" t="s">
        <v>142</v>
      </c>
      <c r="D1431">
        <v>500</v>
      </c>
      <c r="E1431" s="5">
        <v>43734</v>
      </c>
      <c r="F1431">
        <v>13551501</v>
      </c>
      <c r="G1431">
        <v>0</v>
      </c>
      <c r="H1431" t="s">
        <v>1137</v>
      </c>
      <c r="I1431" t="s">
        <v>1138</v>
      </c>
      <c r="J1431">
        <v>1003</v>
      </c>
      <c r="K1431">
        <v>1302</v>
      </c>
      <c r="L1431" s="3">
        <v>48125</v>
      </c>
      <c r="M1431" s="3">
        <v>48125</v>
      </c>
      <c r="N1431">
        <v>0</v>
      </c>
      <c r="O1431">
        <v>1925000</v>
      </c>
      <c r="P1431">
        <v>96250</v>
      </c>
      <c r="Q1431" t="s">
        <v>30</v>
      </c>
      <c r="R1431" t="s">
        <v>485</v>
      </c>
      <c r="S1431" t="str">
        <v>#N/A</v>
      </c>
      <c r="T1431" t="str">
        <v>#N/A</v>
      </c>
    </row>
    <row r="1432" spans="1:20" ht="13.7" customHeight="1" x14ac:dyDescent="0.25">
      <c r="A1432" t="s">
        <v>320</v>
      </c>
      <c r="B1432" t="s">
        <v>321</v>
      </c>
      <c r="C1432" t="s">
        <v>142</v>
      </c>
      <c r="D1432">
        <v>530</v>
      </c>
      <c r="E1432" s="5">
        <v>43785</v>
      </c>
      <c r="F1432">
        <v>13551501</v>
      </c>
      <c r="G1432">
        <v>0</v>
      </c>
      <c r="H1432" t="s">
        <v>1137</v>
      </c>
      <c r="I1432" t="s">
        <v>1138</v>
      </c>
      <c r="J1432">
        <v>1003</v>
      </c>
      <c r="K1432">
        <v>1302</v>
      </c>
      <c r="L1432" s="3">
        <v>96250</v>
      </c>
      <c r="M1432" s="3">
        <v>96250</v>
      </c>
      <c r="N1432">
        <v>0</v>
      </c>
      <c r="O1432">
        <v>3850000</v>
      </c>
      <c r="P1432">
        <v>192500</v>
      </c>
      <c r="Q1432" t="s">
        <v>30</v>
      </c>
      <c r="R1432" t="s">
        <v>633</v>
      </c>
      <c r="S1432" t="str">
        <v>#N/A</v>
      </c>
      <c r="T1432" t="str">
        <v>#N/A</v>
      </c>
    </row>
    <row r="1433" spans="1:20" ht="13.7" customHeight="1" x14ac:dyDescent="0.25">
      <c r="E1433" s="5">
        <v>43465</v>
      </c>
      <c r="F1433">
        <v>13551801</v>
      </c>
      <c r="G1433">
        <v>0</v>
      </c>
      <c r="H1433" t="s">
        <v>1127</v>
      </c>
      <c r="I1433" t="s">
        <v>1128</v>
      </c>
      <c r="J1433">
        <v>0</v>
      </c>
      <c r="K1433">
        <v>0</v>
      </c>
      <c r="L1433" s="3">
        <v>0</v>
      </c>
      <c r="M1433" s="3">
        <v>0</v>
      </c>
      <c r="N1433">
        <v>0</v>
      </c>
      <c r="O1433">
        <v>0</v>
      </c>
      <c r="P1433">
        <v>0</v>
      </c>
      <c r="R1433" t="s">
        <v>1100</v>
      </c>
      <c r="S1433" t="str">
        <v>#N/A</v>
      </c>
      <c r="T1433" t="str">
        <v>#N/A</v>
      </c>
    </row>
    <row r="1434" spans="1:20" ht="13.7" customHeight="1" x14ac:dyDescent="0.25">
      <c r="A1434" t="s">
        <v>518</v>
      </c>
      <c r="B1434" t="s">
        <v>519</v>
      </c>
      <c r="C1434" t="s">
        <v>520</v>
      </c>
      <c r="D1434">
        <v>2</v>
      </c>
      <c r="E1434" s="5">
        <v>43804</v>
      </c>
      <c r="F1434">
        <v>13551801</v>
      </c>
      <c r="G1434">
        <v>0</v>
      </c>
      <c r="H1434" t="s">
        <v>1127</v>
      </c>
      <c r="I1434" t="s">
        <v>1128</v>
      </c>
      <c r="J1434">
        <v>0</v>
      </c>
      <c r="K1434">
        <v>0</v>
      </c>
      <c r="L1434" s="3">
        <v>0</v>
      </c>
      <c r="M1434" s="3">
        <v>5794</v>
      </c>
      <c r="N1434">
        <v>0</v>
      </c>
      <c r="O1434">
        <v>752450</v>
      </c>
      <c r="P1434">
        <v>5794</v>
      </c>
      <c r="Q1434" t="s">
        <v>30</v>
      </c>
      <c r="R1434" t="s">
        <v>634</v>
      </c>
      <c r="S1434" t="str">
        <v>#N/A</v>
      </c>
      <c r="T1434" t="str">
        <v>#N/A</v>
      </c>
    </row>
    <row r="1435" spans="1:20" ht="13.7" customHeight="1" x14ac:dyDescent="0.25">
      <c r="E1435" s="5">
        <v>43465</v>
      </c>
      <c r="F1435">
        <v>13551801</v>
      </c>
      <c r="G1435">
        <v>0</v>
      </c>
      <c r="H1435" t="s">
        <v>1125</v>
      </c>
      <c r="I1435" t="s">
        <v>1126</v>
      </c>
      <c r="J1435">
        <v>0</v>
      </c>
      <c r="K1435">
        <v>0</v>
      </c>
      <c r="L1435" s="3">
        <v>0</v>
      </c>
      <c r="M1435" s="3">
        <v>0</v>
      </c>
      <c r="N1435">
        <v>0</v>
      </c>
      <c r="O1435">
        <v>0</v>
      </c>
      <c r="P1435">
        <v>0</v>
      </c>
      <c r="R1435" t="s">
        <v>1100</v>
      </c>
      <c r="S1435" t="str">
        <v>#N/A</v>
      </c>
      <c r="T1435" t="str">
        <v>31</v>
      </c>
    </row>
    <row r="1436" spans="1:20" ht="13.7" customHeight="1" x14ac:dyDescent="0.25">
      <c r="A1436" t="s">
        <v>518</v>
      </c>
      <c r="B1436" t="s">
        <v>519</v>
      </c>
      <c r="C1436" t="s">
        <v>520</v>
      </c>
      <c r="D1436">
        <v>1</v>
      </c>
      <c r="E1436" s="5">
        <v>43801</v>
      </c>
      <c r="F1436">
        <v>13551801</v>
      </c>
      <c r="G1436">
        <v>0</v>
      </c>
      <c r="H1436" t="s">
        <v>1125</v>
      </c>
      <c r="I1436" t="s">
        <v>1126</v>
      </c>
      <c r="J1436">
        <v>0</v>
      </c>
      <c r="K1436">
        <v>0</v>
      </c>
      <c r="L1436" s="3">
        <v>0</v>
      </c>
      <c r="M1436" s="3">
        <v>10041</v>
      </c>
      <c r="N1436">
        <v>0</v>
      </c>
      <c r="O1436">
        <v>1304000</v>
      </c>
      <c r="P1436">
        <v>10041</v>
      </c>
      <c r="Q1436" t="s">
        <v>30</v>
      </c>
      <c r="R1436" t="s">
        <v>634</v>
      </c>
      <c r="S1436" t="str">
        <v>#N/A</v>
      </c>
      <c r="T1436" t="str">
        <v>31</v>
      </c>
    </row>
    <row r="1437" spans="1:20" ht="13.7" customHeight="1" x14ac:dyDescent="0.25">
      <c r="A1437" t="s">
        <v>518</v>
      </c>
      <c r="B1437" t="s">
        <v>519</v>
      </c>
      <c r="C1437" t="s">
        <v>520</v>
      </c>
      <c r="D1437">
        <v>4</v>
      </c>
      <c r="E1437" s="5">
        <v>43810</v>
      </c>
      <c r="F1437">
        <v>13551801</v>
      </c>
      <c r="G1437">
        <v>0</v>
      </c>
      <c r="H1437" t="s">
        <v>1125</v>
      </c>
      <c r="I1437" t="s">
        <v>1126</v>
      </c>
      <c r="J1437">
        <v>0</v>
      </c>
      <c r="K1437">
        <v>0</v>
      </c>
      <c r="L1437" s="3">
        <v>10041</v>
      </c>
      <c r="M1437" s="3">
        <v>13052</v>
      </c>
      <c r="N1437">
        <v>0</v>
      </c>
      <c r="O1437">
        <v>1695000</v>
      </c>
      <c r="P1437">
        <v>23093</v>
      </c>
      <c r="Q1437" t="s">
        <v>30</v>
      </c>
      <c r="R1437" t="s">
        <v>634</v>
      </c>
      <c r="S1437" t="str">
        <v>#N/A</v>
      </c>
      <c r="T1437" t="str">
        <v>31</v>
      </c>
    </row>
    <row r="1438" spans="1:20" ht="13.7" customHeight="1" x14ac:dyDescent="0.25">
      <c r="A1438" t="s">
        <v>518</v>
      </c>
      <c r="B1438" t="s">
        <v>519</v>
      </c>
      <c r="C1438" t="s">
        <v>520</v>
      </c>
      <c r="D1438">
        <v>7</v>
      </c>
      <c r="E1438" s="5">
        <v>43815</v>
      </c>
      <c r="F1438">
        <v>13551801</v>
      </c>
      <c r="G1438">
        <v>0</v>
      </c>
      <c r="H1438" t="s">
        <v>1125</v>
      </c>
      <c r="I1438" t="s">
        <v>1126</v>
      </c>
      <c r="J1438">
        <v>0</v>
      </c>
      <c r="K1438">
        <v>0</v>
      </c>
      <c r="L1438" s="3">
        <v>23093</v>
      </c>
      <c r="M1438" s="3">
        <v>11860</v>
      </c>
      <c r="N1438">
        <v>0</v>
      </c>
      <c r="O1438">
        <v>1540250</v>
      </c>
      <c r="P1438">
        <v>34953</v>
      </c>
      <c r="Q1438" t="s">
        <v>30</v>
      </c>
      <c r="R1438" t="s">
        <v>634</v>
      </c>
      <c r="S1438" t="str">
        <v>#N/A</v>
      </c>
      <c r="T1438" t="str">
        <v>31</v>
      </c>
    </row>
    <row r="1439" spans="1:20" ht="13.7" customHeight="1" x14ac:dyDescent="0.25">
      <c r="E1439" s="5">
        <v>43465</v>
      </c>
      <c r="F1439">
        <v>13659501</v>
      </c>
      <c r="G1439">
        <v>0</v>
      </c>
      <c r="H1439" t="s">
        <v>1147</v>
      </c>
      <c r="I1439" t="s">
        <v>1148</v>
      </c>
      <c r="J1439">
        <v>0</v>
      </c>
      <c r="K1439">
        <v>0</v>
      </c>
      <c r="L1439" s="3">
        <v>0</v>
      </c>
      <c r="M1439" s="3">
        <v>0</v>
      </c>
      <c r="N1439">
        <v>0</v>
      </c>
      <c r="O1439">
        <v>0</v>
      </c>
      <c r="P1439">
        <v>0</v>
      </c>
      <c r="R1439" t="s">
        <v>1100</v>
      </c>
      <c r="S1439" t="str">
        <v>#N/A</v>
      </c>
      <c r="T1439" t="str">
        <v>#N/A</v>
      </c>
    </row>
    <row r="1440" spans="1:20" ht="13.7" customHeight="1" x14ac:dyDescent="0.25">
      <c r="A1440" t="s">
        <v>26</v>
      </c>
      <c r="B1440" t="s">
        <v>27</v>
      </c>
      <c r="C1440" t="s">
        <v>35</v>
      </c>
      <c r="D1440">
        <v>98</v>
      </c>
      <c r="E1440" s="5">
        <v>43603</v>
      </c>
      <c r="F1440">
        <v>13659501</v>
      </c>
      <c r="G1440">
        <v>0</v>
      </c>
      <c r="H1440" t="s">
        <v>1147</v>
      </c>
      <c r="I1440" t="s">
        <v>1148</v>
      </c>
      <c r="J1440">
        <v>1008</v>
      </c>
      <c r="K1440">
        <v>1317</v>
      </c>
      <c r="L1440" s="3">
        <v>0</v>
      </c>
      <c r="M1440" s="3">
        <v>0</v>
      </c>
      <c r="N1440">
        <v>20000</v>
      </c>
      <c r="O1440">
        <v>0</v>
      </c>
      <c r="P1440">
        <v>-20000</v>
      </c>
      <c r="Q1440" t="s">
        <v>30</v>
      </c>
      <c r="R1440" t="s">
        <v>261</v>
      </c>
      <c r="S1440" t="str">
        <v>#N/A</v>
      </c>
      <c r="T1440" t="str">
        <v>#N/A</v>
      </c>
    </row>
    <row r="1441" spans="1:20" ht="13.7" customHeight="1" x14ac:dyDescent="0.25">
      <c r="A1441" t="s">
        <v>26</v>
      </c>
      <c r="B1441" t="s">
        <v>27</v>
      </c>
      <c r="C1441" t="s">
        <v>38</v>
      </c>
      <c r="D1441">
        <v>56</v>
      </c>
      <c r="E1441" s="5">
        <v>43687</v>
      </c>
      <c r="F1441">
        <v>13659501</v>
      </c>
      <c r="G1441">
        <v>0</v>
      </c>
      <c r="H1441" t="s">
        <v>1147</v>
      </c>
      <c r="I1441" t="s">
        <v>1148</v>
      </c>
      <c r="J1441">
        <v>1008</v>
      </c>
      <c r="K1441">
        <v>1317</v>
      </c>
      <c r="L1441" s="3">
        <v>-20000</v>
      </c>
      <c r="M1441" s="3">
        <v>0</v>
      </c>
      <c r="N1441">
        <v>50000</v>
      </c>
      <c r="O1441">
        <v>0</v>
      </c>
      <c r="P1441">
        <v>-70000</v>
      </c>
      <c r="Q1441" t="s">
        <v>30</v>
      </c>
      <c r="R1441" t="s">
        <v>284</v>
      </c>
      <c r="S1441" t="str">
        <v>#N/A</v>
      </c>
      <c r="T1441" t="str">
        <v>#N/A</v>
      </c>
    </row>
    <row r="1442" spans="1:20" ht="13.7" customHeight="1" x14ac:dyDescent="0.25">
      <c r="E1442" s="5">
        <v>43465</v>
      </c>
      <c r="F1442">
        <v>13659501</v>
      </c>
      <c r="G1442">
        <v>0</v>
      </c>
      <c r="H1442" t="s">
        <v>1151</v>
      </c>
      <c r="I1442" t="s">
        <v>1152</v>
      </c>
      <c r="J1442">
        <v>0</v>
      </c>
      <c r="K1442">
        <v>0</v>
      </c>
      <c r="L1442" s="3">
        <v>0</v>
      </c>
      <c r="M1442" s="3">
        <v>0</v>
      </c>
      <c r="N1442">
        <v>0</v>
      </c>
      <c r="O1442">
        <v>0</v>
      </c>
      <c r="P1442">
        <v>0</v>
      </c>
      <c r="R1442" t="s">
        <v>1100</v>
      </c>
      <c r="S1442" t="str">
        <v>#N/A</v>
      </c>
      <c r="T1442" t="str">
        <v>#N/A</v>
      </c>
    </row>
    <row r="1443" spans="1:20" ht="13.7" customHeight="1" x14ac:dyDescent="0.25">
      <c r="A1443" t="s">
        <v>26</v>
      </c>
      <c r="B1443" t="s">
        <v>27</v>
      </c>
      <c r="C1443" t="s">
        <v>32</v>
      </c>
      <c r="D1443">
        <v>61</v>
      </c>
      <c r="E1443" s="5">
        <v>43519</v>
      </c>
      <c r="F1443">
        <v>13659501</v>
      </c>
      <c r="G1443">
        <v>0</v>
      </c>
      <c r="H1443" t="s">
        <v>1151</v>
      </c>
      <c r="I1443" t="s">
        <v>1152</v>
      </c>
      <c r="J1443">
        <v>1008</v>
      </c>
      <c r="K1443">
        <v>1317</v>
      </c>
      <c r="L1443" s="3">
        <v>0</v>
      </c>
      <c r="M1443" s="3">
        <v>0</v>
      </c>
      <c r="N1443">
        <v>50000</v>
      </c>
      <c r="O1443">
        <v>0</v>
      </c>
      <c r="P1443">
        <v>-50000</v>
      </c>
      <c r="Q1443" t="s">
        <v>30</v>
      </c>
      <c r="R1443" t="s">
        <v>226</v>
      </c>
      <c r="S1443" t="str">
        <v>#N/A</v>
      </c>
      <c r="T1443" t="str">
        <v>#N/A</v>
      </c>
    </row>
    <row r="1444" spans="1:20" ht="13.7" customHeight="1" x14ac:dyDescent="0.25">
      <c r="E1444" s="5">
        <v>43465</v>
      </c>
      <c r="F1444">
        <v>13659501</v>
      </c>
      <c r="G1444">
        <v>0</v>
      </c>
      <c r="H1444" t="s">
        <v>1521</v>
      </c>
      <c r="I1444" t="s">
        <v>1522</v>
      </c>
      <c r="J1444">
        <v>0</v>
      </c>
      <c r="K1444">
        <v>0</v>
      </c>
      <c r="L1444" s="3">
        <v>-50000</v>
      </c>
      <c r="M1444" s="3">
        <v>0</v>
      </c>
      <c r="N1444">
        <v>0</v>
      </c>
      <c r="O1444">
        <v>0</v>
      </c>
      <c r="P1444">
        <v>-50000</v>
      </c>
      <c r="R1444" t="s">
        <v>1100</v>
      </c>
      <c r="S1444" t="str">
        <v>#N/A</v>
      </c>
      <c r="T1444" t="str">
        <v>#N/A</v>
      </c>
    </row>
    <row r="1445" spans="1:20" ht="13.7" customHeight="1" x14ac:dyDescent="0.25">
      <c r="E1445" s="5">
        <v>43465</v>
      </c>
      <c r="F1445">
        <v>13659501</v>
      </c>
      <c r="G1445">
        <v>0</v>
      </c>
      <c r="H1445" t="s">
        <v>1141</v>
      </c>
      <c r="I1445" t="s">
        <v>1142</v>
      </c>
      <c r="J1445">
        <v>0</v>
      </c>
      <c r="K1445">
        <v>0</v>
      </c>
      <c r="L1445" s="3">
        <v>-173000</v>
      </c>
      <c r="M1445" s="3">
        <v>0</v>
      </c>
      <c r="N1445">
        <v>0</v>
      </c>
      <c r="O1445">
        <v>0</v>
      </c>
      <c r="P1445">
        <v>-173000</v>
      </c>
      <c r="R1445" t="s">
        <v>1100</v>
      </c>
      <c r="S1445" t="str">
        <v>#N/A</v>
      </c>
      <c r="T1445" t="str">
        <v>13</v>
      </c>
    </row>
    <row r="1446" spans="1:20" ht="13.7" customHeight="1" x14ac:dyDescent="0.25">
      <c r="A1446" t="s">
        <v>26</v>
      </c>
      <c r="B1446" t="s">
        <v>27</v>
      </c>
      <c r="C1446" t="s">
        <v>35</v>
      </c>
      <c r="D1446">
        <v>97</v>
      </c>
      <c r="E1446" s="5">
        <v>43589</v>
      </c>
      <c r="F1446">
        <v>13659501</v>
      </c>
      <c r="G1446">
        <v>0</v>
      </c>
      <c r="H1446" t="s">
        <v>1141</v>
      </c>
      <c r="I1446" t="s">
        <v>1142</v>
      </c>
      <c r="J1446">
        <v>1008</v>
      </c>
      <c r="K1446">
        <v>1317</v>
      </c>
      <c r="L1446" s="3">
        <v>-173000</v>
      </c>
      <c r="M1446" s="3">
        <v>0</v>
      </c>
      <c r="N1446">
        <v>26200</v>
      </c>
      <c r="O1446">
        <v>0</v>
      </c>
      <c r="P1446">
        <v>-199200</v>
      </c>
      <c r="Q1446" t="s">
        <v>30</v>
      </c>
      <c r="R1446" t="s">
        <v>256</v>
      </c>
      <c r="S1446" t="str">
        <v>#N/A</v>
      </c>
      <c r="T1446" t="str">
        <v>13</v>
      </c>
    </row>
    <row r="1447" spans="1:20" ht="13.7" customHeight="1" x14ac:dyDescent="0.25">
      <c r="A1447" t="s">
        <v>26</v>
      </c>
      <c r="B1447" t="s">
        <v>27</v>
      </c>
      <c r="C1447" t="s">
        <v>35</v>
      </c>
      <c r="D1447">
        <v>98</v>
      </c>
      <c r="E1447" s="5">
        <v>43603</v>
      </c>
      <c r="F1447">
        <v>13659501</v>
      </c>
      <c r="G1447">
        <v>0</v>
      </c>
      <c r="H1447" t="s">
        <v>1141</v>
      </c>
      <c r="I1447" t="s">
        <v>1142</v>
      </c>
      <c r="J1447">
        <v>1008</v>
      </c>
      <c r="K1447">
        <v>1317</v>
      </c>
      <c r="L1447" s="3">
        <v>-199200</v>
      </c>
      <c r="M1447" s="3">
        <v>30000</v>
      </c>
      <c r="N1447">
        <v>0</v>
      </c>
      <c r="O1447">
        <v>0</v>
      </c>
      <c r="P1447">
        <v>-169200</v>
      </c>
      <c r="Q1447" t="s">
        <v>30</v>
      </c>
      <c r="R1447" t="s">
        <v>261</v>
      </c>
      <c r="S1447" t="str">
        <v>#N/A</v>
      </c>
      <c r="T1447" t="str">
        <v>13</v>
      </c>
    </row>
    <row r="1448" spans="1:20" ht="13.7" customHeight="1" x14ac:dyDescent="0.25">
      <c r="A1448" t="s">
        <v>26</v>
      </c>
      <c r="B1448" t="s">
        <v>27</v>
      </c>
      <c r="C1448" t="s">
        <v>36</v>
      </c>
      <c r="D1448">
        <v>71</v>
      </c>
      <c r="E1448" s="5">
        <v>43631</v>
      </c>
      <c r="F1448">
        <v>13659501</v>
      </c>
      <c r="G1448">
        <v>0</v>
      </c>
      <c r="H1448" t="s">
        <v>1141</v>
      </c>
      <c r="I1448" t="s">
        <v>1142</v>
      </c>
      <c r="J1448">
        <v>1008</v>
      </c>
      <c r="K1448">
        <v>1317</v>
      </c>
      <c r="L1448" s="3">
        <v>-169200</v>
      </c>
      <c r="M1448" s="3">
        <v>0</v>
      </c>
      <c r="N1448">
        <v>80000</v>
      </c>
      <c r="O1448">
        <v>0</v>
      </c>
      <c r="P1448">
        <v>-249200</v>
      </c>
      <c r="Q1448" t="s">
        <v>30</v>
      </c>
      <c r="R1448" t="s">
        <v>270</v>
      </c>
      <c r="S1448" t="str">
        <v>#N/A</v>
      </c>
      <c r="T1448" t="str">
        <v>13</v>
      </c>
    </row>
    <row r="1449" spans="1:20" ht="13.7" customHeight="1" x14ac:dyDescent="0.25">
      <c r="A1449" t="s">
        <v>26</v>
      </c>
      <c r="B1449" t="s">
        <v>27</v>
      </c>
      <c r="C1449" t="s">
        <v>38</v>
      </c>
      <c r="D1449">
        <v>56</v>
      </c>
      <c r="E1449" s="5">
        <v>43687</v>
      </c>
      <c r="F1449">
        <v>13659501</v>
      </c>
      <c r="G1449">
        <v>0</v>
      </c>
      <c r="H1449" t="s">
        <v>1141</v>
      </c>
      <c r="I1449" t="s">
        <v>1142</v>
      </c>
      <c r="J1449">
        <v>1008</v>
      </c>
      <c r="K1449">
        <v>1317</v>
      </c>
      <c r="L1449" s="3">
        <v>-249200</v>
      </c>
      <c r="M1449" s="3">
        <v>30000</v>
      </c>
      <c r="N1449">
        <v>0</v>
      </c>
      <c r="O1449">
        <v>0</v>
      </c>
      <c r="P1449">
        <v>-219200</v>
      </c>
      <c r="Q1449" t="s">
        <v>30</v>
      </c>
      <c r="R1449" t="s">
        <v>284</v>
      </c>
      <c r="S1449" t="str">
        <v>#N/A</v>
      </c>
      <c r="T1449" t="str">
        <v>13</v>
      </c>
    </row>
    <row r="1450" spans="1:20" ht="13.7" customHeight="1" x14ac:dyDescent="0.25">
      <c r="A1450" t="s">
        <v>26</v>
      </c>
      <c r="B1450" t="s">
        <v>27</v>
      </c>
      <c r="C1450" t="s">
        <v>41</v>
      </c>
      <c r="D1450">
        <v>76</v>
      </c>
      <c r="E1450" s="5">
        <v>43771</v>
      </c>
      <c r="F1450">
        <v>13659501</v>
      </c>
      <c r="G1450">
        <v>0</v>
      </c>
      <c r="H1450" t="s">
        <v>1141</v>
      </c>
      <c r="I1450" t="s">
        <v>1142</v>
      </c>
      <c r="J1450">
        <v>1008</v>
      </c>
      <c r="K1450">
        <v>1317</v>
      </c>
      <c r="L1450" s="3">
        <v>-219200</v>
      </c>
      <c r="M1450" s="3">
        <v>0</v>
      </c>
      <c r="N1450">
        <v>41000</v>
      </c>
      <c r="O1450">
        <v>0</v>
      </c>
      <c r="P1450">
        <v>-260200</v>
      </c>
      <c r="Q1450" t="s">
        <v>30</v>
      </c>
      <c r="R1450" t="s">
        <v>301</v>
      </c>
      <c r="S1450" t="str">
        <v>#N/A</v>
      </c>
      <c r="T1450" t="str">
        <v>13</v>
      </c>
    </row>
    <row r="1451" spans="1:20" ht="13.7" customHeight="1" x14ac:dyDescent="0.25">
      <c r="E1451" s="5">
        <v>43465</v>
      </c>
      <c r="F1451">
        <v>13659501</v>
      </c>
      <c r="G1451">
        <v>0</v>
      </c>
      <c r="H1451" t="s">
        <v>1143</v>
      </c>
      <c r="I1451" t="s">
        <v>1144</v>
      </c>
      <c r="J1451">
        <v>0</v>
      </c>
      <c r="K1451">
        <v>0</v>
      </c>
      <c r="L1451" s="3">
        <v>0</v>
      </c>
      <c r="M1451" s="3">
        <v>0</v>
      </c>
      <c r="N1451">
        <v>0</v>
      </c>
      <c r="O1451">
        <v>0</v>
      </c>
      <c r="P1451">
        <v>0</v>
      </c>
      <c r="R1451" t="s">
        <v>1100</v>
      </c>
      <c r="S1451" t="str">
        <v>#N/A</v>
      </c>
      <c r="T1451" t="str">
        <v>#N/A</v>
      </c>
    </row>
    <row r="1452" spans="1:20" ht="13.7" customHeight="1" x14ac:dyDescent="0.25">
      <c r="A1452" t="s">
        <v>26</v>
      </c>
      <c r="B1452" t="s">
        <v>27</v>
      </c>
      <c r="C1452" t="s">
        <v>91</v>
      </c>
      <c r="D1452">
        <v>1</v>
      </c>
      <c r="E1452" s="5">
        <v>43525</v>
      </c>
      <c r="F1452">
        <v>13659501</v>
      </c>
      <c r="G1452">
        <v>0</v>
      </c>
      <c r="H1452" t="s">
        <v>1143</v>
      </c>
      <c r="I1452" t="s">
        <v>1144</v>
      </c>
      <c r="J1452">
        <v>1008</v>
      </c>
      <c r="K1452">
        <v>1317</v>
      </c>
      <c r="L1452" s="3">
        <v>0</v>
      </c>
      <c r="M1452" s="3">
        <v>41500000</v>
      </c>
      <c r="N1452">
        <v>0</v>
      </c>
      <c r="O1452">
        <v>0</v>
      </c>
      <c r="P1452">
        <v>41500000</v>
      </c>
      <c r="Q1452" t="s">
        <v>30</v>
      </c>
      <c r="R1452" t="s">
        <v>231</v>
      </c>
      <c r="S1452" t="str">
        <v>#N/A</v>
      </c>
      <c r="T1452" t="str">
        <v>#N/A</v>
      </c>
    </row>
    <row r="1453" spans="1:20" ht="13.7" customHeight="1" x14ac:dyDescent="0.25">
      <c r="E1453" s="5">
        <v>43465</v>
      </c>
      <c r="F1453">
        <v>13659501</v>
      </c>
      <c r="G1453">
        <v>0</v>
      </c>
      <c r="H1453" t="s">
        <v>1149</v>
      </c>
      <c r="I1453" t="s">
        <v>1150</v>
      </c>
      <c r="J1453">
        <v>0</v>
      </c>
      <c r="K1453">
        <v>0</v>
      </c>
      <c r="L1453" s="3">
        <v>-560000</v>
      </c>
      <c r="M1453" s="3">
        <v>0</v>
      </c>
      <c r="N1453">
        <v>0</v>
      </c>
      <c r="O1453">
        <v>0</v>
      </c>
      <c r="P1453">
        <v>-560000</v>
      </c>
      <c r="R1453" t="s">
        <v>1100</v>
      </c>
      <c r="S1453" t="str">
        <v>#N/A</v>
      </c>
      <c r="T1453" t="str">
        <v>13</v>
      </c>
    </row>
    <row r="1454" spans="1:20" ht="13.7" customHeight="1" x14ac:dyDescent="0.25">
      <c r="A1454" t="s">
        <v>26</v>
      </c>
      <c r="B1454" t="s">
        <v>27</v>
      </c>
      <c r="C1454" t="s">
        <v>32</v>
      </c>
      <c r="D1454">
        <v>60</v>
      </c>
      <c r="E1454" s="5">
        <v>43505</v>
      </c>
      <c r="F1454">
        <v>13659501</v>
      </c>
      <c r="G1454">
        <v>0</v>
      </c>
      <c r="H1454" t="s">
        <v>1149</v>
      </c>
      <c r="I1454" t="s">
        <v>1150</v>
      </c>
      <c r="J1454">
        <v>1008</v>
      </c>
      <c r="K1454">
        <v>1317</v>
      </c>
      <c r="L1454" s="3">
        <v>-560000</v>
      </c>
      <c r="M1454" s="3">
        <v>0</v>
      </c>
      <c r="N1454">
        <v>50000</v>
      </c>
      <c r="O1454">
        <v>0</v>
      </c>
      <c r="P1454">
        <v>-610000</v>
      </c>
      <c r="Q1454" t="s">
        <v>30</v>
      </c>
      <c r="R1454" t="s">
        <v>215</v>
      </c>
      <c r="S1454" t="str">
        <v>#N/A</v>
      </c>
      <c r="T1454" t="str">
        <v>13</v>
      </c>
    </row>
    <row r="1455" spans="1:20" ht="13.7" customHeight="1" x14ac:dyDescent="0.25">
      <c r="A1455" t="s">
        <v>26</v>
      </c>
      <c r="B1455" t="s">
        <v>27</v>
      </c>
      <c r="C1455" t="s">
        <v>32</v>
      </c>
      <c r="D1455">
        <v>61</v>
      </c>
      <c r="E1455" s="5">
        <v>43519</v>
      </c>
      <c r="F1455">
        <v>13659501</v>
      </c>
      <c r="G1455">
        <v>0</v>
      </c>
      <c r="H1455" t="s">
        <v>1149</v>
      </c>
      <c r="I1455" t="s">
        <v>1150</v>
      </c>
      <c r="J1455">
        <v>1008</v>
      </c>
      <c r="K1455">
        <v>1317</v>
      </c>
      <c r="L1455" s="3">
        <v>-610000</v>
      </c>
      <c r="M1455" s="3">
        <v>0</v>
      </c>
      <c r="N1455">
        <v>70000</v>
      </c>
      <c r="O1455">
        <v>0</v>
      </c>
      <c r="P1455">
        <v>-680000</v>
      </c>
      <c r="Q1455" t="s">
        <v>30</v>
      </c>
      <c r="R1455" t="s">
        <v>226</v>
      </c>
      <c r="S1455" t="str">
        <v>#N/A</v>
      </c>
      <c r="T1455" t="str">
        <v>13</v>
      </c>
    </row>
    <row r="1456" spans="1:20" ht="13.7" customHeight="1" x14ac:dyDescent="0.25">
      <c r="A1456" t="s">
        <v>26</v>
      </c>
      <c r="B1456" t="s">
        <v>27</v>
      </c>
      <c r="C1456" t="s">
        <v>91</v>
      </c>
      <c r="D1456">
        <v>79</v>
      </c>
      <c r="E1456" s="5">
        <v>43533</v>
      </c>
      <c r="F1456">
        <v>13659501</v>
      </c>
      <c r="G1456">
        <v>0</v>
      </c>
      <c r="H1456" t="s">
        <v>1149</v>
      </c>
      <c r="I1456" t="s">
        <v>1150</v>
      </c>
      <c r="J1456">
        <v>1008</v>
      </c>
      <c r="K1456">
        <v>1317</v>
      </c>
      <c r="L1456" s="3">
        <v>-680000</v>
      </c>
      <c r="M1456" s="3">
        <v>0</v>
      </c>
      <c r="N1456">
        <v>30000</v>
      </c>
      <c r="O1456">
        <v>0</v>
      </c>
      <c r="P1456">
        <v>-710000</v>
      </c>
      <c r="Q1456" t="s">
        <v>30</v>
      </c>
      <c r="R1456" t="s">
        <v>236</v>
      </c>
      <c r="S1456" t="str">
        <v>#N/A</v>
      </c>
      <c r="T1456" t="str">
        <v>13</v>
      </c>
    </row>
    <row r="1457" spans="1:20" ht="13.7" customHeight="1" x14ac:dyDescent="0.25">
      <c r="A1457" t="s">
        <v>26</v>
      </c>
      <c r="B1457" t="s">
        <v>27</v>
      </c>
      <c r="C1457" t="s">
        <v>91</v>
      </c>
      <c r="D1457">
        <v>80</v>
      </c>
      <c r="E1457" s="5">
        <v>43547</v>
      </c>
      <c r="F1457">
        <v>13659501</v>
      </c>
      <c r="G1457">
        <v>0</v>
      </c>
      <c r="H1457" t="s">
        <v>1149</v>
      </c>
      <c r="I1457" t="s">
        <v>1150</v>
      </c>
      <c r="J1457">
        <v>1008</v>
      </c>
      <c r="K1457">
        <v>1317</v>
      </c>
      <c r="L1457" s="3">
        <v>-710000</v>
      </c>
      <c r="M1457" s="3">
        <v>0</v>
      </c>
      <c r="N1457">
        <v>50000</v>
      </c>
      <c r="O1457">
        <v>0</v>
      </c>
      <c r="P1457">
        <v>-760000</v>
      </c>
      <c r="Q1457" t="s">
        <v>30</v>
      </c>
      <c r="R1457" t="s">
        <v>244</v>
      </c>
      <c r="S1457" t="str">
        <v>#N/A</v>
      </c>
      <c r="T1457" t="str">
        <v>13</v>
      </c>
    </row>
    <row r="1458" spans="1:20" ht="13.7" customHeight="1" x14ac:dyDescent="0.25">
      <c r="A1458" t="s">
        <v>26</v>
      </c>
      <c r="B1458" t="s">
        <v>27</v>
      </c>
      <c r="C1458" t="s">
        <v>34</v>
      </c>
      <c r="D1458">
        <v>71</v>
      </c>
      <c r="E1458" s="5">
        <v>43561</v>
      </c>
      <c r="F1458">
        <v>13659501</v>
      </c>
      <c r="G1458">
        <v>0</v>
      </c>
      <c r="H1458" t="s">
        <v>1149</v>
      </c>
      <c r="I1458" t="s">
        <v>1150</v>
      </c>
      <c r="J1458">
        <v>1008</v>
      </c>
      <c r="K1458">
        <v>1317</v>
      </c>
      <c r="L1458" s="3">
        <v>-760000</v>
      </c>
      <c r="M1458" s="3">
        <v>0</v>
      </c>
      <c r="N1458">
        <v>55000</v>
      </c>
      <c r="O1458">
        <v>0</v>
      </c>
      <c r="P1458">
        <v>-815000</v>
      </c>
      <c r="Q1458" t="s">
        <v>30</v>
      </c>
      <c r="R1458" t="s">
        <v>244</v>
      </c>
      <c r="S1458" t="str">
        <v>#N/A</v>
      </c>
      <c r="T1458" t="str">
        <v>13</v>
      </c>
    </row>
    <row r="1459" spans="1:20" ht="13.7" customHeight="1" x14ac:dyDescent="0.25">
      <c r="A1459" t="s">
        <v>26</v>
      </c>
      <c r="B1459" t="s">
        <v>27</v>
      </c>
      <c r="C1459" t="s">
        <v>35</v>
      </c>
      <c r="D1459">
        <v>97</v>
      </c>
      <c r="E1459" s="5">
        <v>43589</v>
      </c>
      <c r="F1459">
        <v>13659501</v>
      </c>
      <c r="G1459">
        <v>0</v>
      </c>
      <c r="H1459" t="s">
        <v>1149</v>
      </c>
      <c r="I1459" t="s">
        <v>1150</v>
      </c>
      <c r="J1459">
        <v>1008</v>
      </c>
      <c r="K1459">
        <v>1317</v>
      </c>
      <c r="L1459" s="3">
        <v>-815000</v>
      </c>
      <c r="M1459" s="3">
        <v>0</v>
      </c>
      <c r="N1459">
        <v>50000</v>
      </c>
      <c r="O1459">
        <v>0</v>
      </c>
      <c r="P1459">
        <v>-865000</v>
      </c>
      <c r="Q1459" t="s">
        <v>30</v>
      </c>
      <c r="R1459" t="s">
        <v>256</v>
      </c>
      <c r="S1459" t="str">
        <v>#N/A</v>
      </c>
      <c r="T1459" t="str">
        <v>13</v>
      </c>
    </row>
    <row r="1460" spans="1:20" ht="13.7" customHeight="1" x14ac:dyDescent="0.25">
      <c r="A1460" t="s">
        <v>26</v>
      </c>
      <c r="B1460" t="s">
        <v>27</v>
      </c>
      <c r="C1460" t="s">
        <v>35</v>
      </c>
      <c r="D1460">
        <v>98</v>
      </c>
      <c r="E1460" s="5">
        <v>43603</v>
      </c>
      <c r="F1460">
        <v>13659501</v>
      </c>
      <c r="G1460">
        <v>0</v>
      </c>
      <c r="H1460" t="s">
        <v>1149</v>
      </c>
      <c r="I1460" t="s">
        <v>1150</v>
      </c>
      <c r="J1460">
        <v>1008</v>
      </c>
      <c r="K1460">
        <v>1317</v>
      </c>
      <c r="L1460" s="3">
        <v>-865000</v>
      </c>
      <c r="M1460" s="3">
        <v>0</v>
      </c>
      <c r="N1460">
        <v>20000</v>
      </c>
      <c r="O1460">
        <v>0</v>
      </c>
      <c r="P1460">
        <v>-885000</v>
      </c>
      <c r="Q1460" t="s">
        <v>30</v>
      </c>
      <c r="R1460" t="s">
        <v>261</v>
      </c>
      <c r="S1460" t="str">
        <v>#N/A</v>
      </c>
      <c r="T1460" t="str">
        <v>13</v>
      </c>
    </row>
    <row r="1461" spans="1:20" ht="13.7" customHeight="1" x14ac:dyDescent="0.25">
      <c r="A1461" t="s">
        <v>26</v>
      </c>
      <c r="B1461" t="s">
        <v>27</v>
      </c>
      <c r="C1461" t="s">
        <v>36</v>
      </c>
      <c r="D1461">
        <v>71</v>
      </c>
      <c r="E1461" s="5">
        <v>43631</v>
      </c>
      <c r="F1461">
        <v>13659501</v>
      </c>
      <c r="G1461">
        <v>0</v>
      </c>
      <c r="H1461" t="s">
        <v>1149</v>
      </c>
      <c r="I1461" t="s">
        <v>1150</v>
      </c>
      <c r="J1461">
        <v>1008</v>
      </c>
      <c r="K1461">
        <v>1317</v>
      </c>
      <c r="L1461" s="3">
        <v>-885000</v>
      </c>
      <c r="M1461" s="3">
        <v>0</v>
      </c>
      <c r="N1461">
        <v>40000</v>
      </c>
      <c r="O1461">
        <v>0</v>
      </c>
      <c r="P1461">
        <v>-925000</v>
      </c>
      <c r="Q1461" t="s">
        <v>30</v>
      </c>
      <c r="R1461" t="s">
        <v>270</v>
      </c>
      <c r="S1461" t="str">
        <v>#N/A</v>
      </c>
      <c r="T1461" t="str">
        <v>13</v>
      </c>
    </row>
    <row r="1462" spans="1:20" ht="13.7" customHeight="1" x14ac:dyDescent="0.25">
      <c r="A1462" t="s">
        <v>26</v>
      </c>
      <c r="B1462" t="s">
        <v>27</v>
      </c>
      <c r="C1462" t="s">
        <v>38</v>
      </c>
      <c r="D1462">
        <v>56</v>
      </c>
      <c r="E1462" s="5">
        <v>43687</v>
      </c>
      <c r="F1462">
        <v>13659501</v>
      </c>
      <c r="G1462">
        <v>0</v>
      </c>
      <c r="H1462" t="s">
        <v>1149</v>
      </c>
      <c r="I1462" t="s">
        <v>1150</v>
      </c>
      <c r="J1462">
        <v>1008</v>
      </c>
      <c r="K1462">
        <v>1317</v>
      </c>
      <c r="L1462" s="3">
        <v>-925000</v>
      </c>
      <c r="M1462" s="3">
        <v>0</v>
      </c>
      <c r="N1462">
        <v>100000</v>
      </c>
      <c r="O1462">
        <v>0</v>
      </c>
      <c r="P1462">
        <v>-1025000</v>
      </c>
      <c r="Q1462" t="s">
        <v>30</v>
      </c>
      <c r="R1462" t="s">
        <v>284</v>
      </c>
      <c r="S1462" t="str">
        <v>#N/A</v>
      </c>
      <c r="T1462" t="str">
        <v>13</v>
      </c>
    </row>
    <row r="1463" spans="1:20" ht="13.7" customHeight="1" x14ac:dyDescent="0.25">
      <c r="A1463" t="s">
        <v>26</v>
      </c>
      <c r="B1463" t="s">
        <v>27</v>
      </c>
      <c r="C1463" t="s">
        <v>40</v>
      </c>
      <c r="D1463">
        <v>61</v>
      </c>
      <c r="E1463" s="5">
        <v>43743</v>
      </c>
      <c r="F1463">
        <v>13659501</v>
      </c>
      <c r="G1463">
        <v>0</v>
      </c>
      <c r="H1463" t="s">
        <v>1149</v>
      </c>
      <c r="I1463" t="s">
        <v>1150</v>
      </c>
      <c r="J1463">
        <v>1008</v>
      </c>
      <c r="K1463">
        <v>1317</v>
      </c>
      <c r="L1463" s="3">
        <v>-1025000</v>
      </c>
      <c r="M1463" s="3">
        <v>0</v>
      </c>
      <c r="N1463">
        <v>60000</v>
      </c>
      <c r="O1463">
        <v>0</v>
      </c>
      <c r="P1463">
        <v>-1085000</v>
      </c>
      <c r="Q1463" t="s">
        <v>30</v>
      </c>
      <c r="R1463" t="s">
        <v>293</v>
      </c>
      <c r="S1463" t="str">
        <v>#N/A</v>
      </c>
      <c r="T1463" t="str">
        <v>13</v>
      </c>
    </row>
    <row r="1464" spans="1:20" ht="13.7" customHeight="1" x14ac:dyDescent="0.25">
      <c r="A1464" t="s">
        <v>26</v>
      </c>
      <c r="B1464" t="s">
        <v>27</v>
      </c>
      <c r="C1464" t="s">
        <v>41</v>
      </c>
      <c r="D1464">
        <v>76</v>
      </c>
      <c r="E1464" s="5">
        <v>43771</v>
      </c>
      <c r="F1464">
        <v>13659501</v>
      </c>
      <c r="G1464">
        <v>0</v>
      </c>
      <c r="H1464" t="s">
        <v>1149</v>
      </c>
      <c r="I1464" t="s">
        <v>1150</v>
      </c>
      <c r="J1464">
        <v>1008</v>
      </c>
      <c r="K1464">
        <v>1317</v>
      </c>
      <c r="L1464" s="3">
        <v>-1085000</v>
      </c>
      <c r="M1464" s="3">
        <v>0</v>
      </c>
      <c r="N1464">
        <v>25000</v>
      </c>
      <c r="O1464">
        <v>0</v>
      </c>
      <c r="P1464">
        <v>-1110000</v>
      </c>
      <c r="Q1464" t="s">
        <v>30</v>
      </c>
      <c r="R1464" t="s">
        <v>301</v>
      </c>
      <c r="S1464" t="str">
        <v>#N/A</v>
      </c>
      <c r="T1464" t="str">
        <v>13</v>
      </c>
    </row>
    <row r="1465" spans="1:20" ht="13.7" customHeight="1" x14ac:dyDescent="0.25">
      <c r="A1465" t="s">
        <v>26</v>
      </c>
      <c r="B1465" t="s">
        <v>27</v>
      </c>
      <c r="C1465" t="s">
        <v>41</v>
      </c>
      <c r="D1465">
        <v>77</v>
      </c>
      <c r="E1465" s="5">
        <v>43785</v>
      </c>
      <c r="F1465">
        <v>13659501</v>
      </c>
      <c r="G1465">
        <v>0</v>
      </c>
      <c r="H1465" t="s">
        <v>1149</v>
      </c>
      <c r="I1465" t="s">
        <v>1150</v>
      </c>
      <c r="J1465">
        <v>1008</v>
      </c>
      <c r="K1465">
        <v>1317</v>
      </c>
      <c r="L1465" s="3">
        <v>-1110000</v>
      </c>
      <c r="M1465" s="3">
        <v>0</v>
      </c>
      <c r="N1465">
        <v>25000</v>
      </c>
      <c r="O1465">
        <v>0</v>
      </c>
      <c r="P1465">
        <v>-1135000</v>
      </c>
      <c r="Q1465" t="s">
        <v>30</v>
      </c>
      <c r="R1465" t="s">
        <v>305</v>
      </c>
      <c r="S1465" t="str">
        <v>#N/A</v>
      </c>
      <c r="T1465" t="str">
        <v>13</v>
      </c>
    </row>
    <row r="1466" spans="1:20" ht="13.7" customHeight="1" x14ac:dyDescent="0.25">
      <c r="A1466" t="s">
        <v>26</v>
      </c>
      <c r="B1466" t="s">
        <v>27</v>
      </c>
      <c r="C1466" t="s">
        <v>41</v>
      </c>
      <c r="D1466">
        <v>78</v>
      </c>
      <c r="E1466" s="5">
        <v>43799</v>
      </c>
      <c r="F1466">
        <v>13659501</v>
      </c>
      <c r="G1466">
        <v>0</v>
      </c>
      <c r="H1466" t="s">
        <v>1149</v>
      </c>
      <c r="I1466" t="s">
        <v>1150</v>
      </c>
      <c r="J1466">
        <v>1008</v>
      </c>
      <c r="K1466">
        <v>1317</v>
      </c>
      <c r="L1466" s="3">
        <v>-1135000</v>
      </c>
      <c r="M1466" s="3">
        <v>0</v>
      </c>
      <c r="N1466">
        <v>40000</v>
      </c>
      <c r="O1466">
        <v>0</v>
      </c>
      <c r="P1466">
        <v>-1175000</v>
      </c>
      <c r="Q1466" t="s">
        <v>30</v>
      </c>
      <c r="R1466" t="s">
        <v>309</v>
      </c>
      <c r="S1466" t="str">
        <v>#N/A</v>
      </c>
      <c r="T1466" t="str">
        <v>13</v>
      </c>
    </row>
    <row r="1467" spans="1:20" ht="13.7" customHeight="1" x14ac:dyDescent="0.25">
      <c r="A1467" t="s">
        <v>26</v>
      </c>
      <c r="B1467" t="s">
        <v>27</v>
      </c>
      <c r="C1467" t="s">
        <v>180</v>
      </c>
      <c r="D1467">
        <v>1</v>
      </c>
      <c r="E1467" s="5">
        <v>43813</v>
      </c>
      <c r="F1467">
        <v>13659501</v>
      </c>
      <c r="G1467">
        <v>0</v>
      </c>
      <c r="H1467" t="s">
        <v>1149</v>
      </c>
      <c r="I1467" t="s">
        <v>1150</v>
      </c>
      <c r="J1467">
        <v>1008</v>
      </c>
      <c r="K1467">
        <v>1317</v>
      </c>
      <c r="L1467" s="3">
        <v>-1175000</v>
      </c>
      <c r="M1467" s="3">
        <v>0</v>
      </c>
      <c r="N1467">
        <v>60000</v>
      </c>
      <c r="O1467">
        <v>0</v>
      </c>
      <c r="P1467">
        <v>-1235000</v>
      </c>
      <c r="Q1467" t="s">
        <v>30</v>
      </c>
      <c r="R1467" t="s">
        <v>316</v>
      </c>
      <c r="S1467" t="str">
        <v>#N/A</v>
      </c>
      <c r="T1467" t="str">
        <v>13</v>
      </c>
    </row>
    <row r="1468" spans="1:20" ht="13.7" customHeight="1" x14ac:dyDescent="0.25">
      <c r="E1468" s="5">
        <v>43465</v>
      </c>
      <c r="F1468">
        <v>13659501</v>
      </c>
      <c r="G1468">
        <v>0</v>
      </c>
      <c r="H1468" t="s">
        <v>1163</v>
      </c>
      <c r="I1468" t="s">
        <v>1164</v>
      </c>
      <c r="J1468">
        <v>0</v>
      </c>
      <c r="K1468">
        <v>0</v>
      </c>
      <c r="L1468" s="3">
        <v>0</v>
      </c>
      <c r="M1468" s="3">
        <v>0</v>
      </c>
      <c r="N1468">
        <v>0</v>
      </c>
      <c r="O1468">
        <v>0</v>
      </c>
      <c r="P1468">
        <v>0</v>
      </c>
      <c r="R1468" t="s">
        <v>1100</v>
      </c>
      <c r="S1468" t="str">
        <v>#N/A</v>
      </c>
      <c r="T1468" t="str">
        <v>#N/A</v>
      </c>
    </row>
    <row r="1469" spans="1:20" ht="13.7" customHeight="1" x14ac:dyDescent="0.25">
      <c r="A1469" t="s">
        <v>26</v>
      </c>
      <c r="B1469" t="s">
        <v>27</v>
      </c>
      <c r="C1469" t="s">
        <v>40</v>
      </c>
      <c r="D1469">
        <v>37</v>
      </c>
      <c r="E1469" s="5">
        <v>43757</v>
      </c>
      <c r="F1469">
        <v>13659501</v>
      </c>
      <c r="G1469">
        <v>0</v>
      </c>
      <c r="H1469" t="s">
        <v>1163</v>
      </c>
      <c r="I1469" t="s">
        <v>1164</v>
      </c>
      <c r="J1469">
        <v>1008</v>
      </c>
      <c r="K1469">
        <v>1317</v>
      </c>
      <c r="L1469" s="3">
        <v>0</v>
      </c>
      <c r="M1469" s="3">
        <v>3067227</v>
      </c>
      <c r="N1469">
        <v>0</v>
      </c>
      <c r="O1469">
        <v>0</v>
      </c>
      <c r="P1469">
        <v>3067227</v>
      </c>
      <c r="Q1469" t="s">
        <v>30</v>
      </c>
      <c r="R1469" t="s">
        <v>319</v>
      </c>
      <c r="S1469" t="str">
        <v>#N/A</v>
      </c>
      <c r="T1469" t="str">
        <v>#N/A</v>
      </c>
    </row>
    <row r="1470" spans="1:20" ht="13.7" customHeight="1" x14ac:dyDescent="0.25">
      <c r="A1470" t="s">
        <v>26</v>
      </c>
      <c r="B1470" t="s">
        <v>27</v>
      </c>
      <c r="C1470" t="s">
        <v>40</v>
      </c>
      <c r="D1470">
        <v>37</v>
      </c>
      <c r="E1470" s="5">
        <v>43757</v>
      </c>
      <c r="F1470">
        <v>13659501</v>
      </c>
      <c r="G1470">
        <v>0</v>
      </c>
      <c r="H1470" t="s">
        <v>1163</v>
      </c>
      <c r="I1470" t="s">
        <v>1164</v>
      </c>
      <c r="J1470">
        <v>1008</v>
      </c>
      <c r="K1470">
        <v>1317</v>
      </c>
      <c r="L1470" s="3">
        <v>3067227</v>
      </c>
      <c r="M1470" s="3">
        <v>582773</v>
      </c>
      <c r="N1470">
        <v>0</v>
      </c>
      <c r="O1470">
        <v>0</v>
      </c>
      <c r="P1470">
        <v>3650000</v>
      </c>
      <c r="Q1470" t="s">
        <v>30</v>
      </c>
      <c r="R1470" t="s">
        <v>319</v>
      </c>
      <c r="S1470" t="str">
        <v>#N/A</v>
      </c>
      <c r="T1470" t="str">
        <v>#N/A</v>
      </c>
    </row>
    <row r="1471" spans="1:20" ht="13.7" customHeight="1" x14ac:dyDescent="0.25">
      <c r="E1471" s="5">
        <v>43465</v>
      </c>
      <c r="F1471">
        <v>13659501</v>
      </c>
      <c r="G1471">
        <v>0</v>
      </c>
      <c r="H1471" t="s">
        <v>1105</v>
      </c>
      <c r="I1471" t="s">
        <v>1106</v>
      </c>
      <c r="J1471">
        <v>0</v>
      </c>
      <c r="K1471">
        <v>0</v>
      </c>
      <c r="L1471" s="3">
        <v>472000</v>
      </c>
      <c r="M1471" s="3">
        <v>0</v>
      </c>
      <c r="N1471">
        <v>0</v>
      </c>
      <c r="O1471">
        <v>0</v>
      </c>
      <c r="P1471">
        <v>472000</v>
      </c>
      <c r="R1471" t="s">
        <v>1100</v>
      </c>
      <c r="S1471" t="str">
        <v>#N/A</v>
      </c>
      <c r="T1471" t="str">
        <v>#N/A</v>
      </c>
    </row>
    <row r="1472" spans="1:20" ht="13.7" customHeight="1" x14ac:dyDescent="0.25">
      <c r="E1472" s="5">
        <v>43465</v>
      </c>
      <c r="F1472">
        <v>13659501</v>
      </c>
      <c r="G1472">
        <v>0</v>
      </c>
      <c r="H1472" t="s">
        <v>1153</v>
      </c>
      <c r="I1472" t="s">
        <v>1154</v>
      </c>
      <c r="J1472">
        <v>0</v>
      </c>
      <c r="K1472">
        <v>0</v>
      </c>
      <c r="L1472" s="3">
        <v>-200000</v>
      </c>
      <c r="M1472" s="3">
        <v>0</v>
      </c>
      <c r="N1472">
        <v>0</v>
      </c>
      <c r="O1472">
        <v>0</v>
      </c>
      <c r="P1472">
        <v>-200000</v>
      </c>
      <c r="R1472" t="s">
        <v>1100</v>
      </c>
      <c r="S1472" t="str">
        <v>#N/A</v>
      </c>
      <c r="T1472" t="str">
        <v>#N/A</v>
      </c>
    </row>
    <row r="1473" spans="1:20" ht="13.7" customHeight="1" x14ac:dyDescent="0.25">
      <c r="A1473" t="s">
        <v>26</v>
      </c>
      <c r="B1473" t="s">
        <v>27</v>
      </c>
      <c r="C1473" t="s">
        <v>32</v>
      </c>
      <c r="D1473">
        <v>60</v>
      </c>
      <c r="E1473" s="5">
        <v>43505</v>
      </c>
      <c r="F1473">
        <v>13659501</v>
      </c>
      <c r="G1473">
        <v>0</v>
      </c>
      <c r="H1473" t="s">
        <v>1153</v>
      </c>
      <c r="I1473" t="s">
        <v>1154</v>
      </c>
      <c r="J1473">
        <v>1008</v>
      </c>
      <c r="K1473">
        <v>1317</v>
      </c>
      <c r="L1473" s="3">
        <v>-200000</v>
      </c>
      <c r="M1473" s="3">
        <v>0</v>
      </c>
      <c r="N1473">
        <v>50000</v>
      </c>
      <c r="O1473">
        <v>0</v>
      </c>
      <c r="P1473">
        <v>-250000</v>
      </c>
      <c r="Q1473" t="s">
        <v>30</v>
      </c>
      <c r="R1473" t="s">
        <v>215</v>
      </c>
      <c r="S1473" t="str">
        <v>#N/A</v>
      </c>
      <c r="T1473" t="str">
        <v>#N/A</v>
      </c>
    </row>
    <row r="1474" spans="1:20" ht="13.7" customHeight="1" x14ac:dyDescent="0.25">
      <c r="A1474" t="s">
        <v>26</v>
      </c>
      <c r="B1474" t="s">
        <v>27</v>
      </c>
      <c r="C1474" t="s">
        <v>91</v>
      </c>
      <c r="D1474">
        <v>79</v>
      </c>
      <c r="E1474" s="5">
        <v>43533</v>
      </c>
      <c r="F1474">
        <v>13659501</v>
      </c>
      <c r="G1474">
        <v>0</v>
      </c>
      <c r="H1474" t="s">
        <v>1153</v>
      </c>
      <c r="I1474" t="s">
        <v>1154</v>
      </c>
      <c r="J1474">
        <v>1008</v>
      </c>
      <c r="K1474">
        <v>1317</v>
      </c>
      <c r="L1474" s="3">
        <v>-250000</v>
      </c>
      <c r="M1474" s="3">
        <v>0</v>
      </c>
      <c r="N1474">
        <v>50000</v>
      </c>
      <c r="O1474">
        <v>0</v>
      </c>
      <c r="P1474">
        <v>-300000</v>
      </c>
      <c r="Q1474" t="s">
        <v>30</v>
      </c>
      <c r="R1474" t="s">
        <v>236</v>
      </c>
      <c r="S1474" t="str">
        <v>#N/A</v>
      </c>
      <c r="T1474" t="str">
        <v>#N/A</v>
      </c>
    </row>
    <row r="1475" spans="1:20" ht="13.7" customHeight="1" x14ac:dyDescent="0.25">
      <c r="A1475" t="s">
        <v>26</v>
      </c>
      <c r="B1475" t="s">
        <v>27</v>
      </c>
      <c r="C1475" t="s">
        <v>91</v>
      </c>
      <c r="D1475">
        <v>80</v>
      </c>
      <c r="E1475" s="5">
        <v>43547</v>
      </c>
      <c r="F1475">
        <v>13659501</v>
      </c>
      <c r="G1475">
        <v>0</v>
      </c>
      <c r="H1475" t="s">
        <v>1153</v>
      </c>
      <c r="I1475" t="s">
        <v>1154</v>
      </c>
      <c r="J1475">
        <v>1008</v>
      </c>
      <c r="K1475">
        <v>1317</v>
      </c>
      <c r="L1475" s="3">
        <v>-300000</v>
      </c>
      <c r="M1475" s="3">
        <v>0</v>
      </c>
      <c r="N1475">
        <v>50000</v>
      </c>
      <c r="O1475">
        <v>0</v>
      </c>
      <c r="P1475">
        <v>-350000</v>
      </c>
      <c r="Q1475" t="s">
        <v>30</v>
      </c>
      <c r="R1475" t="s">
        <v>244</v>
      </c>
      <c r="S1475" t="str">
        <v>#N/A</v>
      </c>
      <c r="T1475" t="str">
        <v>#N/A</v>
      </c>
    </row>
    <row r="1476" spans="1:20" ht="13.7" customHeight="1" x14ac:dyDescent="0.25">
      <c r="A1476" t="s">
        <v>26</v>
      </c>
      <c r="B1476" t="s">
        <v>27</v>
      </c>
      <c r="C1476" t="s">
        <v>34</v>
      </c>
      <c r="D1476">
        <v>71</v>
      </c>
      <c r="E1476" s="5">
        <v>43561</v>
      </c>
      <c r="F1476">
        <v>13659501</v>
      </c>
      <c r="G1476">
        <v>0</v>
      </c>
      <c r="H1476" t="s">
        <v>1153</v>
      </c>
      <c r="I1476" t="s">
        <v>1154</v>
      </c>
      <c r="J1476">
        <v>1008</v>
      </c>
      <c r="K1476">
        <v>1317</v>
      </c>
      <c r="L1476" s="3">
        <v>-350000</v>
      </c>
      <c r="M1476" s="3">
        <v>0</v>
      </c>
      <c r="N1476">
        <v>50000</v>
      </c>
      <c r="O1476">
        <v>0</v>
      </c>
      <c r="P1476">
        <v>-400000</v>
      </c>
      <c r="Q1476" t="s">
        <v>30</v>
      </c>
      <c r="R1476" t="s">
        <v>244</v>
      </c>
      <c r="S1476" t="str">
        <v>#N/A</v>
      </c>
      <c r="T1476" t="str">
        <v>#N/A</v>
      </c>
    </row>
    <row r="1477" spans="1:20" ht="13.7" customHeight="1" x14ac:dyDescent="0.25">
      <c r="A1477" t="s">
        <v>26</v>
      </c>
      <c r="B1477" t="s">
        <v>27</v>
      </c>
      <c r="C1477" t="s">
        <v>35</v>
      </c>
      <c r="D1477">
        <v>98</v>
      </c>
      <c r="E1477" s="5">
        <v>43603</v>
      </c>
      <c r="F1477">
        <v>13659501</v>
      </c>
      <c r="G1477">
        <v>0</v>
      </c>
      <c r="H1477" t="s">
        <v>1153</v>
      </c>
      <c r="I1477" t="s">
        <v>1154</v>
      </c>
      <c r="J1477">
        <v>1008</v>
      </c>
      <c r="K1477">
        <v>1317</v>
      </c>
      <c r="L1477" s="3">
        <v>-400000</v>
      </c>
      <c r="M1477" s="3">
        <v>0</v>
      </c>
      <c r="N1477">
        <v>50000</v>
      </c>
      <c r="O1477">
        <v>0</v>
      </c>
      <c r="P1477">
        <v>-450000</v>
      </c>
      <c r="Q1477" t="s">
        <v>30</v>
      </c>
      <c r="R1477" t="s">
        <v>261</v>
      </c>
      <c r="S1477" t="str">
        <v>#N/A</v>
      </c>
      <c r="T1477" t="str">
        <v>#N/A</v>
      </c>
    </row>
    <row r="1478" spans="1:20" ht="13.7" customHeight="1" x14ac:dyDescent="0.25">
      <c r="A1478" t="s">
        <v>26</v>
      </c>
      <c r="B1478" t="s">
        <v>27</v>
      </c>
      <c r="C1478" t="s">
        <v>36</v>
      </c>
      <c r="D1478">
        <v>71</v>
      </c>
      <c r="E1478" s="5">
        <v>43631</v>
      </c>
      <c r="F1478">
        <v>13659501</v>
      </c>
      <c r="G1478">
        <v>0</v>
      </c>
      <c r="H1478" t="s">
        <v>1153</v>
      </c>
      <c r="I1478" t="s">
        <v>1154</v>
      </c>
      <c r="J1478">
        <v>1008</v>
      </c>
      <c r="K1478">
        <v>1317</v>
      </c>
      <c r="L1478" s="3">
        <v>-450000</v>
      </c>
      <c r="M1478" s="3">
        <v>0</v>
      </c>
      <c r="N1478">
        <v>50000</v>
      </c>
      <c r="O1478">
        <v>0</v>
      </c>
      <c r="P1478">
        <v>-500000</v>
      </c>
      <c r="Q1478" t="s">
        <v>30</v>
      </c>
      <c r="R1478" t="s">
        <v>270</v>
      </c>
      <c r="S1478" t="str">
        <v>#N/A</v>
      </c>
      <c r="T1478" t="str">
        <v>#N/A</v>
      </c>
    </row>
    <row r="1479" spans="1:20" ht="13.7" customHeight="1" x14ac:dyDescent="0.25">
      <c r="A1479" t="s">
        <v>26</v>
      </c>
      <c r="B1479" t="s">
        <v>27</v>
      </c>
      <c r="C1479" t="s">
        <v>37</v>
      </c>
      <c r="D1479">
        <v>66</v>
      </c>
      <c r="E1479" s="5">
        <v>43659</v>
      </c>
      <c r="F1479">
        <v>13659501</v>
      </c>
      <c r="G1479">
        <v>0</v>
      </c>
      <c r="H1479" t="s">
        <v>1153</v>
      </c>
      <c r="I1479" t="s">
        <v>1154</v>
      </c>
      <c r="J1479">
        <v>1008</v>
      </c>
      <c r="K1479">
        <v>1317</v>
      </c>
      <c r="L1479" s="3">
        <v>-500000</v>
      </c>
      <c r="M1479" s="3">
        <v>0</v>
      </c>
      <c r="N1479">
        <v>50000</v>
      </c>
      <c r="O1479">
        <v>0</v>
      </c>
      <c r="P1479">
        <v>-550000</v>
      </c>
      <c r="Q1479" t="s">
        <v>30</v>
      </c>
      <c r="R1479" t="s">
        <v>279</v>
      </c>
      <c r="S1479" t="str">
        <v>#N/A</v>
      </c>
      <c r="T1479" t="str">
        <v>#N/A</v>
      </c>
    </row>
    <row r="1480" spans="1:20" ht="13.7" customHeight="1" x14ac:dyDescent="0.25">
      <c r="A1480" t="s">
        <v>26</v>
      </c>
      <c r="B1480" t="s">
        <v>27</v>
      </c>
      <c r="C1480" t="s">
        <v>38</v>
      </c>
      <c r="D1480">
        <v>57</v>
      </c>
      <c r="E1480" s="5">
        <v>43701</v>
      </c>
      <c r="F1480">
        <v>13659501</v>
      </c>
      <c r="G1480">
        <v>0</v>
      </c>
      <c r="H1480" t="s">
        <v>1153</v>
      </c>
      <c r="I1480" t="s">
        <v>1154</v>
      </c>
      <c r="J1480">
        <v>1008</v>
      </c>
      <c r="K1480">
        <v>1317</v>
      </c>
      <c r="L1480" s="3">
        <v>-550000</v>
      </c>
      <c r="M1480" s="3">
        <v>0</v>
      </c>
      <c r="N1480">
        <v>50000</v>
      </c>
      <c r="O1480">
        <v>0</v>
      </c>
      <c r="P1480">
        <v>-600000</v>
      </c>
      <c r="Q1480" t="s">
        <v>30</v>
      </c>
      <c r="R1480" t="s">
        <v>287</v>
      </c>
      <c r="S1480" t="str">
        <v>#N/A</v>
      </c>
      <c r="T1480" t="str">
        <v>#N/A</v>
      </c>
    </row>
    <row r="1481" spans="1:20" ht="13.7" customHeight="1" x14ac:dyDescent="0.25">
      <c r="A1481" t="s">
        <v>26</v>
      </c>
      <c r="B1481" t="s">
        <v>27</v>
      </c>
      <c r="C1481" t="s">
        <v>39</v>
      </c>
      <c r="D1481">
        <v>68</v>
      </c>
      <c r="E1481" s="5">
        <v>43715</v>
      </c>
      <c r="F1481">
        <v>13659501</v>
      </c>
      <c r="G1481">
        <v>0</v>
      </c>
      <c r="H1481" t="s">
        <v>1153</v>
      </c>
      <c r="I1481" t="s">
        <v>1154</v>
      </c>
      <c r="J1481">
        <v>1008</v>
      </c>
      <c r="K1481">
        <v>1317</v>
      </c>
      <c r="L1481" s="3">
        <v>-600000</v>
      </c>
      <c r="M1481" s="3">
        <v>0</v>
      </c>
      <c r="N1481">
        <v>50000</v>
      </c>
      <c r="O1481">
        <v>0</v>
      </c>
      <c r="P1481">
        <v>-650000</v>
      </c>
      <c r="Q1481" t="s">
        <v>30</v>
      </c>
      <c r="R1481" t="s">
        <v>288</v>
      </c>
      <c r="S1481" t="str">
        <v>#N/A</v>
      </c>
      <c r="T1481" t="str">
        <v>#N/A</v>
      </c>
    </row>
    <row r="1482" spans="1:20" ht="13.7" customHeight="1" x14ac:dyDescent="0.25">
      <c r="A1482" t="s">
        <v>26</v>
      </c>
      <c r="B1482" t="s">
        <v>27</v>
      </c>
      <c r="C1482" t="s">
        <v>39</v>
      </c>
      <c r="D1482">
        <v>69</v>
      </c>
      <c r="E1482" s="5">
        <v>43729</v>
      </c>
      <c r="F1482">
        <v>13659501</v>
      </c>
      <c r="G1482">
        <v>0</v>
      </c>
      <c r="H1482" t="s">
        <v>1153</v>
      </c>
      <c r="I1482" t="s">
        <v>1154</v>
      </c>
      <c r="J1482">
        <v>1008</v>
      </c>
      <c r="K1482">
        <v>1317</v>
      </c>
      <c r="L1482" s="3">
        <v>-650000</v>
      </c>
      <c r="M1482" s="3">
        <v>0</v>
      </c>
      <c r="N1482">
        <v>50000</v>
      </c>
      <c r="O1482">
        <v>0</v>
      </c>
      <c r="P1482">
        <v>-700000</v>
      </c>
      <c r="Q1482" t="s">
        <v>30</v>
      </c>
      <c r="R1482" t="s">
        <v>291</v>
      </c>
      <c r="S1482" t="str">
        <v>#N/A</v>
      </c>
      <c r="T1482" t="str">
        <v>#N/A</v>
      </c>
    </row>
    <row r="1483" spans="1:20" ht="13.7" customHeight="1" x14ac:dyDescent="0.25">
      <c r="A1483" t="s">
        <v>26</v>
      </c>
      <c r="B1483" t="s">
        <v>27</v>
      </c>
      <c r="C1483" t="s">
        <v>40</v>
      </c>
      <c r="D1483">
        <v>62</v>
      </c>
      <c r="E1483" s="5">
        <v>43757</v>
      </c>
      <c r="F1483">
        <v>13659501</v>
      </c>
      <c r="G1483">
        <v>0</v>
      </c>
      <c r="H1483" t="s">
        <v>1153</v>
      </c>
      <c r="I1483" t="s">
        <v>1154</v>
      </c>
      <c r="J1483">
        <v>1008</v>
      </c>
      <c r="K1483">
        <v>1317</v>
      </c>
      <c r="L1483" s="3">
        <v>-700000</v>
      </c>
      <c r="M1483" s="3">
        <v>0</v>
      </c>
      <c r="N1483">
        <v>50000</v>
      </c>
      <c r="O1483">
        <v>0</v>
      </c>
      <c r="P1483">
        <v>-750000</v>
      </c>
      <c r="Q1483" t="s">
        <v>30</v>
      </c>
      <c r="R1483" t="s">
        <v>299</v>
      </c>
      <c r="S1483" t="str">
        <v>#N/A</v>
      </c>
      <c r="T1483" t="str">
        <v>#N/A</v>
      </c>
    </row>
    <row r="1484" spans="1:20" ht="13.7" customHeight="1" x14ac:dyDescent="0.25">
      <c r="A1484" t="s">
        <v>26</v>
      </c>
      <c r="B1484" t="s">
        <v>27</v>
      </c>
      <c r="C1484" t="s">
        <v>41</v>
      </c>
      <c r="D1484">
        <v>76</v>
      </c>
      <c r="E1484" s="5">
        <v>43771</v>
      </c>
      <c r="F1484">
        <v>13659501</v>
      </c>
      <c r="G1484">
        <v>0</v>
      </c>
      <c r="H1484" t="s">
        <v>1153</v>
      </c>
      <c r="I1484" t="s">
        <v>1154</v>
      </c>
      <c r="J1484">
        <v>1008</v>
      </c>
      <c r="K1484">
        <v>1317</v>
      </c>
      <c r="L1484" s="3">
        <v>-750000</v>
      </c>
      <c r="M1484" s="3">
        <v>30000</v>
      </c>
      <c r="N1484">
        <v>0</v>
      </c>
      <c r="O1484">
        <v>0</v>
      </c>
      <c r="P1484">
        <v>-720000</v>
      </c>
      <c r="Q1484" t="s">
        <v>30</v>
      </c>
      <c r="R1484" t="s">
        <v>301</v>
      </c>
      <c r="S1484" t="str">
        <v>#N/A</v>
      </c>
      <c r="T1484" t="str">
        <v>#N/A</v>
      </c>
    </row>
    <row r="1485" spans="1:20" ht="13.7" customHeight="1" x14ac:dyDescent="0.25">
      <c r="A1485" t="s">
        <v>26</v>
      </c>
      <c r="B1485" t="s">
        <v>27</v>
      </c>
      <c r="C1485" t="s">
        <v>41</v>
      </c>
      <c r="D1485">
        <v>77</v>
      </c>
      <c r="E1485" s="5">
        <v>43785</v>
      </c>
      <c r="F1485">
        <v>13659501</v>
      </c>
      <c r="G1485">
        <v>0</v>
      </c>
      <c r="H1485" t="s">
        <v>1153</v>
      </c>
      <c r="I1485" t="s">
        <v>1154</v>
      </c>
      <c r="J1485">
        <v>1008</v>
      </c>
      <c r="K1485">
        <v>1317</v>
      </c>
      <c r="L1485" s="3">
        <v>-720000</v>
      </c>
      <c r="M1485" s="3">
        <v>0</v>
      </c>
      <c r="N1485">
        <v>50000</v>
      </c>
      <c r="O1485">
        <v>0</v>
      </c>
      <c r="P1485">
        <v>-770000</v>
      </c>
      <c r="Q1485" t="s">
        <v>30</v>
      </c>
      <c r="R1485" t="s">
        <v>305</v>
      </c>
      <c r="S1485" t="str">
        <v>#N/A</v>
      </c>
      <c r="T1485" t="str">
        <v>#N/A</v>
      </c>
    </row>
    <row r="1486" spans="1:20" ht="13.7" customHeight="1" x14ac:dyDescent="0.25">
      <c r="A1486" t="s">
        <v>26</v>
      </c>
      <c r="B1486" t="s">
        <v>27</v>
      </c>
      <c r="C1486" t="s">
        <v>180</v>
      </c>
      <c r="D1486">
        <v>1</v>
      </c>
      <c r="E1486" s="5">
        <v>43813</v>
      </c>
      <c r="F1486">
        <v>13659501</v>
      </c>
      <c r="G1486">
        <v>0</v>
      </c>
      <c r="H1486" t="s">
        <v>1153</v>
      </c>
      <c r="I1486" t="s">
        <v>1154</v>
      </c>
      <c r="J1486">
        <v>1008</v>
      </c>
      <c r="K1486">
        <v>1317</v>
      </c>
      <c r="L1486" s="3">
        <v>-770000</v>
      </c>
      <c r="M1486" s="3">
        <v>0</v>
      </c>
      <c r="N1486">
        <v>50000</v>
      </c>
      <c r="O1486">
        <v>0</v>
      </c>
      <c r="P1486">
        <v>-820000</v>
      </c>
      <c r="Q1486" t="s">
        <v>30</v>
      </c>
      <c r="R1486" t="s">
        <v>316</v>
      </c>
      <c r="S1486" t="str">
        <v>#N/A</v>
      </c>
      <c r="T1486" t="str">
        <v>#N/A</v>
      </c>
    </row>
    <row r="1487" spans="1:20" ht="13.7" customHeight="1" x14ac:dyDescent="0.25">
      <c r="A1487" t="s">
        <v>26</v>
      </c>
      <c r="B1487" t="s">
        <v>27</v>
      </c>
      <c r="C1487" t="s">
        <v>180</v>
      </c>
      <c r="D1487">
        <v>90</v>
      </c>
      <c r="E1487" s="5">
        <v>43819</v>
      </c>
      <c r="F1487">
        <v>13659501</v>
      </c>
      <c r="G1487">
        <v>0</v>
      </c>
      <c r="H1487" t="s">
        <v>1153</v>
      </c>
      <c r="I1487" t="s">
        <v>1154</v>
      </c>
      <c r="J1487" t="e">
        <v>#N/A</v>
      </c>
      <c r="K1487" t="e">
        <v>#N/A</v>
      </c>
      <c r="L1487" s="3">
        <v>-820000</v>
      </c>
      <c r="M1487" s="3">
        <v>0</v>
      </c>
      <c r="N1487">
        <v>50000</v>
      </c>
      <c r="O1487">
        <v>0</v>
      </c>
      <c r="P1487">
        <v>-870000</v>
      </c>
      <c r="Q1487" t="s">
        <v>30</v>
      </c>
      <c r="R1487" t="s">
        <v>1503</v>
      </c>
      <c r="S1487" t="str">
        <v>#N/A</v>
      </c>
      <c r="T1487" t="str">
        <v>#N/A</v>
      </c>
    </row>
    <row r="1488" spans="1:20" ht="13.7" customHeight="1" x14ac:dyDescent="0.25">
      <c r="E1488" s="5">
        <v>43465</v>
      </c>
      <c r="F1488">
        <v>13802001</v>
      </c>
      <c r="G1488">
        <v>0</v>
      </c>
      <c r="H1488" t="s">
        <v>1143</v>
      </c>
      <c r="I1488" t="s">
        <v>1144</v>
      </c>
      <c r="J1488">
        <v>0</v>
      </c>
      <c r="K1488">
        <v>0</v>
      </c>
      <c r="L1488" s="3">
        <v>0</v>
      </c>
      <c r="M1488" s="3">
        <v>0</v>
      </c>
      <c r="N1488">
        <v>0</v>
      </c>
      <c r="O1488">
        <v>0</v>
      </c>
      <c r="P1488">
        <v>0</v>
      </c>
      <c r="R1488" t="s">
        <v>1100</v>
      </c>
      <c r="S1488" t="str">
        <v>#N/A</v>
      </c>
      <c r="T1488" t="str">
        <v>#N/A</v>
      </c>
    </row>
    <row r="1489" spans="1:20" ht="13.7" customHeight="1" x14ac:dyDescent="0.25">
      <c r="A1489" t="s">
        <v>219</v>
      </c>
      <c r="B1489" t="s">
        <v>220</v>
      </c>
      <c r="C1489" t="s">
        <v>232</v>
      </c>
      <c r="D1489">
        <v>1</v>
      </c>
      <c r="E1489" s="5">
        <v>43525</v>
      </c>
      <c r="F1489">
        <v>13802001</v>
      </c>
      <c r="G1489">
        <v>0</v>
      </c>
      <c r="H1489" t="s">
        <v>1143</v>
      </c>
      <c r="I1489" t="s">
        <v>1144</v>
      </c>
      <c r="J1489">
        <v>1008</v>
      </c>
      <c r="K1489">
        <v>1317</v>
      </c>
      <c r="L1489" s="3">
        <v>0</v>
      </c>
      <c r="M1489" s="3">
        <v>41500000</v>
      </c>
      <c r="N1489">
        <v>0</v>
      </c>
      <c r="O1489">
        <v>0</v>
      </c>
      <c r="P1489">
        <v>41500000</v>
      </c>
      <c r="Q1489" t="s">
        <v>30</v>
      </c>
      <c r="R1489" t="s">
        <v>233</v>
      </c>
      <c r="S1489" t="str">
        <v>#N/A</v>
      </c>
      <c r="T1489" t="str">
        <v>#N/A</v>
      </c>
    </row>
    <row r="1490" spans="1:20" ht="13.7" customHeight="1" x14ac:dyDescent="0.25">
      <c r="A1490" t="s">
        <v>219</v>
      </c>
      <c r="B1490" t="s">
        <v>220</v>
      </c>
      <c r="C1490" t="s">
        <v>248</v>
      </c>
      <c r="D1490">
        <v>1</v>
      </c>
      <c r="E1490" s="5">
        <v>43556</v>
      </c>
      <c r="F1490">
        <v>13802001</v>
      </c>
      <c r="G1490">
        <v>0</v>
      </c>
      <c r="H1490" t="s">
        <v>1143</v>
      </c>
      <c r="I1490" t="s">
        <v>1144</v>
      </c>
      <c r="J1490">
        <v>1008</v>
      </c>
      <c r="K1490">
        <v>1317</v>
      </c>
      <c r="L1490" s="3">
        <v>41500000</v>
      </c>
      <c r="M1490" s="3">
        <v>0</v>
      </c>
      <c r="N1490">
        <v>800000</v>
      </c>
      <c r="O1490">
        <v>0</v>
      </c>
      <c r="P1490">
        <v>40700000</v>
      </c>
      <c r="Q1490" t="s">
        <v>30</v>
      </c>
      <c r="R1490" t="s">
        <v>233</v>
      </c>
      <c r="S1490" t="str">
        <v>#N/A</v>
      </c>
      <c r="T1490" t="str">
        <v>#N/A</v>
      </c>
    </row>
    <row r="1491" spans="1:20" ht="13.7" customHeight="1" x14ac:dyDescent="0.25">
      <c r="A1491" t="s">
        <v>219</v>
      </c>
      <c r="B1491" t="s">
        <v>220</v>
      </c>
      <c r="C1491" t="s">
        <v>35</v>
      </c>
      <c r="D1491">
        <v>1</v>
      </c>
      <c r="E1491" s="5">
        <v>43591</v>
      </c>
      <c r="F1491">
        <v>13802001</v>
      </c>
      <c r="G1491">
        <v>0</v>
      </c>
      <c r="H1491" t="s">
        <v>1143</v>
      </c>
      <c r="I1491" t="s">
        <v>1144</v>
      </c>
      <c r="J1491">
        <v>1008</v>
      </c>
      <c r="K1491">
        <v>1317</v>
      </c>
      <c r="L1491" s="3">
        <v>40700000</v>
      </c>
      <c r="M1491" s="3">
        <v>0</v>
      </c>
      <c r="N1491">
        <v>800000</v>
      </c>
      <c r="O1491">
        <v>0</v>
      </c>
      <c r="P1491">
        <v>39900000</v>
      </c>
      <c r="Q1491" t="s">
        <v>30</v>
      </c>
      <c r="R1491" t="s">
        <v>233</v>
      </c>
      <c r="S1491" t="str">
        <v>#N/A</v>
      </c>
      <c r="T1491" t="str">
        <v>#N/A</v>
      </c>
    </row>
    <row r="1492" spans="1:20" ht="13.7" customHeight="1" x14ac:dyDescent="0.25">
      <c r="A1492" t="s">
        <v>219</v>
      </c>
      <c r="B1492" t="s">
        <v>220</v>
      </c>
      <c r="C1492" t="s">
        <v>36</v>
      </c>
      <c r="D1492">
        <v>1</v>
      </c>
      <c r="E1492" s="5">
        <v>43617</v>
      </c>
      <c r="F1492">
        <v>13802001</v>
      </c>
      <c r="G1492">
        <v>0</v>
      </c>
      <c r="H1492" t="s">
        <v>1143</v>
      </c>
      <c r="I1492" t="s">
        <v>1144</v>
      </c>
      <c r="J1492">
        <v>1008</v>
      </c>
      <c r="K1492">
        <v>1317</v>
      </c>
      <c r="L1492" s="3">
        <v>39900000</v>
      </c>
      <c r="M1492" s="3">
        <v>0</v>
      </c>
      <c r="N1492">
        <v>800000</v>
      </c>
      <c r="O1492">
        <v>0</v>
      </c>
      <c r="P1492">
        <v>39100000</v>
      </c>
      <c r="Q1492" t="s">
        <v>30</v>
      </c>
      <c r="R1492" t="s">
        <v>233</v>
      </c>
      <c r="S1492" t="str">
        <v>#N/A</v>
      </c>
      <c r="T1492" t="str">
        <v>#N/A</v>
      </c>
    </row>
    <row r="1493" spans="1:20" ht="13.7" customHeight="1" x14ac:dyDescent="0.25">
      <c r="A1493" t="s">
        <v>219</v>
      </c>
      <c r="B1493" t="s">
        <v>220</v>
      </c>
      <c r="C1493" t="s">
        <v>36</v>
      </c>
      <c r="D1493">
        <v>2</v>
      </c>
      <c r="E1493" s="5">
        <v>43643</v>
      </c>
      <c r="F1493">
        <v>13802001</v>
      </c>
      <c r="G1493">
        <v>0</v>
      </c>
      <c r="H1493" t="s">
        <v>1143</v>
      </c>
      <c r="I1493" t="s">
        <v>1144</v>
      </c>
      <c r="J1493">
        <v>1008</v>
      </c>
      <c r="K1493">
        <v>1317</v>
      </c>
      <c r="L1493" s="3">
        <v>39100000</v>
      </c>
      <c r="M1493" s="3">
        <v>500000</v>
      </c>
      <c r="N1493">
        <v>0</v>
      </c>
      <c r="O1493">
        <v>0</v>
      </c>
      <c r="P1493">
        <v>39600000</v>
      </c>
      <c r="Q1493" t="s">
        <v>30</v>
      </c>
      <c r="R1493" t="s">
        <v>275</v>
      </c>
      <c r="S1493" t="str">
        <v>#N/A</v>
      </c>
      <c r="T1493" t="str">
        <v>#N/A</v>
      </c>
    </row>
    <row r="1494" spans="1:20" ht="13.7" customHeight="1" x14ac:dyDescent="0.25">
      <c r="A1494" t="s">
        <v>219</v>
      </c>
      <c r="B1494" t="s">
        <v>220</v>
      </c>
      <c r="C1494" t="s">
        <v>37</v>
      </c>
      <c r="D1494">
        <v>1</v>
      </c>
      <c r="E1494" s="5">
        <v>43650</v>
      </c>
      <c r="F1494">
        <v>13802001</v>
      </c>
      <c r="G1494">
        <v>0</v>
      </c>
      <c r="H1494" t="s">
        <v>1143</v>
      </c>
      <c r="I1494" t="s">
        <v>1144</v>
      </c>
      <c r="J1494">
        <v>1008</v>
      </c>
      <c r="K1494">
        <v>1317</v>
      </c>
      <c r="L1494" s="3">
        <v>39600000</v>
      </c>
      <c r="M1494" s="3">
        <v>0</v>
      </c>
      <c r="N1494">
        <v>800000</v>
      </c>
      <c r="O1494">
        <v>0</v>
      </c>
      <c r="P1494">
        <v>38800000</v>
      </c>
      <c r="Q1494" t="s">
        <v>30</v>
      </c>
      <c r="R1494" t="s">
        <v>233</v>
      </c>
      <c r="S1494" t="str">
        <v>#N/A</v>
      </c>
      <c r="T1494" t="str">
        <v>#N/A</v>
      </c>
    </row>
    <row r="1495" spans="1:20" ht="13.7" customHeight="1" x14ac:dyDescent="0.25">
      <c r="E1495" s="5">
        <v>43465</v>
      </c>
      <c r="F1495">
        <v>13802001</v>
      </c>
      <c r="G1495">
        <v>0</v>
      </c>
      <c r="H1495" t="s">
        <v>1115</v>
      </c>
      <c r="I1495" t="s">
        <v>1116</v>
      </c>
      <c r="J1495">
        <v>0</v>
      </c>
      <c r="K1495">
        <v>0</v>
      </c>
      <c r="L1495" s="3">
        <v>0</v>
      </c>
      <c r="M1495" s="3">
        <v>0</v>
      </c>
      <c r="N1495">
        <v>0</v>
      </c>
      <c r="O1495">
        <v>0</v>
      </c>
      <c r="P1495">
        <v>0</v>
      </c>
      <c r="R1495" t="s">
        <v>1100</v>
      </c>
      <c r="S1495" t="str">
        <v>#N/A</v>
      </c>
      <c r="T1495" t="str">
        <v>13</v>
      </c>
    </row>
    <row r="1496" spans="1:20" ht="13.7" customHeight="1" x14ac:dyDescent="0.25">
      <c r="A1496" t="s">
        <v>26</v>
      </c>
      <c r="B1496" t="s">
        <v>27</v>
      </c>
      <c r="C1496" t="s">
        <v>180</v>
      </c>
      <c r="D1496">
        <v>7</v>
      </c>
      <c r="E1496" s="5">
        <v>43804</v>
      </c>
      <c r="F1496">
        <v>13802001</v>
      </c>
      <c r="G1496">
        <v>0</v>
      </c>
      <c r="H1496" t="s">
        <v>1115</v>
      </c>
      <c r="I1496" t="s">
        <v>1116</v>
      </c>
      <c r="J1496">
        <v>1008</v>
      </c>
      <c r="K1496">
        <v>1317</v>
      </c>
      <c r="L1496" s="3">
        <v>0</v>
      </c>
      <c r="M1496" s="3">
        <v>748671</v>
      </c>
      <c r="N1496">
        <v>0</v>
      </c>
      <c r="O1496">
        <v>0</v>
      </c>
      <c r="P1496">
        <v>748671</v>
      </c>
      <c r="Q1496" t="s">
        <v>30</v>
      </c>
      <c r="R1496" t="s">
        <v>310</v>
      </c>
      <c r="S1496" t="str">
        <v>#N/A</v>
      </c>
      <c r="T1496" t="str">
        <v>13</v>
      </c>
    </row>
    <row r="1497" spans="1:20" ht="13.7" customHeight="1" x14ac:dyDescent="0.25">
      <c r="E1497" s="5">
        <v>43465</v>
      </c>
      <c r="F1497">
        <v>13802001</v>
      </c>
      <c r="G1497">
        <v>0</v>
      </c>
      <c r="H1497" t="s">
        <v>1105</v>
      </c>
      <c r="I1497" t="s">
        <v>1106</v>
      </c>
      <c r="J1497">
        <v>0</v>
      </c>
      <c r="K1497">
        <v>0</v>
      </c>
      <c r="L1497" s="3">
        <v>0</v>
      </c>
      <c r="M1497" s="3">
        <v>0</v>
      </c>
      <c r="N1497">
        <v>0</v>
      </c>
      <c r="O1497">
        <v>0</v>
      </c>
      <c r="P1497">
        <v>0</v>
      </c>
      <c r="R1497" t="s">
        <v>1100</v>
      </c>
      <c r="S1497" t="str">
        <v>#N/A</v>
      </c>
      <c r="T1497" t="str">
        <v>#N/A</v>
      </c>
    </row>
    <row r="1498" spans="1:20" ht="13.7" customHeight="1" x14ac:dyDescent="0.25">
      <c r="A1498" t="s">
        <v>219</v>
      </c>
      <c r="B1498" t="s">
        <v>220</v>
      </c>
      <c r="C1498" t="s">
        <v>232</v>
      </c>
      <c r="D1498">
        <v>2</v>
      </c>
      <c r="E1498" s="5">
        <v>43547</v>
      </c>
      <c r="F1498">
        <v>13802001</v>
      </c>
      <c r="G1498">
        <v>0</v>
      </c>
      <c r="H1498" t="s">
        <v>1105</v>
      </c>
      <c r="I1498" t="s">
        <v>1106</v>
      </c>
      <c r="J1498">
        <v>1008</v>
      </c>
      <c r="K1498">
        <v>1317</v>
      </c>
      <c r="L1498" s="3">
        <v>0</v>
      </c>
      <c r="M1498" s="3">
        <v>0</v>
      </c>
      <c r="N1498">
        <v>836000</v>
      </c>
      <c r="O1498">
        <v>0</v>
      </c>
      <c r="P1498">
        <v>-836000</v>
      </c>
      <c r="Q1498" t="s">
        <v>30</v>
      </c>
      <c r="R1498" t="s">
        <v>233</v>
      </c>
      <c r="S1498" t="str">
        <v>#N/A</v>
      </c>
      <c r="T1498" t="str">
        <v>#N/A</v>
      </c>
    </row>
    <row r="1499" spans="1:20" ht="13.7" customHeight="1" x14ac:dyDescent="0.25">
      <c r="E1499" s="5">
        <v>43465</v>
      </c>
      <c r="F1499">
        <v>14350101</v>
      </c>
      <c r="G1499">
        <v>0</v>
      </c>
      <c r="H1499" t="s">
        <v>1115</v>
      </c>
      <c r="I1499" t="s">
        <v>1116</v>
      </c>
      <c r="J1499">
        <v>0</v>
      </c>
      <c r="K1499">
        <v>0</v>
      </c>
      <c r="L1499" s="3">
        <v>2000000</v>
      </c>
      <c r="M1499" s="3">
        <v>0</v>
      </c>
      <c r="N1499">
        <v>0</v>
      </c>
      <c r="O1499">
        <v>0</v>
      </c>
      <c r="P1499">
        <v>2000000</v>
      </c>
      <c r="R1499" t="s">
        <v>1100</v>
      </c>
      <c r="S1499" t="str">
        <v>#N/A</v>
      </c>
      <c r="T1499" t="str">
        <v>13</v>
      </c>
    </row>
    <row r="1500" spans="1:20" ht="13.7" customHeight="1" x14ac:dyDescent="0.25">
      <c r="E1500" s="5">
        <v>43465</v>
      </c>
      <c r="F1500">
        <v>15200501</v>
      </c>
      <c r="G1500">
        <v>0</v>
      </c>
      <c r="H1500" t="s">
        <v>1155</v>
      </c>
      <c r="I1500" t="s">
        <v>1156</v>
      </c>
      <c r="J1500">
        <v>0</v>
      </c>
      <c r="K1500">
        <v>0</v>
      </c>
      <c r="L1500" s="3">
        <v>0</v>
      </c>
      <c r="M1500" s="3">
        <v>0</v>
      </c>
      <c r="N1500">
        <v>0</v>
      </c>
      <c r="O1500">
        <v>0</v>
      </c>
      <c r="P1500">
        <v>0</v>
      </c>
      <c r="R1500" t="s">
        <v>1100</v>
      </c>
      <c r="S1500" t="str">
        <v>#N/A</v>
      </c>
      <c r="T1500" t="str">
        <v>#N/A</v>
      </c>
    </row>
    <row r="1501" spans="1:20" ht="13.7" customHeight="1" x14ac:dyDescent="0.25">
      <c r="A1501" t="s">
        <v>26</v>
      </c>
      <c r="B1501" t="s">
        <v>27</v>
      </c>
      <c r="C1501" t="s">
        <v>41</v>
      </c>
      <c r="D1501">
        <v>51</v>
      </c>
      <c r="E1501" s="5">
        <v>43788</v>
      </c>
      <c r="F1501">
        <v>15200501</v>
      </c>
      <c r="G1501">
        <v>0</v>
      </c>
      <c r="H1501" t="s">
        <v>1155</v>
      </c>
      <c r="I1501" t="s">
        <v>1156</v>
      </c>
      <c r="J1501">
        <v>1001</v>
      </c>
      <c r="K1501">
        <v>5008</v>
      </c>
      <c r="L1501" s="3">
        <v>0</v>
      </c>
      <c r="M1501" s="3">
        <v>10000000</v>
      </c>
      <c r="N1501">
        <v>0</v>
      </c>
      <c r="O1501">
        <v>0</v>
      </c>
      <c r="P1501">
        <v>10000000</v>
      </c>
      <c r="Q1501" t="s">
        <v>30</v>
      </c>
      <c r="R1501" t="s">
        <v>306</v>
      </c>
      <c r="S1501" t="str">
        <v>#N/A</v>
      </c>
      <c r="T1501" t="str">
        <v>#N/A</v>
      </c>
    </row>
    <row r="1502" spans="1:20" ht="13.7" customHeight="1" x14ac:dyDescent="0.25">
      <c r="E1502" s="5">
        <v>43465</v>
      </c>
      <c r="F1502">
        <v>15200501</v>
      </c>
      <c r="G1502">
        <v>0</v>
      </c>
      <c r="H1502" t="s">
        <v>1523</v>
      </c>
      <c r="I1502" t="s">
        <v>1524</v>
      </c>
      <c r="J1502">
        <v>0</v>
      </c>
      <c r="K1502">
        <v>0</v>
      </c>
      <c r="L1502" s="3">
        <v>0</v>
      </c>
      <c r="M1502" s="3">
        <v>0</v>
      </c>
      <c r="N1502">
        <v>0</v>
      </c>
      <c r="O1502">
        <v>0</v>
      </c>
      <c r="P1502">
        <v>0</v>
      </c>
      <c r="R1502" t="s">
        <v>1100</v>
      </c>
      <c r="S1502" t="str">
        <v>#N/A</v>
      </c>
      <c r="T1502" t="str">
        <v>#N/A</v>
      </c>
    </row>
    <row r="1503" spans="1:20" ht="13.7" customHeight="1" x14ac:dyDescent="0.25">
      <c r="A1503" t="s">
        <v>26</v>
      </c>
      <c r="B1503" t="s">
        <v>27</v>
      </c>
      <c r="C1503" t="s">
        <v>180</v>
      </c>
      <c r="D1503">
        <v>9</v>
      </c>
      <c r="E1503" s="5">
        <v>43805</v>
      </c>
      <c r="F1503">
        <v>15200501</v>
      </c>
      <c r="G1503">
        <v>0</v>
      </c>
      <c r="H1503" t="s">
        <v>1523</v>
      </c>
      <c r="I1503" t="s">
        <v>1524</v>
      </c>
      <c r="J1503">
        <v>1001</v>
      </c>
      <c r="K1503">
        <v>5008</v>
      </c>
      <c r="L1503" s="3">
        <v>0</v>
      </c>
      <c r="M1503" s="3">
        <v>600000</v>
      </c>
      <c r="N1503">
        <v>0</v>
      </c>
      <c r="O1503">
        <v>0</v>
      </c>
      <c r="P1503">
        <v>600000</v>
      </c>
      <c r="Q1503" t="s">
        <v>30</v>
      </c>
      <c r="R1503" t="s">
        <v>312</v>
      </c>
      <c r="S1503" t="str">
        <v>#N/A</v>
      </c>
      <c r="T1503" t="str">
        <v>#N/A</v>
      </c>
    </row>
    <row r="1504" spans="1:20" ht="13.7" customHeight="1" x14ac:dyDescent="0.25">
      <c r="E1504" s="5">
        <v>43465</v>
      </c>
      <c r="F1504">
        <v>15200501</v>
      </c>
      <c r="G1504">
        <v>0</v>
      </c>
      <c r="H1504" t="s">
        <v>1382</v>
      </c>
      <c r="I1504" t="s">
        <v>1383</v>
      </c>
      <c r="J1504">
        <v>0</v>
      </c>
      <c r="K1504">
        <v>0</v>
      </c>
      <c r="L1504" s="3">
        <v>211071</v>
      </c>
      <c r="M1504" s="3">
        <v>0</v>
      </c>
      <c r="N1504">
        <v>0</v>
      </c>
      <c r="O1504">
        <v>0</v>
      </c>
      <c r="P1504">
        <v>211071</v>
      </c>
      <c r="R1504" t="s">
        <v>1100</v>
      </c>
      <c r="S1504" t="str">
        <v>#N/A</v>
      </c>
      <c r="T1504" t="str">
        <v>#N/A</v>
      </c>
    </row>
    <row r="1505" spans="1:20" ht="13.7" customHeight="1" x14ac:dyDescent="0.25">
      <c r="E1505" s="5">
        <v>43465</v>
      </c>
      <c r="F1505">
        <v>15200502</v>
      </c>
      <c r="G1505">
        <v>0</v>
      </c>
      <c r="H1505" t="s">
        <v>1525</v>
      </c>
      <c r="I1505" t="s">
        <v>1526</v>
      </c>
      <c r="J1505">
        <v>0</v>
      </c>
      <c r="K1505">
        <v>0</v>
      </c>
      <c r="L1505" s="3">
        <v>1069999</v>
      </c>
      <c r="M1505" s="3">
        <v>0</v>
      </c>
      <c r="N1505">
        <v>0</v>
      </c>
      <c r="O1505">
        <v>0</v>
      </c>
      <c r="P1505">
        <v>1069999</v>
      </c>
      <c r="R1505" t="s">
        <v>1100</v>
      </c>
      <c r="S1505" t="str">
        <v>#N/A</v>
      </c>
      <c r="T1505" t="str">
        <v>31</v>
      </c>
    </row>
    <row r="1506" spans="1:20" ht="13.7" customHeight="1" x14ac:dyDescent="0.25">
      <c r="E1506" s="5">
        <v>43465</v>
      </c>
      <c r="F1506">
        <v>15280501</v>
      </c>
      <c r="G1506" t="e">
        <v>#N/A</v>
      </c>
      <c r="H1506" t="s">
        <v>1157</v>
      </c>
      <c r="I1506" t="s">
        <v>1158</v>
      </c>
      <c r="J1506" t="e">
        <v>#N/A</v>
      </c>
      <c r="K1506" t="e">
        <v>#N/A</v>
      </c>
      <c r="L1506" s="3">
        <v>0</v>
      </c>
      <c r="M1506" s="3">
        <v>0</v>
      </c>
      <c r="N1506">
        <v>0</v>
      </c>
      <c r="O1506">
        <v>0</v>
      </c>
      <c r="P1506">
        <v>0</v>
      </c>
      <c r="R1506" t="s">
        <v>1100</v>
      </c>
      <c r="S1506" t="str">
        <v>#N/A</v>
      </c>
      <c r="T1506" t="str">
        <v>#N/A</v>
      </c>
    </row>
    <row r="1507" spans="1:20" ht="13.7" customHeight="1" x14ac:dyDescent="0.25">
      <c r="A1507" t="s">
        <v>26</v>
      </c>
      <c r="B1507" t="s">
        <v>27</v>
      </c>
      <c r="C1507" t="s">
        <v>37</v>
      </c>
      <c r="D1507">
        <v>17</v>
      </c>
      <c r="E1507" s="5">
        <v>43652</v>
      </c>
      <c r="F1507">
        <v>15280501</v>
      </c>
      <c r="G1507" t="e">
        <v>#N/A</v>
      </c>
      <c r="H1507" t="s">
        <v>1157</v>
      </c>
      <c r="I1507" t="s">
        <v>1158</v>
      </c>
      <c r="J1507">
        <v>1001</v>
      </c>
      <c r="K1507">
        <v>5008</v>
      </c>
      <c r="L1507" s="3">
        <v>0</v>
      </c>
      <c r="M1507" s="3">
        <v>210000</v>
      </c>
      <c r="N1507">
        <v>0</v>
      </c>
      <c r="O1507">
        <v>0</v>
      </c>
      <c r="P1507">
        <v>210000</v>
      </c>
      <c r="Q1507" t="s">
        <v>30</v>
      </c>
      <c r="R1507" t="s">
        <v>551</v>
      </c>
      <c r="S1507" t="str">
        <v>#N/A</v>
      </c>
      <c r="T1507" t="str">
        <v>#N/A</v>
      </c>
    </row>
    <row r="1508" spans="1:20" ht="13.7" customHeight="1" x14ac:dyDescent="0.25">
      <c r="E1508" s="5">
        <v>43465</v>
      </c>
      <c r="F1508">
        <v>15400501</v>
      </c>
      <c r="G1508">
        <v>0</v>
      </c>
      <c r="H1508" t="s">
        <v>1115</v>
      </c>
      <c r="I1508" t="s">
        <v>1116</v>
      </c>
      <c r="J1508">
        <v>0</v>
      </c>
      <c r="K1508">
        <v>0</v>
      </c>
      <c r="L1508" s="3">
        <v>40000000</v>
      </c>
      <c r="M1508" s="3">
        <v>0</v>
      </c>
      <c r="N1508">
        <v>0</v>
      </c>
      <c r="O1508">
        <v>0</v>
      </c>
      <c r="P1508">
        <v>40000000</v>
      </c>
      <c r="R1508" t="s">
        <v>1100</v>
      </c>
      <c r="S1508" t="str">
        <v>#N/A</v>
      </c>
      <c r="T1508" t="str">
        <v>13</v>
      </c>
    </row>
    <row r="1509" spans="1:20" ht="13.7" customHeight="1" x14ac:dyDescent="0.25">
      <c r="E1509" s="5">
        <v>43465</v>
      </c>
      <c r="F1509">
        <v>21050101</v>
      </c>
      <c r="G1509" t="s">
        <v>635</v>
      </c>
      <c r="H1509" t="s">
        <v>1115</v>
      </c>
      <c r="I1509" t="s">
        <v>1116</v>
      </c>
      <c r="J1509">
        <v>0</v>
      </c>
      <c r="K1509">
        <v>0</v>
      </c>
      <c r="L1509" s="3">
        <v>-30000000</v>
      </c>
      <c r="M1509" s="3">
        <v>0</v>
      </c>
      <c r="N1509">
        <v>0</v>
      </c>
      <c r="O1509">
        <v>0</v>
      </c>
      <c r="P1509">
        <v>-30000000</v>
      </c>
      <c r="R1509" t="s">
        <v>1100</v>
      </c>
      <c r="S1509" t="str">
        <v>#N/A</v>
      </c>
      <c r="T1509" t="str">
        <v>13</v>
      </c>
    </row>
    <row r="1510" spans="1:20" ht="13.7" customHeight="1" x14ac:dyDescent="0.25">
      <c r="E1510" s="5">
        <v>43465</v>
      </c>
      <c r="F1510">
        <v>21050101</v>
      </c>
      <c r="G1510" t="s">
        <v>635</v>
      </c>
      <c r="H1510" t="s">
        <v>1161</v>
      </c>
      <c r="I1510" t="s">
        <v>1162</v>
      </c>
      <c r="J1510">
        <v>0</v>
      </c>
      <c r="K1510">
        <v>0</v>
      </c>
      <c r="L1510" s="3">
        <v>7568885</v>
      </c>
      <c r="M1510" s="3">
        <v>0</v>
      </c>
      <c r="N1510">
        <v>0</v>
      </c>
      <c r="O1510">
        <v>0</v>
      </c>
      <c r="P1510">
        <v>7568885</v>
      </c>
      <c r="R1510" t="s">
        <v>1100</v>
      </c>
      <c r="S1510" t="str">
        <v>#N/A</v>
      </c>
      <c r="T1510" t="str">
        <v>#N/A</v>
      </c>
    </row>
    <row r="1511" spans="1:20" ht="13.7" customHeight="1" x14ac:dyDescent="0.25">
      <c r="A1511" t="s">
        <v>26</v>
      </c>
      <c r="B1511" t="s">
        <v>27</v>
      </c>
      <c r="C1511" t="s">
        <v>28</v>
      </c>
      <c r="D1511">
        <v>35</v>
      </c>
      <c r="E1511" s="5">
        <v>43480</v>
      </c>
      <c r="F1511">
        <v>21050101</v>
      </c>
      <c r="G1511" t="s">
        <v>635</v>
      </c>
      <c r="H1511" t="s">
        <v>1161</v>
      </c>
      <c r="I1511" t="s">
        <v>1162</v>
      </c>
      <c r="J1511">
        <v>1009</v>
      </c>
      <c r="K1511">
        <v>2203</v>
      </c>
      <c r="L1511" s="3">
        <v>7568885</v>
      </c>
      <c r="M1511" s="3">
        <v>5057865</v>
      </c>
      <c r="N1511">
        <v>0</v>
      </c>
      <c r="O1511">
        <v>0</v>
      </c>
      <c r="P1511">
        <v>12626750</v>
      </c>
      <c r="Q1511" t="s">
        <v>30</v>
      </c>
      <c r="R1511" t="s">
        <v>196</v>
      </c>
      <c r="S1511" t="str">
        <v>#N/A</v>
      </c>
      <c r="T1511" t="str">
        <v>#N/A</v>
      </c>
    </row>
    <row r="1512" spans="1:20" ht="13.7" customHeight="1" x14ac:dyDescent="0.25">
      <c r="A1512" t="s">
        <v>219</v>
      </c>
      <c r="B1512" t="s">
        <v>220</v>
      </c>
      <c r="C1512" t="s">
        <v>221</v>
      </c>
      <c r="D1512">
        <v>1</v>
      </c>
      <c r="E1512" s="5">
        <v>43515</v>
      </c>
      <c r="F1512">
        <v>21050101</v>
      </c>
      <c r="G1512" t="s">
        <v>635</v>
      </c>
      <c r="H1512" t="s">
        <v>1161</v>
      </c>
      <c r="I1512" t="s">
        <v>1162</v>
      </c>
      <c r="J1512">
        <v>1009</v>
      </c>
      <c r="K1512">
        <v>2203</v>
      </c>
      <c r="L1512" s="3">
        <v>12626750</v>
      </c>
      <c r="M1512" s="3">
        <v>0</v>
      </c>
      <c r="N1512">
        <v>30000000</v>
      </c>
      <c r="O1512">
        <v>0</v>
      </c>
      <c r="P1512">
        <v>-17373250</v>
      </c>
      <c r="Q1512" t="s">
        <v>30</v>
      </c>
      <c r="R1512" t="s">
        <v>222</v>
      </c>
      <c r="S1512" t="str">
        <v>#N/A</v>
      </c>
      <c r="T1512" t="str">
        <v>#N/A</v>
      </c>
    </row>
    <row r="1513" spans="1:20" ht="13.7" customHeight="1" x14ac:dyDescent="0.25">
      <c r="A1513" t="s">
        <v>26</v>
      </c>
      <c r="B1513" t="s">
        <v>27</v>
      </c>
      <c r="C1513" t="s">
        <v>91</v>
      </c>
      <c r="D1513">
        <v>70</v>
      </c>
      <c r="E1513" s="5">
        <v>43544</v>
      </c>
      <c r="F1513">
        <v>21050101</v>
      </c>
      <c r="G1513" t="s">
        <v>635</v>
      </c>
      <c r="H1513" t="s">
        <v>1161</v>
      </c>
      <c r="I1513" t="s">
        <v>1162</v>
      </c>
      <c r="J1513">
        <v>1009</v>
      </c>
      <c r="K1513">
        <v>2203</v>
      </c>
      <c r="L1513" s="3">
        <v>-17373250</v>
      </c>
      <c r="M1513" s="3">
        <v>322323</v>
      </c>
      <c r="N1513">
        <v>0</v>
      </c>
      <c r="O1513">
        <v>0</v>
      </c>
      <c r="P1513">
        <v>-17050927</v>
      </c>
      <c r="Q1513" t="s">
        <v>30</v>
      </c>
      <c r="R1513" t="s">
        <v>241</v>
      </c>
      <c r="S1513" t="str">
        <v>#N/A</v>
      </c>
      <c r="T1513" t="str">
        <v>#N/A</v>
      </c>
    </row>
    <row r="1514" spans="1:20" ht="13.7" customHeight="1" x14ac:dyDescent="0.25">
      <c r="A1514" t="s">
        <v>26</v>
      </c>
      <c r="B1514" t="s">
        <v>27</v>
      </c>
      <c r="C1514" t="s">
        <v>91</v>
      </c>
      <c r="D1514">
        <v>76</v>
      </c>
      <c r="E1514" s="5">
        <v>43552</v>
      </c>
      <c r="F1514">
        <v>21050101</v>
      </c>
      <c r="G1514" t="s">
        <v>635</v>
      </c>
      <c r="H1514" t="s">
        <v>1161</v>
      </c>
      <c r="I1514" t="s">
        <v>1162</v>
      </c>
      <c r="J1514">
        <v>1009</v>
      </c>
      <c r="K1514">
        <v>2203</v>
      </c>
      <c r="L1514" s="3">
        <v>-17050927</v>
      </c>
      <c r="M1514" s="3">
        <v>9547835</v>
      </c>
      <c r="N1514">
        <v>0</v>
      </c>
      <c r="O1514">
        <v>0</v>
      </c>
      <c r="P1514">
        <v>-7503092</v>
      </c>
      <c r="Q1514" t="s">
        <v>30</v>
      </c>
      <c r="R1514" t="s">
        <v>246</v>
      </c>
      <c r="S1514" t="str">
        <v>#N/A</v>
      </c>
      <c r="T1514" t="str">
        <v>#N/A</v>
      </c>
    </row>
    <row r="1515" spans="1:20" ht="13.7" customHeight="1" x14ac:dyDescent="0.25">
      <c r="A1515" t="s">
        <v>26</v>
      </c>
      <c r="B1515" t="s">
        <v>27</v>
      </c>
      <c r="C1515" t="s">
        <v>35</v>
      </c>
      <c r="D1515">
        <v>35</v>
      </c>
      <c r="E1515" s="5">
        <v>43596</v>
      </c>
      <c r="F1515">
        <v>21050101</v>
      </c>
      <c r="G1515" t="s">
        <v>635</v>
      </c>
      <c r="H1515" t="s">
        <v>1161</v>
      </c>
      <c r="I1515" t="s">
        <v>1162</v>
      </c>
      <c r="J1515">
        <v>1009</v>
      </c>
      <c r="K1515">
        <v>2203</v>
      </c>
      <c r="L1515" s="3">
        <v>-7503092</v>
      </c>
      <c r="M1515" s="3">
        <v>30149</v>
      </c>
      <c r="N1515">
        <v>0</v>
      </c>
      <c r="O1515">
        <v>0</v>
      </c>
      <c r="P1515">
        <v>-7472943</v>
      </c>
      <c r="Q1515" t="s">
        <v>30</v>
      </c>
      <c r="R1515" t="s">
        <v>241</v>
      </c>
      <c r="S1515" t="str">
        <v>#N/A</v>
      </c>
      <c r="T1515" t="str">
        <v>#N/A</v>
      </c>
    </row>
    <row r="1516" spans="1:20" ht="13.7" customHeight="1" x14ac:dyDescent="0.25">
      <c r="A1516" t="s">
        <v>26</v>
      </c>
      <c r="B1516" t="s">
        <v>27</v>
      </c>
      <c r="C1516" t="s">
        <v>36</v>
      </c>
      <c r="D1516">
        <v>25</v>
      </c>
      <c r="E1516" s="5">
        <v>43629</v>
      </c>
      <c r="F1516">
        <v>21050101</v>
      </c>
      <c r="G1516" t="s">
        <v>635</v>
      </c>
      <c r="H1516" t="s">
        <v>1161</v>
      </c>
      <c r="I1516" t="s">
        <v>1162</v>
      </c>
      <c r="J1516">
        <v>1009</v>
      </c>
      <c r="K1516">
        <v>2203</v>
      </c>
      <c r="L1516" s="3">
        <v>-7472943</v>
      </c>
      <c r="M1516" s="3">
        <v>5155028</v>
      </c>
      <c r="N1516">
        <v>0</v>
      </c>
      <c r="O1516">
        <v>0</v>
      </c>
      <c r="P1516">
        <v>-2317915</v>
      </c>
      <c r="Q1516" t="s">
        <v>30</v>
      </c>
      <c r="R1516" t="s">
        <v>241</v>
      </c>
      <c r="S1516" t="str">
        <v>#N/A</v>
      </c>
      <c r="T1516" t="str">
        <v>#N/A</v>
      </c>
    </row>
    <row r="1517" spans="1:20" ht="13.7" customHeight="1" x14ac:dyDescent="0.25">
      <c r="A1517" t="s">
        <v>26</v>
      </c>
      <c r="B1517" t="s">
        <v>27</v>
      </c>
      <c r="C1517" t="s">
        <v>37</v>
      </c>
      <c r="D1517">
        <v>61</v>
      </c>
      <c r="E1517" s="5">
        <v>43675</v>
      </c>
      <c r="F1517">
        <v>21050101</v>
      </c>
      <c r="G1517" t="s">
        <v>635</v>
      </c>
      <c r="H1517" t="s">
        <v>1161</v>
      </c>
      <c r="I1517" t="s">
        <v>1162</v>
      </c>
      <c r="J1517">
        <v>1009</v>
      </c>
      <c r="K1517">
        <v>2203</v>
      </c>
      <c r="L1517" s="3">
        <v>-2317915</v>
      </c>
      <c r="M1517" s="3">
        <v>132113</v>
      </c>
      <c r="N1517">
        <v>0</v>
      </c>
      <c r="O1517">
        <v>0</v>
      </c>
      <c r="P1517">
        <v>-2185802</v>
      </c>
      <c r="Q1517" t="s">
        <v>30</v>
      </c>
      <c r="R1517" t="s">
        <v>241</v>
      </c>
      <c r="S1517" t="str">
        <v>#N/A</v>
      </c>
      <c r="T1517" t="str">
        <v>#N/A</v>
      </c>
    </row>
    <row r="1518" spans="1:20" ht="13.7" customHeight="1" x14ac:dyDescent="0.25">
      <c r="A1518" t="s">
        <v>26</v>
      </c>
      <c r="B1518" t="s">
        <v>27</v>
      </c>
      <c r="C1518" t="s">
        <v>38</v>
      </c>
      <c r="D1518">
        <v>34</v>
      </c>
      <c r="E1518" s="5">
        <v>43699</v>
      </c>
      <c r="F1518">
        <v>21050101</v>
      </c>
      <c r="G1518" t="s">
        <v>635</v>
      </c>
      <c r="H1518" t="s">
        <v>1161</v>
      </c>
      <c r="I1518" t="s">
        <v>1162</v>
      </c>
      <c r="J1518">
        <v>1009</v>
      </c>
      <c r="K1518">
        <v>2203</v>
      </c>
      <c r="L1518" s="3">
        <v>-2185802</v>
      </c>
      <c r="M1518" s="3">
        <v>175999</v>
      </c>
      <c r="N1518">
        <v>0</v>
      </c>
      <c r="O1518">
        <v>0</v>
      </c>
      <c r="P1518">
        <v>-2009803</v>
      </c>
      <c r="Q1518" t="s">
        <v>30</v>
      </c>
      <c r="R1518" t="s">
        <v>241</v>
      </c>
      <c r="S1518" t="str">
        <v>#N/A</v>
      </c>
      <c r="T1518" t="str">
        <v>#N/A</v>
      </c>
    </row>
    <row r="1519" spans="1:20" ht="13.7" customHeight="1" x14ac:dyDescent="0.25">
      <c r="A1519" t="s">
        <v>26</v>
      </c>
      <c r="B1519" t="s">
        <v>27</v>
      </c>
      <c r="C1519" t="s">
        <v>39</v>
      </c>
      <c r="D1519">
        <v>62</v>
      </c>
      <c r="E1519" s="5">
        <v>43722</v>
      </c>
      <c r="F1519">
        <v>21050101</v>
      </c>
      <c r="G1519" t="s">
        <v>635</v>
      </c>
      <c r="H1519" t="s">
        <v>1161</v>
      </c>
      <c r="I1519" t="s">
        <v>1162</v>
      </c>
      <c r="J1519">
        <v>1009</v>
      </c>
      <c r="K1519">
        <v>2203</v>
      </c>
      <c r="L1519" s="3">
        <v>-2009803</v>
      </c>
      <c r="M1519" s="3">
        <v>14216543</v>
      </c>
      <c r="N1519">
        <v>0</v>
      </c>
      <c r="O1519">
        <v>0</v>
      </c>
      <c r="P1519">
        <v>12206740</v>
      </c>
      <c r="Q1519" t="s">
        <v>30</v>
      </c>
      <c r="R1519" t="s">
        <v>241</v>
      </c>
      <c r="S1519" t="str">
        <v>#N/A</v>
      </c>
      <c r="T1519" t="str">
        <v>#N/A</v>
      </c>
    </row>
    <row r="1520" spans="1:20" ht="13.7" customHeight="1" x14ac:dyDescent="0.25">
      <c r="E1520" s="5">
        <v>43465</v>
      </c>
      <c r="F1520">
        <v>22050101</v>
      </c>
      <c r="G1520">
        <v>0</v>
      </c>
      <c r="H1520" t="s">
        <v>1117</v>
      </c>
      <c r="I1520" t="s">
        <v>1118</v>
      </c>
      <c r="J1520">
        <v>0</v>
      </c>
      <c r="K1520">
        <v>0</v>
      </c>
      <c r="L1520" s="3">
        <v>-92000</v>
      </c>
      <c r="M1520" s="3">
        <v>0</v>
      </c>
      <c r="N1520">
        <v>0</v>
      </c>
      <c r="O1520">
        <v>0</v>
      </c>
      <c r="P1520">
        <v>-92000</v>
      </c>
      <c r="R1520" t="s">
        <v>1100</v>
      </c>
      <c r="S1520" t="str">
        <v>#N/A</v>
      </c>
      <c r="T1520" t="str">
        <v>31</v>
      </c>
    </row>
    <row r="1521" spans="1:20" ht="13.7" customHeight="1" x14ac:dyDescent="0.25">
      <c r="E1521" s="5">
        <v>43465</v>
      </c>
      <c r="F1521">
        <v>22050101</v>
      </c>
      <c r="G1521">
        <v>0</v>
      </c>
      <c r="H1521" t="s">
        <v>1103</v>
      </c>
      <c r="I1521" t="s">
        <v>1104</v>
      </c>
      <c r="J1521">
        <v>0</v>
      </c>
      <c r="K1521">
        <v>0</v>
      </c>
      <c r="L1521" s="3">
        <v>-23026</v>
      </c>
      <c r="M1521" s="3">
        <v>0</v>
      </c>
      <c r="N1521">
        <v>0</v>
      </c>
      <c r="O1521">
        <v>0</v>
      </c>
      <c r="P1521">
        <v>-23026</v>
      </c>
      <c r="R1521" t="s">
        <v>1100</v>
      </c>
      <c r="S1521" t="str">
        <v>#N/A</v>
      </c>
      <c r="T1521" t="str">
        <v>31</v>
      </c>
    </row>
    <row r="1522" spans="1:20" ht="13.7" customHeight="1" x14ac:dyDescent="0.25">
      <c r="E1522" s="5">
        <v>43465</v>
      </c>
      <c r="F1522">
        <v>23351001</v>
      </c>
      <c r="G1522">
        <v>0</v>
      </c>
      <c r="H1522" t="s">
        <v>1165</v>
      </c>
      <c r="I1522" t="s">
        <v>1166</v>
      </c>
      <c r="J1522">
        <v>0</v>
      </c>
      <c r="K1522">
        <v>0</v>
      </c>
      <c r="L1522" s="3">
        <v>-789400</v>
      </c>
      <c r="M1522" s="3">
        <v>0</v>
      </c>
      <c r="N1522">
        <v>0</v>
      </c>
      <c r="O1522">
        <v>0</v>
      </c>
      <c r="P1522">
        <v>-789400</v>
      </c>
      <c r="R1522" t="s">
        <v>1100</v>
      </c>
      <c r="S1522" t="str">
        <v>#N/A</v>
      </c>
      <c r="T1522" t="str">
        <v>31</v>
      </c>
    </row>
    <row r="1523" spans="1:20" ht="13.7" customHeight="1" x14ac:dyDescent="0.25">
      <c r="E1523" s="5">
        <v>43465</v>
      </c>
      <c r="F1523">
        <v>23352503</v>
      </c>
      <c r="G1523">
        <v>0</v>
      </c>
      <c r="H1523" t="s">
        <v>1101</v>
      </c>
      <c r="I1523" t="s">
        <v>1102</v>
      </c>
      <c r="J1523">
        <v>0</v>
      </c>
      <c r="K1523">
        <v>0</v>
      </c>
      <c r="L1523" s="3">
        <v>-801000</v>
      </c>
      <c r="M1523" s="3">
        <v>0</v>
      </c>
      <c r="N1523">
        <v>0</v>
      </c>
      <c r="O1523">
        <v>0</v>
      </c>
      <c r="P1523">
        <v>-801000</v>
      </c>
      <c r="R1523" t="s">
        <v>1100</v>
      </c>
      <c r="S1523" t="str">
        <v>#N/A</v>
      </c>
      <c r="T1523" t="str">
        <v>#N/A</v>
      </c>
    </row>
    <row r="1524" spans="1:20" ht="13.7" customHeight="1" x14ac:dyDescent="0.25">
      <c r="E1524" s="5">
        <v>43465</v>
      </c>
      <c r="F1524">
        <v>23352503</v>
      </c>
      <c r="G1524">
        <v>0</v>
      </c>
      <c r="H1524" t="s">
        <v>1121</v>
      </c>
      <c r="I1524" t="s">
        <v>1122</v>
      </c>
      <c r="J1524">
        <v>0</v>
      </c>
      <c r="K1524">
        <v>0</v>
      </c>
      <c r="L1524" s="3">
        <v>85872</v>
      </c>
      <c r="M1524" s="3">
        <v>0</v>
      </c>
      <c r="N1524">
        <v>0</v>
      </c>
      <c r="O1524">
        <v>0</v>
      </c>
      <c r="P1524">
        <v>85872</v>
      </c>
      <c r="R1524" t="s">
        <v>1100</v>
      </c>
      <c r="S1524" t="str">
        <v>#N/A</v>
      </c>
      <c r="T1524" t="str">
        <v>31</v>
      </c>
    </row>
    <row r="1525" spans="1:20" ht="13.7" customHeight="1" x14ac:dyDescent="0.25">
      <c r="E1525" s="5">
        <v>43465</v>
      </c>
      <c r="F1525">
        <v>23353001</v>
      </c>
      <c r="G1525">
        <v>0</v>
      </c>
      <c r="H1525" t="s">
        <v>1105</v>
      </c>
      <c r="I1525" t="s">
        <v>1106</v>
      </c>
      <c r="J1525">
        <v>0</v>
      </c>
      <c r="K1525">
        <v>0</v>
      </c>
      <c r="L1525" s="3">
        <v>2000000</v>
      </c>
      <c r="M1525" s="3">
        <v>0</v>
      </c>
      <c r="N1525">
        <v>0</v>
      </c>
      <c r="O1525">
        <v>0</v>
      </c>
      <c r="P1525">
        <v>2000000</v>
      </c>
      <c r="R1525" t="s">
        <v>1100</v>
      </c>
      <c r="S1525" t="str">
        <v>#N/A</v>
      </c>
      <c r="T1525" t="str">
        <v>#N/A</v>
      </c>
    </row>
    <row r="1526" spans="1:20" ht="13.7" customHeight="1" x14ac:dyDescent="0.25">
      <c r="E1526" s="5">
        <v>43465</v>
      </c>
      <c r="F1526">
        <v>23355001</v>
      </c>
      <c r="G1526" t="e">
        <v>#N/A</v>
      </c>
      <c r="H1526" t="s">
        <v>1098</v>
      </c>
      <c r="I1526" t="s">
        <v>1099</v>
      </c>
      <c r="J1526" t="e">
        <v>#N/A</v>
      </c>
      <c r="K1526" t="e">
        <v>#N/A</v>
      </c>
      <c r="L1526" s="3">
        <v>335392</v>
      </c>
      <c r="M1526" s="3">
        <v>0</v>
      </c>
      <c r="N1526">
        <v>0</v>
      </c>
      <c r="O1526">
        <v>0</v>
      </c>
      <c r="P1526">
        <v>335392</v>
      </c>
      <c r="R1526" t="s">
        <v>1100</v>
      </c>
      <c r="S1526" t="str">
        <v>#N/A</v>
      </c>
      <c r="T1526" t="str">
        <v>31</v>
      </c>
    </row>
    <row r="1527" spans="1:20" ht="13.7" customHeight="1" x14ac:dyDescent="0.25">
      <c r="E1527" s="5">
        <v>43465</v>
      </c>
      <c r="F1527">
        <v>23355001</v>
      </c>
      <c r="G1527" t="e">
        <v>#N/A</v>
      </c>
      <c r="H1527" t="s">
        <v>1105</v>
      </c>
      <c r="I1527" t="s">
        <v>1106</v>
      </c>
      <c r="J1527" t="e">
        <v>#N/A</v>
      </c>
      <c r="K1527" t="e">
        <v>#N/A</v>
      </c>
      <c r="L1527" s="3">
        <v>-335392</v>
      </c>
      <c r="M1527" s="3">
        <v>0</v>
      </c>
      <c r="N1527">
        <v>0</v>
      </c>
      <c r="O1527">
        <v>0</v>
      </c>
      <c r="P1527">
        <v>-335392</v>
      </c>
      <c r="R1527" t="s">
        <v>1100</v>
      </c>
      <c r="S1527" t="str">
        <v>#N/A</v>
      </c>
      <c r="T1527" t="str">
        <v>#N/A</v>
      </c>
    </row>
    <row r="1528" spans="1:20" ht="13.7" customHeight="1" x14ac:dyDescent="0.25">
      <c r="E1528" s="5">
        <v>43465</v>
      </c>
      <c r="F1528">
        <v>23355003</v>
      </c>
      <c r="G1528">
        <v>0</v>
      </c>
      <c r="H1528" t="s">
        <v>1167</v>
      </c>
      <c r="I1528" t="s">
        <v>1168</v>
      </c>
      <c r="J1528">
        <v>0</v>
      </c>
      <c r="K1528">
        <v>0</v>
      </c>
      <c r="L1528" s="3">
        <v>175800</v>
      </c>
      <c r="M1528" s="3">
        <v>0</v>
      </c>
      <c r="N1528">
        <v>0</v>
      </c>
      <c r="O1528">
        <v>0</v>
      </c>
      <c r="P1528">
        <v>175800</v>
      </c>
      <c r="R1528" t="s">
        <v>1100</v>
      </c>
      <c r="S1528" t="str">
        <v>#N/A</v>
      </c>
      <c r="T1528" t="str">
        <v>31</v>
      </c>
    </row>
    <row r="1529" spans="1:20" ht="13.7" customHeight="1" x14ac:dyDescent="0.25">
      <c r="E1529" s="5">
        <v>43465</v>
      </c>
      <c r="F1529">
        <v>23359501</v>
      </c>
      <c r="G1529">
        <v>0</v>
      </c>
      <c r="H1529" t="s">
        <v>1169</v>
      </c>
      <c r="I1529" t="s">
        <v>1170</v>
      </c>
      <c r="J1529">
        <v>0</v>
      </c>
      <c r="K1529">
        <v>0</v>
      </c>
      <c r="L1529" s="3">
        <v>-830000</v>
      </c>
      <c r="M1529" s="3">
        <v>0</v>
      </c>
      <c r="N1529">
        <v>0</v>
      </c>
      <c r="O1529">
        <v>0</v>
      </c>
      <c r="P1529">
        <v>-830000</v>
      </c>
      <c r="R1529" t="s">
        <v>1100</v>
      </c>
      <c r="S1529" t="str">
        <v>#N/A</v>
      </c>
      <c r="T1529" t="str">
        <v>13</v>
      </c>
    </row>
    <row r="1530" spans="1:20" ht="13.7" customHeight="1" x14ac:dyDescent="0.25">
      <c r="E1530" s="5">
        <v>43465</v>
      </c>
      <c r="F1530">
        <v>23359501</v>
      </c>
      <c r="G1530">
        <v>0</v>
      </c>
      <c r="H1530" t="s">
        <v>1237</v>
      </c>
      <c r="I1530" t="s">
        <v>1238</v>
      </c>
      <c r="J1530">
        <v>0</v>
      </c>
      <c r="K1530">
        <v>0</v>
      </c>
      <c r="L1530" s="3">
        <v>-246630</v>
      </c>
      <c r="M1530" s="3">
        <v>0</v>
      </c>
      <c r="N1530">
        <v>0</v>
      </c>
      <c r="O1530">
        <v>0</v>
      </c>
      <c r="P1530">
        <v>-246630</v>
      </c>
      <c r="R1530" t="s">
        <v>1100</v>
      </c>
      <c r="S1530" t="str">
        <v>#N/A</v>
      </c>
      <c r="T1530" t="str">
        <v>31</v>
      </c>
    </row>
    <row r="1531" spans="1:20" ht="13.7" customHeight="1" x14ac:dyDescent="0.25">
      <c r="E1531" s="5">
        <v>43465</v>
      </c>
      <c r="F1531">
        <v>23359503</v>
      </c>
      <c r="G1531">
        <v>0</v>
      </c>
      <c r="H1531" t="s">
        <v>1171</v>
      </c>
      <c r="I1531" t="s">
        <v>1172</v>
      </c>
      <c r="J1531">
        <v>0</v>
      </c>
      <c r="K1531">
        <v>0</v>
      </c>
      <c r="L1531" s="3">
        <v>-26000</v>
      </c>
      <c r="M1531" s="3">
        <v>0</v>
      </c>
      <c r="N1531">
        <v>0</v>
      </c>
      <c r="O1531">
        <v>0</v>
      </c>
      <c r="P1531">
        <v>-26000</v>
      </c>
      <c r="R1531" t="s">
        <v>1100</v>
      </c>
      <c r="S1531" t="str">
        <v>#N/A</v>
      </c>
      <c r="T1531" t="str">
        <v>13</v>
      </c>
    </row>
    <row r="1532" spans="1:20" ht="13.7" customHeight="1" x14ac:dyDescent="0.25">
      <c r="E1532" s="5">
        <v>43465</v>
      </c>
      <c r="F1532">
        <v>23551001</v>
      </c>
      <c r="G1532" t="s">
        <v>636</v>
      </c>
      <c r="H1532" t="s">
        <v>1143</v>
      </c>
      <c r="I1532" t="s">
        <v>1144</v>
      </c>
      <c r="J1532">
        <v>0</v>
      </c>
      <c r="K1532">
        <v>0</v>
      </c>
      <c r="L1532" s="3">
        <v>0</v>
      </c>
      <c r="M1532" s="3">
        <v>0</v>
      </c>
      <c r="N1532">
        <v>0</v>
      </c>
      <c r="O1532">
        <v>0</v>
      </c>
      <c r="P1532">
        <v>0</v>
      </c>
      <c r="R1532" t="s">
        <v>1100</v>
      </c>
      <c r="S1532" t="str">
        <v>#N/A</v>
      </c>
      <c r="T1532" t="str">
        <v>#N/A</v>
      </c>
    </row>
    <row r="1533" spans="1:20" ht="13.7" customHeight="1" x14ac:dyDescent="0.25">
      <c r="A1533" t="s">
        <v>26</v>
      </c>
      <c r="B1533" t="s">
        <v>27</v>
      </c>
      <c r="C1533" t="s">
        <v>39</v>
      </c>
      <c r="D1533">
        <v>67</v>
      </c>
      <c r="E1533" s="5">
        <v>43738</v>
      </c>
      <c r="F1533">
        <v>23551001</v>
      </c>
      <c r="G1533" t="s">
        <v>636</v>
      </c>
      <c r="H1533" t="s">
        <v>1143</v>
      </c>
      <c r="I1533" t="s">
        <v>1144</v>
      </c>
      <c r="J1533">
        <v>1009</v>
      </c>
      <c r="K1533">
        <v>2202</v>
      </c>
      <c r="L1533" s="3">
        <v>0</v>
      </c>
      <c r="M1533" s="3">
        <v>0</v>
      </c>
      <c r="N1533">
        <v>57000</v>
      </c>
      <c r="O1533">
        <v>0</v>
      </c>
      <c r="P1533">
        <v>-57000</v>
      </c>
      <c r="Q1533" t="s">
        <v>30</v>
      </c>
      <c r="R1533" t="s">
        <v>70</v>
      </c>
      <c r="S1533" t="str">
        <v>#N/A</v>
      </c>
      <c r="T1533" t="str">
        <v>#N/A</v>
      </c>
    </row>
    <row r="1534" spans="1:20" ht="13.7" customHeight="1" x14ac:dyDescent="0.25">
      <c r="A1534" t="s">
        <v>26</v>
      </c>
      <c r="B1534" t="s">
        <v>27</v>
      </c>
      <c r="C1534" t="s">
        <v>40</v>
      </c>
      <c r="D1534">
        <v>42</v>
      </c>
      <c r="E1534" s="5">
        <v>43758</v>
      </c>
      <c r="F1534">
        <v>23551001</v>
      </c>
      <c r="G1534" t="s">
        <v>636</v>
      </c>
      <c r="H1534" t="s">
        <v>1143</v>
      </c>
      <c r="I1534" t="s">
        <v>1144</v>
      </c>
      <c r="J1534">
        <v>1009</v>
      </c>
      <c r="K1534">
        <v>2202</v>
      </c>
      <c r="L1534" s="3">
        <v>-57000</v>
      </c>
      <c r="M1534" s="3">
        <v>0</v>
      </c>
      <c r="N1534">
        <v>3080</v>
      </c>
      <c r="O1534">
        <v>0</v>
      </c>
      <c r="P1534">
        <v>-60080</v>
      </c>
      <c r="Q1534" t="s">
        <v>30</v>
      </c>
      <c r="R1534" t="s">
        <v>644</v>
      </c>
      <c r="S1534" t="str">
        <v>#N/A</v>
      </c>
      <c r="T1534" t="str">
        <v>#N/A</v>
      </c>
    </row>
    <row r="1535" spans="1:20" ht="13.7" customHeight="1" x14ac:dyDescent="0.25">
      <c r="A1535" t="s">
        <v>26</v>
      </c>
      <c r="B1535" t="s">
        <v>27</v>
      </c>
      <c r="C1535" t="s">
        <v>40</v>
      </c>
      <c r="D1535">
        <v>49</v>
      </c>
      <c r="E1535" s="5">
        <v>43764</v>
      </c>
      <c r="F1535">
        <v>23551001</v>
      </c>
      <c r="G1535" t="s">
        <v>636</v>
      </c>
      <c r="H1535" t="s">
        <v>1143</v>
      </c>
      <c r="I1535" t="s">
        <v>1144</v>
      </c>
      <c r="J1535">
        <v>1009</v>
      </c>
      <c r="K1535">
        <v>2202</v>
      </c>
      <c r="L1535" s="3">
        <v>-60080</v>
      </c>
      <c r="M1535" s="3">
        <v>0</v>
      </c>
      <c r="N1535">
        <v>3500</v>
      </c>
      <c r="O1535">
        <v>0</v>
      </c>
      <c r="P1535">
        <v>-63580</v>
      </c>
      <c r="Q1535" t="s">
        <v>30</v>
      </c>
      <c r="R1535" t="s">
        <v>68</v>
      </c>
      <c r="S1535" t="str">
        <v>#N/A</v>
      </c>
      <c r="T1535" t="str">
        <v>#N/A</v>
      </c>
    </row>
    <row r="1536" spans="1:20" ht="13.7" customHeight="1" x14ac:dyDescent="0.25">
      <c r="E1536" s="5">
        <v>43465</v>
      </c>
      <c r="F1536">
        <v>23551001</v>
      </c>
      <c r="G1536" t="s">
        <v>636</v>
      </c>
      <c r="H1536" t="s">
        <v>1115</v>
      </c>
      <c r="I1536" t="s">
        <v>1116</v>
      </c>
      <c r="J1536">
        <v>0</v>
      </c>
      <c r="K1536">
        <v>0</v>
      </c>
      <c r="L1536" s="3">
        <v>0</v>
      </c>
      <c r="M1536" s="3">
        <v>0</v>
      </c>
      <c r="N1536">
        <v>0</v>
      </c>
      <c r="O1536">
        <v>0</v>
      </c>
      <c r="P1536">
        <v>0</v>
      </c>
      <c r="R1536" t="s">
        <v>1100</v>
      </c>
      <c r="S1536" t="str">
        <v>#N/A</v>
      </c>
      <c r="T1536" t="str">
        <v>13</v>
      </c>
    </row>
    <row r="1537" spans="1:20" ht="13.7" customHeight="1" x14ac:dyDescent="0.25">
      <c r="A1537" t="s">
        <v>26</v>
      </c>
      <c r="B1537" t="s">
        <v>27</v>
      </c>
      <c r="C1537" t="s">
        <v>28</v>
      </c>
      <c r="D1537">
        <v>75</v>
      </c>
      <c r="E1537" s="5">
        <v>43493</v>
      </c>
      <c r="F1537">
        <v>23551001</v>
      </c>
      <c r="G1537" t="s">
        <v>636</v>
      </c>
      <c r="H1537" t="s">
        <v>1115</v>
      </c>
      <c r="I1537" t="s">
        <v>1116</v>
      </c>
      <c r="J1537">
        <v>1009</v>
      </c>
      <c r="K1537">
        <v>2202</v>
      </c>
      <c r="L1537" s="3">
        <v>0</v>
      </c>
      <c r="M1537" s="3">
        <v>1428328</v>
      </c>
      <c r="N1537">
        <v>0</v>
      </c>
      <c r="O1537">
        <v>0</v>
      </c>
      <c r="P1537">
        <v>1428328</v>
      </c>
      <c r="Q1537" t="s">
        <v>30</v>
      </c>
      <c r="R1537" t="s">
        <v>206</v>
      </c>
      <c r="S1537" t="str">
        <v>#N/A</v>
      </c>
      <c r="T1537" t="str">
        <v>13</v>
      </c>
    </row>
    <row r="1538" spans="1:20" ht="13.7" customHeight="1" x14ac:dyDescent="0.25">
      <c r="A1538" t="s">
        <v>26</v>
      </c>
      <c r="B1538" t="s">
        <v>27</v>
      </c>
      <c r="C1538" t="s">
        <v>91</v>
      </c>
      <c r="D1538">
        <v>65</v>
      </c>
      <c r="E1538" s="5">
        <v>43554</v>
      </c>
      <c r="F1538">
        <v>23551001</v>
      </c>
      <c r="G1538" t="s">
        <v>636</v>
      </c>
      <c r="H1538" t="s">
        <v>1115</v>
      </c>
      <c r="I1538" t="s">
        <v>1116</v>
      </c>
      <c r="J1538">
        <v>1009</v>
      </c>
      <c r="K1538">
        <v>2202</v>
      </c>
      <c r="L1538" s="3">
        <v>1428328</v>
      </c>
      <c r="M1538" s="3">
        <v>0</v>
      </c>
      <c r="N1538">
        <v>272109</v>
      </c>
      <c r="O1538">
        <v>0</v>
      </c>
      <c r="P1538">
        <v>1156219</v>
      </c>
      <c r="Q1538" t="s">
        <v>30</v>
      </c>
      <c r="R1538" t="s">
        <v>239</v>
      </c>
      <c r="S1538" t="str">
        <v>#N/A</v>
      </c>
      <c r="T1538" t="str">
        <v>13</v>
      </c>
    </row>
    <row r="1539" spans="1:20" ht="13.7" customHeight="1" x14ac:dyDescent="0.25">
      <c r="A1539" t="s">
        <v>26</v>
      </c>
      <c r="B1539" t="s">
        <v>27</v>
      </c>
      <c r="C1539" t="s">
        <v>39</v>
      </c>
      <c r="D1539">
        <v>8</v>
      </c>
      <c r="E1539" s="5">
        <v>43710</v>
      </c>
      <c r="F1539">
        <v>23551001</v>
      </c>
      <c r="G1539" t="s">
        <v>636</v>
      </c>
      <c r="H1539" t="s">
        <v>1115</v>
      </c>
      <c r="I1539" t="s">
        <v>1116</v>
      </c>
      <c r="J1539">
        <v>1009</v>
      </c>
      <c r="K1539">
        <v>2202</v>
      </c>
      <c r="L1539" s="3">
        <v>1156219</v>
      </c>
      <c r="M1539" s="3">
        <v>0</v>
      </c>
      <c r="N1539">
        <v>40335.839999999997</v>
      </c>
      <c r="O1539">
        <v>0</v>
      </c>
      <c r="P1539">
        <v>1115883.1599999999</v>
      </c>
      <c r="Q1539" t="s">
        <v>30</v>
      </c>
      <c r="R1539" t="s">
        <v>156</v>
      </c>
      <c r="S1539" t="str">
        <v>#N/A</v>
      </c>
      <c r="T1539" t="str">
        <v>13</v>
      </c>
    </row>
    <row r="1540" spans="1:20" ht="13.7" customHeight="1" x14ac:dyDescent="0.25">
      <c r="A1540" t="s">
        <v>26</v>
      </c>
      <c r="B1540" t="s">
        <v>27</v>
      </c>
      <c r="C1540" t="s">
        <v>39</v>
      </c>
      <c r="D1540">
        <v>17</v>
      </c>
      <c r="E1540" s="5">
        <v>43715</v>
      </c>
      <c r="F1540">
        <v>23551001</v>
      </c>
      <c r="G1540" t="s">
        <v>636</v>
      </c>
      <c r="H1540" t="s">
        <v>1115</v>
      </c>
      <c r="I1540" t="s">
        <v>1116</v>
      </c>
      <c r="J1540">
        <v>1009</v>
      </c>
      <c r="K1540">
        <v>2202</v>
      </c>
      <c r="L1540" s="3">
        <v>1115883.1599999999</v>
      </c>
      <c r="M1540" s="3">
        <v>0</v>
      </c>
      <c r="N1540">
        <v>30000</v>
      </c>
      <c r="O1540">
        <v>0</v>
      </c>
      <c r="P1540">
        <v>1085883.1599999999</v>
      </c>
      <c r="Q1540" t="s">
        <v>30</v>
      </c>
      <c r="R1540" t="s">
        <v>70</v>
      </c>
      <c r="S1540" t="str">
        <v>#N/A</v>
      </c>
      <c r="T1540" t="str">
        <v>13</v>
      </c>
    </row>
    <row r="1541" spans="1:20" ht="13.7" customHeight="1" x14ac:dyDescent="0.25">
      <c r="A1541" t="s">
        <v>26</v>
      </c>
      <c r="B1541" t="s">
        <v>27</v>
      </c>
      <c r="C1541" t="s">
        <v>39</v>
      </c>
      <c r="D1541">
        <v>18</v>
      </c>
      <c r="E1541" s="5">
        <v>43715</v>
      </c>
      <c r="F1541">
        <v>23551001</v>
      </c>
      <c r="G1541" t="s">
        <v>636</v>
      </c>
      <c r="H1541" t="s">
        <v>1115</v>
      </c>
      <c r="I1541" t="s">
        <v>1116</v>
      </c>
      <c r="J1541">
        <v>1009</v>
      </c>
      <c r="K1541">
        <v>2202</v>
      </c>
      <c r="L1541" s="3">
        <v>1085883.1599999999</v>
      </c>
      <c r="M1541" s="3">
        <v>0</v>
      </c>
      <c r="N1541">
        <v>80000</v>
      </c>
      <c r="O1541">
        <v>0</v>
      </c>
      <c r="P1541">
        <v>1005883.16</v>
      </c>
      <c r="Q1541" t="s">
        <v>30</v>
      </c>
      <c r="R1541" t="s">
        <v>79</v>
      </c>
      <c r="S1541" t="str">
        <v>#N/A</v>
      </c>
      <c r="T1541" t="str">
        <v>13</v>
      </c>
    </row>
    <row r="1542" spans="1:20" ht="13.7" customHeight="1" x14ac:dyDescent="0.25">
      <c r="A1542" t="s">
        <v>26</v>
      </c>
      <c r="B1542" t="s">
        <v>27</v>
      </c>
      <c r="C1542" t="s">
        <v>39</v>
      </c>
      <c r="D1542">
        <v>22</v>
      </c>
      <c r="E1542" s="5">
        <v>43719</v>
      </c>
      <c r="F1542">
        <v>23551001</v>
      </c>
      <c r="G1542" t="s">
        <v>636</v>
      </c>
      <c r="H1542" t="s">
        <v>1115</v>
      </c>
      <c r="I1542" t="s">
        <v>1116</v>
      </c>
      <c r="J1542">
        <v>1009</v>
      </c>
      <c r="K1542">
        <v>2202</v>
      </c>
      <c r="L1542" s="3">
        <v>1005883.16</v>
      </c>
      <c r="M1542" s="3">
        <v>0</v>
      </c>
      <c r="N1542">
        <v>48000</v>
      </c>
      <c r="O1542">
        <v>0</v>
      </c>
      <c r="P1542">
        <v>957883.16</v>
      </c>
      <c r="Q1542" t="s">
        <v>30</v>
      </c>
      <c r="R1542" t="s">
        <v>122</v>
      </c>
      <c r="S1542" t="str">
        <v>#N/A</v>
      </c>
      <c r="T1542" t="str">
        <v>13</v>
      </c>
    </row>
    <row r="1543" spans="1:20" ht="13.7" customHeight="1" x14ac:dyDescent="0.25">
      <c r="A1543" t="s">
        <v>26</v>
      </c>
      <c r="B1543" t="s">
        <v>27</v>
      </c>
      <c r="C1543" t="s">
        <v>39</v>
      </c>
      <c r="D1543">
        <v>23</v>
      </c>
      <c r="E1543" s="5">
        <v>43720</v>
      </c>
      <c r="F1543">
        <v>23551001</v>
      </c>
      <c r="G1543" t="s">
        <v>636</v>
      </c>
      <c r="H1543" t="s">
        <v>1115</v>
      </c>
      <c r="I1543" t="s">
        <v>1116</v>
      </c>
      <c r="J1543">
        <v>1009</v>
      </c>
      <c r="K1543">
        <v>2202</v>
      </c>
      <c r="L1543" s="3">
        <v>957883.16</v>
      </c>
      <c r="M1543" s="3">
        <v>0</v>
      </c>
      <c r="N1543">
        <v>121600</v>
      </c>
      <c r="O1543">
        <v>0</v>
      </c>
      <c r="P1543">
        <v>836283.16</v>
      </c>
      <c r="Q1543" t="s">
        <v>30</v>
      </c>
      <c r="R1543" t="s">
        <v>637</v>
      </c>
      <c r="S1543" t="str">
        <v>#N/A</v>
      </c>
      <c r="T1543" t="str">
        <v>13</v>
      </c>
    </row>
    <row r="1544" spans="1:20" ht="13.7" customHeight="1" x14ac:dyDescent="0.25">
      <c r="A1544" t="s">
        <v>26</v>
      </c>
      <c r="B1544" t="s">
        <v>27</v>
      </c>
      <c r="C1544" t="s">
        <v>39</v>
      </c>
      <c r="D1544">
        <v>26</v>
      </c>
      <c r="E1544" s="5">
        <v>43721</v>
      </c>
      <c r="F1544">
        <v>23551001</v>
      </c>
      <c r="G1544" t="s">
        <v>636</v>
      </c>
      <c r="H1544" t="s">
        <v>1115</v>
      </c>
      <c r="I1544" t="s">
        <v>1116</v>
      </c>
      <c r="J1544">
        <v>1009</v>
      </c>
      <c r="K1544">
        <v>2202</v>
      </c>
      <c r="L1544" s="3">
        <v>836283.16</v>
      </c>
      <c r="M1544" s="3">
        <v>0</v>
      </c>
      <c r="N1544">
        <v>64000</v>
      </c>
      <c r="O1544">
        <v>0</v>
      </c>
      <c r="P1544">
        <v>772283.16</v>
      </c>
      <c r="Q1544" t="s">
        <v>30</v>
      </c>
      <c r="R1544" t="s">
        <v>638</v>
      </c>
      <c r="S1544" t="str">
        <v>#N/A</v>
      </c>
      <c r="T1544" t="str">
        <v>13</v>
      </c>
    </row>
    <row r="1545" spans="1:20" ht="13.7" customHeight="1" x14ac:dyDescent="0.25">
      <c r="A1545" t="s">
        <v>26</v>
      </c>
      <c r="B1545" t="s">
        <v>27</v>
      </c>
      <c r="C1545" t="s">
        <v>39</v>
      </c>
      <c r="D1545">
        <v>31</v>
      </c>
      <c r="E1545" s="5">
        <v>43722</v>
      </c>
      <c r="F1545">
        <v>23551001</v>
      </c>
      <c r="G1545" t="s">
        <v>636</v>
      </c>
      <c r="H1545" t="s">
        <v>1115</v>
      </c>
      <c r="I1545" t="s">
        <v>1116</v>
      </c>
      <c r="J1545">
        <v>1009</v>
      </c>
      <c r="K1545">
        <v>2202</v>
      </c>
      <c r="L1545" s="3">
        <v>772283.16</v>
      </c>
      <c r="M1545" s="3">
        <v>0</v>
      </c>
      <c r="N1545">
        <v>80000</v>
      </c>
      <c r="O1545">
        <v>0</v>
      </c>
      <c r="P1545">
        <v>692283.16</v>
      </c>
      <c r="Q1545" t="s">
        <v>30</v>
      </c>
      <c r="R1545" t="s">
        <v>70</v>
      </c>
      <c r="S1545" t="str">
        <v>#N/A</v>
      </c>
      <c r="T1545" t="str">
        <v>13</v>
      </c>
    </row>
    <row r="1546" spans="1:20" ht="13.7" customHeight="1" x14ac:dyDescent="0.25">
      <c r="A1546" t="s">
        <v>26</v>
      </c>
      <c r="B1546" t="s">
        <v>27</v>
      </c>
      <c r="C1546" t="s">
        <v>39</v>
      </c>
      <c r="D1546">
        <v>36</v>
      </c>
      <c r="E1546" s="5">
        <v>43725</v>
      </c>
      <c r="F1546">
        <v>23551001</v>
      </c>
      <c r="G1546" t="s">
        <v>636</v>
      </c>
      <c r="H1546" t="s">
        <v>1115</v>
      </c>
      <c r="I1546" t="s">
        <v>1116</v>
      </c>
      <c r="J1546">
        <v>1009</v>
      </c>
      <c r="K1546">
        <v>2202</v>
      </c>
      <c r="L1546" s="3">
        <v>692283.16</v>
      </c>
      <c r="M1546" s="3">
        <v>0</v>
      </c>
      <c r="N1546">
        <v>23000</v>
      </c>
      <c r="O1546">
        <v>0</v>
      </c>
      <c r="P1546">
        <v>669283.16</v>
      </c>
      <c r="Q1546" t="s">
        <v>30</v>
      </c>
      <c r="R1546" t="s">
        <v>639</v>
      </c>
      <c r="S1546" t="str">
        <v>#N/A</v>
      </c>
      <c r="T1546" t="str">
        <v>13</v>
      </c>
    </row>
    <row r="1547" spans="1:20" ht="13.7" customHeight="1" x14ac:dyDescent="0.25">
      <c r="A1547" t="s">
        <v>26</v>
      </c>
      <c r="B1547" t="s">
        <v>27</v>
      </c>
      <c r="C1547" t="s">
        <v>39</v>
      </c>
      <c r="D1547">
        <v>39</v>
      </c>
      <c r="E1547" s="5">
        <v>43728</v>
      </c>
      <c r="F1547">
        <v>23551001</v>
      </c>
      <c r="G1547" t="s">
        <v>636</v>
      </c>
      <c r="H1547" t="s">
        <v>1115</v>
      </c>
      <c r="I1547" t="s">
        <v>1116</v>
      </c>
      <c r="J1547">
        <v>1009</v>
      </c>
      <c r="K1547">
        <v>2202</v>
      </c>
      <c r="L1547" s="3">
        <v>669283.16</v>
      </c>
      <c r="M1547" s="3">
        <v>0</v>
      </c>
      <c r="N1547">
        <v>192500</v>
      </c>
      <c r="O1547">
        <v>0</v>
      </c>
      <c r="P1547">
        <v>476783.16</v>
      </c>
      <c r="Q1547" t="s">
        <v>30</v>
      </c>
      <c r="R1547" t="s">
        <v>640</v>
      </c>
      <c r="S1547" t="str">
        <v>#N/A</v>
      </c>
      <c r="T1547" t="str">
        <v>13</v>
      </c>
    </row>
    <row r="1548" spans="1:20" ht="13.7" customHeight="1" x14ac:dyDescent="0.25">
      <c r="A1548" t="s">
        <v>26</v>
      </c>
      <c r="B1548" t="s">
        <v>27</v>
      </c>
      <c r="C1548" t="s">
        <v>39</v>
      </c>
      <c r="D1548">
        <v>40</v>
      </c>
      <c r="E1548" s="5">
        <v>43728</v>
      </c>
      <c r="F1548">
        <v>23551001</v>
      </c>
      <c r="G1548" t="s">
        <v>636</v>
      </c>
      <c r="H1548" t="s">
        <v>1115</v>
      </c>
      <c r="I1548" t="s">
        <v>1116</v>
      </c>
      <c r="J1548">
        <v>1009</v>
      </c>
      <c r="K1548">
        <v>2202</v>
      </c>
      <c r="L1548" s="3">
        <v>476783.16</v>
      </c>
      <c r="M1548" s="3">
        <v>0</v>
      </c>
      <c r="N1548">
        <v>18000</v>
      </c>
      <c r="O1548">
        <v>0</v>
      </c>
      <c r="P1548">
        <v>458783.16</v>
      </c>
      <c r="Q1548" t="s">
        <v>30</v>
      </c>
      <c r="R1548" t="s">
        <v>70</v>
      </c>
      <c r="S1548" t="str">
        <v>#N/A</v>
      </c>
      <c r="T1548" t="str">
        <v>13</v>
      </c>
    </row>
    <row r="1549" spans="1:20" ht="13.7" customHeight="1" x14ac:dyDescent="0.25">
      <c r="A1549" t="s">
        <v>26</v>
      </c>
      <c r="B1549" t="s">
        <v>27</v>
      </c>
      <c r="C1549" t="s">
        <v>39</v>
      </c>
      <c r="D1549">
        <v>41</v>
      </c>
      <c r="E1549" s="5">
        <v>43728</v>
      </c>
      <c r="F1549">
        <v>23551001</v>
      </c>
      <c r="G1549" t="s">
        <v>636</v>
      </c>
      <c r="H1549" t="s">
        <v>1115</v>
      </c>
      <c r="I1549" t="s">
        <v>1116</v>
      </c>
      <c r="J1549">
        <v>1009</v>
      </c>
      <c r="K1549">
        <v>2202</v>
      </c>
      <c r="L1549" s="3">
        <v>458783.16</v>
      </c>
      <c r="M1549" s="3">
        <v>0</v>
      </c>
      <c r="N1549">
        <v>20000</v>
      </c>
      <c r="O1549">
        <v>0</v>
      </c>
      <c r="P1549">
        <v>438783.16</v>
      </c>
      <c r="Q1549" t="s">
        <v>30</v>
      </c>
      <c r="R1549" t="s">
        <v>163</v>
      </c>
      <c r="S1549" t="str">
        <v>#N/A</v>
      </c>
      <c r="T1549" t="str">
        <v>13</v>
      </c>
    </row>
    <row r="1550" spans="1:20" ht="13.7" customHeight="1" x14ac:dyDescent="0.25">
      <c r="A1550" t="s">
        <v>26</v>
      </c>
      <c r="B1550" t="s">
        <v>27</v>
      </c>
      <c r="C1550" t="s">
        <v>39</v>
      </c>
      <c r="D1550">
        <v>42</v>
      </c>
      <c r="E1550" s="5">
        <v>43729</v>
      </c>
      <c r="F1550">
        <v>23551001</v>
      </c>
      <c r="G1550" t="s">
        <v>636</v>
      </c>
      <c r="H1550" t="s">
        <v>1115</v>
      </c>
      <c r="I1550" t="s">
        <v>1116</v>
      </c>
      <c r="J1550">
        <v>1009</v>
      </c>
      <c r="K1550">
        <v>2202</v>
      </c>
      <c r="L1550" s="3">
        <v>438783.16</v>
      </c>
      <c r="M1550" s="3">
        <v>0</v>
      </c>
      <c r="N1550">
        <v>18000</v>
      </c>
      <c r="O1550">
        <v>0</v>
      </c>
      <c r="P1550">
        <v>420783.16</v>
      </c>
      <c r="Q1550" t="s">
        <v>30</v>
      </c>
      <c r="R1550" t="s">
        <v>70</v>
      </c>
      <c r="S1550" t="str">
        <v>#N/A</v>
      </c>
      <c r="T1550" t="str">
        <v>13</v>
      </c>
    </row>
    <row r="1551" spans="1:20" ht="13.7" customHeight="1" x14ac:dyDescent="0.25">
      <c r="A1551" t="s">
        <v>26</v>
      </c>
      <c r="B1551" t="s">
        <v>27</v>
      </c>
      <c r="C1551" t="s">
        <v>39</v>
      </c>
      <c r="D1551">
        <v>47</v>
      </c>
      <c r="E1551" s="5">
        <v>43732</v>
      </c>
      <c r="F1551">
        <v>23551001</v>
      </c>
      <c r="G1551" t="s">
        <v>636</v>
      </c>
      <c r="H1551" t="s">
        <v>1115</v>
      </c>
      <c r="I1551" t="s">
        <v>1116</v>
      </c>
      <c r="J1551">
        <v>1009</v>
      </c>
      <c r="K1551">
        <v>2202</v>
      </c>
      <c r="L1551" s="3">
        <v>420783.16</v>
      </c>
      <c r="M1551" s="3">
        <v>0</v>
      </c>
      <c r="N1551">
        <v>21993</v>
      </c>
      <c r="O1551">
        <v>0</v>
      </c>
      <c r="P1551">
        <v>398790.16</v>
      </c>
      <c r="Q1551" t="s">
        <v>30</v>
      </c>
      <c r="R1551" t="s">
        <v>77</v>
      </c>
      <c r="S1551" t="str">
        <v>#N/A</v>
      </c>
      <c r="T1551" t="str">
        <v>13</v>
      </c>
    </row>
    <row r="1552" spans="1:20" ht="13.7" customHeight="1" x14ac:dyDescent="0.25">
      <c r="A1552" t="s">
        <v>26</v>
      </c>
      <c r="B1552" t="s">
        <v>27</v>
      </c>
      <c r="C1552" t="s">
        <v>39</v>
      </c>
      <c r="D1552">
        <v>48</v>
      </c>
      <c r="E1552" s="5">
        <v>43732</v>
      </c>
      <c r="F1552">
        <v>23551001</v>
      </c>
      <c r="G1552" t="s">
        <v>636</v>
      </c>
      <c r="H1552" t="s">
        <v>1115</v>
      </c>
      <c r="I1552" t="s">
        <v>1116</v>
      </c>
      <c r="J1552">
        <v>1009</v>
      </c>
      <c r="K1552">
        <v>2202</v>
      </c>
      <c r="L1552" s="3">
        <v>398790.16</v>
      </c>
      <c r="M1552" s="3">
        <v>0</v>
      </c>
      <c r="N1552">
        <v>10000</v>
      </c>
      <c r="O1552">
        <v>0</v>
      </c>
      <c r="P1552">
        <v>388790.16</v>
      </c>
      <c r="Q1552" t="s">
        <v>30</v>
      </c>
      <c r="R1552" t="s">
        <v>77</v>
      </c>
      <c r="S1552" t="str">
        <v>#N/A</v>
      </c>
      <c r="T1552" t="str">
        <v>13</v>
      </c>
    </row>
    <row r="1553" spans="1:20" ht="13.7" customHeight="1" x14ac:dyDescent="0.25">
      <c r="A1553" t="s">
        <v>26</v>
      </c>
      <c r="B1553" t="s">
        <v>27</v>
      </c>
      <c r="C1553" t="s">
        <v>39</v>
      </c>
      <c r="D1553">
        <v>49</v>
      </c>
      <c r="E1553" s="5">
        <v>43732</v>
      </c>
      <c r="F1553">
        <v>23551001</v>
      </c>
      <c r="G1553" t="s">
        <v>636</v>
      </c>
      <c r="H1553" t="s">
        <v>1115</v>
      </c>
      <c r="I1553" t="s">
        <v>1116</v>
      </c>
      <c r="J1553">
        <v>1009</v>
      </c>
      <c r="K1553">
        <v>2202</v>
      </c>
      <c r="L1553" s="3">
        <v>388790.16</v>
      </c>
      <c r="M1553" s="3">
        <v>0</v>
      </c>
      <c r="N1553">
        <v>260000</v>
      </c>
      <c r="O1553">
        <v>0</v>
      </c>
      <c r="P1553">
        <v>128790.16</v>
      </c>
      <c r="Q1553" t="s">
        <v>30</v>
      </c>
      <c r="R1553" t="s">
        <v>92</v>
      </c>
      <c r="S1553" t="str">
        <v>#N/A</v>
      </c>
      <c r="T1553" t="str">
        <v>13</v>
      </c>
    </row>
    <row r="1554" spans="1:20" ht="13.7" customHeight="1" x14ac:dyDescent="0.25">
      <c r="A1554" t="s">
        <v>26</v>
      </c>
      <c r="B1554" t="s">
        <v>27</v>
      </c>
      <c r="C1554" t="s">
        <v>39</v>
      </c>
      <c r="D1554">
        <v>50</v>
      </c>
      <c r="E1554" s="5">
        <v>43733</v>
      </c>
      <c r="F1554">
        <v>23551001</v>
      </c>
      <c r="G1554" t="s">
        <v>636</v>
      </c>
      <c r="H1554" t="s">
        <v>1115</v>
      </c>
      <c r="I1554" t="s">
        <v>1116</v>
      </c>
      <c r="J1554">
        <v>1009</v>
      </c>
      <c r="K1554">
        <v>2202</v>
      </c>
      <c r="L1554" s="3">
        <v>128790.16</v>
      </c>
      <c r="M1554" s="3">
        <v>0</v>
      </c>
      <c r="N1554">
        <v>18000</v>
      </c>
      <c r="O1554">
        <v>0</v>
      </c>
      <c r="P1554">
        <v>110790.16</v>
      </c>
      <c r="Q1554" t="s">
        <v>30</v>
      </c>
      <c r="R1554" t="s">
        <v>70</v>
      </c>
      <c r="S1554" t="str">
        <v>#N/A</v>
      </c>
      <c r="T1554" t="str">
        <v>13</v>
      </c>
    </row>
    <row r="1555" spans="1:20" ht="13.7" customHeight="1" x14ac:dyDescent="0.25">
      <c r="A1555" t="s">
        <v>26</v>
      </c>
      <c r="B1555" t="s">
        <v>27</v>
      </c>
      <c r="C1555" t="s">
        <v>39</v>
      </c>
      <c r="D1555">
        <v>53</v>
      </c>
      <c r="E1555" s="5">
        <v>43734</v>
      </c>
      <c r="F1555">
        <v>23551001</v>
      </c>
      <c r="G1555" t="s">
        <v>636</v>
      </c>
      <c r="H1555" t="s">
        <v>1115</v>
      </c>
      <c r="I1555" t="s">
        <v>1116</v>
      </c>
      <c r="J1555">
        <v>1009</v>
      </c>
      <c r="K1555">
        <v>2202</v>
      </c>
      <c r="L1555" s="3">
        <v>110790.16</v>
      </c>
      <c r="M1555" s="3">
        <v>0</v>
      </c>
      <c r="N1555">
        <v>10000</v>
      </c>
      <c r="O1555">
        <v>0</v>
      </c>
      <c r="P1555">
        <v>100790.16</v>
      </c>
      <c r="Q1555" t="s">
        <v>30</v>
      </c>
      <c r="R1555" t="s">
        <v>43</v>
      </c>
      <c r="S1555" t="str">
        <v>#N/A</v>
      </c>
      <c r="T1555" t="str">
        <v>13</v>
      </c>
    </row>
    <row r="1556" spans="1:20" ht="13.7" customHeight="1" x14ac:dyDescent="0.25">
      <c r="A1556" t="s">
        <v>26</v>
      </c>
      <c r="B1556" t="s">
        <v>27</v>
      </c>
      <c r="C1556" t="s">
        <v>39</v>
      </c>
      <c r="D1556">
        <v>54</v>
      </c>
      <c r="E1556" s="5">
        <v>43734</v>
      </c>
      <c r="F1556">
        <v>23551001</v>
      </c>
      <c r="G1556" t="s">
        <v>636</v>
      </c>
      <c r="H1556" t="s">
        <v>1115</v>
      </c>
      <c r="I1556" t="s">
        <v>1116</v>
      </c>
      <c r="J1556">
        <v>1009</v>
      </c>
      <c r="K1556">
        <v>2202</v>
      </c>
      <c r="L1556" s="3">
        <v>100790.16</v>
      </c>
      <c r="M1556" s="3">
        <v>0</v>
      </c>
      <c r="N1556">
        <v>1800</v>
      </c>
      <c r="O1556">
        <v>0</v>
      </c>
      <c r="P1556">
        <v>98990.16</v>
      </c>
      <c r="Q1556" t="s">
        <v>30</v>
      </c>
      <c r="R1556" t="s">
        <v>641</v>
      </c>
      <c r="S1556" t="str">
        <v>#N/A</v>
      </c>
      <c r="T1556" t="str">
        <v>13</v>
      </c>
    </row>
    <row r="1557" spans="1:20" ht="13.7" customHeight="1" x14ac:dyDescent="0.25">
      <c r="A1557" t="s">
        <v>26</v>
      </c>
      <c r="B1557" t="s">
        <v>27</v>
      </c>
      <c r="C1557" t="s">
        <v>39</v>
      </c>
      <c r="D1557">
        <v>55</v>
      </c>
      <c r="E1557" s="5">
        <v>43736</v>
      </c>
      <c r="F1557">
        <v>23551001</v>
      </c>
      <c r="G1557" t="s">
        <v>636</v>
      </c>
      <c r="H1557" t="s">
        <v>1115</v>
      </c>
      <c r="I1557" t="s">
        <v>1116</v>
      </c>
      <c r="J1557">
        <v>1009</v>
      </c>
      <c r="K1557">
        <v>2202</v>
      </c>
      <c r="L1557" s="3">
        <v>98990.16</v>
      </c>
      <c r="M1557" s="3">
        <v>0</v>
      </c>
      <c r="N1557">
        <v>90000</v>
      </c>
      <c r="O1557">
        <v>0</v>
      </c>
      <c r="P1557">
        <v>8990.16</v>
      </c>
      <c r="Q1557" t="s">
        <v>30</v>
      </c>
      <c r="R1557" t="s">
        <v>45</v>
      </c>
      <c r="S1557" t="str">
        <v>#N/A</v>
      </c>
      <c r="T1557" t="str">
        <v>13</v>
      </c>
    </row>
    <row r="1558" spans="1:20" ht="13.7" customHeight="1" x14ac:dyDescent="0.25">
      <c r="A1558" t="s">
        <v>26</v>
      </c>
      <c r="B1558" t="s">
        <v>27</v>
      </c>
      <c r="C1558" t="s">
        <v>39</v>
      </c>
      <c r="D1558">
        <v>56</v>
      </c>
      <c r="E1558" s="5">
        <v>43736</v>
      </c>
      <c r="F1558">
        <v>23551001</v>
      </c>
      <c r="G1558" t="s">
        <v>636</v>
      </c>
      <c r="H1558" t="s">
        <v>1115</v>
      </c>
      <c r="I1558" t="s">
        <v>1116</v>
      </c>
      <c r="J1558">
        <v>1009</v>
      </c>
      <c r="K1558">
        <v>2202</v>
      </c>
      <c r="L1558" s="3">
        <v>8990.16</v>
      </c>
      <c r="M1558" s="3">
        <v>0</v>
      </c>
      <c r="N1558">
        <v>22000</v>
      </c>
      <c r="O1558">
        <v>0</v>
      </c>
      <c r="P1558">
        <v>-13009.84</v>
      </c>
      <c r="Q1558" t="s">
        <v>30</v>
      </c>
      <c r="R1558" t="s">
        <v>70</v>
      </c>
      <c r="S1558" t="str">
        <v>#N/A</v>
      </c>
      <c r="T1558" t="str">
        <v>13</v>
      </c>
    </row>
    <row r="1559" spans="1:20" ht="13.7" customHeight="1" x14ac:dyDescent="0.25">
      <c r="A1559" t="s">
        <v>26</v>
      </c>
      <c r="B1559" t="s">
        <v>27</v>
      </c>
      <c r="C1559" t="s">
        <v>39</v>
      </c>
      <c r="D1559">
        <v>63</v>
      </c>
      <c r="E1559" s="5">
        <v>43736</v>
      </c>
      <c r="F1559">
        <v>23551001</v>
      </c>
      <c r="G1559" t="s">
        <v>636</v>
      </c>
      <c r="H1559" t="s">
        <v>1115</v>
      </c>
      <c r="I1559" t="s">
        <v>1116</v>
      </c>
      <c r="J1559">
        <v>1009</v>
      </c>
      <c r="K1559">
        <v>2202</v>
      </c>
      <c r="L1559" s="3">
        <v>-13009.84</v>
      </c>
      <c r="M1559" s="3">
        <v>0</v>
      </c>
      <c r="N1559">
        <v>34000</v>
      </c>
      <c r="O1559">
        <v>0</v>
      </c>
      <c r="P1559">
        <v>-47009.84</v>
      </c>
      <c r="Q1559" t="s">
        <v>30</v>
      </c>
      <c r="R1559" t="s">
        <v>70</v>
      </c>
      <c r="S1559" t="str">
        <v>#N/A</v>
      </c>
      <c r="T1559" t="str">
        <v>13</v>
      </c>
    </row>
    <row r="1560" spans="1:20" ht="13.7" customHeight="1" x14ac:dyDescent="0.25">
      <c r="A1560" t="s">
        <v>26</v>
      </c>
      <c r="B1560" t="s">
        <v>27</v>
      </c>
      <c r="C1560" t="s">
        <v>39</v>
      </c>
      <c r="D1560">
        <v>64</v>
      </c>
      <c r="E1560" s="5">
        <v>43738</v>
      </c>
      <c r="F1560">
        <v>23551001</v>
      </c>
      <c r="G1560" t="s">
        <v>636</v>
      </c>
      <c r="H1560" t="s">
        <v>1115</v>
      </c>
      <c r="I1560" t="s">
        <v>1116</v>
      </c>
      <c r="J1560">
        <v>1009</v>
      </c>
      <c r="K1560">
        <v>2202</v>
      </c>
      <c r="L1560" s="3">
        <v>-47009.84</v>
      </c>
      <c r="M1560" s="3">
        <v>0</v>
      </c>
      <c r="N1560">
        <v>15000</v>
      </c>
      <c r="O1560">
        <v>0</v>
      </c>
      <c r="P1560">
        <v>-62009.84</v>
      </c>
      <c r="Q1560" t="s">
        <v>30</v>
      </c>
      <c r="R1560" t="s">
        <v>642</v>
      </c>
      <c r="S1560" t="str">
        <v>#N/A</v>
      </c>
      <c r="T1560" t="str">
        <v>13</v>
      </c>
    </row>
    <row r="1561" spans="1:20" ht="13.7" customHeight="1" x14ac:dyDescent="0.25">
      <c r="A1561" t="s">
        <v>26</v>
      </c>
      <c r="B1561" t="s">
        <v>27</v>
      </c>
      <c r="C1561" t="s">
        <v>39</v>
      </c>
      <c r="D1561">
        <v>65</v>
      </c>
      <c r="E1561" s="5">
        <v>43738</v>
      </c>
      <c r="F1561">
        <v>23551001</v>
      </c>
      <c r="G1561" t="s">
        <v>636</v>
      </c>
      <c r="H1561" t="s">
        <v>1115</v>
      </c>
      <c r="I1561" t="s">
        <v>1116</v>
      </c>
      <c r="J1561">
        <v>1009</v>
      </c>
      <c r="K1561">
        <v>2202</v>
      </c>
      <c r="L1561" s="3">
        <v>-62009.84</v>
      </c>
      <c r="M1561" s="3">
        <v>0</v>
      </c>
      <c r="N1561">
        <v>64914</v>
      </c>
      <c r="O1561">
        <v>0</v>
      </c>
      <c r="P1561">
        <v>-126923.84</v>
      </c>
      <c r="Q1561" t="s">
        <v>30</v>
      </c>
      <c r="R1561" t="s">
        <v>204</v>
      </c>
      <c r="S1561" t="str">
        <v>#N/A</v>
      </c>
      <c r="T1561" t="str">
        <v>13</v>
      </c>
    </row>
    <row r="1562" spans="1:20" ht="13.7" customHeight="1" x14ac:dyDescent="0.25">
      <c r="A1562" t="s">
        <v>26</v>
      </c>
      <c r="B1562" t="s">
        <v>27</v>
      </c>
      <c r="C1562" t="s">
        <v>39</v>
      </c>
      <c r="D1562">
        <v>66</v>
      </c>
      <c r="E1562" s="5">
        <v>43738</v>
      </c>
      <c r="F1562">
        <v>23551001</v>
      </c>
      <c r="G1562" t="s">
        <v>636</v>
      </c>
      <c r="H1562" t="s">
        <v>1115</v>
      </c>
      <c r="I1562" t="s">
        <v>1116</v>
      </c>
      <c r="J1562">
        <v>1009</v>
      </c>
      <c r="K1562">
        <v>2202</v>
      </c>
      <c r="L1562" s="3">
        <v>-126923.84</v>
      </c>
      <c r="M1562" s="3">
        <v>0</v>
      </c>
      <c r="N1562">
        <v>153000</v>
      </c>
      <c r="O1562">
        <v>0</v>
      </c>
      <c r="P1562">
        <v>-279923.84000000003</v>
      </c>
      <c r="Q1562" t="s">
        <v>30</v>
      </c>
      <c r="R1562" t="s">
        <v>643</v>
      </c>
      <c r="S1562" t="str">
        <v>#N/A</v>
      </c>
      <c r="T1562" t="str">
        <v>13</v>
      </c>
    </row>
    <row r="1563" spans="1:20" ht="13.7" customHeight="1" x14ac:dyDescent="0.25">
      <c r="A1563" t="s">
        <v>26</v>
      </c>
      <c r="B1563" t="s">
        <v>27</v>
      </c>
      <c r="C1563" t="s">
        <v>40</v>
      </c>
      <c r="D1563">
        <v>6</v>
      </c>
      <c r="E1563" s="5">
        <v>43744</v>
      </c>
      <c r="F1563">
        <v>23551001</v>
      </c>
      <c r="G1563" t="s">
        <v>636</v>
      </c>
      <c r="H1563" t="s">
        <v>1115</v>
      </c>
      <c r="I1563" t="s">
        <v>1116</v>
      </c>
      <c r="J1563">
        <v>1009</v>
      </c>
      <c r="K1563">
        <v>2202</v>
      </c>
      <c r="L1563" s="3">
        <v>-279923.84000000003</v>
      </c>
      <c r="M1563" s="3">
        <v>0</v>
      </c>
      <c r="N1563">
        <v>9500</v>
      </c>
      <c r="O1563">
        <v>0</v>
      </c>
      <c r="P1563">
        <v>-289423.84000000003</v>
      </c>
      <c r="Q1563" t="s">
        <v>30</v>
      </c>
      <c r="R1563" t="s">
        <v>554</v>
      </c>
      <c r="S1563" t="str">
        <v>#N/A</v>
      </c>
      <c r="T1563" t="str">
        <v>13</v>
      </c>
    </row>
    <row r="1564" spans="1:20" ht="13.7" customHeight="1" x14ac:dyDescent="0.25">
      <c r="A1564" t="s">
        <v>26</v>
      </c>
      <c r="B1564" t="s">
        <v>27</v>
      </c>
      <c r="C1564" t="s">
        <v>40</v>
      </c>
      <c r="D1564">
        <v>7</v>
      </c>
      <c r="E1564" s="5">
        <v>43744</v>
      </c>
      <c r="F1564">
        <v>23551001</v>
      </c>
      <c r="G1564" t="s">
        <v>636</v>
      </c>
      <c r="H1564" t="s">
        <v>1115</v>
      </c>
      <c r="I1564" t="s">
        <v>1116</v>
      </c>
      <c r="J1564">
        <v>1009</v>
      </c>
      <c r="K1564">
        <v>2202</v>
      </c>
      <c r="L1564" s="3">
        <v>-289423.84000000003</v>
      </c>
      <c r="M1564" s="3">
        <v>0</v>
      </c>
      <c r="N1564">
        <v>100015</v>
      </c>
      <c r="O1564">
        <v>0</v>
      </c>
      <c r="P1564">
        <v>-389438.84</v>
      </c>
      <c r="Q1564" t="s">
        <v>30</v>
      </c>
      <c r="R1564" t="s">
        <v>158</v>
      </c>
      <c r="S1564" t="str">
        <v>#N/A</v>
      </c>
      <c r="T1564" t="str">
        <v>13</v>
      </c>
    </row>
    <row r="1565" spans="1:20" ht="13.7" customHeight="1" x14ac:dyDescent="0.25">
      <c r="A1565" t="s">
        <v>26</v>
      </c>
      <c r="B1565" t="s">
        <v>27</v>
      </c>
      <c r="C1565" t="s">
        <v>40</v>
      </c>
      <c r="D1565">
        <v>10</v>
      </c>
      <c r="E1565" s="5">
        <v>43745</v>
      </c>
      <c r="F1565">
        <v>23551001</v>
      </c>
      <c r="G1565" t="s">
        <v>636</v>
      </c>
      <c r="H1565" t="s">
        <v>1115</v>
      </c>
      <c r="I1565" t="s">
        <v>1116</v>
      </c>
      <c r="J1565">
        <v>1009</v>
      </c>
      <c r="K1565">
        <v>2202</v>
      </c>
      <c r="L1565" s="3">
        <v>-389438.84</v>
      </c>
      <c r="M1565" s="3">
        <v>0</v>
      </c>
      <c r="N1565">
        <v>6800</v>
      </c>
      <c r="O1565">
        <v>0</v>
      </c>
      <c r="P1565">
        <v>-396238.84</v>
      </c>
      <c r="Q1565" t="s">
        <v>30</v>
      </c>
      <c r="R1565" t="s">
        <v>59</v>
      </c>
      <c r="S1565" t="str">
        <v>#N/A</v>
      </c>
      <c r="T1565" t="str">
        <v>13</v>
      </c>
    </row>
    <row r="1566" spans="1:20" ht="13.7" customHeight="1" x14ac:dyDescent="0.25">
      <c r="A1566" t="s">
        <v>26</v>
      </c>
      <c r="B1566" t="s">
        <v>27</v>
      </c>
      <c r="C1566" t="s">
        <v>40</v>
      </c>
      <c r="D1566">
        <v>11</v>
      </c>
      <c r="E1566" s="5">
        <v>43745</v>
      </c>
      <c r="F1566">
        <v>23551001</v>
      </c>
      <c r="G1566" t="s">
        <v>636</v>
      </c>
      <c r="H1566" t="s">
        <v>1115</v>
      </c>
      <c r="I1566" t="s">
        <v>1116</v>
      </c>
      <c r="J1566">
        <v>1009</v>
      </c>
      <c r="K1566">
        <v>2202</v>
      </c>
      <c r="L1566" s="3">
        <v>-396238.84</v>
      </c>
      <c r="M1566" s="3">
        <v>0</v>
      </c>
      <c r="N1566">
        <v>10000</v>
      </c>
      <c r="O1566">
        <v>0</v>
      </c>
      <c r="P1566">
        <v>-406238.84</v>
      </c>
      <c r="Q1566" t="s">
        <v>30</v>
      </c>
      <c r="R1566" t="s">
        <v>151</v>
      </c>
      <c r="S1566" t="str">
        <v>#N/A</v>
      </c>
      <c r="T1566" t="str">
        <v>13</v>
      </c>
    </row>
    <row r="1567" spans="1:20" ht="13.7" customHeight="1" x14ac:dyDescent="0.25">
      <c r="A1567" t="s">
        <v>26</v>
      </c>
      <c r="B1567" t="s">
        <v>27</v>
      </c>
      <c r="C1567" t="s">
        <v>40</v>
      </c>
      <c r="D1567">
        <v>12</v>
      </c>
      <c r="E1567" s="5">
        <v>43745</v>
      </c>
      <c r="F1567">
        <v>23551001</v>
      </c>
      <c r="G1567" t="s">
        <v>636</v>
      </c>
      <c r="H1567" t="s">
        <v>1115</v>
      </c>
      <c r="I1567" t="s">
        <v>1116</v>
      </c>
      <c r="J1567">
        <v>1009</v>
      </c>
      <c r="K1567">
        <v>2202</v>
      </c>
      <c r="L1567" s="3">
        <v>-406238.84</v>
      </c>
      <c r="M1567" s="3">
        <v>0</v>
      </c>
      <c r="N1567">
        <v>99619</v>
      </c>
      <c r="O1567">
        <v>0</v>
      </c>
      <c r="P1567">
        <v>-505857.84</v>
      </c>
      <c r="Q1567" t="s">
        <v>30</v>
      </c>
      <c r="R1567" t="s">
        <v>65</v>
      </c>
      <c r="S1567" t="str">
        <v>#N/A</v>
      </c>
      <c r="T1567" t="str">
        <v>13</v>
      </c>
    </row>
    <row r="1568" spans="1:20" ht="13.7" customHeight="1" x14ac:dyDescent="0.25">
      <c r="A1568" t="s">
        <v>26</v>
      </c>
      <c r="B1568" t="s">
        <v>27</v>
      </c>
      <c r="C1568" t="s">
        <v>40</v>
      </c>
      <c r="D1568">
        <v>13</v>
      </c>
      <c r="E1568" s="5">
        <v>43745</v>
      </c>
      <c r="F1568">
        <v>23551001</v>
      </c>
      <c r="G1568" t="s">
        <v>636</v>
      </c>
      <c r="H1568" t="s">
        <v>1115</v>
      </c>
      <c r="I1568" t="s">
        <v>1116</v>
      </c>
      <c r="J1568">
        <v>1009</v>
      </c>
      <c r="K1568">
        <v>2202</v>
      </c>
      <c r="L1568" s="3">
        <v>-505857.84</v>
      </c>
      <c r="M1568" s="3">
        <v>0</v>
      </c>
      <c r="N1568">
        <v>39300</v>
      </c>
      <c r="O1568">
        <v>0</v>
      </c>
      <c r="P1568">
        <v>-545157.84</v>
      </c>
      <c r="Q1568" t="s">
        <v>30</v>
      </c>
      <c r="R1568" t="s">
        <v>145</v>
      </c>
      <c r="S1568" t="str">
        <v>#N/A</v>
      </c>
      <c r="T1568" t="str">
        <v>13</v>
      </c>
    </row>
    <row r="1569" spans="1:20" ht="13.7" customHeight="1" x14ac:dyDescent="0.25">
      <c r="A1569" t="s">
        <v>26</v>
      </c>
      <c r="B1569" t="s">
        <v>27</v>
      </c>
      <c r="C1569" t="s">
        <v>40</v>
      </c>
      <c r="D1569">
        <v>19</v>
      </c>
      <c r="E1569" s="5">
        <v>43750</v>
      </c>
      <c r="F1569">
        <v>23551001</v>
      </c>
      <c r="G1569" t="s">
        <v>636</v>
      </c>
      <c r="H1569" t="s">
        <v>1115</v>
      </c>
      <c r="I1569" t="s">
        <v>1116</v>
      </c>
      <c r="J1569">
        <v>1009</v>
      </c>
      <c r="K1569">
        <v>2202</v>
      </c>
      <c r="L1569" s="3">
        <v>-545157.84</v>
      </c>
      <c r="M1569" s="3">
        <v>0</v>
      </c>
      <c r="N1569">
        <v>133044</v>
      </c>
      <c r="O1569">
        <v>0</v>
      </c>
      <c r="P1569">
        <v>-678201.84</v>
      </c>
      <c r="Q1569" t="s">
        <v>30</v>
      </c>
      <c r="R1569" t="s">
        <v>158</v>
      </c>
      <c r="S1569" t="str">
        <v>#N/A</v>
      </c>
      <c r="T1569" t="str">
        <v>13</v>
      </c>
    </row>
    <row r="1570" spans="1:20" ht="13.7" customHeight="1" x14ac:dyDescent="0.25">
      <c r="A1570" t="s">
        <v>26</v>
      </c>
      <c r="B1570" t="s">
        <v>27</v>
      </c>
      <c r="C1570" t="s">
        <v>40</v>
      </c>
      <c r="D1570">
        <v>22</v>
      </c>
      <c r="E1570" s="5">
        <v>43750</v>
      </c>
      <c r="F1570">
        <v>23551001</v>
      </c>
      <c r="G1570" t="s">
        <v>636</v>
      </c>
      <c r="H1570" t="s">
        <v>1115</v>
      </c>
      <c r="I1570" t="s">
        <v>1116</v>
      </c>
      <c r="J1570">
        <v>1009</v>
      </c>
      <c r="K1570">
        <v>2202</v>
      </c>
      <c r="L1570" s="3">
        <v>-678201.84</v>
      </c>
      <c r="M1570" s="3">
        <v>0</v>
      </c>
      <c r="N1570">
        <v>28900</v>
      </c>
      <c r="O1570">
        <v>0</v>
      </c>
      <c r="P1570">
        <v>-707101.84</v>
      </c>
      <c r="Q1570" t="s">
        <v>30</v>
      </c>
      <c r="R1570" t="s">
        <v>70</v>
      </c>
      <c r="S1570" t="str">
        <v>#N/A</v>
      </c>
      <c r="T1570" t="str">
        <v>13</v>
      </c>
    </row>
    <row r="1571" spans="1:20" ht="13.7" customHeight="1" x14ac:dyDescent="0.25">
      <c r="A1571" t="s">
        <v>26</v>
      </c>
      <c r="B1571" t="s">
        <v>27</v>
      </c>
      <c r="C1571" t="s">
        <v>40</v>
      </c>
      <c r="D1571">
        <v>25</v>
      </c>
      <c r="E1571" s="5">
        <v>43753</v>
      </c>
      <c r="F1571">
        <v>23551001</v>
      </c>
      <c r="G1571" t="s">
        <v>636</v>
      </c>
      <c r="H1571" t="s">
        <v>1115</v>
      </c>
      <c r="I1571" t="s">
        <v>1116</v>
      </c>
      <c r="J1571">
        <v>1009</v>
      </c>
      <c r="K1571">
        <v>2202</v>
      </c>
      <c r="L1571" s="3">
        <v>-707101.84</v>
      </c>
      <c r="M1571" s="3">
        <v>0</v>
      </c>
      <c r="N1571">
        <v>81000</v>
      </c>
      <c r="O1571">
        <v>0</v>
      </c>
      <c r="P1571">
        <v>-788101.84</v>
      </c>
      <c r="Q1571" t="s">
        <v>30</v>
      </c>
      <c r="R1571" t="s">
        <v>145</v>
      </c>
      <c r="S1571" t="str">
        <v>#N/A</v>
      </c>
      <c r="T1571" t="str">
        <v>13</v>
      </c>
    </row>
    <row r="1572" spans="1:20" ht="13.7" customHeight="1" x14ac:dyDescent="0.25">
      <c r="A1572" t="s">
        <v>26</v>
      </c>
      <c r="B1572" t="s">
        <v>27</v>
      </c>
      <c r="C1572" t="s">
        <v>40</v>
      </c>
      <c r="D1572">
        <v>27</v>
      </c>
      <c r="E1572" s="5">
        <v>43754</v>
      </c>
      <c r="F1572">
        <v>23551001</v>
      </c>
      <c r="G1572" t="s">
        <v>636</v>
      </c>
      <c r="H1572" t="s">
        <v>1115</v>
      </c>
      <c r="I1572" t="s">
        <v>1116</v>
      </c>
      <c r="J1572">
        <v>1009</v>
      </c>
      <c r="K1572">
        <v>2202</v>
      </c>
      <c r="L1572" s="3">
        <v>-788101.84</v>
      </c>
      <c r="M1572" s="3">
        <v>4309718</v>
      </c>
      <c r="N1572">
        <v>0</v>
      </c>
      <c r="O1572">
        <v>0</v>
      </c>
      <c r="P1572">
        <v>3521616.16</v>
      </c>
      <c r="Q1572" t="s">
        <v>30</v>
      </c>
      <c r="R1572" t="s">
        <v>263</v>
      </c>
      <c r="S1572" t="str">
        <v>#N/A</v>
      </c>
      <c r="T1572" t="str">
        <v>13</v>
      </c>
    </row>
    <row r="1573" spans="1:20" ht="13.7" customHeight="1" x14ac:dyDescent="0.25">
      <c r="A1573" t="s">
        <v>26</v>
      </c>
      <c r="B1573" t="s">
        <v>27</v>
      </c>
      <c r="C1573" t="s">
        <v>40</v>
      </c>
      <c r="D1573">
        <v>28</v>
      </c>
      <c r="E1573" s="5">
        <v>43754</v>
      </c>
      <c r="F1573">
        <v>23551001</v>
      </c>
      <c r="G1573" t="s">
        <v>636</v>
      </c>
      <c r="H1573" t="s">
        <v>1115</v>
      </c>
      <c r="I1573" t="s">
        <v>1116</v>
      </c>
      <c r="J1573">
        <v>1009</v>
      </c>
      <c r="K1573">
        <v>2202</v>
      </c>
      <c r="L1573" s="3">
        <v>3521616.16</v>
      </c>
      <c r="M1573" s="3">
        <v>0</v>
      </c>
      <c r="N1573">
        <v>32450</v>
      </c>
      <c r="O1573">
        <v>0</v>
      </c>
      <c r="P1573">
        <v>3489166.16</v>
      </c>
      <c r="Q1573" t="s">
        <v>30</v>
      </c>
      <c r="R1573" t="s">
        <v>59</v>
      </c>
      <c r="S1573" t="str">
        <v>#N/A</v>
      </c>
      <c r="T1573" t="str">
        <v>13</v>
      </c>
    </row>
    <row r="1574" spans="1:20" ht="13.7" customHeight="1" x14ac:dyDescent="0.25">
      <c r="A1574" t="s">
        <v>26</v>
      </c>
      <c r="B1574" t="s">
        <v>27</v>
      </c>
      <c r="C1574" t="s">
        <v>40</v>
      </c>
      <c r="D1574">
        <v>35</v>
      </c>
      <c r="E1574" s="5">
        <v>43755</v>
      </c>
      <c r="F1574">
        <v>23551001</v>
      </c>
      <c r="G1574" t="s">
        <v>636</v>
      </c>
      <c r="H1574" t="s">
        <v>1115</v>
      </c>
      <c r="I1574" t="s">
        <v>1116</v>
      </c>
      <c r="J1574">
        <v>1009</v>
      </c>
      <c r="K1574">
        <v>2202</v>
      </c>
      <c r="L1574" s="3">
        <v>3489166.16</v>
      </c>
      <c r="M1574" s="3">
        <v>0</v>
      </c>
      <c r="N1574">
        <v>39800</v>
      </c>
      <c r="O1574">
        <v>0</v>
      </c>
      <c r="P1574">
        <v>3449366.16</v>
      </c>
      <c r="Q1574" t="s">
        <v>30</v>
      </c>
      <c r="R1574" t="s">
        <v>70</v>
      </c>
      <c r="S1574" t="str">
        <v>#N/A</v>
      </c>
      <c r="T1574" t="str">
        <v>13</v>
      </c>
    </row>
    <row r="1575" spans="1:20" ht="13.7" customHeight="1" x14ac:dyDescent="0.25">
      <c r="A1575" t="s">
        <v>26</v>
      </c>
      <c r="B1575" t="s">
        <v>27</v>
      </c>
      <c r="C1575" t="s">
        <v>40</v>
      </c>
      <c r="D1575">
        <v>36</v>
      </c>
      <c r="E1575" s="5">
        <v>43756</v>
      </c>
      <c r="F1575">
        <v>23551001</v>
      </c>
      <c r="G1575" t="s">
        <v>636</v>
      </c>
      <c r="H1575" t="s">
        <v>1115</v>
      </c>
      <c r="I1575" t="s">
        <v>1116</v>
      </c>
      <c r="J1575">
        <v>1009</v>
      </c>
      <c r="K1575">
        <v>2202</v>
      </c>
      <c r="L1575" s="3">
        <v>3449366.16</v>
      </c>
      <c r="M1575" s="3">
        <v>0</v>
      </c>
      <c r="N1575">
        <v>11750</v>
      </c>
      <c r="O1575">
        <v>0</v>
      </c>
      <c r="P1575">
        <v>3437616.16</v>
      </c>
      <c r="Q1575" t="s">
        <v>30</v>
      </c>
      <c r="R1575" t="s">
        <v>59</v>
      </c>
      <c r="S1575" t="str">
        <v>#N/A</v>
      </c>
      <c r="T1575" t="str">
        <v>13</v>
      </c>
    </row>
    <row r="1576" spans="1:20" ht="13.7" customHeight="1" x14ac:dyDescent="0.25">
      <c r="A1576" t="s">
        <v>26</v>
      </c>
      <c r="B1576" t="s">
        <v>27</v>
      </c>
      <c r="C1576" t="s">
        <v>40</v>
      </c>
      <c r="D1576">
        <v>40</v>
      </c>
      <c r="E1576" s="5">
        <v>43758</v>
      </c>
      <c r="F1576">
        <v>23551001</v>
      </c>
      <c r="G1576" t="s">
        <v>636</v>
      </c>
      <c r="H1576" t="s">
        <v>1115</v>
      </c>
      <c r="I1576" t="s">
        <v>1116</v>
      </c>
      <c r="J1576">
        <v>1009</v>
      </c>
      <c r="K1576">
        <v>2202</v>
      </c>
      <c r="L1576" s="3">
        <v>3437616.16</v>
      </c>
      <c r="M1576" s="3">
        <v>0</v>
      </c>
      <c r="N1576">
        <v>128008</v>
      </c>
      <c r="O1576">
        <v>0</v>
      </c>
      <c r="P1576">
        <v>3309608.16</v>
      </c>
      <c r="Q1576" t="s">
        <v>30</v>
      </c>
      <c r="R1576" t="s">
        <v>158</v>
      </c>
      <c r="S1576" t="str">
        <v>#N/A</v>
      </c>
      <c r="T1576" t="str">
        <v>13</v>
      </c>
    </row>
    <row r="1577" spans="1:20" ht="13.7" customHeight="1" x14ac:dyDescent="0.25">
      <c r="A1577" t="s">
        <v>26</v>
      </c>
      <c r="B1577" t="s">
        <v>27</v>
      </c>
      <c r="C1577" t="s">
        <v>40</v>
      </c>
      <c r="D1577">
        <v>41</v>
      </c>
      <c r="E1577" s="5">
        <v>43758</v>
      </c>
      <c r="F1577">
        <v>23551001</v>
      </c>
      <c r="G1577" t="s">
        <v>636</v>
      </c>
      <c r="H1577" t="s">
        <v>1115</v>
      </c>
      <c r="I1577" t="s">
        <v>1116</v>
      </c>
      <c r="J1577">
        <v>1009</v>
      </c>
      <c r="K1577">
        <v>2202</v>
      </c>
      <c r="L1577" s="3">
        <v>3309608.16</v>
      </c>
      <c r="M1577" s="3">
        <v>0</v>
      </c>
      <c r="N1577">
        <v>106007</v>
      </c>
      <c r="O1577">
        <v>0</v>
      </c>
      <c r="P1577">
        <v>3203601.16</v>
      </c>
      <c r="Q1577" t="s">
        <v>30</v>
      </c>
      <c r="R1577" t="s">
        <v>158</v>
      </c>
      <c r="S1577" t="str">
        <v>#N/A</v>
      </c>
      <c r="T1577" t="str">
        <v>13</v>
      </c>
    </row>
    <row r="1578" spans="1:20" ht="13.7" customHeight="1" x14ac:dyDescent="0.25">
      <c r="A1578" t="s">
        <v>26</v>
      </c>
      <c r="B1578" t="s">
        <v>27</v>
      </c>
      <c r="C1578" t="s">
        <v>40</v>
      </c>
      <c r="D1578">
        <v>45</v>
      </c>
      <c r="E1578" s="5">
        <v>43762</v>
      </c>
      <c r="F1578">
        <v>23551001</v>
      </c>
      <c r="G1578" t="s">
        <v>636</v>
      </c>
      <c r="H1578" t="s">
        <v>1115</v>
      </c>
      <c r="I1578" t="s">
        <v>1116</v>
      </c>
      <c r="J1578">
        <v>1009</v>
      </c>
      <c r="K1578">
        <v>2202</v>
      </c>
      <c r="L1578" s="3">
        <v>3203601.16</v>
      </c>
      <c r="M1578" s="3">
        <v>0</v>
      </c>
      <c r="N1578">
        <v>64260</v>
      </c>
      <c r="O1578">
        <v>0</v>
      </c>
      <c r="P1578">
        <v>3139341.16</v>
      </c>
      <c r="Q1578" t="s">
        <v>30</v>
      </c>
      <c r="R1578" t="s">
        <v>145</v>
      </c>
      <c r="S1578" t="str">
        <v>#N/A</v>
      </c>
      <c r="T1578" t="str">
        <v>13</v>
      </c>
    </row>
    <row r="1579" spans="1:20" ht="13.7" customHeight="1" x14ac:dyDescent="0.25">
      <c r="A1579" t="s">
        <v>26</v>
      </c>
      <c r="B1579" t="s">
        <v>27</v>
      </c>
      <c r="C1579" t="s">
        <v>40</v>
      </c>
      <c r="D1579">
        <v>46</v>
      </c>
      <c r="E1579" s="5">
        <v>43762</v>
      </c>
      <c r="F1579">
        <v>23551001</v>
      </c>
      <c r="G1579" t="s">
        <v>636</v>
      </c>
      <c r="H1579" t="s">
        <v>1115</v>
      </c>
      <c r="I1579" t="s">
        <v>1116</v>
      </c>
      <c r="J1579">
        <v>1009</v>
      </c>
      <c r="K1579">
        <v>2202</v>
      </c>
      <c r="L1579" s="3">
        <v>3139341.16</v>
      </c>
      <c r="M1579" s="3">
        <v>0</v>
      </c>
      <c r="N1579">
        <v>68999</v>
      </c>
      <c r="O1579">
        <v>0</v>
      </c>
      <c r="P1579">
        <v>3070342.16</v>
      </c>
      <c r="Q1579" t="s">
        <v>30</v>
      </c>
      <c r="R1579" t="s">
        <v>65</v>
      </c>
      <c r="S1579" t="str">
        <v>#N/A</v>
      </c>
      <c r="T1579" t="str">
        <v>13</v>
      </c>
    </row>
    <row r="1580" spans="1:20" ht="13.7" customHeight="1" x14ac:dyDescent="0.25">
      <c r="A1580" t="s">
        <v>26</v>
      </c>
      <c r="B1580" t="s">
        <v>27</v>
      </c>
      <c r="C1580" t="s">
        <v>40</v>
      </c>
      <c r="D1580">
        <v>55</v>
      </c>
      <c r="E1580" s="5">
        <v>43768</v>
      </c>
      <c r="F1580">
        <v>23551001</v>
      </c>
      <c r="G1580" t="s">
        <v>636</v>
      </c>
      <c r="H1580" t="s">
        <v>1115</v>
      </c>
      <c r="I1580" t="s">
        <v>1116</v>
      </c>
      <c r="J1580">
        <v>1009</v>
      </c>
      <c r="K1580">
        <v>2202</v>
      </c>
      <c r="L1580" s="3">
        <v>3070342.16</v>
      </c>
      <c r="M1580" s="3">
        <v>0</v>
      </c>
      <c r="N1580">
        <v>52500</v>
      </c>
      <c r="O1580">
        <v>0</v>
      </c>
      <c r="P1580">
        <v>3017842.16</v>
      </c>
      <c r="Q1580" t="s">
        <v>30</v>
      </c>
      <c r="R1580" t="s">
        <v>145</v>
      </c>
      <c r="S1580" t="str">
        <v>#N/A</v>
      </c>
      <c r="T1580" t="str">
        <v>13</v>
      </c>
    </row>
    <row r="1581" spans="1:20" ht="13.7" customHeight="1" x14ac:dyDescent="0.25">
      <c r="A1581" t="s">
        <v>26</v>
      </c>
      <c r="B1581" t="s">
        <v>27</v>
      </c>
      <c r="C1581" t="s">
        <v>40</v>
      </c>
      <c r="D1581">
        <v>56</v>
      </c>
      <c r="E1581" s="5">
        <v>43768</v>
      </c>
      <c r="F1581">
        <v>23551001</v>
      </c>
      <c r="G1581" t="s">
        <v>636</v>
      </c>
      <c r="H1581" t="s">
        <v>1115</v>
      </c>
      <c r="I1581" t="s">
        <v>1116</v>
      </c>
      <c r="J1581">
        <v>1009</v>
      </c>
      <c r="K1581">
        <v>2202</v>
      </c>
      <c r="L1581" s="3">
        <v>3017842.16</v>
      </c>
      <c r="M1581" s="3">
        <v>0</v>
      </c>
      <c r="N1581">
        <v>104001</v>
      </c>
      <c r="O1581">
        <v>0</v>
      </c>
      <c r="P1581">
        <v>2913841.16</v>
      </c>
      <c r="Q1581" t="s">
        <v>30</v>
      </c>
      <c r="R1581" t="s">
        <v>122</v>
      </c>
      <c r="S1581" t="str">
        <v>#N/A</v>
      </c>
      <c r="T1581" t="str">
        <v>13</v>
      </c>
    </row>
    <row r="1582" spans="1:20" ht="13.7" customHeight="1" x14ac:dyDescent="0.25">
      <c r="A1582" t="s">
        <v>26</v>
      </c>
      <c r="B1582" t="s">
        <v>27</v>
      </c>
      <c r="C1582" t="s">
        <v>41</v>
      </c>
      <c r="D1582">
        <v>24</v>
      </c>
      <c r="E1582" s="5">
        <v>43781</v>
      </c>
      <c r="F1582">
        <v>23551001</v>
      </c>
      <c r="G1582" t="s">
        <v>636</v>
      </c>
      <c r="H1582" t="s">
        <v>1115</v>
      </c>
      <c r="I1582" t="s">
        <v>1116</v>
      </c>
      <c r="J1582">
        <v>1009</v>
      </c>
      <c r="K1582">
        <v>2202</v>
      </c>
      <c r="L1582" s="3">
        <v>2913841.16</v>
      </c>
      <c r="M1582" s="3">
        <v>1506334</v>
      </c>
      <c r="N1582">
        <v>0</v>
      </c>
      <c r="O1582">
        <v>0</v>
      </c>
      <c r="P1582">
        <v>4420175.16</v>
      </c>
      <c r="Q1582" t="s">
        <v>30</v>
      </c>
      <c r="R1582" t="s">
        <v>302</v>
      </c>
      <c r="S1582" t="str">
        <v>#N/A</v>
      </c>
      <c r="T1582" t="str">
        <v>13</v>
      </c>
    </row>
    <row r="1583" spans="1:20" ht="13.7" customHeight="1" x14ac:dyDescent="0.25">
      <c r="A1583" t="s">
        <v>26</v>
      </c>
      <c r="B1583" t="s">
        <v>27</v>
      </c>
      <c r="C1583" t="s">
        <v>180</v>
      </c>
      <c r="D1583">
        <v>2</v>
      </c>
      <c r="E1583" s="5">
        <v>43801</v>
      </c>
      <c r="F1583">
        <v>23551001</v>
      </c>
      <c r="G1583" t="s">
        <v>636</v>
      </c>
      <c r="H1583" t="s">
        <v>1115</v>
      </c>
      <c r="I1583" t="s">
        <v>1116</v>
      </c>
      <c r="J1583">
        <v>1009</v>
      </c>
      <c r="K1583">
        <v>2202</v>
      </c>
      <c r="L1583" s="3">
        <v>4420175.16</v>
      </c>
      <c r="M1583" s="3">
        <v>0</v>
      </c>
      <c r="N1583">
        <v>1067200</v>
      </c>
      <c r="O1583">
        <v>0</v>
      </c>
      <c r="P1583">
        <v>3352975.16</v>
      </c>
      <c r="Q1583" t="s">
        <v>30</v>
      </c>
      <c r="R1583" t="s">
        <v>88</v>
      </c>
      <c r="S1583" t="str">
        <v>#N/A</v>
      </c>
      <c r="T1583" t="str">
        <v>13</v>
      </c>
    </row>
    <row r="1584" spans="1:20" ht="13.7" customHeight="1" x14ac:dyDescent="0.25">
      <c r="A1584" t="s">
        <v>26</v>
      </c>
      <c r="B1584" t="s">
        <v>27</v>
      </c>
      <c r="C1584" t="s">
        <v>180</v>
      </c>
      <c r="D1584">
        <v>7</v>
      </c>
      <c r="E1584" s="5">
        <v>43804</v>
      </c>
      <c r="F1584">
        <v>23551001</v>
      </c>
      <c r="G1584" t="s">
        <v>636</v>
      </c>
      <c r="H1584" t="s">
        <v>1115</v>
      </c>
      <c r="I1584" t="s">
        <v>1116</v>
      </c>
      <c r="J1584">
        <v>1009</v>
      </c>
      <c r="K1584">
        <v>2202</v>
      </c>
      <c r="L1584" s="3">
        <v>3352975.16</v>
      </c>
      <c r="M1584" s="3">
        <v>1067200</v>
      </c>
      <c r="N1584">
        <v>0</v>
      </c>
      <c r="O1584">
        <v>0</v>
      </c>
      <c r="P1584">
        <v>4420175.16</v>
      </c>
      <c r="Q1584" t="s">
        <v>30</v>
      </c>
      <c r="R1584" t="s">
        <v>645</v>
      </c>
      <c r="S1584" t="str">
        <v>#N/A</v>
      </c>
      <c r="T1584" t="str">
        <v>13</v>
      </c>
    </row>
    <row r="1585" spans="1:20" ht="13.7" customHeight="1" x14ac:dyDescent="0.25">
      <c r="A1585" t="s">
        <v>26</v>
      </c>
      <c r="B1585" t="s">
        <v>27</v>
      </c>
      <c r="C1585" t="s">
        <v>180</v>
      </c>
      <c r="D1585">
        <v>60</v>
      </c>
      <c r="E1585" s="5">
        <v>43822</v>
      </c>
      <c r="F1585">
        <v>23551001</v>
      </c>
      <c r="G1585" t="s">
        <v>636</v>
      </c>
      <c r="H1585" t="s">
        <v>1115</v>
      </c>
      <c r="I1585" t="s">
        <v>1116</v>
      </c>
      <c r="J1585">
        <v>1009</v>
      </c>
      <c r="K1585">
        <v>2202</v>
      </c>
      <c r="L1585" s="3">
        <v>4420175.16</v>
      </c>
      <c r="M1585" s="3">
        <v>0</v>
      </c>
      <c r="N1585">
        <v>418649</v>
      </c>
      <c r="O1585">
        <v>0</v>
      </c>
      <c r="P1585">
        <v>4001526.16</v>
      </c>
      <c r="Q1585" t="s">
        <v>30</v>
      </c>
      <c r="R1585" t="s">
        <v>646</v>
      </c>
      <c r="S1585" t="str">
        <v>#N/A</v>
      </c>
      <c r="T1585" t="str">
        <v>13</v>
      </c>
    </row>
    <row r="1586" spans="1:20" ht="13.7" customHeight="1" x14ac:dyDescent="0.25">
      <c r="E1586" s="5">
        <v>43465</v>
      </c>
      <c r="F1586">
        <v>23551001</v>
      </c>
      <c r="G1586" t="s">
        <v>636</v>
      </c>
      <c r="H1586" t="s">
        <v>1169</v>
      </c>
      <c r="I1586" t="s">
        <v>1170</v>
      </c>
      <c r="J1586">
        <v>0</v>
      </c>
      <c r="K1586">
        <v>0</v>
      </c>
      <c r="L1586" s="3">
        <v>0</v>
      </c>
      <c r="M1586" s="3">
        <v>0</v>
      </c>
      <c r="N1586">
        <v>0</v>
      </c>
      <c r="O1586">
        <v>0</v>
      </c>
      <c r="P1586">
        <v>0</v>
      </c>
      <c r="R1586" t="s">
        <v>1100</v>
      </c>
      <c r="S1586" t="str">
        <v>#N/A</v>
      </c>
      <c r="T1586" t="str">
        <v>13</v>
      </c>
    </row>
    <row r="1587" spans="1:20" ht="13.7" customHeight="1" x14ac:dyDescent="0.25">
      <c r="A1587" t="s">
        <v>26</v>
      </c>
      <c r="B1587" t="s">
        <v>27</v>
      </c>
      <c r="C1587" t="s">
        <v>180</v>
      </c>
      <c r="D1587">
        <v>54</v>
      </c>
      <c r="E1587" s="5">
        <v>43819</v>
      </c>
      <c r="F1587">
        <v>23551001</v>
      </c>
      <c r="G1587" t="s">
        <v>636</v>
      </c>
      <c r="H1587" t="s">
        <v>1169</v>
      </c>
      <c r="I1587" t="s">
        <v>1170</v>
      </c>
      <c r="J1587">
        <v>1009</v>
      </c>
      <c r="K1587">
        <v>2202</v>
      </c>
      <c r="L1587" s="3">
        <v>0</v>
      </c>
      <c r="M1587" s="3">
        <v>0</v>
      </c>
      <c r="N1587">
        <v>500000</v>
      </c>
      <c r="O1587">
        <v>0</v>
      </c>
      <c r="P1587">
        <v>-500000</v>
      </c>
      <c r="Q1587" t="s">
        <v>30</v>
      </c>
      <c r="R1587" t="s">
        <v>190</v>
      </c>
      <c r="S1587" t="str">
        <v>#N/A</v>
      </c>
      <c r="T1587" t="str">
        <v>13</v>
      </c>
    </row>
    <row r="1588" spans="1:20" ht="13.7" customHeight="1" x14ac:dyDescent="0.25">
      <c r="A1588" t="s">
        <v>26</v>
      </c>
      <c r="B1588" t="s">
        <v>27</v>
      </c>
      <c r="C1588" t="s">
        <v>180</v>
      </c>
      <c r="D1588">
        <v>88</v>
      </c>
      <c r="E1588" s="5">
        <v>43829</v>
      </c>
      <c r="F1588">
        <v>23551001</v>
      </c>
      <c r="G1588" t="s">
        <v>636</v>
      </c>
      <c r="H1588" t="s">
        <v>1169</v>
      </c>
      <c r="I1588" t="s">
        <v>1170</v>
      </c>
      <c r="J1588">
        <v>1009</v>
      </c>
      <c r="K1588">
        <v>2202</v>
      </c>
      <c r="L1588" s="3">
        <v>-500000</v>
      </c>
      <c r="M1588" s="3">
        <v>0</v>
      </c>
      <c r="N1588">
        <v>840000</v>
      </c>
      <c r="O1588">
        <v>0</v>
      </c>
      <c r="P1588">
        <v>-1340000</v>
      </c>
      <c r="Q1588" t="s">
        <v>30</v>
      </c>
      <c r="R1588" t="s">
        <v>647</v>
      </c>
      <c r="S1588" t="str">
        <v>#N/A</v>
      </c>
      <c r="T1588" t="str">
        <v>13</v>
      </c>
    </row>
    <row r="1589" spans="1:20" ht="13.7" customHeight="1" x14ac:dyDescent="0.25">
      <c r="E1589" s="5">
        <v>43465</v>
      </c>
      <c r="F1589">
        <v>23551001</v>
      </c>
      <c r="G1589" t="s">
        <v>636</v>
      </c>
      <c r="H1589" t="s">
        <v>1109</v>
      </c>
      <c r="I1589" t="s">
        <v>1110</v>
      </c>
      <c r="J1589">
        <v>0</v>
      </c>
      <c r="K1589">
        <v>0</v>
      </c>
      <c r="L1589" s="3">
        <v>0</v>
      </c>
      <c r="M1589" s="3">
        <v>0</v>
      </c>
      <c r="N1589">
        <v>0</v>
      </c>
      <c r="O1589">
        <v>0</v>
      </c>
      <c r="P1589">
        <v>0</v>
      </c>
      <c r="R1589" t="s">
        <v>1100</v>
      </c>
      <c r="S1589" t="str">
        <v>#N/A</v>
      </c>
      <c r="T1589" t="str">
        <v>#N/A</v>
      </c>
    </row>
    <row r="1590" spans="1:20" ht="13.7" customHeight="1" x14ac:dyDescent="0.25">
      <c r="A1590" t="s">
        <v>26</v>
      </c>
      <c r="B1590" t="s">
        <v>27</v>
      </c>
      <c r="C1590" t="s">
        <v>39</v>
      </c>
      <c r="D1590">
        <v>6</v>
      </c>
      <c r="E1590" s="5">
        <v>43710</v>
      </c>
      <c r="F1590">
        <v>23551001</v>
      </c>
      <c r="G1590" t="s">
        <v>636</v>
      </c>
      <c r="H1590" t="s">
        <v>1109</v>
      </c>
      <c r="I1590" t="s">
        <v>1110</v>
      </c>
      <c r="J1590">
        <v>1009</v>
      </c>
      <c r="K1590">
        <v>2202</v>
      </c>
      <c r="L1590" s="3">
        <v>0</v>
      </c>
      <c r="M1590" s="3">
        <v>0</v>
      </c>
      <c r="N1590">
        <v>16900</v>
      </c>
      <c r="O1590">
        <v>0</v>
      </c>
      <c r="P1590">
        <v>-16900</v>
      </c>
      <c r="Q1590" t="s">
        <v>30</v>
      </c>
      <c r="R1590" t="s">
        <v>77</v>
      </c>
      <c r="S1590" t="str">
        <v>#N/A</v>
      </c>
      <c r="T1590" t="str">
        <v>#N/A</v>
      </c>
    </row>
    <row r="1591" spans="1:20" ht="13.7" customHeight="1" x14ac:dyDescent="0.25">
      <c r="E1591" s="5">
        <v>43465</v>
      </c>
      <c r="F1591">
        <v>23651501</v>
      </c>
      <c r="G1591" t="s">
        <v>648</v>
      </c>
      <c r="H1591" t="s">
        <v>1101</v>
      </c>
      <c r="I1591" t="s">
        <v>1102</v>
      </c>
      <c r="J1591">
        <v>0</v>
      </c>
      <c r="K1591">
        <v>0</v>
      </c>
      <c r="L1591" s="3">
        <v>-445000</v>
      </c>
      <c r="M1591" s="3">
        <v>0</v>
      </c>
      <c r="N1591">
        <v>0</v>
      </c>
      <c r="O1591">
        <v>-4450000</v>
      </c>
      <c r="P1591">
        <v>-445000</v>
      </c>
      <c r="R1591" t="s">
        <v>1100</v>
      </c>
      <c r="S1591" t="str">
        <v>#N/A</v>
      </c>
      <c r="T1591" t="str">
        <v>#N/A</v>
      </c>
    </row>
    <row r="1592" spans="1:20" ht="13.7" customHeight="1" x14ac:dyDescent="0.25">
      <c r="A1592" t="s">
        <v>26</v>
      </c>
      <c r="B1592" t="s">
        <v>27</v>
      </c>
      <c r="C1592" t="s">
        <v>32</v>
      </c>
      <c r="D1592">
        <v>59</v>
      </c>
      <c r="E1592" s="5">
        <v>43524</v>
      </c>
      <c r="F1592">
        <v>23651501</v>
      </c>
      <c r="G1592" t="s">
        <v>648</v>
      </c>
      <c r="H1592" t="s">
        <v>1101</v>
      </c>
      <c r="I1592" t="s">
        <v>1102</v>
      </c>
      <c r="J1592">
        <v>1001</v>
      </c>
      <c r="K1592">
        <v>5002</v>
      </c>
      <c r="L1592" s="3">
        <v>-445000</v>
      </c>
      <c r="M1592" s="3">
        <v>0</v>
      </c>
      <c r="N1592">
        <v>89000</v>
      </c>
      <c r="O1592">
        <v>-890000</v>
      </c>
      <c r="P1592">
        <v>-534000</v>
      </c>
      <c r="Q1592" t="s">
        <v>30</v>
      </c>
      <c r="R1592" t="s">
        <v>230</v>
      </c>
      <c r="S1592" t="str">
        <v>#N/A</v>
      </c>
      <c r="T1592" t="str">
        <v>#N/A</v>
      </c>
    </row>
    <row r="1593" spans="1:20" ht="13.7" customHeight="1" x14ac:dyDescent="0.25">
      <c r="A1593" t="s">
        <v>26</v>
      </c>
      <c r="B1593" t="s">
        <v>27</v>
      </c>
      <c r="C1593" t="s">
        <v>91</v>
      </c>
      <c r="D1593">
        <v>75</v>
      </c>
      <c r="E1593" s="5">
        <v>43555</v>
      </c>
      <c r="F1593">
        <v>23651501</v>
      </c>
      <c r="G1593" t="s">
        <v>648</v>
      </c>
      <c r="H1593" t="s">
        <v>1101</v>
      </c>
      <c r="I1593" t="s">
        <v>1102</v>
      </c>
      <c r="J1593">
        <v>1001</v>
      </c>
      <c r="K1593">
        <v>5002</v>
      </c>
      <c r="L1593" s="3">
        <v>-534000</v>
      </c>
      <c r="M1593" s="3">
        <v>0</v>
      </c>
      <c r="N1593">
        <v>89000</v>
      </c>
      <c r="O1593">
        <v>-890000</v>
      </c>
      <c r="P1593">
        <v>-623000</v>
      </c>
      <c r="Q1593" t="s">
        <v>30</v>
      </c>
      <c r="R1593" t="s">
        <v>247</v>
      </c>
      <c r="S1593" t="str">
        <v>#N/A</v>
      </c>
      <c r="T1593" t="str">
        <v>#N/A</v>
      </c>
    </row>
    <row r="1594" spans="1:20" ht="13.7" customHeight="1" x14ac:dyDescent="0.25">
      <c r="A1594" t="s">
        <v>26</v>
      </c>
      <c r="B1594" t="s">
        <v>27</v>
      </c>
      <c r="C1594" t="s">
        <v>34</v>
      </c>
      <c r="D1594">
        <v>3</v>
      </c>
      <c r="E1594" s="5">
        <v>43558</v>
      </c>
      <c r="F1594">
        <v>23651501</v>
      </c>
      <c r="G1594" t="s">
        <v>648</v>
      </c>
      <c r="H1594" t="s">
        <v>1101</v>
      </c>
      <c r="I1594" t="s">
        <v>1102</v>
      </c>
      <c r="J1594">
        <v>1001</v>
      </c>
      <c r="K1594">
        <v>5002</v>
      </c>
      <c r="L1594" s="3">
        <v>-623000</v>
      </c>
      <c r="M1594" s="3">
        <v>0</v>
      </c>
      <c r="N1594">
        <v>90000</v>
      </c>
      <c r="O1594">
        <v>-800000</v>
      </c>
      <c r="P1594">
        <v>-713000</v>
      </c>
      <c r="Q1594" t="s">
        <v>30</v>
      </c>
      <c r="R1594" t="s">
        <v>249</v>
      </c>
      <c r="S1594" t="str">
        <v>#N/A</v>
      </c>
      <c r="T1594" t="str">
        <v>#N/A</v>
      </c>
    </row>
    <row r="1595" spans="1:20" ht="13.7" customHeight="1" x14ac:dyDescent="0.25">
      <c r="A1595" t="s">
        <v>26</v>
      </c>
      <c r="B1595" t="s">
        <v>27</v>
      </c>
      <c r="C1595" t="s">
        <v>35</v>
      </c>
      <c r="D1595">
        <v>3</v>
      </c>
      <c r="E1595" s="5">
        <v>43591</v>
      </c>
      <c r="F1595">
        <v>23651501</v>
      </c>
      <c r="G1595" t="s">
        <v>648</v>
      </c>
      <c r="H1595" t="s">
        <v>1101</v>
      </c>
      <c r="I1595" t="s">
        <v>1102</v>
      </c>
      <c r="J1595">
        <v>1001</v>
      </c>
      <c r="K1595">
        <v>5002</v>
      </c>
      <c r="L1595" s="3">
        <v>-713000</v>
      </c>
      <c r="M1595" s="3">
        <v>0</v>
      </c>
      <c r="N1595">
        <v>89000</v>
      </c>
      <c r="O1595">
        <v>-890000</v>
      </c>
      <c r="P1595">
        <v>-802000</v>
      </c>
      <c r="Q1595" t="s">
        <v>30</v>
      </c>
      <c r="R1595" t="s">
        <v>257</v>
      </c>
      <c r="S1595" t="str">
        <v>#N/A</v>
      </c>
      <c r="T1595" t="str">
        <v>#N/A</v>
      </c>
    </row>
    <row r="1596" spans="1:20" ht="13.7" customHeight="1" x14ac:dyDescent="0.25">
      <c r="A1596" t="s">
        <v>26</v>
      </c>
      <c r="B1596" t="s">
        <v>27</v>
      </c>
      <c r="C1596" t="s">
        <v>36</v>
      </c>
      <c r="D1596">
        <v>69</v>
      </c>
      <c r="E1596" s="5">
        <v>43646</v>
      </c>
      <c r="F1596">
        <v>23651501</v>
      </c>
      <c r="G1596" t="s">
        <v>648</v>
      </c>
      <c r="H1596" t="s">
        <v>1101</v>
      </c>
      <c r="I1596" t="s">
        <v>1102</v>
      </c>
      <c r="J1596">
        <v>1001</v>
      </c>
      <c r="K1596">
        <v>5002</v>
      </c>
      <c r="L1596" s="3">
        <v>-802000</v>
      </c>
      <c r="M1596" s="3">
        <v>0</v>
      </c>
      <c r="N1596">
        <v>89000</v>
      </c>
      <c r="O1596">
        <v>-890000</v>
      </c>
      <c r="P1596">
        <v>-891000</v>
      </c>
      <c r="Q1596" t="s">
        <v>30</v>
      </c>
      <c r="R1596" t="s">
        <v>277</v>
      </c>
      <c r="S1596" t="str">
        <v>#N/A</v>
      </c>
      <c r="T1596" t="str">
        <v>#N/A</v>
      </c>
    </row>
    <row r="1597" spans="1:20" ht="13.7" customHeight="1" x14ac:dyDescent="0.25">
      <c r="A1597" t="s">
        <v>26</v>
      </c>
      <c r="B1597" t="s">
        <v>27</v>
      </c>
      <c r="C1597" t="s">
        <v>37</v>
      </c>
      <c r="D1597">
        <v>15</v>
      </c>
      <c r="E1597" s="5">
        <v>43652</v>
      </c>
      <c r="F1597">
        <v>23651501</v>
      </c>
      <c r="G1597" t="s">
        <v>648</v>
      </c>
      <c r="H1597" t="s">
        <v>1101</v>
      </c>
      <c r="I1597" t="s">
        <v>1102</v>
      </c>
      <c r="J1597">
        <v>1001</v>
      </c>
      <c r="K1597">
        <v>5002</v>
      </c>
      <c r="L1597" s="3">
        <v>-891000</v>
      </c>
      <c r="M1597" s="3">
        <v>0</v>
      </c>
      <c r="N1597">
        <v>89000</v>
      </c>
      <c r="O1597">
        <v>-890000</v>
      </c>
      <c r="P1597">
        <v>-980000</v>
      </c>
      <c r="Q1597" t="s">
        <v>30</v>
      </c>
      <c r="R1597" t="s">
        <v>278</v>
      </c>
      <c r="S1597" t="str">
        <v>#N/A</v>
      </c>
      <c r="T1597" t="str">
        <v>#N/A</v>
      </c>
    </row>
    <row r="1598" spans="1:20" ht="13.7" customHeight="1" x14ac:dyDescent="0.25">
      <c r="A1598" t="s">
        <v>26</v>
      </c>
      <c r="B1598" t="s">
        <v>27</v>
      </c>
      <c r="C1598" t="s">
        <v>38</v>
      </c>
      <c r="D1598">
        <v>12</v>
      </c>
      <c r="E1598" s="5">
        <v>43685</v>
      </c>
      <c r="F1598">
        <v>23651501</v>
      </c>
      <c r="G1598" t="s">
        <v>648</v>
      </c>
      <c r="H1598" t="s">
        <v>1101</v>
      </c>
      <c r="I1598" t="s">
        <v>1102</v>
      </c>
      <c r="J1598">
        <v>1001</v>
      </c>
      <c r="K1598">
        <v>5002</v>
      </c>
      <c r="L1598" s="3">
        <v>-980000</v>
      </c>
      <c r="M1598" s="3">
        <v>0</v>
      </c>
      <c r="N1598">
        <v>88000</v>
      </c>
      <c r="O1598">
        <v>-880000</v>
      </c>
      <c r="P1598">
        <v>-1068000</v>
      </c>
      <c r="Q1598" t="s">
        <v>30</v>
      </c>
      <c r="R1598" t="s">
        <v>283</v>
      </c>
      <c r="S1598" t="str">
        <v>#N/A</v>
      </c>
      <c r="T1598" t="str">
        <v>#N/A</v>
      </c>
    </row>
    <row r="1599" spans="1:20" ht="13.7" customHeight="1" x14ac:dyDescent="0.25">
      <c r="E1599" s="5">
        <v>43465</v>
      </c>
      <c r="F1599">
        <v>23651502</v>
      </c>
      <c r="G1599" t="s">
        <v>649</v>
      </c>
      <c r="H1599" t="s">
        <v>1101</v>
      </c>
      <c r="I1599" t="s">
        <v>1102</v>
      </c>
      <c r="J1599">
        <v>0</v>
      </c>
      <c r="K1599">
        <v>0</v>
      </c>
      <c r="L1599" s="3">
        <v>-80000</v>
      </c>
      <c r="M1599" s="3">
        <v>0</v>
      </c>
      <c r="N1599">
        <v>0</v>
      </c>
      <c r="O1599">
        <v>-800000</v>
      </c>
      <c r="P1599">
        <v>-80000</v>
      </c>
      <c r="R1599" t="s">
        <v>1100</v>
      </c>
      <c r="S1599" t="str">
        <v>#N/A</v>
      </c>
      <c r="T1599" t="str">
        <v>#N/A</v>
      </c>
    </row>
    <row r="1600" spans="1:20" ht="13.7" customHeight="1" x14ac:dyDescent="0.25">
      <c r="A1600" t="s">
        <v>26</v>
      </c>
      <c r="B1600" t="s">
        <v>27</v>
      </c>
      <c r="C1600" t="s">
        <v>40</v>
      </c>
      <c r="D1600">
        <v>29</v>
      </c>
      <c r="E1600" s="5">
        <v>43755</v>
      </c>
      <c r="F1600">
        <v>23651502</v>
      </c>
      <c r="G1600" t="s">
        <v>649</v>
      </c>
      <c r="H1600" t="s">
        <v>1101</v>
      </c>
      <c r="I1600" t="s">
        <v>1102</v>
      </c>
      <c r="J1600">
        <v>1001</v>
      </c>
      <c r="K1600">
        <v>5002</v>
      </c>
      <c r="L1600" s="3">
        <v>-80000</v>
      </c>
      <c r="M1600" s="3">
        <v>0</v>
      </c>
      <c r="N1600">
        <v>88000</v>
      </c>
      <c r="O1600">
        <v>-800000</v>
      </c>
      <c r="P1600">
        <v>-168000</v>
      </c>
      <c r="Q1600" t="s">
        <v>30</v>
      </c>
      <c r="R1600" t="s">
        <v>283</v>
      </c>
      <c r="S1600" t="str">
        <v>#N/A</v>
      </c>
      <c r="T1600" t="str">
        <v>#N/A</v>
      </c>
    </row>
    <row r="1601" spans="1:20" ht="13.7" customHeight="1" x14ac:dyDescent="0.25">
      <c r="E1601" s="5">
        <v>43465</v>
      </c>
      <c r="F1601">
        <v>23651502</v>
      </c>
      <c r="G1601" t="s">
        <v>649</v>
      </c>
      <c r="H1601" t="s">
        <v>1121</v>
      </c>
      <c r="I1601" t="s">
        <v>1122</v>
      </c>
      <c r="J1601">
        <v>0</v>
      </c>
      <c r="K1601">
        <v>0</v>
      </c>
      <c r="L1601" s="3">
        <v>-244200</v>
      </c>
      <c r="M1601" s="3">
        <v>0</v>
      </c>
      <c r="N1601">
        <v>0</v>
      </c>
      <c r="O1601">
        <v>-2220000</v>
      </c>
      <c r="P1601">
        <v>-244200</v>
      </c>
      <c r="R1601" t="s">
        <v>1100</v>
      </c>
      <c r="S1601" t="str">
        <v>#N/A</v>
      </c>
      <c r="T1601" t="str">
        <v>31</v>
      </c>
    </row>
    <row r="1602" spans="1:20" ht="13.7" customHeight="1" x14ac:dyDescent="0.25">
      <c r="A1602" t="s">
        <v>26</v>
      </c>
      <c r="B1602" t="s">
        <v>27</v>
      </c>
      <c r="C1602" t="s">
        <v>32</v>
      </c>
      <c r="D1602">
        <v>1</v>
      </c>
      <c r="E1602" s="5">
        <v>43497</v>
      </c>
      <c r="F1602">
        <v>23651502</v>
      </c>
      <c r="G1602" t="s">
        <v>649</v>
      </c>
      <c r="H1602" t="s">
        <v>1121</v>
      </c>
      <c r="I1602" t="s">
        <v>1122</v>
      </c>
      <c r="J1602">
        <v>1001</v>
      </c>
      <c r="K1602">
        <v>5002</v>
      </c>
      <c r="L1602" s="3">
        <v>-244200</v>
      </c>
      <c r="M1602" s="3">
        <v>0</v>
      </c>
      <c r="N1602">
        <v>11000</v>
      </c>
      <c r="O1602">
        <v>-100000</v>
      </c>
      <c r="P1602">
        <v>-255200</v>
      </c>
      <c r="Q1602" t="s">
        <v>30</v>
      </c>
      <c r="R1602" t="s">
        <v>210</v>
      </c>
      <c r="S1602" t="str">
        <v>#N/A</v>
      </c>
      <c r="T1602" t="str">
        <v>31</v>
      </c>
    </row>
    <row r="1603" spans="1:20" ht="13.7" customHeight="1" x14ac:dyDescent="0.25">
      <c r="A1603" t="s">
        <v>26</v>
      </c>
      <c r="B1603" t="s">
        <v>27</v>
      </c>
      <c r="C1603" t="s">
        <v>34</v>
      </c>
      <c r="D1603">
        <v>4</v>
      </c>
      <c r="E1603" s="5">
        <v>43558</v>
      </c>
      <c r="F1603">
        <v>23651502</v>
      </c>
      <c r="G1603" t="s">
        <v>649</v>
      </c>
      <c r="H1603" t="s">
        <v>1121</v>
      </c>
      <c r="I1603" t="s">
        <v>1122</v>
      </c>
      <c r="J1603">
        <v>1001</v>
      </c>
      <c r="K1603">
        <v>5002</v>
      </c>
      <c r="L1603" s="3">
        <v>-255200</v>
      </c>
      <c r="M1603" s="3">
        <v>0</v>
      </c>
      <c r="N1603">
        <v>11000</v>
      </c>
      <c r="O1603">
        <v>-100000</v>
      </c>
      <c r="P1603">
        <v>-266200</v>
      </c>
      <c r="Q1603" t="s">
        <v>30</v>
      </c>
      <c r="R1603" t="s">
        <v>210</v>
      </c>
      <c r="S1603" t="str">
        <v>#N/A</v>
      </c>
      <c r="T1603" t="str">
        <v>31</v>
      </c>
    </row>
    <row r="1604" spans="1:20" ht="13.7" customHeight="1" x14ac:dyDescent="0.25">
      <c r="A1604" t="s">
        <v>26</v>
      </c>
      <c r="B1604" t="s">
        <v>27</v>
      </c>
      <c r="C1604" t="s">
        <v>35</v>
      </c>
      <c r="D1604">
        <v>2</v>
      </c>
      <c r="E1604" s="5">
        <v>43588</v>
      </c>
      <c r="F1604">
        <v>23651502</v>
      </c>
      <c r="G1604" t="s">
        <v>649</v>
      </c>
      <c r="H1604" t="s">
        <v>1121</v>
      </c>
      <c r="I1604" t="s">
        <v>1122</v>
      </c>
      <c r="J1604">
        <v>1001</v>
      </c>
      <c r="K1604">
        <v>5002</v>
      </c>
      <c r="L1604" s="3">
        <v>-266200</v>
      </c>
      <c r="M1604" s="3">
        <v>0</v>
      </c>
      <c r="N1604">
        <v>11000</v>
      </c>
      <c r="O1604">
        <v>-100000</v>
      </c>
      <c r="P1604">
        <v>-277200</v>
      </c>
      <c r="Q1604" t="s">
        <v>30</v>
      </c>
      <c r="R1604" t="s">
        <v>210</v>
      </c>
      <c r="S1604" t="str">
        <v>#N/A</v>
      </c>
      <c r="T1604" t="str">
        <v>31</v>
      </c>
    </row>
    <row r="1605" spans="1:20" ht="13.7" customHeight="1" x14ac:dyDescent="0.25">
      <c r="A1605" t="s">
        <v>26</v>
      </c>
      <c r="B1605" t="s">
        <v>27</v>
      </c>
      <c r="C1605" t="s">
        <v>36</v>
      </c>
      <c r="D1605">
        <v>35</v>
      </c>
      <c r="E1605" s="5">
        <v>43633</v>
      </c>
      <c r="F1605">
        <v>23651502</v>
      </c>
      <c r="G1605" t="s">
        <v>649</v>
      </c>
      <c r="H1605" t="s">
        <v>1121</v>
      </c>
      <c r="I1605" t="s">
        <v>1122</v>
      </c>
      <c r="J1605">
        <v>1001</v>
      </c>
      <c r="K1605">
        <v>5002</v>
      </c>
      <c r="L1605" s="3">
        <v>-277200</v>
      </c>
      <c r="M1605" s="3">
        <v>0</v>
      </c>
      <c r="N1605">
        <v>11000</v>
      </c>
      <c r="O1605">
        <v>-100000</v>
      </c>
      <c r="P1605">
        <v>-288200</v>
      </c>
      <c r="Q1605" t="s">
        <v>30</v>
      </c>
      <c r="R1605" t="s">
        <v>210</v>
      </c>
      <c r="S1605" t="str">
        <v>#N/A</v>
      </c>
      <c r="T1605" t="str">
        <v>31</v>
      </c>
    </row>
    <row r="1606" spans="1:20" ht="13.7" customHeight="1" x14ac:dyDescent="0.25">
      <c r="A1606" t="s">
        <v>26</v>
      </c>
      <c r="B1606" t="s">
        <v>27</v>
      </c>
      <c r="C1606" t="s">
        <v>37</v>
      </c>
      <c r="D1606">
        <v>12</v>
      </c>
      <c r="E1606" s="5">
        <v>43652</v>
      </c>
      <c r="F1606">
        <v>23651502</v>
      </c>
      <c r="G1606" t="s">
        <v>649</v>
      </c>
      <c r="H1606" t="s">
        <v>1121</v>
      </c>
      <c r="I1606" t="s">
        <v>1122</v>
      </c>
      <c r="J1606">
        <v>1001</v>
      </c>
      <c r="K1606">
        <v>5002</v>
      </c>
      <c r="L1606" s="3">
        <v>-288200</v>
      </c>
      <c r="M1606" s="3">
        <v>0</v>
      </c>
      <c r="N1606">
        <v>11000</v>
      </c>
      <c r="O1606">
        <v>-100000</v>
      </c>
      <c r="P1606">
        <v>-299200</v>
      </c>
      <c r="Q1606" t="s">
        <v>30</v>
      </c>
      <c r="R1606" t="s">
        <v>210</v>
      </c>
      <c r="S1606" t="str">
        <v>#N/A</v>
      </c>
      <c r="T1606" t="str">
        <v>31</v>
      </c>
    </row>
    <row r="1607" spans="1:20" ht="13.7" customHeight="1" x14ac:dyDescent="0.25">
      <c r="A1607" t="s">
        <v>26</v>
      </c>
      <c r="B1607" t="s">
        <v>27</v>
      </c>
      <c r="C1607" t="s">
        <v>38</v>
      </c>
      <c r="D1607">
        <v>13</v>
      </c>
      <c r="E1607" s="5">
        <v>43685</v>
      </c>
      <c r="F1607">
        <v>23651502</v>
      </c>
      <c r="G1607" t="s">
        <v>649</v>
      </c>
      <c r="H1607" t="s">
        <v>1121</v>
      </c>
      <c r="I1607" t="s">
        <v>1122</v>
      </c>
      <c r="J1607">
        <v>1001</v>
      </c>
      <c r="K1607">
        <v>5002</v>
      </c>
      <c r="L1607" s="3">
        <v>-299200</v>
      </c>
      <c r="M1607" s="3">
        <v>0</v>
      </c>
      <c r="N1607">
        <v>11000</v>
      </c>
      <c r="O1607">
        <v>-100000</v>
      </c>
      <c r="P1607">
        <v>-310200</v>
      </c>
      <c r="Q1607" t="s">
        <v>30</v>
      </c>
      <c r="R1607" t="s">
        <v>210</v>
      </c>
      <c r="S1607" t="str">
        <v>#N/A</v>
      </c>
      <c r="T1607" t="str">
        <v>31</v>
      </c>
    </row>
    <row r="1608" spans="1:20" ht="13.7" customHeight="1" x14ac:dyDescent="0.25">
      <c r="E1608" s="5">
        <v>43465</v>
      </c>
      <c r="F1608">
        <v>23652501</v>
      </c>
      <c r="G1608" t="s">
        <v>650</v>
      </c>
      <c r="H1608" t="s">
        <v>1173</v>
      </c>
      <c r="I1608" t="s">
        <v>1174</v>
      </c>
      <c r="J1608">
        <v>0</v>
      </c>
      <c r="K1608">
        <v>0</v>
      </c>
      <c r="L1608" s="3">
        <v>0</v>
      </c>
      <c r="M1608" s="3">
        <v>0</v>
      </c>
      <c r="N1608">
        <v>0</v>
      </c>
      <c r="O1608">
        <v>0</v>
      </c>
      <c r="P1608">
        <v>0</v>
      </c>
      <c r="R1608" t="s">
        <v>1100</v>
      </c>
      <c r="S1608" t="str">
        <v>#N/A</v>
      </c>
      <c r="T1608" t="str">
        <v>#N/A</v>
      </c>
    </row>
    <row r="1609" spans="1:20" ht="13.7" customHeight="1" x14ac:dyDescent="0.25">
      <c r="A1609" t="s">
        <v>26</v>
      </c>
      <c r="B1609" t="s">
        <v>27</v>
      </c>
      <c r="C1609" t="s">
        <v>40</v>
      </c>
      <c r="D1609">
        <v>18</v>
      </c>
      <c r="E1609" s="5">
        <v>43749</v>
      </c>
      <c r="F1609">
        <v>23652501</v>
      </c>
      <c r="G1609" t="s">
        <v>650</v>
      </c>
      <c r="H1609" t="s">
        <v>1173</v>
      </c>
      <c r="I1609" t="s">
        <v>1174</v>
      </c>
      <c r="J1609">
        <v>1001</v>
      </c>
      <c r="K1609">
        <v>5004</v>
      </c>
      <c r="L1609" s="3">
        <v>0</v>
      </c>
      <c r="M1609" s="3">
        <v>0</v>
      </c>
      <c r="N1609">
        <v>4206.5600000000004</v>
      </c>
      <c r="O1609">
        <v>-105164</v>
      </c>
      <c r="P1609">
        <v>-4206.5600000000004</v>
      </c>
      <c r="Q1609" t="s">
        <v>30</v>
      </c>
      <c r="R1609" t="s">
        <v>296</v>
      </c>
      <c r="S1609" t="str">
        <v>#N/A</v>
      </c>
      <c r="T1609" t="str">
        <v>#N/A</v>
      </c>
    </row>
    <row r="1610" spans="1:20" ht="13.7" customHeight="1" x14ac:dyDescent="0.25">
      <c r="E1610" s="5">
        <v>43465</v>
      </c>
      <c r="F1610">
        <v>23652501</v>
      </c>
      <c r="G1610" t="s">
        <v>650</v>
      </c>
      <c r="H1610" t="s">
        <v>1527</v>
      </c>
      <c r="I1610" t="s">
        <v>1528</v>
      </c>
      <c r="J1610">
        <v>0</v>
      </c>
      <c r="K1610">
        <v>0</v>
      </c>
      <c r="L1610" s="3">
        <v>-296248</v>
      </c>
      <c r="M1610" s="3">
        <v>0</v>
      </c>
      <c r="N1610">
        <v>0</v>
      </c>
      <c r="O1610">
        <v>-7406200</v>
      </c>
      <c r="P1610">
        <v>-296248</v>
      </c>
      <c r="R1610" t="s">
        <v>1100</v>
      </c>
      <c r="S1610" t="str">
        <v>#N/A</v>
      </c>
      <c r="T1610" t="str">
        <v>13</v>
      </c>
    </row>
    <row r="1611" spans="1:20" ht="13.7" customHeight="1" x14ac:dyDescent="0.25">
      <c r="E1611" s="5">
        <v>43465</v>
      </c>
      <c r="F1611">
        <v>23652501</v>
      </c>
      <c r="G1611" t="s">
        <v>650</v>
      </c>
      <c r="H1611" t="s">
        <v>1175</v>
      </c>
      <c r="I1611" t="s">
        <v>1176</v>
      </c>
      <c r="J1611">
        <v>0</v>
      </c>
      <c r="K1611">
        <v>0</v>
      </c>
      <c r="L1611" s="3">
        <v>0</v>
      </c>
      <c r="M1611" s="3">
        <v>0</v>
      </c>
      <c r="N1611">
        <v>0</v>
      </c>
      <c r="O1611">
        <v>0</v>
      </c>
      <c r="P1611">
        <v>0</v>
      </c>
      <c r="R1611" t="s">
        <v>1100</v>
      </c>
      <c r="S1611" t="str">
        <v>#N/A</v>
      </c>
      <c r="T1611" t="str">
        <v>#N/A</v>
      </c>
    </row>
    <row r="1612" spans="1:20" ht="13.7" customHeight="1" x14ac:dyDescent="0.25">
      <c r="A1612" t="s">
        <v>26</v>
      </c>
      <c r="B1612" t="s">
        <v>27</v>
      </c>
      <c r="C1612" t="s">
        <v>36</v>
      </c>
      <c r="D1612">
        <v>38</v>
      </c>
      <c r="E1612" s="5">
        <v>43633</v>
      </c>
      <c r="F1612">
        <v>23652501</v>
      </c>
      <c r="G1612" t="s">
        <v>650</v>
      </c>
      <c r="H1612" t="s">
        <v>1175</v>
      </c>
      <c r="I1612" t="s">
        <v>1176</v>
      </c>
      <c r="J1612">
        <v>1001</v>
      </c>
      <c r="K1612">
        <v>5004</v>
      </c>
      <c r="L1612" s="3">
        <v>0</v>
      </c>
      <c r="M1612" s="3">
        <v>0</v>
      </c>
      <c r="N1612">
        <v>9600</v>
      </c>
      <c r="O1612">
        <v>-240000</v>
      </c>
      <c r="P1612">
        <v>-9600</v>
      </c>
      <c r="Q1612" t="s">
        <v>30</v>
      </c>
      <c r="R1612" t="s">
        <v>64</v>
      </c>
      <c r="S1612" t="str">
        <v>#N/A</v>
      </c>
      <c r="T1612" t="str">
        <v>#N/A</v>
      </c>
    </row>
    <row r="1613" spans="1:20" ht="13.7" customHeight="1" x14ac:dyDescent="0.25">
      <c r="A1613" t="s">
        <v>26</v>
      </c>
      <c r="B1613" t="s">
        <v>27</v>
      </c>
      <c r="C1613" t="s">
        <v>36</v>
      </c>
      <c r="D1613">
        <v>60</v>
      </c>
      <c r="E1613" s="5">
        <v>43643</v>
      </c>
      <c r="F1613">
        <v>23652501</v>
      </c>
      <c r="G1613" t="s">
        <v>650</v>
      </c>
      <c r="H1613" t="s">
        <v>1175</v>
      </c>
      <c r="I1613" t="s">
        <v>1176</v>
      </c>
      <c r="J1613">
        <v>1001</v>
      </c>
      <c r="K1613">
        <v>5004</v>
      </c>
      <c r="L1613" s="3">
        <v>-9600</v>
      </c>
      <c r="M1613" s="3">
        <v>0</v>
      </c>
      <c r="N1613">
        <v>19200</v>
      </c>
      <c r="O1613">
        <v>-480000</v>
      </c>
      <c r="P1613">
        <v>-28800</v>
      </c>
      <c r="Q1613" t="s">
        <v>30</v>
      </c>
      <c r="R1613" t="s">
        <v>64</v>
      </c>
      <c r="S1613" t="str">
        <v>#N/A</v>
      </c>
      <c r="T1613" t="str">
        <v>#N/A</v>
      </c>
    </row>
    <row r="1614" spans="1:20" ht="13.7" customHeight="1" x14ac:dyDescent="0.25">
      <c r="E1614" s="5">
        <v>43465</v>
      </c>
      <c r="F1614">
        <v>23652501</v>
      </c>
      <c r="G1614" t="s">
        <v>650</v>
      </c>
      <c r="H1614" t="s">
        <v>1179</v>
      </c>
      <c r="I1614" t="s">
        <v>1180</v>
      </c>
      <c r="J1614">
        <v>0</v>
      </c>
      <c r="K1614">
        <v>0</v>
      </c>
      <c r="L1614" s="3">
        <v>-28000</v>
      </c>
      <c r="M1614" s="3">
        <v>0</v>
      </c>
      <c r="N1614">
        <v>0</v>
      </c>
      <c r="O1614">
        <v>-700000</v>
      </c>
      <c r="P1614">
        <v>-28000</v>
      </c>
      <c r="R1614" t="s">
        <v>1100</v>
      </c>
      <c r="S1614" t="str">
        <v>#N/A</v>
      </c>
      <c r="T1614" t="str">
        <v>13</v>
      </c>
    </row>
    <row r="1615" spans="1:20" ht="13.7" customHeight="1" x14ac:dyDescent="0.25">
      <c r="E1615" s="5">
        <v>43465</v>
      </c>
      <c r="F1615">
        <v>23652501</v>
      </c>
      <c r="G1615" t="s">
        <v>650</v>
      </c>
      <c r="H1615" t="s">
        <v>1115</v>
      </c>
      <c r="I1615" t="s">
        <v>1116</v>
      </c>
      <c r="J1615">
        <v>0</v>
      </c>
      <c r="K1615">
        <v>0</v>
      </c>
      <c r="L1615" s="3">
        <v>-890961</v>
      </c>
      <c r="M1615" s="3">
        <v>0</v>
      </c>
      <c r="N1615">
        <v>0</v>
      </c>
      <c r="O1615">
        <v>-22274020</v>
      </c>
      <c r="P1615">
        <v>-890961</v>
      </c>
      <c r="R1615" t="s">
        <v>1100</v>
      </c>
      <c r="S1615" t="str">
        <v>#N/A</v>
      </c>
      <c r="T1615" t="str">
        <v>13</v>
      </c>
    </row>
    <row r="1616" spans="1:20" ht="13.7" customHeight="1" x14ac:dyDescent="0.25">
      <c r="A1616" t="s">
        <v>26</v>
      </c>
      <c r="B1616" t="s">
        <v>27</v>
      </c>
      <c r="C1616" t="s">
        <v>91</v>
      </c>
      <c r="D1616">
        <v>56</v>
      </c>
      <c r="E1616" s="5">
        <v>43540</v>
      </c>
      <c r="F1616">
        <v>23652501</v>
      </c>
      <c r="G1616" t="s">
        <v>650</v>
      </c>
      <c r="H1616" t="s">
        <v>1115</v>
      </c>
      <c r="I1616" t="s">
        <v>1116</v>
      </c>
      <c r="J1616">
        <v>1001</v>
      </c>
      <c r="K1616">
        <v>5004</v>
      </c>
      <c r="L1616" s="3">
        <v>-890961</v>
      </c>
      <c r="M1616" s="3">
        <v>0</v>
      </c>
      <c r="N1616">
        <v>60000</v>
      </c>
      <c r="O1616">
        <v>-1500000</v>
      </c>
      <c r="P1616">
        <v>-950961</v>
      </c>
      <c r="Q1616" t="s">
        <v>30</v>
      </c>
      <c r="R1616" t="s">
        <v>239</v>
      </c>
      <c r="S1616" t="str">
        <v>#N/A</v>
      </c>
      <c r="T1616" t="str">
        <v>13</v>
      </c>
    </row>
    <row r="1617" spans="1:20" ht="13.7" customHeight="1" x14ac:dyDescent="0.25">
      <c r="A1617" t="s">
        <v>26</v>
      </c>
      <c r="B1617" t="s">
        <v>27</v>
      </c>
      <c r="C1617" t="s">
        <v>91</v>
      </c>
      <c r="D1617">
        <v>65</v>
      </c>
      <c r="E1617" s="5">
        <v>43554</v>
      </c>
      <c r="F1617">
        <v>23652501</v>
      </c>
      <c r="G1617" t="s">
        <v>650</v>
      </c>
      <c r="H1617" t="s">
        <v>1115</v>
      </c>
      <c r="I1617" t="s">
        <v>1116</v>
      </c>
      <c r="J1617">
        <v>1001</v>
      </c>
      <c r="K1617">
        <v>5004</v>
      </c>
      <c r="L1617" s="3">
        <v>-950961</v>
      </c>
      <c r="M1617" s="3">
        <v>0</v>
      </c>
      <c r="N1617">
        <v>60000</v>
      </c>
      <c r="O1617">
        <v>-1500000</v>
      </c>
      <c r="P1617">
        <v>-1010961</v>
      </c>
      <c r="Q1617" t="s">
        <v>30</v>
      </c>
      <c r="R1617" t="s">
        <v>239</v>
      </c>
      <c r="S1617" t="str">
        <v>#N/A</v>
      </c>
      <c r="T1617" t="str">
        <v>13</v>
      </c>
    </row>
    <row r="1618" spans="1:20" ht="13.7" customHeight="1" x14ac:dyDescent="0.25">
      <c r="A1618" t="s">
        <v>26</v>
      </c>
      <c r="B1618" t="s">
        <v>27</v>
      </c>
      <c r="C1618" t="s">
        <v>34</v>
      </c>
      <c r="D1618">
        <v>34</v>
      </c>
      <c r="E1618" s="5">
        <v>43570</v>
      </c>
      <c r="F1618">
        <v>23652501</v>
      </c>
      <c r="G1618" t="s">
        <v>650</v>
      </c>
      <c r="H1618" t="s">
        <v>1115</v>
      </c>
      <c r="I1618" t="s">
        <v>1116</v>
      </c>
      <c r="J1618">
        <v>1001</v>
      </c>
      <c r="K1618">
        <v>5004</v>
      </c>
      <c r="L1618" s="3">
        <v>-1010961</v>
      </c>
      <c r="M1618" s="3">
        <v>0</v>
      </c>
      <c r="N1618">
        <v>60000</v>
      </c>
      <c r="O1618">
        <v>-1500000</v>
      </c>
      <c r="P1618">
        <v>-1070961</v>
      </c>
      <c r="Q1618" t="s">
        <v>30</v>
      </c>
      <c r="R1618" t="s">
        <v>69</v>
      </c>
      <c r="S1618" t="str">
        <v>#N/A</v>
      </c>
      <c r="T1618" t="str">
        <v>13</v>
      </c>
    </row>
    <row r="1619" spans="1:20" ht="13.7" customHeight="1" x14ac:dyDescent="0.25">
      <c r="A1619" t="s">
        <v>26</v>
      </c>
      <c r="B1619" t="s">
        <v>27</v>
      </c>
      <c r="C1619" t="s">
        <v>35</v>
      </c>
      <c r="D1619">
        <v>1</v>
      </c>
      <c r="E1619" s="5">
        <v>43588</v>
      </c>
      <c r="F1619">
        <v>23652501</v>
      </c>
      <c r="G1619" t="s">
        <v>650</v>
      </c>
      <c r="H1619" t="s">
        <v>1115</v>
      </c>
      <c r="I1619" t="s">
        <v>1116</v>
      </c>
      <c r="J1619">
        <v>1001</v>
      </c>
      <c r="K1619">
        <v>5004</v>
      </c>
      <c r="L1619" s="3">
        <v>-1070961</v>
      </c>
      <c r="M1619" s="3">
        <v>0</v>
      </c>
      <c r="N1619">
        <v>60000</v>
      </c>
      <c r="O1619">
        <v>-1500000</v>
      </c>
      <c r="P1619">
        <v>-1130961</v>
      </c>
      <c r="Q1619" t="s">
        <v>30</v>
      </c>
      <c r="R1619" t="s">
        <v>69</v>
      </c>
      <c r="S1619" t="str">
        <v>#N/A</v>
      </c>
      <c r="T1619" t="str">
        <v>13</v>
      </c>
    </row>
    <row r="1620" spans="1:20" ht="13.7" customHeight="1" x14ac:dyDescent="0.25">
      <c r="A1620" t="s">
        <v>26</v>
      </c>
      <c r="B1620" t="s">
        <v>27</v>
      </c>
      <c r="C1620" t="s">
        <v>35</v>
      </c>
      <c r="D1620">
        <v>4</v>
      </c>
      <c r="E1620" s="5">
        <v>43601</v>
      </c>
      <c r="F1620">
        <v>23652501</v>
      </c>
      <c r="G1620" t="s">
        <v>650</v>
      </c>
      <c r="H1620" t="s">
        <v>1115</v>
      </c>
      <c r="I1620" t="s">
        <v>1116</v>
      </c>
      <c r="J1620">
        <v>1001</v>
      </c>
      <c r="K1620">
        <v>5004</v>
      </c>
      <c r="L1620" s="3">
        <v>-1130961</v>
      </c>
      <c r="M1620" s="3">
        <v>0</v>
      </c>
      <c r="N1620">
        <v>60000</v>
      </c>
      <c r="O1620">
        <v>-1500000</v>
      </c>
      <c r="P1620">
        <v>-1190961</v>
      </c>
      <c r="Q1620" t="s">
        <v>30</v>
      </c>
      <c r="R1620" t="s">
        <v>69</v>
      </c>
      <c r="S1620" t="str">
        <v>#N/A</v>
      </c>
      <c r="T1620" t="str">
        <v>13</v>
      </c>
    </row>
    <row r="1621" spans="1:20" ht="13.7" customHeight="1" x14ac:dyDescent="0.25">
      <c r="A1621" t="s">
        <v>26</v>
      </c>
      <c r="B1621" t="s">
        <v>27</v>
      </c>
      <c r="C1621" t="s">
        <v>36</v>
      </c>
      <c r="D1621">
        <v>7</v>
      </c>
      <c r="E1621" s="5">
        <v>43617</v>
      </c>
      <c r="F1621">
        <v>23652501</v>
      </c>
      <c r="G1621" t="s">
        <v>650</v>
      </c>
      <c r="H1621" t="s">
        <v>1115</v>
      </c>
      <c r="I1621" t="s">
        <v>1116</v>
      </c>
      <c r="J1621">
        <v>1001</v>
      </c>
      <c r="K1621">
        <v>5004</v>
      </c>
      <c r="L1621" s="3">
        <v>-1190961</v>
      </c>
      <c r="M1621" s="3">
        <v>0</v>
      </c>
      <c r="N1621">
        <v>60000</v>
      </c>
      <c r="O1621">
        <v>-1500000</v>
      </c>
      <c r="P1621">
        <v>-1250961</v>
      </c>
      <c r="Q1621" t="s">
        <v>30</v>
      </c>
      <c r="R1621" t="s">
        <v>263</v>
      </c>
      <c r="S1621" t="str">
        <v>#N/A</v>
      </c>
      <c r="T1621" t="str">
        <v>13</v>
      </c>
    </row>
    <row r="1622" spans="1:20" ht="13.7" customHeight="1" x14ac:dyDescent="0.25">
      <c r="A1622" t="s">
        <v>26</v>
      </c>
      <c r="B1622" t="s">
        <v>27</v>
      </c>
      <c r="C1622" t="s">
        <v>36</v>
      </c>
      <c r="D1622">
        <v>22</v>
      </c>
      <c r="E1622" s="5">
        <v>43629</v>
      </c>
      <c r="F1622">
        <v>23652501</v>
      </c>
      <c r="G1622" t="s">
        <v>650</v>
      </c>
      <c r="H1622" t="s">
        <v>1115</v>
      </c>
      <c r="I1622" t="s">
        <v>1116</v>
      </c>
      <c r="J1622">
        <v>1001</v>
      </c>
      <c r="K1622">
        <v>5004</v>
      </c>
      <c r="L1622" s="3">
        <v>-1250961</v>
      </c>
      <c r="M1622" s="3">
        <v>0</v>
      </c>
      <c r="N1622">
        <v>60000</v>
      </c>
      <c r="O1622">
        <v>-1500000</v>
      </c>
      <c r="P1622">
        <v>-1310961</v>
      </c>
      <c r="Q1622" t="s">
        <v>30</v>
      </c>
      <c r="R1622" t="s">
        <v>263</v>
      </c>
      <c r="S1622" t="str">
        <v>#N/A</v>
      </c>
      <c r="T1622" t="str">
        <v>13</v>
      </c>
    </row>
    <row r="1623" spans="1:20" ht="13.7" customHeight="1" x14ac:dyDescent="0.25">
      <c r="A1623" t="s">
        <v>26</v>
      </c>
      <c r="B1623" t="s">
        <v>27</v>
      </c>
      <c r="C1623" t="s">
        <v>36</v>
      </c>
      <c r="D1623">
        <v>50</v>
      </c>
      <c r="E1623" s="5">
        <v>43638</v>
      </c>
      <c r="F1623">
        <v>23652501</v>
      </c>
      <c r="G1623" t="s">
        <v>650</v>
      </c>
      <c r="H1623" t="s">
        <v>1115</v>
      </c>
      <c r="I1623" t="s">
        <v>1116</v>
      </c>
      <c r="J1623">
        <v>1001</v>
      </c>
      <c r="K1623">
        <v>5004</v>
      </c>
      <c r="L1623" s="3">
        <v>-1310961</v>
      </c>
      <c r="M1623" s="3">
        <v>0</v>
      </c>
      <c r="N1623">
        <v>20000</v>
      </c>
      <c r="O1623">
        <v>-500000</v>
      </c>
      <c r="P1623">
        <v>-1330961</v>
      </c>
      <c r="Q1623" t="s">
        <v>30</v>
      </c>
      <c r="R1623" t="s">
        <v>263</v>
      </c>
      <c r="S1623" t="str">
        <v>#N/A</v>
      </c>
      <c r="T1623" t="str">
        <v>13</v>
      </c>
    </row>
    <row r="1624" spans="1:20" ht="13.7" customHeight="1" x14ac:dyDescent="0.25">
      <c r="A1624" t="s">
        <v>26</v>
      </c>
      <c r="B1624" t="s">
        <v>27</v>
      </c>
      <c r="C1624" t="s">
        <v>36</v>
      </c>
      <c r="D1624">
        <v>64</v>
      </c>
      <c r="E1624" s="5">
        <v>43645</v>
      </c>
      <c r="F1624">
        <v>23652501</v>
      </c>
      <c r="G1624" t="s">
        <v>650</v>
      </c>
      <c r="H1624" t="s">
        <v>1115</v>
      </c>
      <c r="I1624" t="s">
        <v>1116</v>
      </c>
      <c r="J1624">
        <v>1001</v>
      </c>
      <c r="K1624">
        <v>5004</v>
      </c>
      <c r="L1624" s="3">
        <v>-1330961</v>
      </c>
      <c r="M1624" s="3">
        <v>0</v>
      </c>
      <c r="N1624">
        <v>40000</v>
      </c>
      <c r="O1624">
        <v>-1000000</v>
      </c>
      <c r="P1624">
        <v>-1370961</v>
      </c>
      <c r="Q1624" t="s">
        <v>30</v>
      </c>
      <c r="R1624" t="s">
        <v>276</v>
      </c>
      <c r="S1624" t="str">
        <v>#N/A</v>
      </c>
      <c r="T1624" t="str">
        <v>13</v>
      </c>
    </row>
    <row r="1625" spans="1:20" ht="13.7" customHeight="1" x14ac:dyDescent="0.25">
      <c r="A1625" t="s">
        <v>26</v>
      </c>
      <c r="B1625" t="s">
        <v>27</v>
      </c>
      <c r="C1625" t="s">
        <v>37</v>
      </c>
      <c r="D1625">
        <v>49</v>
      </c>
      <c r="E1625" s="5">
        <v>43668</v>
      </c>
      <c r="F1625">
        <v>23652501</v>
      </c>
      <c r="G1625" t="s">
        <v>650</v>
      </c>
      <c r="H1625" t="s">
        <v>1115</v>
      </c>
      <c r="I1625" t="s">
        <v>1116</v>
      </c>
      <c r="J1625">
        <v>1001</v>
      </c>
      <c r="K1625">
        <v>5004</v>
      </c>
      <c r="L1625" s="3">
        <v>-1370961</v>
      </c>
      <c r="M1625" s="3">
        <v>0</v>
      </c>
      <c r="N1625">
        <v>60000</v>
      </c>
      <c r="O1625">
        <v>-1500000</v>
      </c>
      <c r="P1625">
        <v>-1430961</v>
      </c>
      <c r="Q1625" t="s">
        <v>30</v>
      </c>
      <c r="R1625" t="s">
        <v>281</v>
      </c>
      <c r="S1625" t="str">
        <v>#N/A</v>
      </c>
      <c r="T1625" t="str">
        <v>13</v>
      </c>
    </row>
    <row r="1626" spans="1:20" ht="13.7" customHeight="1" x14ac:dyDescent="0.25">
      <c r="A1626" t="s">
        <v>26</v>
      </c>
      <c r="B1626" t="s">
        <v>27</v>
      </c>
      <c r="C1626" t="s">
        <v>38</v>
      </c>
      <c r="D1626">
        <v>2</v>
      </c>
      <c r="E1626" s="5">
        <v>43679</v>
      </c>
      <c r="F1626">
        <v>23652501</v>
      </c>
      <c r="G1626" t="s">
        <v>650</v>
      </c>
      <c r="H1626" t="s">
        <v>1115</v>
      </c>
      <c r="I1626" t="s">
        <v>1116</v>
      </c>
      <c r="J1626">
        <v>1001</v>
      </c>
      <c r="K1626">
        <v>5004</v>
      </c>
      <c r="L1626" s="3">
        <v>-1430961</v>
      </c>
      <c r="M1626" s="3">
        <v>0</v>
      </c>
      <c r="N1626">
        <v>60000</v>
      </c>
      <c r="O1626">
        <v>-1500000</v>
      </c>
      <c r="P1626">
        <v>-1490961</v>
      </c>
      <c r="Q1626" t="s">
        <v>30</v>
      </c>
      <c r="R1626" t="s">
        <v>263</v>
      </c>
      <c r="S1626" t="str">
        <v>#N/A</v>
      </c>
      <c r="T1626" t="str">
        <v>13</v>
      </c>
    </row>
    <row r="1627" spans="1:20" ht="13.7" customHeight="1" x14ac:dyDescent="0.25">
      <c r="A1627" t="s">
        <v>26</v>
      </c>
      <c r="B1627" t="s">
        <v>27</v>
      </c>
      <c r="C1627" t="s">
        <v>38</v>
      </c>
      <c r="D1627">
        <v>36</v>
      </c>
      <c r="E1627" s="5">
        <v>43701</v>
      </c>
      <c r="F1627">
        <v>23652501</v>
      </c>
      <c r="G1627" t="s">
        <v>650</v>
      </c>
      <c r="H1627" t="s">
        <v>1115</v>
      </c>
      <c r="I1627" t="s">
        <v>1116</v>
      </c>
      <c r="J1627">
        <v>1001</v>
      </c>
      <c r="K1627">
        <v>5004</v>
      </c>
      <c r="L1627" s="3">
        <v>-1490961</v>
      </c>
      <c r="M1627" s="3">
        <v>0</v>
      </c>
      <c r="N1627">
        <v>60000</v>
      </c>
      <c r="O1627">
        <v>-1500000</v>
      </c>
      <c r="P1627">
        <v>-1550961</v>
      </c>
      <c r="Q1627" t="s">
        <v>30</v>
      </c>
      <c r="R1627" t="s">
        <v>263</v>
      </c>
      <c r="S1627" t="str">
        <v>#N/A</v>
      </c>
      <c r="T1627" t="str">
        <v>13</v>
      </c>
    </row>
    <row r="1628" spans="1:20" ht="13.7" customHeight="1" x14ac:dyDescent="0.25">
      <c r="A1628" t="s">
        <v>26</v>
      </c>
      <c r="B1628" t="s">
        <v>27</v>
      </c>
      <c r="C1628" t="s">
        <v>40</v>
      </c>
      <c r="D1628">
        <v>5</v>
      </c>
      <c r="E1628" s="5">
        <v>43743</v>
      </c>
      <c r="F1628">
        <v>23652501</v>
      </c>
      <c r="G1628" t="s">
        <v>650</v>
      </c>
      <c r="H1628" t="s">
        <v>1115</v>
      </c>
      <c r="I1628" t="s">
        <v>1116</v>
      </c>
      <c r="J1628">
        <v>1001</v>
      </c>
      <c r="K1628">
        <v>5004</v>
      </c>
      <c r="L1628" s="3">
        <v>-1550961</v>
      </c>
      <c r="M1628" s="3">
        <v>0</v>
      </c>
      <c r="N1628">
        <v>80000</v>
      </c>
      <c r="O1628">
        <v>-2000000</v>
      </c>
      <c r="P1628">
        <v>-1630961</v>
      </c>
      <c r="Q1628" t="s">
        <v>30</v>
      </c>
      <c r="R1628" t="s">
        <v>292</v>
      </c>
      <c r="S1628" t="str">
        <v>#N/A</v>
      </c>
      <c r="T1628" t="str">
        <v>13</v>
      </c>
    </row>
    <row r="1629" spans="1:20" ht="13.7" customHeight="1" x14ac:dyDescent="0.25">
      <c r="A1629" t="s">
        <v>26</v>
      </c>
      <c r="B1629" t="s">
        <v>27</v>
      </c>
      <c r="C1629" t="s">
        <v>40</v>
      </c>
      <c r="D1629">
        <v>27</v>
      </c>
      <c r="E1629" s="5">
        <v>43754</v>
      </c>
      <c r="F1629">
        <v>23652501</v>
      </c>
      <c r="G1629" t="s">
        <v>650</v>
      </c>
      <c r="H1629" t="s">
        <v>1115</v>
      </c>
      <c r="I1629" t="s">
        <v>1116</v>
      </c>
      <c r="J1629">
        <v>1001</v>
      </c>
      <c r="K1629">
        <v>5004</v>
      </c>
      <c r="L1629" s="3">
        <v>-1630961</v>
      </c>
      <c r="M1629" s="3">
        <v>0</v>
      </c>
      <c r="N1629">
        <v>100000</v>
      </c>
      <c r="O1629">
        <v>-2500000</v>
      </c>
      <c r="P1629">
        <v>-1730961</v>
      </c>
      <c r="Q1629" t="s">
        <v>30</v>
      </c>
      <c r="R1629" t="s">
        <v>263</v>
      </c>
      <c r="S1629" t="str">
        <v>#N/A</v>
      </c>
      <c r="T1629" t="str">
        <v>13</v>
      </c>
    </row>
    <row r="1630" spans="1:20" ht="13.7" customHeight="1" x14ac:dyDescent="0.25">
      <c r="A1630" t="s">
        <v>26</v>
      </c>
      <c r="B1630" t="s">
        <v>27</v>
      </c>
      <c r="C1630" t="s">
        <v>40</v>
      </c>
      <c r="D1630">
        <v>60</v>
      </c>
      <c r="E1630" s="5">
        <v>43769</v>
      </c>
      <c r="F1630">
        <v>23652501</v>
      </c>
      <c r="G1630" t="s">
        <v>650</v>
      </c>
      <c r="H1630" t="s">
        <v>1115</v>
      </c>
      <c r="I1630" t="s">
        <v>1116</v>
      </c>
      <c r="J1630">
        <v>1001</v>
      </c>
      <c r="K1630">
        <v>5004</v>
      </c>
      <c r="L1630" s="3">
        <v>-1730961</v>
      </c>
      <c r="M1630" s="3">
        <v>0</v>
      </c>
      <c r="N1630">
        <v>60000</v>
      </c>
      <c r="O1630">
        <v>-1500000</v>
      </c>
      <c r="P1630">
        <v>-1790961</v>
      </c>
      <c r="Q1630" t="s">
        <v>30</v>
      </c>
      <c r="R1630" t="s">
        <v>263</v>
      </c>
      <c r="S1630" t="str">
        <v>#N/A</v>
      </c>
      <c r="T1630" t="str">
        <v>13</v>
      </c>
    </row>
    <row r="1631" spans="1:20" ht="13.7" customHeight="1" x14ac:dyDescent="0.25">
      <c r="A1631" t="s">
        <v>26</v>
      </c>
      <c r="B1631" t="s">
        <v>27</v>
      </c>
      <c r="C1631" t="s">
        <v>41</v>
      </c>
      <c r="D1631">
        <v>40</v>
      </c>
      <c r="E1631" s="5">
        <v>43785</v>
      </c>
      <c r="F1631">
        <v>23652501</v>
      </c>
      <c r="G1631" t="s">
        <v>650</v>
      </c>
      <c r="H1631" t="s">
        <v>1115</v>
      </c>
      <c r="I1631" t="s">
        <v>1116</v>
      </c>
      <c r="J1631">
        <v>1001</v>
      </c>
      <c r="K1631">
        <v>5004</v>
      </c>
      <c r="L1631" s="3">
        <v>-1790961</v>
      </c>
      <c r="M1631" s="3">
        <v>0</v>
      </c>
      <c r="N1631">
        <v>60000</v>
      </c>
      <c r="O1631">
        <v>-1500000</v>
      </c>
      <c r="P1631">
        <v>-1850961</v>
      </c>
      <c r="Q1631" t="s">
        <v>30</v>
      </c>
      <c r="R1631" t="s">
        <v>69</v>
      </c>
      <c r="S1631" t="str">
        <v>#N/A</v>
      </c>
      <c r="T1631" t="str">
        <v>13</v>
      </c>
    </row>
    <row r="1632" spans="1:20" ht="13.7" customHeight="1" x14ac:dyDescent="0.25">
      <c r="A1632" t="s">
        <v>26</v>
      </c>
      <c r="B1632" t="s">
        <v>27</v>
      </c>
      <c r="C1632" t="s">
        <v>180</v>
      </c>
      <c r="D1632">
        <v>45</v>
      </c>
      <c r="E1632" s="5">
        <v>43816</v>
      </c>
      <c r="F1632">
        <v>23652501</v>
      </c>
      <c r="G1632" t="s">
        <v>650</v>
      </c>
      <c r="H1632" t="s">
        <v>1115</v>
      </c>
      <c r="I1632" t="s">
        <v>1116</v>
      </c>
      <c r="J1632">
        <v>1001</v>
      </c>
      <c r="K1632">
        <v>5004</v>
      </c>
      <c r="L1632" s="3">
        <v>-1850961</v>
      </c>
      <c r="M1632" s="3">
        <v>0</v>
      </c>
      <c r="N1632">
        <v>60000</v>
      </c>
      <c r="O1632">
        <v>-1500000</v>
      </c>
      <c r="P1632">
        <v>-1910961</v>
      </c>
      <c r="Q1632" t="s">
        <v>30</v>
      </c>
      <c r="R1632" t="s">
        <v>69</v>
      </c>
      <c r="S1632" t="str">
        <v>#N/A</v>
      </c>
      <c r="T1632" t="str">
        <v>13</v>
      </c>
    </row>
    <row r="1633" spans="1:20" ht="13.7" customHeight="1" x14ac:dyDescent="0.25">
      <c r="E1633" s="5">
        <v>43465</v>
      </c>
      <c r="F1633">
        <v>23652501</v>
      </c>
      <c r="G1633" t="s">
        <v>650</v>
      </c>
      <c r="H1633" t="s">
        <v>1119</v>
      </c>
      <c r="I1633" t="s">
        <v>1120</v>
      </c>
      <c r="J1633">
        <v>0</v>
      </c>
      <c r="K1633">
        <v>0</v>
      </c>
      <c r="L1633" s="3">
        <v>0</v>
      </c>
      <c r="M1633" s="3">
        <v>0</v>
      </c>
      <c r="N1633">
        <v>0</v>
      </c>
      <c r="O1633">
        <v>0</v>
      </c>
      <c r="P1633">
        <v>0</v>
      </c>
      <c r="R1633" t="s">
        <v>1100</v>
      </c>
      <c r="S1633" t="str">
        <v>#N/A</v>
      </c>
      <c r="T1633" t="str">
        <v>13</v>
      </c>
    </row>
    <row r="1634" spans="1:20" ht="13.7" customHeight="1" x14ac:dyDescent="0.25">
      <c r="A1634" t="s">
        <v>26</v>
      </c>
      <c r="B1634" t="s">
        <v>27</v>
      </c>
      <c r="C1634" t="s">
        <v>34</v>
      </c>
      <c r="D1634">
        <v>53</v>
      </c>
      <c r="E1634" s="5">
        <v>43578</v>
      </c>
      <c r="F1634">
        <v>23652501</v>
      </c>
      <c r="G1634" t="s">
        <v>650</v>
      </c>
      <c r="H1634" t="s">
        <v>1119</v>
      </c>
      <c r="I1634" t="s">
        <v>1120</v>
      </c>
      <c r="J1634">
        <v>1001</v>
      </c>
      <c r="K1634">
        <v>5004</v>
      </c>
      <c r="L1634" s="3">
        <v>0</v>
      </c>
      <c r="M1634" s="3">
        <v>0</v>
      </c>
      <c r="N1634">
        <v>33600</v>
      </c>
      <c r="O1634">
        <v>-840000</v>
      </c>
      <c r="P1634">
        <v>-33600</v>
      </c>
      <c r="Q1634" t="s">
        <v>30</v>
      </c>
      <c r="R1634" t="s">
        <v>86</v>
      </c>
      <c r="S1634" t="str">
        <v>#N/A</v>
      </c>
      <c r="T1634" t="str">
        <v>13</v>
      </c>
    </row>
    <row r="1635" spans="1:20" ht="13.7" customHeight="1" x14ac:dyDescent="0.25">
      <c r="E1635" s="5">
        <v>43465</v>
      </c>
      <c r="F1635">
        <v>23652501</v>
      </c>
      <c r="G1635" t="s">
        <v>650</v>
      </c>
      <c r="H1635" t="s">
        <v>1105</v>
      </c>
      <c r="I1635" t="s">
        <v>1106</v>
      </c>
      <c r="J1635">
        <v>0</v>
      </c>
      <c r="K1635">
        <v>0</v>
      </c>
      <c r="L1635" s="3">
        <v>-120000</v>
      </c>
      <c r="M1635" s="3">
        <v>0</v>
      </c>
      <c r="N1635">
        <v>0</v>
      </c>
      <c r="O1635">
        <v>-3000000</v>
      </c>
      <c r="P1635">
        <v>-120000</v>
      </c>
      <c r="R1635" t="s">
        <v>1100</v>
      </c>
      <c r="S1635" t="str">
        <v>#N/A</v>
      </c>
      <c r="T1635" t="str">
        <v>#N/A</v>
      </c>
    </row>
    <row r="1636" spans="1:20" ht="13.7" customHeight="1" x14ac:dyDescent="0.25">
      <c r="A1636" t="s">
        <v>26</v>
      </c>
      <c r="B1636" t="s">
        <v>27</v>
      </c>
      <c r="C1636" t="s">
        <v>32</v>
      </c>
      <c r="D1636">
        <v>2</v>
      </c>
      <c r="E1636" s="5">
        <v>43497</v>
      </c>
      <c r="F1636">
        <v>23652501</v>
      </c>
      <c r="G1636" t="s">
        <v>650</v>
      </c>
      <c r="H1636" t="s">
        <v>1105</v>
      </c>
      <c r="I1636" t="s">
        <v>1106</v>
      </c>
      <c r="J1636">
        <v>1001</v>
      </c>
      <c r="K1636">
        <v>5004</v>
      </c>
      <c r="L1636" s="3">
        <v>-120000</v>
      </c>
      <c r="M1636" s="3">
        <v>0</v>
      </c>
      <c r="N1636">
        <v>60000</v>
      </c>
      <c r="O1636">
        <v>-1500000</v>
      </c>
      <c r="P1636">
        <v>-180000</v>
      </c>
      <c r="Q1636" t="s">
        <v>30</v>
      </c>
      <c r="R1636" t="s">
        <v>69</v>
      </c>
      <c r="S1636" t="str">
        <v>#N/A</v>
      </c>
      <c r="T1636" t="str">
        <v>#N/A</v>
      </c>
    </row>
    <row r="1637" spans="1:20" ht="13.7" customHeight="1" x14ac:dyDescent="0.25">
      <c r="A1637" t="s">
        <v>26</v>
      </c>
      <c r="B1637" t="s">
        <v>27</v>
      </c>
      <c r="C1637" t="s">
        <v>32</v>
      </c>
      <c r="D1637">
        <v>31</v>
      </c>
      <c r="E1637" s="5">
        <v>43511</v>
      </c>
      <c r="F1637">
        <v>23652501</v>
      </c>
      <c r="G1637" t="s">
        <v>650</v>
      </c>
      <c r="H1637" t="s">
        <v>1105</v>
      </c>
      <c r="I1637" t="s">
        <v>1106</v>
      </c>
      <c r="J1637">
        <v>1001</v>
      </c>
      <c r="K1637">
        <v>5004</v>
      </c>
      <c r="L1637" s="3">
        <v>-180000</v>
      </c>
      <c r="M1637" s="3">
        <v>0</v>
      </c>
      <c r="N1637">
        <v>60000</v>
      </c>
      <c r="O1637">
        <v>-1500000</v>
      </c>
      <c r="P1637">
        <v>-240000</v>
      </c>
      <c r="Q1637" t="s">
        <v>30</v>
      </c>
      <c r="R1637" t="s">
        <v>69</v>
      </c>
      <c r="S1637" t="str">
        <v>#N/A</v>
      </c>
      <c r="T1637" t="str">
        <v>#N/A</v>
      </c>
    </row>
    <row r="1638" spans="1:20" ht="13.7" customHeight="1" x14ac:dyDescent="0.25">
      <c r="E1638" s="5">
        <v>43465</v>
      </c>
      <c r="F1638">
        <v>23652502</v>
      </c>
      <c r="G1638" t="s">
        <v>651</v>
      </c>
      <c r="H1638" t="s">
        <v>1173</v>
      </c>
      <c r="I1638" t="s">
        <v>1174</v>
      </c>
      <c r="J1638">
        <v>0</v>
      </c>
      <c r="K1638">
        <v>0</v>
      </c>
      <c r="L1638" s="3">
        <v>-53737.440000000002</v>
      </c>
      <c r="M1638" s="3">
        <v>0</v>
      </c>
      <c r="N1638">
        <v>0</v>
      </c>
      <c r="O1638">
        <v>-895624</v>
      </c>
      <c r="P1638">
        <v>-53737.440000000002</v>
      </c>
      <c r="R1638" t="s">
        <v>1100</v>
      </c>
      <c r="S1638" t="str">
        <v>#N/A</v>
      </c>
      <c r="T1638" t="str">
        <v>#N/A</v>
      </c>
    </row>
    <row r="1639" spans="1:20" ht="13.7" customHeight="1" x14ac:dyDescent="0.25">
      <c r="A1639" t="s">
        <v>26</v>
      </c>
      <c r="B1639" t="s">
        <v>27</v>
      </c>
      <c r="C1639" t="s">
        <v>37</v>
      </c>
      <c r="D1639">
        <v>4</v>
      </c>
      <c r="E1639" s="5">
        <v>43648</v>
      </c>
      <c r="F1639">
        <v>23652502</v>
      </c>
      <c r="G1639" t="s">
        <v>651</v>
      </c>
      <c r="H1639" t="s">
        <v>1173</v>
      </c>
      <c r="I1639" t="s">
        <v>1174</v>
      </c>
      <c r="J1639">
        <v>1001</v>
      </c>
      <c r="K1639">
        <v>5004</v>
      </c>
      <c r="L1639" s="3">
        <v>-53737.440000000002</v>
      </c>
      <c r="M1639" s="3">
        <v>0</v>
      </c>
      <c r="N1639">
        <v>16321.02</v>
      </c>
      <c r="O1639">
        <v>-272017</v>
      </c>
      <c r="P1639">
        <v>-70058.460000000006</v>
      </c>
      <c r="Q1639" t="s">
        <v>30</v>
      </c>
      <c r="R1639" t="s">
        <v>147</v>
      </c>
      <c r="S1639" t="str">
        <v>#N/A</v>
      </c>
      <c r="T1639" t="str">
        <v>#N/A</v>
      </c>
    </row>
    <row r="1640" spans="1:20" ht="13.7" customHeight="1" x14ac:dyDescent="0.25">
      <c r="E1640" s="5">
        <v>43465</v>
      </c>
      <c r="F1640">
        <v>23652502</v>
      </c>
      <c r="G1640" t="s">
        <v>651</v>
      </c>
      <c r="H1640" t="s">
        <v>1185</v>
      </c>
      <c r="I1640" t="s">
        <v>1186</v>
      </c>
      <c r="J1640">
        <v>0</v>
      </c>
      <c r="K1640">
        <v>0</v>
      </c>
      <c r="L1640" s="3">
        <v>0</v>
      </c>
      <c r="M1640" s="3">
        <v>0</v>
      </c>
      <c r="N1640">
        <v>0</v>
      </c>
      <c r="O1640">
        <v>0</v>
      </c>
      <c r="P1640">
        <v>0</v>
      </c>
      <c r="R1640" t="s">
        <v>1100</v>
      </c>
      <c r="S1640" t="str">
        <v>#N/A</v>
      </c>
      <c r="T1640" t="str">
        <v>#N/A</v>
      </c>
    </row>
    <row r="1641" spans="1:20" ht="13.7" customHeight="1" x14ac:dyDescent="0.25">
      <c r="A1641" t="s">
        <v>26</v>
      </c>
      <c r="B1641" t="s">
        <v>27</v>
      </c>
      <c r="C1641" t="s">
        <v>180</v>
      </c>
      <c r="D1641">
        <v>53</v>
      </c>
      <c r="E1641" s="5">
        <v>43818</v>
      </c>
      <c r="F1641">
        <v>23652502</v>
      </c>
      <c r="G1641" t="s">
        <v>651</v>
      </c>
      <c r="H1641" t="s">
        <v>1185</v>
      </c>
      <c r="I1641" t="s">
        <v>1186</v>
      </c>
      <c r="J1641">
        <v>1001</v>
      </c>
      <c r="K1641">
        <v>5004</v>
      </c>
      <c r="L1641" s="3">
        <v>0</v>
      </c>
      <c r="M1641" s="3">
        <v>0</v>
      </c>
      <c r="N1641">
        <v>30000</v>
      </c>
      <c r="O1641">
        <v>-500000</v>
      </c>
      <c r="P1641">
        <v>-30000</v>
      </c>
      <c r="Q1641" t="s">
        <v>30</v>
      </c>
      <c r="R1641" t="s">
        <v>190</v>
      </c>
      <c r="S1641" t="str">
        <v>#N/A</v>
      </c>
      <c r="T1641" t="str">
        <v>#N/A</v>
      </c>
    </row>
    <row r="1642" spans="1:20" ht="13.7" customHeight="1" x14ac:dyDescent="0.25">
      <c r="A1642" t="s">
        <v>26</v>
      </c>
      <c r="B1642" t="s">
        <v>27</v>
      </c>
      <c r="C1642" t="s">
        <v>180</v>
      </c>
      <c r="D1642">
        <v>54</v>
      </c>
      <c r="E1642" s="5">
        <v>43819</v>
      </c>
      <c r="F1642">
        <v>23652502</v>
      </c>
      <c r="G1642" t="s">
        <v>651</v>
      </c>
      <c r="H1642" t="s">
        <v>1185</v>
      </c>
      <c r="I1642" t="s">
        <v>1186</v>
      </c>
      <c r="J1642">
        <v>1001</v>
      </c>
      <c r="K1642">
        <v>5004</v>
      </c>
      <c r="L1642" s="3">
        <v>-30000</v>
      </c>
      <c r="M1642" s="3">
        <v>0</v>
      </c>
      <c r="N1642">
        <v>60000</v>
      </c>
      <c r="O1642">
        <v>-1000000</v>
      </c>
      <c r="P1642">
        <v>-90000</v>
      </c>
      <c r="Q1642" t="s">
        <v>30</v>
      </c>
      <c r="R1642" t="s">
        <v>190</v>
      </c>
      <c r="S1642" t="str">
        <v>#N/A</v>
      </c>
      <c r="T1642" t="str">
        <v>#N/A</v>
      </c>
    </row>
    <row r="1643" spans="1:20" ht="13.7" customHeight="1" x14ac:dyDescent="0.25">
      <c r="E1643" s="5">
        <v>43465</v>
      </c>
      <c r="F1643">
        <v>23652502</v>
      </c>
      <c r="G1643" t="s">
        <v>651</v>
      </c>
      <c r="H1643" t="s">
        <v>1529</v>
      </c>
      <c r="I1643" t="s">
        <v>1530</v>
      </c>
      <c r="J1643">
        <v>0</v>
      </c>
      <c r="K1643">
        <v>0</v>
      </c>
      <c r="L1643" s="3">
        <v>-45000</v>
      </c>
      <c r="M1643" s="3">
        <v>0</v>
      </c>
      <c r="N1643">
        <v>0</v>
      </c>
      <c r="O1643">
        <v>-750000</v>
      </c>
      <c r="P1643">
        <v>-45000</v>
      </c>
      <c r="R1643" t="s">
        <v>1100</v>
      </c>
      <c r="S1643" t="str">
        <v>#N/A</v>
      </c>
      <c r="T1643" t="str">
        <v>#N/A</v>
      </c>
    </row>
    <row r="1644" spans="1:20" ht="13.7" customHeight="1" x14ac:dyDescent="0.25">
      <c r="E1644" s="5">
        <v>43465</v>
      </c>
      <c r="F1644">
        <v>23652502</v>
      </c>
      <c r="G1644" t="s">
        <v>651</v>
      </c>
      <c r="H1644" t="s">
        <v>1499</v>
      </c>
      <c r="I1644" t="s">
        <v>1500</v>
      </c>
      <c r="J1644">
        <v>0</v>
      </c>
      <c r="K1644">
        <v>0</v>
      </c>
      <c r="L1644" s="3">
        <v>-20264</v>
      </c>
      <c r="M1644" s="3">
        <v>0</v>
      </c>
      <c r="N1644">
        <v>0</v>
      </c>
      <c r="O1644">
        <v>-337734</v>
      </c>
      <c r="P1644">
        <v>-20264</v>
      </c>
      <c r="R1644" t="s">
        <v>1100</v>
      </c>
      <c r="S1644" t="str">
        <v>#N/A</v>
      </c>
      <c r="T1644" t="str">
        <v>#N/A</v>
      </c>
    </row>
    <row r="1645" spans="1:20" ht="13.7" customHeight="1" x14ac:dyDescent="0.25">
      <c r="E1645" s="5">
        <v>43465</v>
      </c>
      <c r="F1645">
        <v>23652502</v>
      </c>
      <c r="G1645" t="s">
        <v>651</v>
      </c>
      <c r="H1645" t="s">
        <v>1105</v>
      </c>
      <c r="I1645" t="s">
        <v>1106</v>
      </c>
      <c r="J1645">
        <v>0</v>
      </c>
      <c r="K1645">
        <v>0</v>
      </c>
      <c r="L1645" s="3">
        <v>-52988.82</v>
      </c>
      <c r="M1645" s="3">
        <v>0</v>
      </c>
      <c r="N1645">
        <v>0</v>
      </c>
      <c r="O1645">
        <v>-883147</v>
      </c>
      <c r="P1645">
        <v>-52988.82</v>
      </c>
      <c r="R1645" t="s">
        <v>1100</v>
      </c>
      <c r="S1645" t="str">
        <v>#N/A</v>
      </c>
      <c r="T1645" t="str">
        <v>#N/A</v>
      </c>
    </row>
    <row r="1646" spans="1:20" ht="13.7" customHeight="1" x14ac:dyDescent="0.25">
      <c r="A1646" t="s">
        <v>26</v>
      </c>
      <c r="B1646" t="s">
        <v>27</v>
      </c>
      <c r="C1646" t="s">
        <v>180</v>
      </c>
      <c r="D1646">
        <v>52</v>
      </c>
      <c r="E1646" s="5">
        <v>43818</v>
      </c>
      <c r="F1646">
        <v>23652502</v>
      </c>
      <c r="G1646" t="s">
        <v>651</v>
      </c>
      <c r="H1646" t="s">
        <v>1105</v>
      </c>
      <c r="I1646" t="s">
        <v>1106</v>
      </c>
      <c r="J1646">
        <v>1001</v>
      </c>
      <c r="K1646">
        <v>5004</v>
      </c>
      <c r="L1646" s="3">
        <v>-52988.82</v>
      </c>
      <c r="M1646" s="3">
        <v>0</v>
      </c>
      <c r="N1646">
        <v>5662</v>
      </c>
      <c r="O1646">
        <v>-94370</v>
      </c>
      <c r="P1646">
        <v>-58650.82</v>
      </c>
      <c r="Q1646" t="s">
        <v>30</v>
      </c>
      <c r="R1646" t="s">
        <v>147</v>
      </c>
      <c r="S1646" t="str">
        <v>#N/A</v>
      </c>
      <c r="T1646" t="str">
        <v>#N/A</v>
      </c>
    </row>
    <row r="1647" spans="1:20" ht="13.7" customHeight="1" x14ac:dyDescent="0.25">
      <c r="E1647" s="5">
        <v>43465</v>
      </c>
      <c r="F1647">
        <v>23652503</v>
      </c>
      <c r="G1647" t="s">
        <v>652</v>
      </c>
      <c r="H1647" t="s">
        <v>1177</v>
      </c>
      <c r="I1647" t="s">
        <v>1178</v>
      </c>
      <c r="J1647">
        <v>0</v>
      </c>
      <c r="K1647">
        <v>0</v>
      </c>
      <c r="L1647" s="3">
        <v>0</v>
      </c>
      <c r="M1647" s="3">
        <v>0</v>
      </c>
      <c r="N1647">
        <v>0</v>
      </c>
      <c r="O1647">
        <v>0</v>
      </c>
      <c r="P1647">
        <v>0</v>
      </c>
      <c r="R1647" t="s">
        <v>1100</v>
      </c>
      <c r="S1647" t="str">
        <v>#N/A</v>
      </c>
      <c r="T1647" t="str">
        <v>#N/A</v>
      </c>
    </row>
    <row r="1648" spans="1:20" ht="13.7" customHeight="1" x14ac:dyDescent="0.25">
      <c r="A1648" t="s">
        <v>26</v>
      </c>
      <c r="B1648" t="s">
        <v>27</v>
      </c>
      <c r="C1648" t="s">
        <v>41</v>
      </c>
      <c r="D1648">
        <v>37</v>
      </c>
      <c r="E1648" s="5">
        <v>43784</v>
      </c>
      <c r="F1648">
        <v>23652503</v>
      </c>
      <c r="G1648" t="s">
        <v>652</v>
      </c>
      <c r="H1648" t="s">
        <v>1177</v>
      </c>
      <c r="I1648" t="s">
        <v>1178</v>
      </c>
      <c r="J1648">
        <v>1001</v>
      </c>
      <c r="K1648">
        <v>5007</v>
      </c>
      <c r="L1648" s="3">
        <v>0</v>
      </c>
      <c r="M1648" s="3">
        <v>0</v>
      </c>
      <c r="N1648">
        <v>1500</v>
      </c>
      <c r="O1648">
        <v>-150000</v>
      </c>
      <c r="P1648">
        <v>-1500</v>
      </c>
      <c r="Q1648" t="s">
        <v>30</v>
      </c>
      <c r="R1648" t="s">
        <v>173</v>
      </c>
      <c r="S1648" t="str">
        <v>#N/A</v>
      </c>
      <c r="T1648" t="str">
        <v>#N/A</v>
      </c>
    </row>
    <row r="1649" spans="1:20" ht="13.7" customHeight="1" x14ac:dyDescent="0.25">
      <c r="E1649" s="5">
        <v>43465</v>
      </c>
      <c r="F1649">
        <v>23653001</v>
      </c>
      <c r="G1649" t="s">
        <v>653</v>
      </c>
      <c r="H1649" t="s">
        <v>1119</v>
      </c>
      <c r="I1649" t="s">
        <v>1120</v>
      </c>
      <c r="J1649">
        <v>0</v>
      </c>
      <c r="K1649">
        <v>0</v>
      </c>
      <c r="L1649" s="3">
        <v>0</v>
      </c>
      <c r="M1649" s="3">
        <v>0</v>
      </c>
      <c r="N1649">
        <v>0</v>
      </c>
      <c r="O1649">
        <v>0</v>
      </c>
      <c r="P1649">
        <v>0</v>
      </c>
      <c r="R1649" t="s">
        <v>1100</v>
      </c>
      <c r="S1649" t="str">
        <v>#N/A</v>
      </c>
      <c r="T1649" t="str">
        <v>13</v>
      </c>
    </row>
    <row r="1650" spans="1:20" ht="13.7" customHeight="1" x14ac:dyDescent="0.25">
      <c r="A1650" t="s">
        <v>26</v>
      </c>
      <c r="B1650" t="s">
        <v>27</v>
      </c>
      <c r="C1650" t="s">
        <v>91</v>
      </c>
      <c r="D1650">
        <v>58</v>
      </c>
      <c r="E1650" s="5">
        <v>43550</v>
      </c>
      <c r="F1650">
        <v>23653001</v>
      </c>
      <c r="G1650" t="s">
        <v>653</v>
      </c>
      <c r="H1650" t="s">
        <v>1119</v>
      </c>
      <c r="I1650" t="s">
        <v>1120</v>
      </c>
      <c r="J1650">
        <v>1001</v>
      </c>
      <c r="K1650">
        <v>5005</v>
      </c>
      <c r="L1650" s="3">
        <v>0</v>
      </c>
      <c r="M1650" s="3">
        <v>0</v>
      </c>
      <c r="N1650">
        <v>29400</v>
      </c>
      <c r="O1650">
        <v>-840000</v>
      </c>
      <c r="P1650">
        <v>-29400</v>
      </c>
      <c r="Q1650" t="s">
        <v>30</v>
      </c>
      <c r="R1650" t="s">
        <v>245</v>
      </c>
      <c r="S1650" t="str">
        <v>#N/A</v>
      </c>
      <c r="T1650" t="str">
        <v>13</v>
      </c>
    </row>
    <row r="1651" spans="1:20" ht="13.7" customHeight="1" x14ac:dyDescent="0.25">
      <c r="A1651" t="s">
        <v>26</v>
      </c>
      <c r="B1651" t="s">
        <v>27</v>
      </c>
      <c r="C1651" t="s">
        <v>35</v>
      </c>
      <c r="D1651">
        <v>5</v>
      </c>
      <c r="E1651" s="5">
        <v>43612</v>
      </c>
      <c r="F1651">
        <v>23653001</v>
      </c>
      <c r="G1651" t="s">
        <v>653</v>
      </c>
      <c r="H1651" t="s">
        <v>1119</v>
      </c>
      <c r="I1651" t="s">
        <v>1120</v>
      </c>
      <c r="J1651">
        <v>1001</v>
      </c>
      <c r="K1651">
        <v>5005</v>
      </c>
      <c r="L1651" s="3">
        <v>-29400</v>
      </c>
      <c r="M1651" s="3">
        <v>0</v>
      </c>
      <c r="N1651">
        <v>29400</v>
      </c>
      <c r="O1651">
        <v>-840000</v>
      </c>
      <c r="P1651">
        <v>-58800</v>
      </c>
      <c r="Q1651" t="s">
        <v>30</v>
      </c>
      <c r="R1651" t="s">
        <v>86</v>
      </c>
      <c r="S1651" t="str">
        <v>#N/A</v>
      </c>
      <c r="T1651" t="str">
        <v>13</v>
      </c>
    </row>
    <row r="1652" spans="1:20" ht="13.7" customHeight="1" x14ac:dyDescent="0.25">
      <c r="A1652" t="s">
        <v>26</v>
      </c>
      <c r="B1652" t="s">
        <v>27</v>
      </c>
      <c r="C1652" t="s">
        <v>36</v>
      </c>
      <c r="D1652">
        <v>55</v>
      </c>
      <c r="E1652" s="5">
        <v>43642</v>
      </c>
      <c r="F1652">
        <v>23653001</v>
      </c>
      <c r="G1652" t="s">
        <v>653</v>
      </c>
      <c r="H1652" t="s">
        <v>1119</v>
      </c>
      <c r="I1652" t="s">
        <v>1120</v>
      </c>
      <c r="J1652">
        <v>1001</v>
      </c>
      <c r="K1652">
        <v>5005</v>
      </c>
      <c r="L1652" s="3">
        <v>-58800</v>
      </c>
      <c r="M1652" s="3">
        <v>0</v>
      </c>
      <c r="N1652">
        <v>29400</v>
      </c>
      <c r="O1652">
        <v>-840000</v>
      </c>
      <c r="P1652">
        <v>-88200</v>
      </c>
      <c r="Q1652" t="s">
        <v>30</v>
      </c>
      <c r="R1652" t="s">
        <v>86</v>
      </c>
      <c r="S1652" t="str">
        <v>#N/A</v>
      </c>
      <c r="T1652" t="str">
        <v>13</v>
      </c>
    </row>
    <row r="1653" spans="1:20" ht="13.7" customHeight="1" x14ac:dyDescent="0.25">
      <c r="A1653" t="s">
        <v>26</v>
      </c>
      <c r="B1653" t="s">
        <v>27</v>
      </c>
      <c r="C1653" t="s">
        <v>37</v>
      </c>
      <c r="D1653">
        <v>50</v>
      </c>
      <c r="E1653" s="5">
        <v>43668</v>
      </c>
      <c r="F1653">
        <v>23653001</v>
      </c>
      <c r="G1653" t="s">
        <v>653</v>
      </c>
      <c r="H1653" t="s">
        <v>1119</v>
      </c>
      <c r="I1653" t="s">
        <v>1120</v>
      </c>
      <c r="J1653">
        <v>1001</v>
      </c>
      <c r="K1653">
        <v>5005</v>
      </c>
      <c r="L1653" s="3">
        <v>-88200</v>
      </c>
      <c r="M1653" s="3">
        <v>0</v>
      </c>
      <c r="N1653">
        <v>29400</v>
      </c>
      <c r="O1653">
        <v>-840000</v>
      </c>
      <c r="P1653">
        <v>-117600</v>
      </c>
      <c r="Q1653" t="s">
        <v>30</v>
      </c>
      <c r="R1653" t="s">
        <v>86</v>
      </c>
      <c r="S1653" t="str">
        <v>#N/A</v>
      </c>
      <c r="T1653" t="str">
        <v>13</v>
      </c>
    </row>
    <row r="1654" spans="1:20" ht="13.7" customHeight="1" x14ac:dyDescent="0.25">
      <c r="A1654" t="s">
        <v>26</v>
      </c>
      <c r="B1654" t="s">
        <v>27</v>
      </c>
      <c r="C1654" t="s">
        <v>38</v>
      </c>
      <c r="D1654">
        <v>48</v>
      </c>
      <c r="E1654" s="5">
        <v>43704</v>
      </c>
      <c r="F1654">
        <v>23653001</v>
      </c>
      <c r="G1654" t="s">
        <v>653</v>
      </c>
      <c r="H1654" t="s">
        <v>1119</v>
      </c>
      <c r="I1654" t="s">
        <v>1120</v>
      </c>
      <c r="J1654">
        <v>1001</v>
      </c>
      <c r="K1654">
        <v>5005</v>
      </c>
      <c r="L1654" s="3">
        <v>-117600</v>
      </c>
      <c r="M1654" s="3">
        <v>0</v>
      </c>
      <c r="N1654">
        <v>29400</v>
      </c>
      <c r="O1654">
        <v>-840000</v>
      </c>
      <c r="P1654">
        <v>-147000</v>
      </c>
      <c r="Q1654" t="s">
        <v>30</v>
      </c>
      <c r="R1654" t="s">
        <v>86</v>
      </c>
      <c r="S1654" t="str">
        <v>#N/A</v>
      </c>
      <c r="T1654" t="str">
        <v>13</v>
      </c>
    </row>
    <row r="1655" spans="1:20" ht="13.7" customHeight="1" x14ac:dyDescent="0.25">
      <c r="A1655" t="s">
        <v>26</v>
      </c>
      <c r="B1655" t="s">
        <v>27</v>
      </c>
      <c r="C1655" t="s">
        <v>39</v>
      </c>
      <c r="D1655">
        <v>58</v>
      </c>
      <c r="E1655" s="5">
        <v>43736</v>
      </c>
      <c r="F1655">
        <v>23653001</v>
      </c>
      <c r="G1655" t="s">
        <v>653</v>
      </c>
      <c r="H1655" t="s">
        <v>1119</v>
      </c>
      <c r="I1655" t="s">
        <v>1120</v>
      </c>
      <c r="J1655">
        <v>1001</v>
      </c>
      <c r="K1655">
        <v>5005</v>
      </c>
      <c r="L1655" s="3">
        <v>-147000</v>
      </c>
      <c r="M1655" s="3">
        <v>0</v>
      </c>
      <c r="N1655">
        <v>29400</v>
      </c>
      <c r="O1655">
        <v>-840000</v>
      </c>
      <c r="P1655">
        <v>-176400</v>
      </c>
      <c r="Q1655" t="s">
        <v>30</v>
      </c>
      <c r="R1655" t="s">
        <v>86</v>
      </c>
      <c r="S1655" t="str">
        <v>#N/A</v>
      </c>
      <c r="T1655" t="str">
        <v>13</v>
      </c>
    </row>
    <row r="1656" spans="1:20" ht="13.7" customHeight="1" x14ac:dyDescent="0.25">
      <c r="A1656" t="s">
        <v>26</v>
      </c>
      <c r="B1656" t="s">
        <v>27</v>
      </c>
      <c r="C1656" t="s">
        <v>40</v>
      </c>
      <c r="D1656">
        <v>43</v>
      </c>
      <c r="E1656" s="5">
        <v>43759</v>
      </c>
      <c r="F1656">
        <v>23653001</v>
      </c>
      <c r="G1656" t="s">
        <v>653</v>
      </c>
      <c r="H1656" t="s">
        <v>1119</v>
      </c>
      <c r="I1656" t="s">
        <v>1120</v>
      </c>
      <c r="J1656">
        <v>1001</v>
      </c>
      <c r="K1656">
        <v>5005</v>
      </c>
      <c r="L1656" s="3">
        <v>-176400</v>
      </c>
      <c r="M1656" s="3">
        <v>0</v>
      </c>
      <c r="N1656">
        <v>29400</v>
      </c>
      <c r="O1656">
        <v>-840000</v>
      </c>
      <c r="P1656">
        <v>-205800</v>
      </c>
      <c r="Q1656" t="s">
        <v>30</v>
      </c>
      <c r="R1656" t="s">
        <v>86</v>
      </c>
      <c r="S1656" t="str">
        <v>#N/A</v>
      </c>
      <c r="T1656" t="str">
        <v>13</v>
      </c>
    </row>
    <row r="1657" spans="1:20" ht="13.7" customHeight="1" x14ac:dyDescent="0.25">
      <c r="A1657" t="s">
        <v>26</v>
      </c>
      <c r="B1657" t="s">
        <v>27</v>
      </c>
      <c r="C1657" t="s">
        <v>41</v>
      </c>
      <c r="D1657">
        <v>56</v>
      </c>
      <c r="E1657" s="5">
        <v>43792</v>
      </c>
      <c r="F1657">
        <v>23653001</v>
      </c>
      <c r="G1657" t="s">
        <v>653</v>
      </c>
      <c r="H1657" t="s">
        <v>1119</v>
      </c>
      <c r="I1657" t="s">
        <v>1120</v>
      </c>
      <c r="J1657">
        <v>1001</v>
      </c>
      <c r="K1657">
        <v>5005</v>
      </c>
      <c r="L1657" s="3">
        <v>-205800</v>
      </c>
      <c r="M1657" s="3">
        <v>0</v>
      </c>
      <c r="N1657">
        <v>29400</v>
      </c>
      <c r="O1657">
        <v>-840000</v>
      </c>
      <c r="P1657">
        <v>-235200</v>
      </c>
      <c r="Q1657" t="s">
        <v>30</v>
      </c>
      <c r="R1657" t="s">
        <v>86</v>
      </c>
      <c r="S1657" t="str">
        <v>#N/A</v>
      </c>
      <c r="T1657" t="str">
        <v>13</v>
      </c>
    </row>
    <row r="1658" spans="1:20" ht="13.7" customHeight="1" x14ac:dyDescent="0.25">
      <c r="A1658" t="s">
        <v>26</v>
      </c>
      <c r="B1658" t="s">
        <v>27</v>
      </c>
      <c r="C1658" t="s">
        <v>180</v>
      </c>
      <c r="D1658">
        <v>88</v>
      </c>
      <c r="E1658" s="5">
        <v>43829</v>
      </c>
      <c r="F1658">
        <v>23653001</v>
      </c>
      <c r="G1658" t="s">
        <v>653</v>
      </c>
      <c r="H1658" t="s">
        <v>1119</v>
      </c>
      <c r="I1658" t="s">
        <v>1120</v>
      </c>
      <c r="J1658">
        <v>1001</v>
      </c>
      <c r="K1658">
        <v>5005</v>
      </c>
      <c r="L1658" s="3">
        <v>-235200</v>
      </c>
      <c r="M1658" s="3">
        <v>0</v>
      </c>
      <c r="N1658">
        <v>29400</v>
      </c>
      <c r="O1658">
        <v>-840000</v>
      </c>
      <c r="P1658">
        <v>-264600</v>
      </c>
      <c r="Q1658" t="s">
        <v>30</v>
      </c>
      <c r="R1658" t="s">
        <v>647</v>
      </c>
      <c r="S1658" t="str">
        <v>#N/A</v>
      </c>
      <c r="T1658" t="str">
        <v>13</v>
      </c>
    </row>
    <row r="1659" spans="1:20" ht="13.7" customHeight="1" x14ac:dyDescent="0.25">
      <c r="E1659" s="5">
        <v>43465</v>
      </c>
      <c r="F1659">
        <v>23653001</v>
      </c>
      <c r="G1659" t="s">
        <v>653</v>
      </c>
      <c r="H1659" t="s">
        <v>1105</v>
      </c>
      <c r="I1659" t="s">
        <v>1106</v>
      </c>
      <c r="J1659">
        <v>0</v>
      </c>
      <c r="K1659">
        <v>0</v>
      </c>
      <c r="L1659" s="3">
        <v>-27650</v>
      </c>
      <c r="M1659" s="3">
        <v>0</v>
      </c>
      <c r="N1659">
        <v>0</v>
      </c>
      <c r="O1659">
        <v>-790000</v>
      </c>
      <c r="P1659">
        <v>-27650</v>
      </c>
      <c r="R1659" t="s">
        <v>1100</v>
      </c>
      <c r="S1659" t="str">
        <v>#N/A</v>
      </c>
      <c r="T1659" t="str">
        <v>#N/A</v>
      </c>
    </row>
    <row r="1660" spans="1:20" ht="13.7" customHeight="1" x14ac:dyDescent="0.25">
      <c r="A1660" t="s">
        <v>26</v>
      </c>
      <c r="B1660" t="s">
        <v>27</v>
      </c>
      <c r="C1660" t="s">
        <v>32</v>
      </c>
      <c r="D1660">
        <v>51</v>
      </c>
      <c r="E1660" s="5">
        <v>43521</v>
      </c>
      <c r="F1660">
        <v>23653001</v>
      </c>
      <c r="G1660" t="s">
        <v>653</v>
      </c>
      <c r="H1660" t="s">
        <v>1105</v>
      </c>
      <c r="I1660" t="s">
        <v>1106</v>
      </c>
      <c r="J1660">
        <v>1001</v>
      </c>
      <c r="K1660">
        <v>5005</v>
      </c>
      <c r="L1660" s="3">
        <v>-27650</v>
      </c>
      <c r="M1660" s="3">
        <v>0</v>
      </c>
      <c r="N1660">
        <v>29400</v>
      </c>
      <c r="O1660">
        <v>-840000</v>
      </c>
      <c r="P1660">
        <v>-57050</v>
      </c>
      <c r="Q1660" t="s">
        <v>30</v>
      </c>
      <c r="R1660" t="s">
        <v>86</v>
      </c>
      <c r="S1660" t="str">
        <v>#N/A</v>
      </c>
      <c r="T1660" t="str">
        <v>#N/A</v>
      </c>
    </row>
    <row r="1661" spans="1:20" ht="13.7" customHeight="1" x14ac:dyDescent="0.25">
      <c r="E1661" s="5">
        <v>43465</v>
      </c>
      <c r="F1661">
        <v>23654001</v>
      </c>
      <c r="G1661" t="s">
        <v>653</v>
      </c>
      <c r="H1661" t="s">
        <v>1115</v>
      </c>
      <c r="I1661" t="s">
        <v>1116</v>
      </c>
      <c r="J1661">
        <v>0</v>
      </c>
      <c r="K1661">
        <v>0</v>
      </c>
      <c r="L1661" s="3">
        <v>0</v>
      </c>
      <c r="M1661" s="3">
        <v>0</v>
      </c>
      <c r="N1661">
        <v>0</v>
      </c>
      <c r="O1661">
        <v>0</v>
      </c>
      <c r="P1661">
        <v>0</v>
      </c>
      <c r="R1661" t="s">
        <v>1100</v>
      </c>
      <c r="S1661" t="str">
        <v>#N/A</v>
      </c>
      <c r="T1661" t="str">
        <v>13</v>
      </c>
    </row>
    <row r="1662" spans="1:20" ht="13.7" customHeight="1" x14ac:dyDescent="0.25">
      <c r="A1662" t="s">
        <v>26</v>
      </c>
      <c r="B1662" t="s">
        <v>27</v>
      </c>
      <c r="C1662" t="s">
        <v>39</v>
      </c>
      <c r="D1662">
        <v>52</v>
      </c>
      <c r="E1662" s="5">
        <v>43734</v>
      </c>
      <c r="F1662">
        <v>23654001</v>
      </c>
      <c r="G1662" t="s">
        <v>653</v>
      </c>
      <c r="H1662" t="s">
        <v>1115</v>
      </c>
      <c r="I1662" t="s">
        <v>1116</v>
      </c>
      <c r="J1662">
        <v>1001</v>
      </c>
      <c r="K1662">
        <v>5005</v>
      </c>
      <c r="L1662" s="3">
        <v>0</v>
      </c>
      <c r="M1662" s="3">
        <v>0</v>
      </c>
      <c r="N1662">
        <v>26014.924999999999</v>
      </c>
      <c r="O1662">
        <v>-1040597</v>
      </c>
      <c r="P1662">
        <v>-26014.924999999999</v>
      </c>
      <c r="Q1662" t="s">
        <v>30</v>
      </c>
      <c r="R1662" t="s">
        <v>569</v>
      </c>
      <c r="S1662" t="str">
        <v>#N/A</v>
      </c>
      <c r="T1662" t="str">
        <v>13</v>
      </c>
    </row>
    <row r="1663" spans="1:20" ht="13.7" customHeight="1" x14ac:dyDescent="0.25">
      <c r="E1663" s="5">
        <v>43465</v>
      </c>
      <c r="F1663">
        <v>23654001</v>
      </c>
      <c r="G1663" t="s">
        <v>653</v>
      </c>
      <c r="H1663" t="s">
        <v>1163</v>
      </c>
      <c r="I1663" t="s">
        <v>1164</v>
      </c>
      <c r="J1663">
        <v>0</v>
      </c>
      <c r="K1663">
        <v>0</v>
      </c>
      <c r="L1663" s="3">
        <v>0</v>
      </c>
      <c r="M1663" s="3">
        <v>0</v>
      </c>
      <c r="N1663">
        <v>0</v>
      </c>
      <c r="O1663">
        <v>0</v>
      </c>
      <c r="P1663">
        <v>0</v>
      </c>
      <c r="R1663" t="s">
        <v>1100</v>
      </c>
      <c r="S1663" t="str">
        <v>#N/A</v>
      </c>
      <c r="T1663" t="str">
        <v>#N/A</v>
      </c>
    </row>
    <row r="1664" spans="1:20" ht="13.7" customHeight="1" x14ac:dyDescent="0.25">
      <c r="A1664" t="s">
        <v>26</v>
      </c>
      <c r="B1664" t="s">
        <v>27</v>
      </c>
      <c r="C1664" t="s">
        <v>40</v>
      </c>
      <c r="D1664">
        <v>37</v>
      </c>
      <c r="E1664" s="5">
        <v>43757</v>
      </c>
      <c r="F1664">
        <v>23654001</v>
      </c>
      <c r="G1664" t="s">
        <v>653</v>
      </c>
      <c r="H1664" t="s">
        <v>1163</v>
      </c>
      <c r="I1664" t="s">
        <v>1164</v>
      </c>
      <c r="J1664">
        <v>1001</v>
      </c>
      <c r="K1664">
        <v>5005</v>
      </c>
      <c r="L1664" s="3">
        <v>0</v>
      </c>
      <c r="M1664" s="3">
        <v>0</v>
      </c>
      <c r="N1664">
        <v>76680.675000000003</v>
      </c>
      <c r="O1664">
        <v>-3067227</v>
      </c>
      <c r="P1664">
        <v>-76680.675000000003</v>
      </c>
      <c r="Q1664" t="s">
        <v>30</v>
      </c>
      <c r="R1664" t="s">
        <v>319</v>
      </c>
      <c r="S1664" t="str">
        <v>#N/A</v>
      </c>
      <c r="T1664" t="str">
        <v>#N/A</v>
      </c>
    </row>
    <row r="1665" spans="1:20" ht="13.7" customHeight="1" x14ac:dyDescent="0.25">
      <c r="E1665" s="5">
        <v>43465</v>
      </c>
      <c r="F1665">
        <v>23654001</v>
      </c>
      <c r="G1665" t="s">
        <v>653</v>
      </c>
      <c r="H1665" t="s">
        <v>1105</v>
      </c>
      <c r="I1665" t="s">
        <v>1106</v>
      </c>
      <c r="J1665">
        <v>0</v>
      </c>
      <c r="K1665">
        <v>0</v>
      </c>
      <c r="L1665" s="3">
        <v>-86750</v>
      </c>
      <c r="M1665" s="3">
        <v>0</v>
      </c>
      <c r="N1665">
        <v>0</v>
      </c>
      <c r="O1665">
        <v>-3470000</v>
      </c>
      <c r="P1665">
        <v>-86750</v>
      </c>
      <c r="R1665" t="s">
        <v>1100</v>
      </c>
      <c r="S1665" t="str">
        <v>#N/A</v>
      </c>
      <c r="T1665" t="str">
        <v>#N/A</v>
      </c>
    </row>
    <row r="1666" spans="1:20" ht="13.7" customHeight="1" x14ac:dyDescent="0.25">
      <c r="E1666" s="5">
        <v>43465</v>
      </c>
      <c r="F1666">
        <v>23654002</v>
      </c>
      <c r="G1666">
        <v>0</v>
      </c>
      <c r="H1666" t="s">
        <v>1155</v>
      </c>
      <c r="I1666" t="s">
        <v>1156</v>
      </c>
      <c r="J1666">
        <v>0</v>
      </c>
      <c r="K1666">
        <v>0</v>
      </c>
      <c r="L1666" s="3">
        <v>0</v>
      </c>
      <c r="M1666" s="3">
        <v>0</v>
      </c>
      <c r="N1666">
        <v>0</v>
      </c>
      <c r="O1666">
        <v>0</v>
      </c>
      <c r="P1666">
        <v>0</v>
      </c>
      <c r="R1666" t="s">
        <v>1100</v>
      </c>
      <c r="S1666" t="str">
        <v>#N/A</v>
      </c>
      <c r="T1666" t="str">
        <v>#N/A</v>
      </c>
    </row>
    <row r="1667" spans="1:20" ht="13.7" customHeight="1" x14ac:dyDescent="0.25">
      <c r="A1667" t="s">
        <v>26</v>
      </c>
      <c r="B1667" t="s">
        <v>27</v>
      </c>
      <c r="C1667" t="s">
        <v>41</v>
      </c>
      <c r="D1667">
        <v>51</v>
      </c>
      <c r="E1667" s="5">
        <v>43788</v>
      </c>
      <c r="F1667">
        <v>23654002</v>
      </c>
      <c r="G1667">
        <v>0</v>
      </c>
      <c r="H1667" t="s">
        <v>1155</v>
      </c>
      <c r="I1667" t="s">
        <v>1156</v>
      </c>
      <c r="J1667">
        <v>1001</v>
      </c>
      <c r="K1667">
        <v>5008</v>
      </c>
      <c r="L1667" s="3">
        <v>0</v>
      </c>
      <c r="M1667" s="3">
        <v>0</v>
      </c>
      <c r="N1667">
        <v>350000</v>
      </c>
      <c r="O1667">
        <v>-10000000</v>
      </c>
      <c r="P1667">
        <v>-350000</v>
      </c>
      <c r="Q1667" t="s">
        <v>30</v>
      </c>
      <c r="R1667" t="s">
        <v>306</v>
      </c>
      <c r="S1667" t="str">
        <v>#N/A</v>
      </c>
      <c r="T1667" t="str">
        <v>#N/A</v>
      </c>
    </row>
    <row r="1668" spans="1:20" ht="13.7" customHeight="1" x14ac:dyDescent="0.25">
      <c r="E1668" s="5">
        <v>43465</v>
      </c>
      <c r="F1668">
        <v>23654002</v>
      </c>
      <c r="G1668">
        <v>0</v>
      </c>
      <c r="H1668" t="s">
        <v>1179</v>
      </c>
      <c r="I1668" t="s">
        <v>1180</v>
      </c>
      <c r="J1668">
        <v>0</v>
      </c>
      <c r="K1668">
        <v>0</v>
      </c>
      <c r="L1668" s="3">
        <v>-257700.1</v>
      </c>
      <c r="M1668" s="3">
        <v>0</v>
      </c>
      <c r="N1668">
        <v>0</v>
      </c>
      <c r="O1668">
        <v>-7362860</v>
      </c>
      <c r="P1668">
        <v>-257700.1</v>
      </c>
      <c r="R1668" t="s">
        <v>1100</v>
      </c>
      <c r="S1668" t="str">
        <v>#N/A</v>
      </c>
      <c r="T1668" t="str">
        <v>13</v>
      </c>
    </row>
    <row r="1669" spans="1:20" ht="13.7" customHeight="1" x14ac:dyDescent="0.25">
      <c r="E1669" s="5">
        <v>43465</v>
      </c>
      <c r="F1669">
        <v>23657501</v>
      </c>
      <c r="G1669" t="s">
        <v>647</v>
      </c>
      <c r="H1669" t="s">
        <v>1145</v>
      </c>
      <c r="I1669" t="s">
        <v>1146</v>
      </c>
      <c r="J1669">
        <v>0</v>
      </c>
      <c r="K1669">
        <v>0</v>
      </c>
      <c r="L1669" s="3">
        <v>-1128</v>
      </c>
      <c r="M1669" s="3">
        <v>0</v>
      </c>
      <c r="N1669">
        <v>0</v>
      </c>
      <c r="O1669">
        <v>-282000</v>
      </c>
      <c r="P1669">
        <v>-1128</v>
      </c>
      <c r="R1669" t="s">
        <v>1100</v>
      </c>
      <c r="S1669" t="str">
        <v>#N/A</v>
      </c>
      <c r="T1669" t="str">
        <v>#N/A</v>
      </c>
    </row>
    <row r="1670" spans="1:20" ht="13.7" customHeight="1" x14ac:dyDescent="0.25">
      <c r="E1670" s="5">
        <v>43465</v>
      </c>
      <c r="F1670">
        <v>23657501</v>
      </c>
      <c r="G1670" t="s">
        <v>647</v>
      </c>
      <c r="H1670" t="s">
        <v>1127</v>
      </c>
      <c r="I1670" t="s">
        <v>1128</v>
      </c>
      <c r="J1670">
        <v>0</v>
      </c>
      <c r="K1670">
        <v>0</v>
      </c>
      <c r="L1670" s="3">
        <v>-105674.5</v>
      </c>
      <c r="M1670" s="3">
        <v>0</v>
      </c>
      <c r="N1670">
        <v>0</v>
      </c>
      <c r="O1670">
        <v>-26418625</v>
      </c>
      <c r="P1670">
        <v>-105674.5</v>
      </c>
      <c r="R1670" t="s">
        <v>1100</v>
      </c>
      <c r="S1670" t="str">
        <v>#N/A</v>
      </c>
      <c r="T1670" t="str">
        <v>#N/A</v>
      </c>
    </row>
    <row r="1671" spans="1:20" ht="13.7" customHeight="1" x14ac:dyDescent="0.25">
      <c r="A1671" t="s">
        <v>320</v>
      </c>
      <c r="B1671" t="s">
        <v>321</v>
      </c>
      <c r="C1671" t="s">
        <v>142</v>
      </c>
      <c r="D1671">
        <v>335</v>
      </c>
      <c r="E1671" s="5">
        <v>43466</v>
      </c>
      <c r="F1671">
        <v>23657501</v>
      </c>
      <c r="G1671" t="s">
        <v>647</v>
      </c>
      <c r="H1671" t="s">
        <v>1127</v>
      </c>
      <c r="I1671" t="s">
        <v>1128</v>
      </c>
      <c r="J1671">
        <v>1001</v>
      </c>
      <c r="K1671">
        <v>5062</v>
      </c>
      <c r="L1671" s="3">
        <v>-105674.5</v>
      </c>
      <c r="M1671" s="3">
        <v>0</v>
      </c>
      <c r="N1671">
        <v>1006.72</v>
      </c>
      <c r="O1671">
        <v>-251680</v>
      </c>
      <c r="P1671">
        <v>-106681.22</v>
      </c>
      <c r="Q1671" t="s">
        <v>30</v>
      </c>
      <c r="R1671" t="s">
        <v>655</v>
      </c>
      <c r="S1671" t="str">
        <v>#N/A</v>
      </c>
      <c r="T1671" t="str">
        <v>#N/A</v>
      </c>
    </row>
    <row r="1672" spans="1:20" ht="13.7" customHeight="1" x14ac:dyDescent="0.25">
      <c r="A1672" t="s">
        <v>320</v>
      </c>
      <c r="B1672" t="s">
        <v>321</v>
      </c>
      <c r="C1672" t="s">
        <v>142</v>
      </c>
      <c r="D1672">
        <v>337</v>
      </c>
      <c r="E1672" s="5">
        <v>43481</v>
      </c>
      <c r="F1672">
        <v>23657501</v>
      </c>
      <c r="G1672" t="s">
        <v>647</v>
      </c>
      <c r="H1672" t="s">
        <v>1127</v>
      </c>
      <c r="I1672" t="s">
        <v>1128</v>
      </c>
      <c r="J1672">
        <v>1001</v>
      </c>
      <c r="K1672">
        <v>5062</v>
      </c>
      <c r="L1672" s="3">
        <v>-106681.22</v>
      </c>
      <c r="M1672" s="3">
        <v>0</v>
      </c>
      <c r="N1672">
        <v>1592.4480000000001</v>
      </c>
      <c r="O1672">
        <v>-398112</v>
      </c>
      <c r="P1672">
        <v>-108273.66800000001</v>
      </c>
      <c r="Q1672" t="s">
        <v>30</v>
      </c>
      <c r="R1672" t="s">
        <v>657</v>
      </c>
      <c r="S1672" t="str">
        <v>#N/A</v>
      </c>
      <c r="T1672" t="str">
        <v>#N/A</v>
      </c>
    </row>
    <row r="1673" spans="1:20" ht="13.7" customHeight="1" x14ac:dyDescent="0.25">
      <c r="A1673" t="s">
        <v>320</v>
      </c>
      <c r="B1673" t="s">
        <v>321</v>
      </c>
      <c r="C1673" t="s">
        <v>142</v>
      </c>
      <c r="D1673">
        <v>340</v>
      </c>
      <c r="E1673" s="5">
        <v>43482</v>
      </c>
      <c r="F1673">
        <v>23657501</v>
      </c>
      <c r="G1673" t="s">
        <v>647</v>
      </c>
      <c r="H1673" t="s">
        <v>1127</v>
      </c>
      <c r="I1673" t="s">
        <v>1128</v>
      </c>
      <c r="J1673">
        <v>1001</v>
      </c>
      <c r="K1673">
        <v>5062</v>
      </c>
      <c r="L1673" s="3">
        <v>-108273.66800000001</v>
      </c>
      <c r="M1673" s="3">
        <v>0</v>
      </c>
      <c r="N1673">
        <v>1085.952</v>
      </c>
      <c r="O1673">
        <v>-271488</v>
      </c>
      <c r="P1673">
        <v>-109359.62</v>
      </c>
      <c r="Q1673" t="s">
        <v>30</v>
      </c>
      <c r="R1673" t="s">
        <v>659</v>
      </c>
      <c r="S1673" t="str">
        <v>#N/A</v>
      </c>
      <c r="T1673" t="str">
        <v>#N/A</v>
      </c>
    </row>
    <row r="1674" spans="1:20" ht="13.7" customHeight="1" x14ac:dyDescent="0.25">
      <c r="A1674" t="s">
        <v>320</v>
      </c>
      <c r="B1674" t="s">
        <v>321</v>
      </c>
      <c r="C1674" t="s">
        <v>142</v>
      </c>
      <c r="D1674">
        <v>342</v>
      </c>
      <c r="E1674" s="5">
        <v>43484</v>
      </c>
      <c r="F1674">
        <v>23657501</v>
      </c>
      <c r="G1674" t="s">
        <v>647</v>
      </c>
      <c r="H1674" t="s">
        <v>1127</v>
      </c>
      <c r="I1674" t="s">
        <v>1128</v>
      </c>
      <c r="J1674">
        <v>1001</v>
      </c>
      <c r="K1674">
        <v>5062</v>
      </c>
      <c r="L1674" s="3">
        <v>-109359.62</v>
      </c>
      <c r="M1674" s="3">
        <v>0</v>
      </c>
      <c r="N1674">
        <v>1108.8</v>
      </c>
      <c r="O1674">
        <v>-277200</v>
      </c>
      <c r="P1674">
        <v>-110468.42</v>
      </c>
      <c r="Q1674" t="s">
        <v>30</v>
      </c>
      <c r="R1674" t="s">
        <v>661</v>
      </c>
      <c r="S1674" t="str">
        <v>#N/A</v>
      </c>
      <c r="T1674" t="str">
        <v>#N/A</v>
      </c>
    </row>
    <row r="1675" spans="1:20" ht="13.7" customHeight="1" x14ac:dyDescent="0.25">
      <c r="A1675" t="s">
        <v>320</v>
      </c>
      <c r="B1675" t="s">
        <v>321</v>
      </c>
      <c r="C1675" t="s">
        <v>142</v>
      </c>
      <c r="D1675">
        <v>343</v>
      </c>
      <c r="E1675" s="5">
        <v>43486</v>
      </c>
      <c r="F1675">
        <v>23657501</v>
      </c>
      <c r="G1675" t="s">
        <v>647</v>
      </c>
      <c r="H1675" t="s">
        <v>1127</v>
      </c>
      <c r="I1675" t="s">
        <v>1128</v>
      </c>
      <c r="J1675">
        <v>1001</v>
      </c>
      <c r="K1675">
        <v>5062</v>
      </c>
      <c r="L1675" s="3">
        <v>-110468.42</v>
      </c>
      <c r="M1675" s="3">
        <v>0</v>
      </c>
      <c r="N1675">
        <v>1837.6</v>
      </c>
      <c r="O1675">
        <v>-459400</v>
      </c>
      <c r="P1675">
        <v>-112306.02</v>
      </c>
      <c r="Q1675" t="s">
        <v>30</v>
      </c>
      <c r="R1675" t="s">
        <v>662</v>
      </c>
      <c r="S1675" t="str">
        <v>#N/A</v>
      </c>
      <c r="T1675" t="str">
        <v>#N/A</v>
      </c>
    </row>
    <row r="1676" spans="1:20" ht="13.7" customHeight="1" x14ac:dyDescent="0.25">
      <c r="A1676" t="s">
        <v>320</v>
      </c>
      <c r="B1676" t="s">
        <v>321</v>
      </c>
      <c r="C1676" t="s">
        <v>142</v>
      </c>
      <c r="D1676">
        <v>345</v>
      </c>
      <c r="E1676" s="5">
        <v>43487</v>
      </c>
      <c r="F1676">
        <v>23657501</v>
      </c>
      <c r="G1676" t="s">
        <v>647</v>
      </c>
      <c r="H1676" t="s">
        <v>1127</v>
      </c>
      <c r="I1676" t="s">
        <v>1128</v>
      </c>
      <c r="J1676">
        <v>1001</v>
      </c>
      <c r="K1676">
        <v>5062</v>
      </c>
      <c r="L1676" s="3">
        <v>-112306.02</v>
      </c>
      <c r="M1676" s="3">
        <v>0</v>
      </c>
      <c r="N1676">
        <v>1603.2</v>
      </c>
      <c r="O1676">
        <v>-400800</v>
      </c>
      <c r="P1676">
        <v>-113909.22</v>
      </c>
      <c r="Q1676" t="s">
        <v>30</v>
      </c>
      <c r="R1676" t="s">
        <v>664</v>
      </c>
      <c r="S1676" t="str">
        <v>#N/A</v>
      </c>
      <c r="T1676" t="str">
        <v>#N/A</v>
      </c>
    </row>
    <row r="1677" spans="1:20" ht="13.7" customHeight="1" x14ac:dyDescent="0.25">
      <c r="A1677" t="s">
        <v>320</v>
      </c>
      <c r="B1677" t="s">
        <v>321</v>
      </c>
      <c r="C1677" t="s">
        <v>142</v>
      </c>
      <c r="D1677">
        <v>346</v>
      </c>
      <c r="E1677" s="5">
        <v>43489</v>
      </c>
      <c r="F1677">
        <v>23657501</v>
      </c>
      <c r="G1677" t="s">
        <v>647</v>
      </c>
      <c r="H1677" t="s">
        <v>1127</v>
      </c>
      <c r="I1677" t="s">
        <v>1128</v>
      </c>
      <c r="J1677">
        <v>1001</v>
      </c>
      <c r="K1677">
        <v>5062</v>
      </c>
      <c r="L1677" s="3">
        <v>-113909.22</v>
      </c>
      <c r="M1677" s="3">
        <v>0</v>
      </c>
      <c r="N1677">
        <v>1551.52</v>
      </c>
      <c r="O1677">
        <v>-387880</v>
      </c>
      <c r="P1677">
        <v>-115460.74</v>
      </c>
      <c r="Q1677" t="s">
        <v>30</v>
      </c>
      <c r="R1677" t="s">
        <v>665</v>
      </c>
      <c r="S1677" t="str">
        <v>#N/A</v>
      </c>
      <c r="T1677" t="str">
        <v>#N/A</v>
      </c>
    </row>
    <row r="1678" spans="1:20" ht="13.7" customHeight="1" x14ac:dyDescent="0.25">
      <c r="A1678" t="s">
        <v>320</v>
      </c>
      <c r="B1678" t="s">
        <v>321</v>
      </c>
      <c r="C1678" t="s">
        <v>142</v>
      </c>
      <c r="D1678">
        <v>347</v>
      </c>
      <c r="E1678" s="5">
        <v>43490</v>
      </c>
      <c r="F1678">
        <v>23657501</v>
      </c>
      <c r="G1678" t="s">
        <v>647</v>
      </c>
      <c r="H1678" t="s">
        <v>1127</v>
      </c>
      <c r="I1678" t="s">
        <v>1128</v>
      </c>
      <c r="J1678">
        <v>1001</v>
      </c>
      <c r="K1678">
        <v>5062</v>
      </c>
      <c r="L1678" s="3">
        <v>-115460.74</v>
      </c>
      <c r="M1678" s="3">
        <v>0</v>
      </c>
      <c r="N1678">
        <v>325.76</v>
      </c>
      <c r="O1678">
        <v>-81440</v>
      </c>
      <c r="P1678">
        <v>-115786.5</v>
      </c>
      <c r="Q1678" t="s">
        <v>30</v>
      </c>
      <c r="R1678" t="s">
        <v>666</v>
      </c>
      <c r="S1678" t="str">
        <v>#N/A</v>
      </c>
      <c r="T1678" t="str">
        <v>#N/A</v>
      </c>
    </row>
    <row r="1679" spans="1:20" ht="13.7" customHeight="1" x14ac:dyDescent="0.25">
      <c r="A1679" t="s">
        <v>320</v>
      </c>
      <c r="B1679" t="s">
        <v>321</v>
      </c>
      <c r="C1679" t="s">
        <v>142</v>
      </c>
      <c r="D1679">
        <v>350</v>
      </c>
      <c r="E1679" s="5">
        <v>43495</v>
      </c>
      <c r="F1679">
        <v>23657501</v>
      </c>
      <c r="G1679" t="s">
        <v>647</v>
      </c>
      <c r="H1679" t="s">
        <v>1127</v>
      </c>
      <c r="I1679" t="s">
        <v>1128</v>
      </c>
      <c r="J1679">
        <v>1001</v>
      </c>
      <c r="K1679">
        <v>5062</v>
      </c>
      <c r="L1679" s="3">
        <v>-115786.5</v>
      </c>
      <c r="M1679" s="3">
        <v>0</v>
      </c>
      <c r="N1679">
        <v>1961.92</v>
      </c>
      <c r="O1679">
        <v>-490480</v>
      </c>
      <c r="P1679">
        <v>-117748.42</v>
      </c>
      <c r="Q1679" t="s">
        <v>30</v>
      </c>
      <c r="R1679" t="s">
        <v>667</v>
      </c>
      <c r="S1679" t="str">
        <v>#N/A</v>
      </c>
      <c r="T1679" t="str">
        <v>#N/A</v>
      </c>
    </row>
    <row r="1680" spans="1:20" ht="13.7" customHeight="1" x14ac:dyDescent="0.25">
      <c r="A1680" t="s">
        <v>320</v>
      </c>
      <c r="B1680" t="s">
        <v>321</v>
      </c>
      <c r="C1680" t="s">
        <v>142</v>
      </c>
      <c r="D1680">
        <v>355</v>
      </c>
      <c r="E1680" s="5">
        <v>43501</v>
      </c>
      <c r="F1680">
        <v>23657501</v>
      </c>
      <c r="G1680" t="s">
        <v>647</v>
      </c>
      <c r="H1680" t="s">
        <v>1127</v>
      </c>
      <c r="I1680" t="s">
        <v>1128</v>
      </c>
      <c r="J1680">
        <v>1001</v>
      </c>
      <c r="K1680">
        <v>5062</v>
      </c>
      <c r="L1680" s="3">
        <v>-117748.42</v>
      </c>
      <c r="M1680" s="3">
        <v>0</v>
      </c>
      <c r="N1680">
        <v>3528</v>
      </c>
      <c r="O1680">
        <v>-882000</v>
      </c>
      <c r="P1680">
        <v>-121276.42</v>
      </c>
      <c r="Q1680" t="s">
        <v>30</v>
      </c>
      <c r="R1680" t="s">
        <v>671</v>
      </c>
      <c r="S1680" t="str">
        <v>#N/A</v>
      </c>
      <c r="T1680" t="str">
        <v>#N/A</v>
      </c>
    </row>
    <row r="1681" spans="1:20" ht="13.7" customHeight="1" x14ac:dyDescent="0.25">
      <c r="A1681" t="s">
        <v>320</v>
      </c>
      <c r="B1681" t="s">
        <v>321</v>
      </c>
      <c r="C1681" t="s">
        <v>142</v>
      </c>
      <c r="D1681">
        <v>356</v>
      </c>
      <c r="E1681" s="5">
        <v>43504</v>
      </c>
      <c r="F1681">
        <v>23657501</v>
      </c>
      <c r="G1681" t="s">
        <v>647</v>
      </c>
      <c r="H1681" t="s">
        <v>1127</v>
      </c>
      <c r="I1681" t="s">
        <v>1128</v>
      </c>
      <c r="J1681">
        <v>1001</v>
      </c>
      <c r="K1681">
        <v>5062</v>
      </c>
      <c r="L1681" s="3">
        <v>-121276.42</v>
      </c>
      <c r="M1681" s="3">
        <v>0</v>
      </c>
      <c r="N1681">
        <v>2182.4</v>
      </c>
      <c r="O1681">
        <v>-545600</v>
      </c>
      <c r="P1681">
        <v>-123458.82</v>
      </c>
      <c r="Q1681" t="s">
        <v>30</v>
      </c>
      <c r="R1681" t="s">
        <v>672</v>
      </c>
      <c r="S1681" t="str">
        <v>#N/A</v>
      </c>
      <c r="T1681" t="str">
        <v>#N/A</v>
      </c>
    </row>
    <row r="1682" spans="1:20" ht="13.7" customHeight="1" x14ac:dyDescent="0.25">
      <c r="A1682" t="s">
        <v>320</v>
      </c>
      <c r="B1682" t="s">
        <v>321</v>
      </c>
      <c r="C1682" t="s">
        <v>142</v>
      </c>
      <c r="D1682">
        <v>365</v>
      </c>
      <c r="E1682" s="5">
        <v>43511</v>
      </c>
      <c r="F1682">
        <v>23657501</v>
      </c>
      <c r="G1682" t="s">
        <v>647</v>
      </c>
      <c r="H1682" t="s">
        <v>1127</v>
      </c>
      <c r="I1682" t="s">
        <v>1128</v>
      </c>
      <c r="J1682">
        <v>1001</v>
      </c>
      <c r="K1682">
        <v>5062</v>
      </c>
      <c r="L1682" s="3">
        <v>-123458.82</v>
      </c>
      <c r="M1682" s="3">
        <v>0</v>
      </c>
      <c r="N1682">
        <v>10864.96</v>
      </c>
      <c r="O1682">
        <v>-2716240</v>
      </c>
      <c r="P1682">
        <v>-134323.78</v>
      </c>
      <c r="Q1682" t="s">
        <v>30</v>
      </c>
      <c r="R1682" t="s">
        <v>680</v>
      </c>
      <c r="S1682" t="str">
        <v>#N/A</v>
      </c>
      <c r="T1682" t="str">
        <v>#N/A</v>
      </c>
    </row>
    <row r="1683" spans="1:20" ht="13.7" customHeight="1" x14ac:dyDescent="0.25">
      <c r="A1683" t="s">
        <v>320</v>
      </c>
      <c r="B1683" t="s">
        <v>321</v>
      </c>
      <c r="C1683" t="s">
        <v>142</v>
      </c>
      <c r="D1683">
        <v>366</v>
      </c>
      <c r="E1683" s="5">
        <v>43512</v>
      </c>
      <c r="F1683">
        <v>23657501</v>
      </c>
      <c r="G1683" t="s">
        <v>647</v>
      </c>
      <c r="H1683" t="s">
        <v>1127</v>
      </c>
      <c r="I1683" t="s">
        <v>1128</v>
      </c>
      <c r="J1683">
        <v>1001</v>
      </c>
      <c r="K1683">
        <v>5062</v>
      </c>
      <c r="L1683" s="3">
        <v>-134323.78</v>
      </c>
      <c r="M1683" s="3">
        <v>0</v>
      </c>
      <c r="N1683">
        <v>1612.8</v>
      </c>
      <c r="O1683">
        <v>-403200</v>
      </c>
      <c r="P1683">
        <v>-135936.57999999999</v>
      </c>
      <c r="Q1683" t="s">
        <v>30</v>
      </c>
      <c r="R1683" t="s">
        <v>681</v>
      </c>
      <c r="S1683" t="str">
        <v>#N/A</v>
      </c>
      <c r="T1683" t="str">
        <v>#N/A</v>
      </c>
    </row>
    <row r="1684" spans="1:20" ht="13.7" customHeight="1" x14ac:dyDescent="0.25">
      <c r="A1684" t="s">
        <v>320</v>
      </c>
      <c r="B1684" t="s">
        <v>321</v>
      </c>
      <c r="C1684" t="s">
        <v>142</v>
      </c>
      <c r="D1684">
        <v>372</v>
      </c>
      <c r="E1684" s="5">
        <v>43517</v>
      </c>
      <c r="F1684">
        <v>23657501</v>
      </c>
      <c r="G1684" t="s">
        <v>647</v>
      </c>
      <c r="H1684" t="s">
        <v>1127</v>
      </c>
      <c r="I1684" t="s">
        <v>1128</v>
      </c>
      <c r="J1684">
        <v>1001</v>
      </c>
      <c r="K1684">
        <v>5062</v>
      </c>
      <c r="L1684" s="3">
        <v>-135936.57999999999</v>
      </c>
      <c r="M1684" s="3">
        <v>0</v>
      </c>
      <c r="N1684">
        <v>573.6</v>
      </c>
      <c r="O1684">
        <v>-143400</v>
      </c>
      <c r="P1684">
        <v>-136510.18</v>
      </c>
      <c r="Q1684" t="s">
        <v>30</v>
      </c>
      <c r="R1684" t="s">
        <v>363</v>
      </c>
      <c r="S1684" t="str">
        <v>#N/A</v>
      </c>
      <c r="T1684" t="str">
        <v>#N/A</v>
      </c>
    </row>
    <row r="1685" spans="1:20" ht="13.7" customHeight="1" x14ac:dyDescent="0.25">
      <c r="A1685" t="s">
        <v>320</v>
      </c>
      <c r="B1685" t="s">
        <v>321</v>
      </c>
      <c r="C1685" t="s">
        <v>142</v>
      </c>
      <c r="D1685">
        <v>378</v>
      </c>
      <c r="E1685" s="5">
        <v>43530</v>
      </c>
      <c r="F1685">
        <v>23657501</v>
      </c>
      <c r="G1685" t="s">
        <v>647</v>
      </c>
      <c r="H1685" t="s">
        <v>1127</v>
      </c>
      <c r="I1685" t="s">
        <v>1128</v>
      </c>
      <c r="J1685">
        <v>1001</v>
      </c>
      <c r="K1685">
        <v>5062</v>
      </c>
      <c r="L1685" s="3">
        <v>-136510.18</v>
      </c>
      <c r="M1685" s="3">
        <v>0</v>
      </c>
      <c r="N1685">
        <v>5343.8</v>
      </c>
      <c r="O1685">
        <v>-1335950</v>
      </c>
      <c r="P1685">
        <v>-141853.98000000001</v>
      </c>
      <c r="Q1685" t="s">
        <v>30</v>
      </c>
      <c r="R1685" t="s">
        <v>394</v>
      </c>
      <c r="S1685" t="str">
        <v>#N/A</v>
      </c>
      <c r="T1685" t="str">
        <v>#N/A</v>
      </c>
    </row>
    <row r="1686" spans="1:20" ht="13.7" customHeight="1" x14ac:dyDescent="0.25">
      <c r="A1686" t="s">
        <v>320</v>
      </c>
      <c r="B1686" t="s">
        <v>321</v>
      </c>
      <c r="C1686" t="s">
        <v>142</v>
      </c>
      <c r="D1686">
        <v>380</v>
      </c>
      <c r="E1686" s="5">
        <v>43533</v>
      </c>
      <c r="F1686">
        <v>23657501</v>
      </c>
      <c r="G1686" t="s">
        <v>647</v>
      </c>
      <c r="H1686" t="s">
        <v>1127</v>
      </c>
      <c r="I1686" t="s">
        <v>1128</v>
      </c>
      <c r="J1686">
        <v>1001</v>
      </c>
      <c r="K1686">
        <v>5062</v>
      </c>
      <c r="L1686" s="3">
        <v>-141853.98000000001</v>
      </c>
      <c r="M1686" s="3">
        <v>0</v>
      </c>
      <c r="N1686">
        <v>5225.6000000000004</v>
      </c>
      <c r="O1686">
        <v>-1306400</v>
      </c>
      <c r="P1686">
        <v>-147079.57999999999</v>
      </c>
      <c r="Q1686" t="s">
        <v>30</v>
      </c>
      <c r="R1686" t="s">
        <v>617</v>
      </c>
      <c r="S1686" t="str">
        <v>#N/A</v>
      </c>
      <c r="T1686" t="str">
        <v>#N/A</v>
      </c>
    </row>
    <row r="1687" spans="1:20" ht="13.7" customHeight="1" x14ac:dyDescent="0.25">
      <c r="A1687" t="s">
        <v>320</v>
      </c>
      <c r="B1687" t="s">
        <v>321</v>
      </c>
      <c r="C1687" t="s">
        <v>142</v>
      </c>
      <c r="D1687">
        <v>382</v>
      </c>
      <c r="E1687" s="5">
        <v>43536</v>
      </c>
      <c r="F1687">
        <v>23657501</v>
      </c>
      <c r="G1687" t="s">
        <v>647</v>
      </c>
      <c r="H1687" t="s">
        <v>1127</v>
      </c>
      <c r="I1687" t="s">
        <v>1128</v>
      </c>
      <c r="J1687">
        <v>1001</v>
      </c>
      <c r="K1687">
        <v>5062</v>
      </c>
      <c r="L1687" s="3">
        <v>-147079.57999999999</v>
      </c>
      <c r="M1687" s="3">
        <v>0</v>
      </c>
      <c r="N1687">
        <v>1992</v>
      </c>
      <c r="O1687">
        <v>-498000</v>
      </c>
      <c r="P1687">
        <v>-149071.57999999999</v>
      </c>
      <c r="Q1687" t="s">
        <v>30</v>
      </c>
      <c r="R1687" t="s">
        <v>400</v>
      </c>
      <c r="S1687" t="str">
        <v>#N/A</v>
      </c>
      <c r="T1687" t="str">
        <v>#N/A</v>
      </c>
    </row>
    <row r="1688" spans="1:20" ht="13.7" customHeight="1" x14ac:dyDescent="0.25">
      <c r="A1688" t="s">
        <v>320</v>
      </c>
      <c r="B1688" t="s">
        <v>321</v>
      </c>
      <c r="C1688" t="s">
        <v>142</v>
      </c>
      <c r="D1688">
        <v>384</v>
      </c>
      <c r="E1688" s="5">
        <v>43542</v>
      </c>
      <c r="F1688">
        <v>23657501</v>
      </c>
      <c r="G1688" t="s">
        <v>647</v>
      </c>
      <c r="H1688" t="s">
        <v>1127</v>
      </c>
      <c r="I1688" t="s">
        <v>1128</v>
      </c>
      <c r="J1688">
        <v>1001</v>
      </c>
      <c r="K1688">
        <v>5062</v>
      </c>
      <c r="L1688" s="3">
        <v>-149071.57999999999</v>
      </c>
      <c r="M1688" s="3">
        <v>0</v>
      </c>
      <c r="N1688">
        <v>259.60000000000002</v>
      </c>
      <c r="O1688">
        <v>-64900</v>
      </c>
      <c r="P1688">
        <v>-149331.18</v>
      </c>
      <c r="Q1688" t="s">
        <v>30</v>
      </c>
      <c r="R1688" t="s">
        <v>406</v>
      </c>
      <c r="S1688" t="str">
        <v>#N/A</v>
      </c>
      <c r="T1688" t="str">
        <v>#N/A</v>
      </c>
    </row>
    <row r="1689" spans="1:20" ht="13.7" customHeight="1" x14ac:dyDescent="0.25">
      <c r="A1689" t="s">
        <v>320</v>
      </c>
      <c r="B1689" t="s">
        <v>321</v>
      </c>
      <c r="C1689" t="s">
        <v>142</v>
      </c>
      <c r="D1689">
        <v>392</v>
      </c>
      <c r="E1689" s="5">
        <v>43553</v>
      </c>
      <c r="F1689">
        <v>23657501</v>
      </c>
      <c r="G1689" t="s">
        <v>647</v>
      </c>
      <c r="H1689" t="s">
        <v>1127</v>
      </c>
      <c r="I1689" t="s">
        <v>1128</v>
      </c>
      <c r="J1689">
        <v>1001</v>
      </c>
      <c r="K1689">
        <v>5062</v>
      </c>
      <c r="L1689" s="3">
        <v>-149331.18</v>
      </c>
      <c r="M1689" s="3">
        <v>0</v>
      </c>
      <c r="N1689">
        <v>500</v>
      </c>
      <c r="O1689">
        <v>-125000</v>
      </c>
      <c r="P1689">
        <v>-149831.18</v>
      </c>
      <c r="Q1689" t="s">
        <v>30</v>
      </c>
      <c r="R1689" t="s">
        <v>418</v>
      </c>
      <c r="S1689" t="str">
        <v>#N/A</v>
      </c>
      <c r="T1689" t="str">
        <v>#N/A</v>
      </c>
    </row>
    <row r="1690" spans="1:20" ht="13.7" customHeight="1" x14ac:dyDescent="0.25">
      <c r="A1690" t="s">
        <v>320</v>
      </c>
      <c r="B1690" t="s">
        <v>321</v>
      </c>
      <c r="C1690" t="s">
        <v>142</v>
      </c>
      <c r="D1690">
        <v>394</v>
      </c>
      <c r="E1690" s="5">
        <v>43554</v>
      </c>
      <c r="F1690">
        <v>23657501</v>
      </c>
      <c r="G1690" t="s">
        <v>647</v>
      </c>
      <c r="H1690" t="s">
        <v>1127</v>
      </c>
      <c r="I1690" t="s">
        <v>1128</v>
      </c>
      <c r="J1690">
        <v>1001</v>
      </c>
      <c r="K1690">
        <v>5062</v>
      </c>
      <c r="L1690" s="3">
        <v>-149831.18</v>
      </c>
      <c r="M1690" s="3">
        <v>0</v>
      </c>
      <c r="N1690">
        <v>1760</v>
      </c>
      <c r="O1690">
        <v>-440200</v>
      </c>
      <c r="P1690">
        <v>-151591.18</v>
      </c>
      <c r="Q1690" t="s">
        <v>30</v>
      </c>
      <c r="R1690" t="s">
        <v>420</v>
      </c>
      <c r="S1690" t="str">
        <v>#N/A</v>
      </c>
      <c r="T1690" t="str">
        <v>#N/A</v>
      </c>
    </row>
    <row r="1691" spans="1:20" ht="13.7" customHeight="1" x14ac:dyDescent="0.25">
      <c r="A1691" t="s">
        <v>320</v>
      </c>
      <c r="B1691" t="s">
        <v>321</v>
      </c>
      <c r="C1691" t="s">
        <v>142</v>
      </c>
      <c r="D1691">
        <v>408</v>
      </c>
      <c r="E1691" s="5">
        <v>43566</v>
      </c>
      <c r="F1691">
        <v>23657501</v>
      </c>
      <c r="G1691" t="s">
        <v>647</v>
      </c>
      <c r="H1691" t="s">
        <v>1127</v>
      </c>
      <c r="I1691" t="s">
        <v>1128</v>
      </c>
      <c r="J1691">
        <v>1001</v>
      </c>
      <c r="K1691">
        <v>5062</v>
      </c>
      <c r="L1691" s="3">
        <v>-151591.18</v>
      </c>
      <c r="M1691" s="3">
        <v>0</v>
      </c>
      <c r="N1691">
        <v>1017.6</v>
      </c>
      <c r="O1691">
        <v>-254400</v>
      </c>
      <c r="P1691">
        <v>-152608.78</v>
      </c>
      <c r="Q1691" t="s">
        <v>30</v>
      </c>
      <c r="R1691" t="s">
        <v>428</v>
      </c>
      <c r="S1691" t="str">
        <v>#N/A</v>
      </c>
      <c r="T1691" t="str">
        <v>#N/A</v>
      </c>
    </row>
    <row r="1692" spans="1:20" ht="13.7" customHeight="1" x14ac:dyDescent="0.25">
      <c r="A1692" t="s">
        <v>320</v>
      </c>
      <c r="B1692" t="s">
        <v>321</v>
      </c>
      <c r="C1692" t="s">
        <v>142</v>
      </c>
      <c r="D1692">
        <v>413</v>
      </c>
      <c r="E1692" s="5">
        <v>43572</v>
      </c>
      <c r="F1692">
        <v>23657501</v>
      </c>
      <c r="G1692" t="s">
        <v>647</v>
      </c>
      <c r="H1692" t="s">
        <v>1127</v>
      </c>
      <c r="I1692" t="s">
        <v>1128</v>
      </c>
      <c r="J1692">
        <v>1001</v>
      </c>
      <c r="K1692">
        <v>5062</v>
      </c>
      <c r="L1692" s="3">
        <v>-152608.78</v>
      </c>
      <c r="M1692" s="3">
        <v>0</v>
      </c>
      <c r="N1692">
        <v>6004.6</v>
      </c>
      <c r="O1692">
        <v>-1501150</v>
      </c>
      <c r="P1692">
        <v>-158613.38</v>
      </c>
      <c r="Q1692" t="s">
        <v>30</v>
      </c>
      <c r="R1692" t="s">
        <v>432</v>
      </c>
      <c r="S1692" t="str">
        <v>#N/A</v>
      </c>
      <c r="T1692" t="str">
        <v>#N/A</v>
      </c>
    </row>
    <row r="1693" spans="1:20" ht="13.7" customHeight="1" x14ac:dyDescent="0.25">
      <c r="A1693" t="s">
        <v>320</v>
      </c>
      <c r="B1693" t="s">
        <v>321</v>
      </c>
      <c r="C1693" t="s">
        <v>142</v>
      </c>
      <c r="D1693">
        <v>418</v>
      </c>
      <c r="E1693" s="5">
        <v>43581</v>
      </c>
      <c r="F1693">
        <v>23657501</v>
      </c>
      <c r="G1693" t="s">
        <v>647</v>
      </c>
      <c r="H1693" t="s">
        <v>1127</v>
      </c>
      <c r="I1693" t="s">
        <v>1128</v>
      </c>
      <c r="J1693">
        <v>1001</v>
      </c>
      <c r="K1693">
        <v>5062</v>
      </c>
      <c r="L1693" s="3">
        <v>-158613.38</v>
      </c>
      <c r="M1693" s="3">
        <v>0</v>
      </c>
      <c r="N1693">
        <v>3787.84</v>
      </c>
      <c r="O1693">
        <v>-946960</v>
      </c>
      <c r="P1693">
        <v>-162401.22</v>
      </c>
      <c r="Q1693" t="s">
        <v>30</v>
      </c>
      <c r="R1693" t="s">
        <v>437</v>
      </c>
      <c r="S1693" t="str">
        <v>#N/A</v>
      </c>
      <c r="T1693" t="str">
        <v>#N/A</v>
      </c>
    </row>
    <row r="1694" spans="1:20" ht="13.7" customHeight="1" x14ac:dyDescent="0.25">
      <c r="A1694" t="s">
        <v>320</v>
      </c>
      <c r="B1694" t="s">
        <v>321</v>
      </c>
      <c r="C1694" t="s">
        <v>142</v>
      </c>
      <c r="D1694">
        <v>421</v>
      </c>
      <c r="E1694" s="5">
        <v>43589</v>
      </c>
      <c r="F1694">
        <v>23657501</v>
      </c>
      <c r="G1694" t="s">
        <v>647</v>
      </c>
      <c r="H1694" t="s">
        <v>1127</v>
      </c>
      <c r="I1694" t="s">
        <v>1128</v>
      </c>
      <c r="J1694">
        <v>1001</v>
      </c>
      <c r="K1694">
        <v>5062</v>
      </c>
      <c r="L1694" s="3">
        <v>-162401.22</v>
      </c>
      <c r="M1694" s="3">
        <v>0</v>
      </c>
      <c r="N1694">
        <v>532.79999999999995</v>
      </c>
      <c r="O1694">
        <v>-133200</v>
      </c>
      <c r="P1694">
        <v>-162934.01999999999</v>
      </c>
      <c r="Q1694" t="s">
        <v>30</v>
      </c>
      <c r="R1694" t="s">
        <v>440</v>
      </c>
      <c r="S1694" t="str">
        <v>#N/A</v>
      </c>
      <c r="T1694" t="str">
        <v>#N/A</v>
      </c>
    </row>
    <row r="1695" spans="1:20" ht="13.7" customHeight="1" x14ac:dyDescent="0.25">
      <c r="A1695" t="s">
        <v>320</v>
      </c>
      <c r="B1695" t="s">
        <v>321</v>
      </c>
      <c r="C1695" t="s">
        <v>142</v>
      </c>
      <c r="D1695">
        <v>424</v>
      </c>
      <c r="E1695" s="5">
        <v>43591</v>
      </c>
      <c r="F1695">
        <v>23657501</v>
      </c>
      <c r="G1695" t="s">
        <v>647</v>
      </c>
      <c r="H1695" t="s">
        <v>1127</v>
      </c>
      <c r="I1695" t="s">
        <v>1128</v>
      </c>
      <c r="J1695">
        <v>1001</v>
      </c>
      <c r="K1695">
        <v>5062</v>
      </c>
      <c r="L1695" s="3">
        <v>-162934.01999999999</v>
      </c>
      <c r="M1695" s="3">
        <v>0</v>
      </c>
      <c r="N1695">
        <v>1387.2</v>
      </c>
      <c r="O1695">
        <v>-346800</v>
      </c>
      <c r="P1695">
        <v>-164321.22</v>
      </c>
      <c r="Q1695" t="s">
        <v>30</v>
      </c>
      <c r="R1695" t="s">
        <v>441</v>
      </c>
      <c r="S1695" t="str">
        <v>#N/A</v>
      </c>
      <c r="T1695" t="str">
        <v>#N/A</v>
      </c>
    </row>
    <row r="1696" spans="1:20" ht="13.7" customHeight="1" x14ac:dyDescent="0.25">
      <c r="A1696" t="s">
        <v>320</v>
      </c>
      <c r="B1696" t="s">
        <v>321</v>
      </c>
      <c r="C1696" t="s">
        <v>142</v>
      </c>
      <c r="D1696">
        <v>426</v>
      </c>
      <c r="E1696" s="5">
        <v>43593</v>
      </c>
      <c r="F1696">
        <v>23657501</v>
      </c>
      <c r="G1696" t="s">
        <v>647</v>
      </c>
      <c r="H1696" t="s">
        <v>1127</v>
      </c>
      <c r="I1696" t="s">
        <v>1128</v>
      </c>
      <c r="J1696">
        <v>1001</v>
      </c>
      <c r="K1696">
        <v>5062</v>
      </c>
      <c r="L1696" s="3">
        <v>-164321.22</v>
      </c>
      <c r="M1696" s="3">
        <v>0</v>
      </c>
      <c r="N1696">
        <v>1000.8</v>
      </c>
      <c r="O1696">
        <v>-250200</v>
      </c>
      <c r="P1696">
        <v>-165322.01999999999</v>
      </c>
      <c r="Q1696" t="s">
        <v>30</v>
      </c>
      <c r="R1696" t="s">
        <v>443</v>
      </c>
      <c r="S1696" t="str">
        <v>#N/A</v>
      </c>
      <c r="T1696" t="str">
        <v>#N/A</v>
      </c>
    </row>
    <row r="1697" spans="1:20" ht="13.7" customHeight="1" x14ac:dyDescent="0.25">
      <c r="A1697" t="s">
        <v>320</v>
      </c>
      <c r="B1697" t="s">
        <v>321</v>
      </c>
      <c r="C1697" t="s">
        <v>142</v>
      </c>
      <c r="D1697">
        <v>431</v>
      </c>
      <c r="E1697" s="5">
        <v>43596</v>
      </c>
      <c r="F1697">
        <v>23657501</v>
      </c>
      <c r="G1697" t="s">
        <v>647</v>
      </c>
      <c r="H1697" t="s">
        <v>1127</v>
      </c>
      <c r="I1697" t="s">
        <v>1128</v>
      </c>
      <c r="J1697">
        <v>1001</v>
      </c>
      <c r="K1697">
        <v>5062</v>
      </c>
      <c r="L1697" s="3">
        <v>-165322.01999999999</v>
      </c>
      <c r="M1697" s="3">
        <v>0</v>
      </c>
      <c r="N1697">
        <v>525.6</v>
      </c>
      <c r="O1697">
        <v>-131400</v>
      </c>
      <c r="P1697">
        <v>-165847.62</v>
      </c>
      <c r="Q1697" t="s">
        <v>30</v>
      </c>
      <c r="R1697" t="s">
        <v>448</v>
      </c>
      <c r="S1697" t="str">
        <v>#N/A</v>
      </c>
      <c r="T1697" t="str">
        <v>#N/A</v>
      </c>
    </row>
    <row r="1698" spans="1:20" ht="13.7" customHeight="1" x14ac:dyDescent="0.25">
      <c r="A1698" t="s">
        <v>320</v>
      </c>
      <c r="B1698" t="s">
        <v>321</v>
      </c>
      <c r="C1698" t="s">
        <v>142</v>
      </c>
      <c r="D1698">
        <v>432</v>
      </c>
      <c r="E1698" s="5">
        <v>43599</v>
      </c>
      <c r="F1698">
        <v>23657501</v>
      </c>
      <c r="G1698" t="s">
        <v>647</v>
      </c>
      <c r="H1698" t="s">
        <v>1127</v>
      </c>
      <c r="I1698" t="s">
        <v>1128</v>
      </c>
      <c r="J1698">
        <v>1001</v>
      </c>
      <c r="K1698">
        <v>5062</v>
      </c>
      <c r="L1698" s="3">
        <v>-165847.62</v>
      </c>
      <c r="M1698" s="3">
        <v>0</v>
      </c>
      <c r="N1698">
        <v>352.8</v>
      </c>
      <c r="O1698">
        <v>-88200</v>
      </c>
      <c r="P1698">
        <v>-166200.42000000001</v>
      </c>
      <c r="Q1698" t="s">
        <v>30</v>
      </c>
      <c r="R1698" t="s">
        <v>449</v>
      </c>
      <c r="S1698" t="str">
        <v>#N/A</v>
      </c>
      <c r="T1698" t="str">
        <v>#N/A</v>
      </c>
    </row>
    <row r="1699" spans="1:20" ht="13.7" customHeight="1" x14ac:dyDescent="0.25">
      <c r="A1699" t="s">
        <v>320</v>
      </c>
      <c r="B1699" t="s">
        <v>321</v>
      </c>
      <c r="C1699" t="s">
        <v>142</v>
      </c>
      <c r="D1699">
        <v>433</v>
      </c>
      <c r="E1699" s="5">
        <v>43602</v>
      </c>
      <c r="F1699">
        <v>23657501</v>
      </c>
      <c r="G1699" t="s">
        <v>647</v>
      </c>
      <c r="H1699" t="s">
        <v>1127</v>
      </c>
      <c r="I1699" t="s">
        <v>1128</v>
      </c>
      <c r="J1699">
        <v>1001</v>
      </c>
      <c r="K1699">
        <v>5062</v>
      </c>
      <c r="L1699" s="3">
        <v>-166200.42000000001</v>
      </c>
      <c r="M1699" s="3">
        <v>0</v>
      </c>
      <c r="N1699">
        <v>1046.4000000000001</v>
      </c>
      <c r="O1699">
        <v>-261600</v>
      </c>
      <c r="P1699">
        <v>-167246.82</v>
      </c>
      <c r="Q1699" t="s">
        <v>30</v>
      </c>
      <c r="R1699" t="s">
        <v>450</v>
      </c>
      <c r="S1699" t="str">
        <v>#N/A</v>
      </c>
      <c r="T1699" t="str">
        <v>#N/A</v>
      </c>
    </row>
    <row r="1700" spans="1:20" ht="13.7" customHeight="1" x14ac:dyDescent="0.25">
      <c r="A1700" t="s">
        <v>320</v>
      </c>
      <c r="B1700" t="s">
        <v>321</v>
      </c>
      <c r="C1700" t="s">
        <v>142</v>
      </c>
      <c r="D1700">
        <v>438</v>
      </c>
      <c r="E1700" s="5">
        <v>43607</v>
      </c>
      <c r="F1700">
        <v>23657501</v>
      </c>
      <c r="G1700" t="s">
        <v>647</v>
      </c>
      <c r="H1700" t="s">
        <v>1127</v>
      </c>
      <c r="I1700" t="s">
        <v>1128</v>
      </c>
      <c r="J1700">
        <v>1001</v>
      </c>
      <c r="K1700">
        <v>5062</v>
      </c>
      <c r="L1700" s="3">
        <v>-167246.82</v>
      </c>
      <c r="M1700" s="3">
        <v>0</v>
      </c>
      <c r="N1700">
        <v>1161.5999999999999</v>
      </c>
      <c r="O1700">
        <v>-290400</v>
      </c>
      <c r="P1700">
        <v>-168408.42</v>
      </c>
      <c r="Q1700" t="s">
        <v>30</v>
      </c>
      <c r="R1700" t="s">
        <v>685</v>
      </c>
      <c r="S1700" t="str">
        <v>#N/A</v>
      </c>
      <c r="T1700" t="str">
        <v>#N/A</v>
      </c>
    </row>
    <row r="1701" spans="1:20" ht="13.7" customHeight="1" x14ac:dyDescent="0.25">
      <c r="A1701" t="s">
        <v>320</v>
      </c>
      <c r="B1701" t="s">
        <v>321</v>
      </c>
      <c r="C1701" t="s">
        <v>142</v>
      </c>
      <c r="D1701">
        <v>460</v>
      </c>
      <c r="E1701" s="5">
        <v>43645</v>
      </c>
      <c r="F1701">
        <v>23657501</v>
      </c>
      <c r="G1701" t="s">
        <v>647</v>
      </c>
      <c r="H1701" t="s">
        <v>1127</v>
      </c>
      <c r="I1701" t="s">
        <v>1128</v>
      </c>
      <c r="J1701">
        <v>1001</v>
      </c>
      <c r="K1701">
        <v>5062</v>
      </c>
      <c r="L1701" s="3">
        <v>-168408.42</v>
      </c>
      <c r="M1701" s="3">
        <v>0</v>
      </c>
      <c r="N1701">
        <v>559.20000000000005</v>
      </c>
      <c r="O1701">
        <v>-139800</v>
      </c>
      <c r="P1701">
        <v>-168967.62</v>
      </c>
      <c r="Q1701" t="s">
        <v>30</v>
      </c>
      <c r="R1701" t="s">
        <v>466</v>
      </c>
      <c r="S1701" t="str">
        <v>#N/A</v>
      </c>
      <c r="T1701" t="str">
        <v>#N/A</v>
      </c>
    </row>
    <row r="1702" spans="1:20" ht="13.7" customHeight="1" x14ac:dyDescent="0.25">
      <c r="A1702" t="s">
        <v>320</v>
      </c>
      <c r="B1702" t="s">
        <v>321</v>
      </c>
      <c r="C1702" t="s">
        <v>142</v>
      </c>
      <c r="D1702">
        <v>472</v>
      </c>
      <c r="E1702" s="5">
        <v>43676</v>
      </c>
      <c r="F1702">
        <v>23657501</v>
      </c>
      <c r="G1702" t="s">
        <v>647</v>
      </c>
      <c r="H1702" t="s">
        <v>1127</v>
      </c>
      <c r="I1702" t="s">
        <v>1128</v>
      </c>
      <c r="J1702">
        <v>1001</v>
      </c>
      <c r="K1702">
        <v>5062</v>
      </c>
      <c r="L1702" s="3">
        <v>-168967.62</v>
      </c>
      <c r="M1702" s="3">
        <v>0</v>
      </c>
      <c r="N1702">
        <v>1850.4</v>
      </c>
      <c r="O1702">
        <v>-462600</v>
      </c>
      <c r="P1702">
        <v>-170818.02</v>
      </c>
      <c r="Q1702" t="s">
        <v>30</v>
      </c>
      <c r="R1702" t="s">
        <v>472</v>
      </c>
      <c r="S1702" t="str">
        <v>#N/A</v>
      </c>
      <c r="T1702" t="str">
        <v>#N/A</v>
      </c>
    </row>
    <row r="1703" spans="1:20" ht="13.7" customHeight="1" x14ac:dyDescent="0.25">
      <c r="A1703" t="s">
        <v>320</v>
      </c>
      <c r="B1703" t="s">
        <v>321</v>
      </c>
      <c r="C1703" t="s">
        <v>142</v>
      </c>
      <c r="D1703">
        <v>494</v>
      </c>
      <c r="E1703" s="5">
        <v>43722</v>
      </c>
      <c r="F1703">
        <v>23657501</v>
      </c>
      <c r="G1703" t="s">
        <v>647</v>
      </c>
      <c r="H1703" t="s">
        <v>1127</v>
      </c>
      <c r="I1703" t="s">
        <v>1128</v>
      </c>
      <c r="J1703">
        <v>1001</v>
      </c>
      <c r="K1703">
        <v>5062</v>
      </c>
      <c r="L1703" s="3">
        <v>-170818.02</v>
      </c>
      <c r="M1703" s="3">
        <v>0</v>
      </c>
      <c r="N1703">
        <v>540</v>
      </c>
      <c r="O1703">
        <v>-135000</v>
      </c>
      <c r="P1703">
        <v>-171358.02</v>
      </c>
      <c r="Q1703" t="s">
        <v>30</v>
      </c>
      <c r="R1703" t="s">
        <v>479</v>
      </c>
      <c r="S1703" t="str">
        <v>#N/A</v>
      </c>
      <c r="T1703" t="str">
        <v>#N/A</v>
      </c>
    </row>
    <row r="1704" spans="1:20" ht="13.7" customHeight="1" x14ac:dyDescent="0.25">
      <c r="A1704" t="s">
        <v>320</v>
      </c>
      <c r="B1704" t="s">
        <v>321</v>
      </c>
      <c r="C1704" t="s">
        <v>142</v>
      </c>
      <c r="D1704">
        <v>499</v>
      </c>
      <c r="E1704" s="5">
        <v>43734</v>
      </c>
      <c r="F1704">
        <v>23657501</v>
      </c>
      <c r="G1704" t="s">
        <v>647</v>
      </c>
      <c r="H1704" t="s">
        <v>1127</v>
      </c>
      <c r="I1704" t="s">
        <v>1128</v>
      </c>
      <c r="J1704">
        <v>1001</v>
      </c>
      <c r="K1704">
        <v>5062</v>
      </c>
      <c r="L1704" s="3">
        <v>-171358.02</v>
      </c>
      <c r="M1704" s="3">
        <v>0</v>
      </c>
      <c r="N1704">
        <v>1116</v>
      </c>
      <c r="O1704">
        <v>-279000</v>
      </c>
      <c r="P1704">
        <v>-172474.02</v>
      </c>
      <c r="Q1704" t="s">
        <v>30</v>
      </c>
      <c r="R1704" t="s">
        <v>484</v>
      </c>
      <c r="S1704" t="str">
        <v>#N/A</v>
      </c>
      <c r="T1704" t="str">
        <v>#N/A</v>
      </c>
    </row>
    <row r="1705" spans="1:20" ht="13.7" customHeight="1" x14ac:dyDescent="0.25">
      <c r="A1705" t="s">
        <v>320</v>
      </c>
      <c r="B1705" t="s">
        <v>321</v>
      </c>
      <c r="C1705" t="s">
        <v>142</v>
      </c>
      <c r="D1705">
        <v>503</v>
      </c>
      <c r="E1705" s="5">
        <v>43739</v>
      </c>
      <c r="F1705">
        <v>23657501</v>
      </c>
      <c r="G1705" t="s">
        <v>647</v>
      </c>
      <c r="H1705" t="s">
        <v>1127</v>
      </c>
      <c r="I1705" t="s">
        <v>1128</v>
      </c>
      <c r="J1705">
        <v>1001</v>
      </c>
      <c r="K1705">
        <v>5062</v>
      </c>
      <c r="L1705" s="3">
        <v>-172474.02</v>
      </c>
      <c r="M1705" s="3">
        <v>0</v>
      </c>
      <c r="N1705">
        <v>4449.6000000000004</v>
      </c>
      <c r="O1705">
        <v>-1112400</v>
      </c>
      <c r="P1705">
        <v>-176923.62</v>
      </c>
      <c r="Q1705" t="s">
        <v>30</v>
      </c>
      <c r="R1705" t="s">
        <v>488</v>
      </c>
      <c r="S1705" t="str">
        <v>#N/A</v>
      </c>
      <c r="T1705" t="str">
        <v>#N/A</v>
      </c>
    </row>
    <row r="1706" spans="1:20" ht="13.7" customHeight="1" x14ac:dyDescent="0.25">
      <c r="A1706" t="s">
        <v>320</v>
      </c>
      <c r="B1706" t="s">
        <v>321</v>
      </c>
      <c r="C1706" t="s">
        <v>142</v>
      </c>
      <c r="D1706">
        <v>505</v>
      </c>
      <c r="E1706" s="5">
        <v>43742</v>
      </c>
      <c r="F1706">
        <v>23657501</v>
      </c>
      <c r="G1706" t="s">
        <v>647</v>
      </c>
      <c r="H1706" t="s">
        <v>1127</v>
      </c>
      <c r="I1706" t="s">
        <v>1128</v>
      </c>
      <c r="J1706">
        <v>1001</v>
      </c>
      <c r="K1706">
        <v>5062</v>
      </c>
      <c r="L1706" s="3">
        <v>-176923.62</v>
      </c>
      <c r="M1706" s="3">
        <v>0</v>
      </c>
      <c r="N1706">
        <v>1600</v>
      </c>
      <c r="O1706">
        <v>-400000</v>
      </c>
      <c r="P1706">
        <v>-178523.62</v>
      </c>
      <c r="Q1706" t="s">
        <v>30</v>
      </c>
      <c r="R1706" t="s">
        <v>490</v>
      </c>
      <c r="S1706" t="str">
        <v>#N/A</v>
      </c>
      <c r="T1706" t="str">
        <v>#N/A</v>
      </c>
    </row>
    <row r="1707" spans="1:20" ht="13.7" customHeight="1" x14ac:dyDescent="0.25">
      <c r="A1707" t="s">
        <v>320</v>
      </c>
      <c r="B1707" t="s">
        <v>321</v>
      </c>
      <c r="C1707" t="s">
        <v>142</v>
      </c>
      <c r="D1707">
        <v>509</v>
      </c>
      <c r="E1707" s="5">
        <v>43749</v>
      </c>
      <c r="F1707">
        <v>23657501</v>
      </c>
      <c r="G1707" t="s">
        <v>647</v>
      </c>
      <c r="H1707" t="s">
        <v>1127</v>
      </c>
      <c r="I1707" t="s">
        <v>1128</v>
      </c>
      <c r="J1707">
        <v>1001</v>
      </c>
      <c r="K1707">
        <v>5062</v>
      </c>
      <c r="L1707" s="3">
        <v>-178523.62</v>
      </c>
      <c r="M1707" s="3">
        <v>0</v>
      </c>
      <c r="N1707">
        <v>1015.2</v>
      </c>
      <c r="O1707">
        <v>-253800</v>
      </c>
      <c r="P1707">
        <v>-179538.82</v>
      </c>
      <c r="Q1707" t="s">
        <v>30</v>
      </c>
      <c r="R1707" t="s">
        <v>494</v>
      </c>
      <c r="S1707" t="str">
        <v>#N/A</v>
      </c>
      <c r="T1707" t="str">
        <v>#N/A</v>
      </c>
    </row>
    <row r="1708" spans="1:20" ht="13.7" customHeight="1" x14ac:dyDescent="0.25">
      <c r="A1708" t="s">
        <v>320</v>
      </c>
      <c r="B1708" t="s">
        <v>321</v>
      </c>
      <c r="C1708" t="s">
        <v>142</v>
      </c>
      <c r="D1708">
        <v>512</v>
      </c>
      <c r="E1708" s="5">
        <v>43755</v>
      </c>
      <c r="F1708">
        <v>23657501</v>
      </c>
      <c r="G1708" t="s">
        <v>647</v>
      </c>
      <c r="H1708" t="s">
        <v>1127</v>
      </c>
      <c r="I1708" t="s">
        <v>1128</v>
      </c>
      <c r="J1708">
        <v>1001</v>
      </c>
      <c r="K1708">
        <v>5062</v>
      </c>
      <c r="L1708" s="3">
        <v>-179538.82</v>
      </c>
      <c r="M1708" s="3">
        <v>0</v>
      </c>
      <c r="N1708">
        <v>528</v>
      </c>
      <c r="O1708">
        <v>-132000</v>
      </c>
      <c r="P1708">
        <v>-180066.82</v>
      </c>
      <c r="Q1708" t="s">
        <v>30</v>
      </c>
      <c r="R1708" t="s">
        <v>497</v>
      </c>
      <c r="S1708" t="str">
        <v>#N/A</v>
      </c>
      <c r="T1708" t="str">
        <v>#N/A</v>
      </c>
    </row>
    <row r="1709" spans="1:20" ht="13.7" customHeight="1" x14ac:dyDescent="0.25">
      <c r="A1709" t="s">
        <v>320</v>
      </c>
      <c r="B1709" t="s">
        <v>321</v>
      </c>
      <c r="C1709" t="s">
        <v>142</v>
      </c>
      <c r="D1709">
        <v>526</v>
      </c>
      <c r="E1709" s="5">
        <v>43774</v>
      </c>
      <c r="F1709">
        <v>23657501</v>
      </c>
      <c r="G1709" t="s">
        <v>647</v>
      </c>
      <c r="H1709" t="s">
        <v>1127</v>
      </c>
      <c r="I1709" t="s">
        <v>1128</v>
      </c>
      <c r="J1709">
        <v>1001</v>
      </c>
      <c r="K1709">
        <v>5062</v>
      </c>
      <c r="L1709" s="3">
        <v>-180066.82</v>
      </c>
      <c r="M1709" s="3">
        <v>0</v>
      </c>
      <c r="N1709">
        <v>2100</v>
      </c>
      <c r="O1709">
        <v>-525000</v>
      </c>
      <c r="P1709">
        <v>-182166.82</v>
      </c>
      <c r="Q1709" t="s">
        <v>30</v>
      </c>
      <c r="R1709" t="s">
        <v>508</v>
      </c>
      <c r="S1709" t="str">
        <v>#N/A</v>
      </c>
      <c r="T1709" t="str">
        <v>#N/A</v>
      </c>
    </row>
    <row r="1710" spans="1:20" ht="13.7" customHeight="1" x14ac:dyDescent="0.25">
      <c r="A1710" t="s">
        <v>320</v>
      </c>
      <c r="B1710" t="s">
        <v>321</v>
      </c>
      <c r="C1710" t="s">
        <v>142</v>
      </c>
      <c r="D1710">
        <v>528</v>
      </c>
      <c r="E1710" s="5">
        <v>43783</v>
      </c>
      <c r="F1710">
        <v>23657501</v>
      </c>
      <c r="G1710" t="s">
        <v>647</v>
      </c>
      <c r="H1710" t="s">
        <v>1127</v>
      </c>
      <c r="I1710" t="s">
        <v>1128</v>
      </c>
      <c r="J1710">
        <v>1001</v>
      </c>
      <c r="K1710">
        <v>5062</v>
      </c>
      <c r="L1710" s="3">
        <v>-182166.82</v>
      </c>
      <c r="M1710" s="3">
        <v>0</v>
      </c>
      <c r="N1710">
        <v>520.79999999999995</v>
      </c>
      <c r="O1710">
        <v>-130200</v>
      </c>
      <c r="P1710">
        <v>-182687.62</v>
      </c>
      <c r="Q1710" t="s">
        <v>30</v>
      </c>
      <c r="R1710" t="s">
        <v>510</v>
      </c>
      <c r="S1710" t="str">
        <v>#N/A</v>
      </c>
      <c r="T1710" t="str">
        <v>#N/A</v>
      </c>
    </row>
    <row r="1711" spans="1:20" ht="13.7" customHeight="1" x14ac:dyDescent="0.25">
      <c r="E1711" s="5">
        <v>43465</v>
      </c>
      <c r="F1711">
        <v>23657501</v>
      </c>
      <c r="G1711" t="s">
        <v>647</v>
      </c>
      <c r="H1711" t="s">
        <v>1135</v>
      </c>
      <c r="I1711" t="s">
        <v>1136</v>
      </c>
      <c r="J1711">
        <v>0</v>
      </c>
      <c r="K1711">
        <v>0</v>
      </c>
      <c r="L1711" s="3">
        <v>-13472.6</v>
      </c>
      <c r="M1711" s="3">
        <v>0</v>
      </c>
      <c r="N1711">
        <v>0</v>
      </c>
      <c r="O1711">
        <v>-3368150</v>
      </c>
      <c r="P1711">
        <v>-13472.6</v>
      </c>
      <c r="R1711" t="s">
        <v>1100</v>
      </c>
      <c r="S1711" t="str">
        <v>#N/A</v>
      </c>
      <c r="T1711" t="str">
        <v>#N/A</v>
      </c>
    </row>
    <row r="1712" spans="1:20" ht="13.7" customHeight="1" x14ac:dyDescent="0.25">
      <c r="A1712" t="s">
        <v>320</v>
      </c>
      <c r="B1712" t="s">
        <v>321</v>
      </c>
      <c r="C1712" t="s">
        <v>142</v>
      </c>
      <c r="D1712">
        <v>385</v>
      </c>
      <c r="E1712" s="5">
        <v>43543</v>
      </c>
      <c r="F1712">
        <v>23657501</v>
      </c>
      <c r="G1712" t="s">
        <v>647</v>
      </c>
      <c r="H1712" t="s">
        <v>1135</v>
      </c>
      <c r="I1712" t="s">
        <v>1136</v>
      </c>
      <c r="J1712">
        <v>1001</v>
      </c>
      <c r="K1712">
        <v>5062</v>
      </c>
      <c r="L1712" s="3">
        <v>-13472.6</v>
      </c>
      <c r="M1712" s="3">
        <v>0</v>
      </c>
      <c r="N1712">
        <v>8730.1560000000009</v>
      </c>
      <c r="O1712">
        <v>-2182539</v>
      </c>
      <c r="P1712">
        <v>-22202.756000000001</v>
      </c>
      <c r="Q1712" t="s">
        <v>30</v>
      </c>
      <c r="R1712" t="s">
        <v>407</v>
      </c>
      <c r="S1712" t="str">
        <v>#N/A</v>
      </c>
      <c r="T1712" t="str">
        <v>#N/A</v>
      </c>
    </row>
    <row r="1713" spans="1:20" ht="13.7" customHeight="1" x14ac:dyDescent="0.25">
      <c r="A1713" t="s">
        <v>320</v>
      </c>
      <c r="B1713" t="s">
        <v>321</v>
      </c>
      <c r="C1713" t="s">
        <v>142</v>
      </c>
      <c r="D1713">
        <v>398</v>
      </c>
      <c r="E1713" s="5">
        <v>43556</v>
      </c>
      <c r="F1713">
        <v>23657501</v>
      </c>
      <c r="G1713" t="s">
        <v>647</v>
      </c>
      <c r="H1713" t="s">
        <v>1135</v>
      </c>
      <c r="I1713" t="s">
        <v>1136</v>
      </c>
      <c r="J1713">
        <v>1001</v>
      </c>
      <c r="K1713">
        <v>5062</v>
      </c>
      <c r="L1713" s="3">
        <v>-22202.756000000001</v>
      </c>
      <c r="M1713" s="3">
        <v>0</v>
      </c>
      <c r="N1713">
        <v>8595.5400000000009</v>
      </c>
      <c r="O1713">
        <v>-2148885</v>
      </c>
      <c r="P1713">
        <v>-30798.295999999998</v>
      </c>
      <c r="Q1713" t="s">
        <v>30</v>
      </c>
      <c r="R1713" t="s">
        <v>422</v>
      </c>
      <c r="S1713" t="str">
        <v>#N/A</v>
      </c>
      <c r="T1713" t="str">
        <v>#N/A</v>
      </c>
    </row>
    <row r="1714" spans="1:20" ht="13.7" customHeight="1" x14ac:dyDescent="0.25">
      <c r="E1714" s="5">
        <v>43465</v>
      </c>
      <c r="F1714">
        <v>23657501</v>
      </c>
      <c r="G1714" t="s">
        <v>647</v>
      </c>
      <c r="H1714" t="s">
        <v>1103</v>
      </c>
      <c r="I1714" t="s">
        <v>1104</v>
      </c>
      <c r="J1714">
        <v>0</v>
      </c>
      <c r="K1714">
        <v>0</v>
      </c>
      <c r="L1714" s="3">
        <v>0</v>
      </c>
      <c r="M1714" s="3">
        <v>0</v>
      </c>
      <c r="N1714">
        <v>0</v>
      </c>
      <c r="O1714">
        <v>0</v>
      </c>
      <c r="P1714">
        <v>0</v>
      </c>
      <c r="R1714" t="s">
        <v>1100</v>
      </c>
      <c r="S1714" t="str">
        <v>#N/A</v>
      </c>
      <c r="T1714" t="str">
        <v>31</v>
      </c>
    </row>
    <row r="1715" spans="1:20" ht="13.7" customHeight="1" x14ac:dyDescent="0.25">
      <c r="A1715" t="s">
        <v>320</v>
      </c>
      <c r="B1715" t="s">
        <v>321</v>
      </c>
      <c r="C1715" t="s">
        <v>142</v>
      </c>
      <c r="D1715">
        <v>491</v>
      </c>
      <c r="E1715" s="5">
        <v>43720</v>
      </c>
      <c r="F1715">
        <v>23657501</v>
      </c>
      <c r="G1715" t="s">
        <v>647</v>
      </c>
      <c r="H1715" t="s">
        <v>1103</v>
      </c>
      <c r="I1715" t="s">
        <v>1104</v>
      </c>
      <c r="J1715">
        <v>1001</v>
      </c>
      <c r="K1715">
        <v>5062</v>
      </c>
      <c r="L1715" s="3">
        <v>0</v>
      </c>
      <c r="M1715" s="3">
        <v>0</v>
      </c>
      <c r="N1715">
        <v>8216.268</v>
      </c>
      <c r="O1715">
        <v>-2054067</v>
      </c>
      <c r="P1715">
        <v>-8216.268</v>
      </c>
      <c r="Q1715" t="s">
        <v>30</v>
      </c>
      <c r="R1715" t="s">
        <v>477</v>
      </c>
      <c r="S1715" t="str">
        <v>#N/A</v>
      </c>
      <c r="T1715" t="str">
        <v>31</v>
      </c>
    </row>
    <row r="1716" spans="1:20" ht="13.7" customHeight="1" x14ac:dyDescent="0.25">
      <c r="E1716" s="5">
        <v>43465</v>
      </c>
      <c r="F1716">
        <v>23657501</v>
      </c>
      <c r="G1716" t="s">
        <v>647</v>
      </c>
      <c r="H1716" t="s">
        <v>1129</v>
      </c>
      <c r="I1716" t="s">
        <v>1130</v>
      </c>
      <c r="J1716">
        <v>0</v>
      </c>
      <c r="K1716">
        <v>0</v>
      </c>
      <c r="L1716" s="3">
        <v>-244036.72</v>
      </c>
      <c r="M1716" s="3">
        <v>0</v>
      </c>
      <c r="N1716">
        <v>0</v>
      </c>
      <c r="O1716">
        <v>-61009180</v>
      </c>
      <c r="P1716">
        <v>-244036.72</v>
      </c>
      <c r="R1716" t="s">
        <v>1100</v>
      </c>
      <c r="S1716" t="str">
        <v>#N/A</v>
      </c>
      <c r="T1716" t="str">
        <v>#N/A</v>
      </c>
    </row>
    <row r="1717" spans="1:20" ht="13.7" customHeight="1" x14ac:dyDescent="0.25">
      <c r="A1717" t="s">
        <v>320</v>
      </c>
      <c r="B1717" t="s">
        <v>321</v>
      </c>
      <c r="C1717" t="s">
        <v>142</v>
      </c>
      <c r="D1717">
        <v>336</v>
      </c>
      <c r="E1717" s="5">
        <v>43466</v>
      </c>
      <c r="F1717">
        <v>23657501</v>
      </c>
      <c r="G1717" t="s">
        <v>647</v>
      </c>
      <c r="H1717" t="s">
        <v>1129</v>
      </c>
      <c r="I1717" t="s">
        <v>1130</v>
      </c>
      <c r="J1717">
        <v>1001</v>
      </c>
      <c r="K1717">
        <v>5062</v>
      </c>
      <c r="L1717" s="3">
        <v>-244036.72</v>
      </c>
      <c r="M1717" s="3">
        <v>0</v>
      </c>
      <c r="N1717">
        <v>28000</v>
      </c>
      <c r="O1717">
        <v>-7000000</v>
      </c>
      <c r="P1717">
        <v>-272036.71999999997</v>
      </c>
      <c r="Q1717" t="s">
        <v>30</v>
      </c>
      <c r="R1717" t="s">
        <v>656</v>
      </c>
      <c r="S1717" t="str">
        <v>#N/A</v>
      </c>
      <c r="T1717" t="str">
        <v>#N/A</v>
      </c>
    </row>
    <row r="1718" spans="1:20" ht="13.7" customHeight="1" x14ac:dyDescent="0.25">
      <c r="A1718" t="s">
        <v>320</v>
      </c>
      <c r="B1718" t="s">
        <v>321</v>
      </c>
      <c r="C1718" t="s">
        <v>142</v>
      </c>
      <c r="D1718">
        <v>338</v>
      </c>
      <c r="E1718" s="5">
        <v>43482</v>
      </c>
      <c r="F1718">
        <v>23657501</v>
      </c>
      <c r="G1718" t="s">
        <v>647</v>
      </c>
      <c r="H1718" t="s">
        <v>1129</v>
      </c>
      <c r="I1718" t="s">
        <v>1130</v>
      </c>
      <c r="J1718">
        <v>1001</v>
      </c>
      <c r="K1718">
        <v>5062</v>
      </c>
      <c r="L1718" s="3">
        <v>-272036.71999999997</v>
      </c>
      <c r="M1718" s="3">
        <v>0</v>
      </c>
      <c r="N1718">
        <v>15803.04</v>
      </c>
      <c r="O1718">
        <v>-3950760</v>
      </c>
      <c r="P1718">
        <v>-287839.76</v>
      </c>
      <c r="Q1718" t="s">
        <v>30</v>
      </c>
      <c r="R1718" t="s">
        <v>622</v>
      </c>
      <c r="S1718" t="str">
        <v>#N/A</v>
      </c>
      <c r="T1718" t="str">
        <v>#N/A</v>
      </c>
    </row>
    <row r="1719" spans="1:20" ht="13.7" customHeight="1" x14ac:dyDescent="0.25">
      <c r="A1719" t="s">
        <v>320</v>
      </c>
      <c r="B1719" t="s">
        <v>321</v>
      </c>
      <c r="C1719" t="s">
        <v>142</v>
      </c>
      <c r="D1719">
        <v>344</v>
      </c>
      <c r="E1719" s="5">
        <v>43487</v>
      </c>
      <c r="F1719">
        <v>23657501</v>
      </c>
      <c r="G1719" t="s">
        <v>647</v>
      </c>
      <c r="H1719" t="s">
        <v>1129</v>
      </c>
      <c r="I1719" t="s">
        <v>1130</v>
      </c>
      <c r="J1719">
        <v>1001</v>
      </c>
      <c r="K1719">
        <v>5062</v>
      </c>
      <c r="L1719" s="3">
        <v>-287839.76</v>
      </c>
      <c r="M1719" s="3">
        <v>0</v>
      </c>
      <c r="N1719">
        <v>2980.96</v>
      </c>
      <c r="O1719">
        <v>-745240</v>
      </c>
      <c r="P1719">
        <v>-290820.71999999997</v>
      </c>
      <c r="Q1719" t="s">
        <v>30</v>
      </c>
      <c r="R1719" t="s">
        <v>663</v>
      </c>
      <c r="S1719" t="str">
        <v>#N/A</v>
      </c>
      <c r="T1719" t="str">
        <v>#N/A</v>
      </c>
    </row>
    <row r="1720" spans="1:20" ht="13.7" customHeight="1" x14ac:dyDescent="0.25">
      <c r="A1720" t="s">
        <v>320</v>
      </c>
      <c r="B1720" t="s">
        <v>321</v>
      </c>
      <c r="C1720" t="s">
        <v>142</v>
      </c>
      <c r="D1720">
        <v>360</v>
      </c>
      <c r="E1720" s="5">
        <v>43507</v>
      </c>
      <c r="F1720">
        <v>23657501</v>
      </c>
      <c r="G1720" t="s">
        <v>647</v>
      </c>
      <c r="H1720" t="s">
        <v>1129</v>
      </c>
      <c r="I1720" t="s">
        <v>1130</v>
      </c>
      <c r="J1720">
        <v>1001</v>
      </c>
      <c r="K1720">
        <v>5062</v>
      </c>
      <c r="L1720" s="3">
        <v>-290820.71999999997</v>
      </c>
      <c r="M1720" s="3">
        <v>0</v>
      </c>
      <c r="N1720">
        <v>45560</v>
      </c>
      <c r="O1720">
        <v>-11390000</v>
      </c>
      <c r="P1720">
        <v>-336380.72</v>
      </c>
      <c r="Q1720" t="s">
        <v>30</v>
      </c>
      <c r="R1720" t="s">
        <v>675</v>
      </c>
      <c r="S1720" t="str">
        <v>#N/A</v>
      </c>
      <c r="T1720" t="str">
        <v>#N/A</v>
      </c>
    </row>
    <row r="1721" spans="1:20" ht="13.7" customHeight="1" x14ac:dyDescent="0.25">
      <c r="A1721" t="s">
        <v>320</v>
      </c>
      <c r="B1721" t="s">
        <v>321</v>
      </c>
      <c r="C1721" t="s">
        <v>142</v>
      </c>
      <c r="D1721">
        <v>363</v>
      </c>
      <c r="E1721" s="5">
        <v>43508</v>
      </c>
      <c r="F1721">
        <v>23657501</v>
      </c>
      <c r="G1721" t="s">
        <v>647</v>
      </c>
      <c r="H1721" t="s">
        <v>1129</v>
      </c>
      <c r="I1721" t="s">
        <v>1130</v>
      </c>
      <c r="J1721">
        <v>1001</v>
      </c>
      <c r="K1721">
        <v>5062</v>
      </c>
      <c r="L1721" s="3">
        <v>-336380.72</v>
      </c>
      <c r="M1721" s="3">
        <v>0</v>
      </c>
      <c r="N1721">
        <v>4040.16</v>
      </c>
      <c r="O1721">
        <v>-1010040</v>
      </c>
      <c r="P1721">
        <v>-340420.88</v>
      </c>
      <c r="Q1721" t="s">
        <v>30</v>
      </c>
      <c r="R1721" t="s">
        <v>678</v>
      </c>
      <c r="S1721" t="str">
        <v>#N/A</v>
      </c>
      <c r="T1721" t="str">
        <v>#N/A</v>
      </c>
    </row>
    <row r="1722" spans="1:20" ht="13.7" customHeight="1" x14ac:dyDescent="0.25">
      <c r="A1722" t="s">
        <v>320</v>
      </c>
      <c r="B1722" t="s">
        <v>321</v>
      </c>
      <c r="C1722" t="s">
        <v>142</v>
      </c>
      <c r="D1722">
        <v>364</v>
      </c>
      <c r="E1722" s="5">
        <v>43511</v>
      </c>
      <c r="F1722">
        <v>23657501</v>
      </c>
      <c r="G1722" t="s">
        <v>647</v>
      </c>
      <c r="H1722" t="s">
        <v>1129</v>
      </c>
      <c r="I1722" t="s">
        <v>1130</v>
      </c>
      <c r="J1722">
        <v>1001</v>
      </c>
      <c r="K1722">
        <v>5062</v>
      </c>
      <c r="L1722" s="3">
        <v>-340420.88</v>
      </c>
      <c r="M1722" s="3">
        <v>0</v>
      </c>
      <c r="N1722">
        <v>5920</v>
      </c>
      <c r="O1722">
        <v>-1480000</v>
      </c>
      <c r="P1722">
        <v>-346340.88</v>
      </c>
      <c r="Q1722" t="s">
        <v>30</v>
      </c>
      <c r="R1722" t="s">
        <v>679</v>
      </c>
      <c r="S1722" t="str">
        <v>#N/A</v>
      </c>
      <c r="T1722" t="str">
        <v>#N/A</v>
      </c>
    </row>
    <row r="1723" spans="1:20" ht="13.7" customHeight="1" x14ac:dyDescent="0.25">
      <c r="A1723" t="s">
        <v>320</v>
      </c>
      <c r="B1723" t="s">
        <v>321</v>
      </c>
      <c r="C1723" t="s">
        <v>142</v>
      </c>
      <c r="D1723">
        <v>401</v>
      </c>
      <c r="E1723" s="5">
        <v>43559</v>
      </c>
      <c r="F1723">
        <v>23657501</v>
      </c>
      <c r="G1723" t="s">
        <v>647</v>
      </c>
      <c r="H1723" t="s">
        <v>1129</v>
      </c>
      <c r="I1723" t="s">
        <v>1130</v>
      </c>
      <c r="J1723">
        <v>1001</v>
      </c>
      <c r="K1723">
        <v>5062</v>
      </c>
      <c r="L1723" s="3">
        <v>-346340.88</v>
      </c>
      <c r="M1723" s="3">
        <v>0</v>
      </c>
      <c r="N1723">
        <v>992</v>
      </c>
      <c r="O1723">
        <v>-248000</v>
      </c>
      <c r="P1723">
        <v>-347332.88</v>
      </c>
      <c r="Q1723" t="s">
        <v>30</v>
      </c>
      <c r="R1723" t="s">
        <v>424</v>
      </c>
      <c r="S1723" t="str">
        <v>#N/A</v>
      </c>
      <c r="T1723" t="str">
        <v>#N/A</v>
      </c>
    </row>
    <row r="1724" spans="1:20" ht="13.7" customHeight="1" x14ac:dyDescent="0.25">
      <c r="A1724" t="s">
        <v>320</v>
      </c>
      <c r="B1724" t="s">
        <v>321</v>
      </c>
      <c r="C1724" t="s">
        <v>142</v>
      </c>
      <c r="D1724">
        <v>406</v>
      </c>
      <c r="E1724" s="5">
        <v>43565</v>
      </c>
      <c r="F1724">
        <v>23657501</v>
      </c>
      <c r="G1724" t="s">
        <v>647</v>
      </c>
      <c r="H1724" t="s">
        <v>1129</v>
      </c>
      <c r="I1724" t="s">
        <v>1130</v>
      </c>
      <c r="J1724">
        <v>1001</v>
      </c>
      <c r="K1724">
        <v>5062</v>
      </c>
      <c r="L1724" s="3">
        <v>-347332.88</v>
      </c>
      <c r="M1724" s="3">
        <v>0</v>
      </c>
      <c r="N1724">
        <v>46404</v>
      </c>
      <c r="O1724">
        <v>-11601000</v>
      </c>
      <c r="P1724">
        <v>-393736.88</v>
      </c>
      <c r="Q1724" t="s">
        <v>30</v>
      </c>
      <c r="R1724" t="s">
        <v>427</v>
      </c>
      <c r="S1724" t="str">
        <v>#N/A</v>
      </c>
      <c r="T1724" t="str">
        <v>#N/A</v>
      </c>
    </row>
    <row r="1725" spans="1:20" ht="13.7" customHeight="1" x14ac:dyDescent="0.25">
      <c r="A1725" t="s">
        <v>320</v>
      </c>
      <c r="B1725" t="s">
        <v>321</v>
      </c>
      <c r="C1725" t="s">
        <v>142</v>
      </c>
      <c r="D1725">
        <v>414</v>
      </c>
      <c r="E1725" s="5">
        <v>43577</v>
      </c>
      <c r="F1725">
        <v>23657501</v>
      </c>
      <c r="G1725" t="s">
        <v>647</v>
      </c>
      <c r="H1725" t="s">
        <v>1129</v>
      </c>
      <c r="I1725" t="s">
        <v>1130</v>
      </c>
      <c r="J1725">
        <v>1001</v>
      </c>
      <c r="K1725">
        <v>5062</v>
      </c>
      <c r="L1725" s="3">
        <v>-393736.88</v>
      </c>
      <c r="M1725" s="3">
        <v>0</v>
      </c>
      <c r="N1725">
        <v>1344</v>
      </c>
      <c r="O1725">
        <v>-336000</v>
      </c>
      <c r="P1725">
        <v>-395080.88</v>
      </c>
      <c r="Q1725" t="s">
        <v>30</v>
      </c>
      <c r="R1725" t="s">
        <v>433</v>
      </c>
      <c r="S1725" t="str">
        <v>#N/A</v>
      </c>
      <c r="T1725" t="str">
        <v>#N/A</v>
      </c>
    </row>
    <row r="1726" spans="1:20" ht="13.7" customHeight="1" x14ac:dyDescent="0.25">
      <c r="A1726" t="s">
        <v>320</v>
      </c>
      <c r="B1726" t="s">
        <v>321</v>
      </c>
      <c r="C1726" t="s">
        <v>142</v>
      </c>
      <c r="D1726">
        <v>415</v>
      </c>
      <c r="E1726" s="5">
        <v>43577</v>
      </c>
      <c r="F1726">
        <v>23657501</v>
      </c>
      <c r="G1726" t="s">
        <v>647</v>
      </c>
      <c r="H1726" t="s">
        <v>1129</v>
      </c>
      <c r="I1726" t="s">
        <v>1130</v>
      </c>
      <c r="J1726">
        <v>1001</v>
      </c>
      <c r="K1726">
        <v>5062</v>
      </c>
      <c r="L1726" s="3">
        <v>-395080.88</v>
      </c>
      <c r="M1726" s="3">
        <v>0</v>
      </c>
      <c r="N1726">
        <v>589.6</v>
      </c>
      <c r="O1726">
        <v>-147400</v>
      </c>
      <c r="P1726">
        <v>-395670.48</v>
      </c>
      <c r="Q1726" t="s">
        <v>30</v>
      </c>
      <c r="R1726" t="s">
        <v>434</v>
      </c>
      <c r="S1726" t="str">
        <v>#N/A</v>
      </c>
      <c r="T1726" t="str">
        <v>#N/A</v>
      </c>
    </row>
    <row r="1727" spans="1:20" ht="13.7" customHeight="1" x14ac:dyDescent="0.25">
      <c r="A1727" t="s">
        <v>320</v>
      </c>
      <c r="B1727" t="s">
        <v>321</v>
      </c>
      <c r="C1727" t="s">
        <v>142</v>
      </c>
      <c r="D1727">
        <v>416</v>
      </c>
      <c r="E1727" s="5">
        <v>43577</v>
      </c>
      <c r="F1727">
        <v>23657501</v>
      </c>
      <c r="G1727" t="s">
        <v>647</v>
      </c>
      <c r="H1727" t="s">
        <v>1129</v>
      </c>
      <c r="I1727" t="s">
        <v>1130</v>
      </c>
      <c r="J1727">
        <v>1001</v>
      </c>
      <c r="K1727">
        <v>5062</v>
      </c>
      <c r="L1727" s="3">
        <v>-395670.48</v>
      </c>
      <c r="M1727" s="3">
        <v>0</v>
      </c>
      <c r="N1727">
        <v>6660</v>
      </c>
      <c r="O1727">
        <v>-1665000</v>
      </c>
      <c r="P1727">
        <v>-402330.48</v>
      </c>
      <c r="Q1727" t="s">
        <v>30</v>
      </c>
      <c r="R1727" t="s">
        <v>435</v>
      </c>
      <c r="S1727" t="str">
        <v>#N/A</v>
      </c>
      <c r="T1727" t="str">
        <v>#N/A</v>
      </c>
    </row>
    <row r="1728" spans="1:20" ht="13.7" customHeight="1" x14ac:dyDescent="0.25">
      <c r="A1728" t="s">
        <v>320</v>
      </c>
      <c r="B1728" t="s">
        <v>321</v>
      </c>
      <c r="C1728" t="s">
        <v>142</v>
      </c>
      <c r="D1728">
        <v>417</v>
      </c>
      <c r="E1728" s="5">
        <v>43577</v>
      </c>
      <c r="F1728">
        <v>23657501</v>
      </c>
      <c r="G1728" t="s">
        <v>647</v>
      </c>
      <c r="H1728" t="s">
        <v>1129</v>
      </c>
      <c r="I1728" t="s">
        <v>1130</v>
      </c>
      <c r="J1728">
        <v>1001</v>
      </c>
      <c r="K1728">
        <v>5062</v>
      </c>
      <c r="L1728" s="3">
        <v>-402330.48</v>
      </c>
      <c r="M1728" s="3">
        <v>0</v>
      </c>
      <c r="N1728">
        <v>2812</v>
      </c>
      <c r="O1728">
        <v>-703000</v>
      </c>
      <c r="P1728">
        <v>-405142.48</v>
      </c>
      <c r="Q1728" t="s">
        <v>30</v>
      </c>
      <c r="R1728" t="s">
        <v>436</v>
      </c>
      <c r="S1728" t="str">
        <v>#N/A</v>
      </c>
      <c r="T1728" t="str">
        <v>#N/A</v>
      </c>
    </row>
    <row r="1729" spans="1:20" ht="13.7" customHeight="1" x14ac:dyDescent="0.25">
      <c r="A1729" t="s">
        <v>320</v>
      </c>
      <c r="B1729" t="s">
        <v>321</v>
      </c>
      <c r="C1729" t="s">
        <v>142</v>
      </c>
      <c r="D1729">
        <v>434</v>
      </c>
      <c r="E1729" s="5">
        <v>43593</v>
      </c>
      <c r="F1729">
        <v>23657501</v>
      </c>
      <c r="G1729" t="s">
        <v>647</v>
      </c>
      <c r="H1729" t="s">
        <v>1129</v>
      </c>
      <c r="I1729" t="s">
        <v>1130</v>
      </c>
      <c r="J1729">
        <v>1001</v>
      </c>
      <c r="K1729">
        <v>5062</v>
      </c>
      <c r="L1729" s="3">
        <v>-405142.48</v>
      </c>
      <c r="M1729" s="3">
        <v>0</v>
      </c>
      <c r="N1729">
        <v>45600</v>
      </c>
      <c r="O1729">
        <v>-11400000</v>
      </c>
      <c r="P1729">
        <v>-450742.48</v>
      </c>
      <c r="Q1729" t="s">
        <v>30</v>
      </c>
      <c r="R1729" t="s">
        <v>445</v>
      </c>
      <c r="S1729" t="str">
        <v>#N/A</v>
      </c>
      <c r="T1729" t="str">
        <v>#N/A</v>
      </c>
    </row>
    <row r="1730" spans="1:20" ht="13.7" customHeight="1" x14ac:dyDescent="0.25">
      <c r="A1730" t="s">
        <v>320</v>
      </c>
      <c r="B1730" t="s">
        <v>321</v>
      </c>
      <c r="C1730" t="s">
        <v>142</v>
      </c>
      <c r="D1730">
        <v>441</v>
      </c>
      <c r="E1730" s="5">
        <v>43612</v>
      </c>
      <c r="F1730">
        <v>23657501</v>
      </c>
      <c r="G1730" t="s">
        <v>647</v>
      </c>
      <c r="H1730" t="s">
        <v>1129</v>
      </c>
      <c r="I1730" t="s">
        <v>1130</v>
      </c>
      <c r="J1730">
        <v>1001</v>
      </c>
      <c r="K1730">
        <v>5062</v>
      </c>
      <c r="L1730" s="3">
        <v>-450742.48</v>
      </c>
      <c r="M1730" s="3">
        <v>0</v>
      </c>
      <c r="N1730">
        <v>5920</v>
      </c>
      <c r="O1730">
        <v>-1480000</v>
      </c>
      <c r="P1730">
        <v>-456662.48</v>
      </c>
      <c r="Q1730" t="s">
        <v>30</v>
      </c>
      <c r="R1730" t="s">
        <v>454</v>
      </c>
      <c r="S1730" t="str">
        <v>#N/A</v>
      </c>
      <c r="T1730" t="str">
        <v>#N/A</v>
      </c>
    </row>
    <row r="1731" spans="1:20" ht="13.7" customHeight="1" x14ac:dyDescent="0.25">
      <c r="A1731" t="s">
        <v>320</v>
      </c>
      <c r="B1731" t="s">
        <v>321</v>
      </c>
      <c r="C1731" t="s">
        <v>142</v>
      </c>
      <c r="D1731">
        <v>445</v>
      </c>
      <c r="E1731" s="5">
        <v>43617</v>
      </c>
      <c r="F1731">
        <v>23657501</v>
      </c>
      <c r="G1731" t="s">
        <v>647</v>
      </c>
      <c r="H1731" t="s">
        <v>1129</v>
      </c>
      <c r="I1731" t="s">
        <v>1130</v>
      </c>
      <c r="J1731">
        <v>1001</v>
      </c>
      <c r="K1731">
        <v>5062</v>
      </c>
      <c r="L1731" s="3">
        <v>-456662.48</v>
      </c>
      <c r="M1731" s="3">
        <v>0</v>
      </c>
      <c r="N1731">
        <v>11840</v>
      </c>
      <c r="O1731">
        <v>-2960000</v>
      </c>
      <c r="P1731">
        <v>-468502.48</v>
      </c>
      <c r="Q1731" t="s">
        <v>30</v>
      </c>
      <c r="R1731" t="s">
        <v>456</v>
      </c>
      <c r="S1731" t="str">
        <v>#N/A</v>
      </c>
      <c r="T1731" t="str">
        <v>#N/A</v>
      </c>
    </row>
    <row r="1732" spans="1:20" ht="13.7" customHeight="1" x14ac:dyDescent="0.25">
      <c r="A1732" t="s">
        <v>320</v>
      </c>
      <c r="B1732" t="s">
        <v>321</v>
      </c>
      <c r="C1732" t="s">
        <v>142</v>
      </c>
      <c r="D1732">
        <v>446</v>
      </c>
      <c r="E1732" s="5">
        <v>43617</v>
      </c>
      <c r="F1732">
        <v>23657501</v>
      </c>
      <c r="G1732" t="s">
        <v>647</v>
      </c>
      <c r="H1732" t="s">
        <v>1129</v>
      </c>
      <c r="I1732" t="s">
        <v>1130</v>
      </c>
      <c r="J1732">
        <v>1001</v>
      </c>
      <c r="K1732">
        <v>5062</v>
      </c>
      <c r="L1732" s="3">
        <v>-468502.48</v>
      </c>
      <c r="M1732" s="3">
        <v>0</v>
      </c>
      <c r="N1732">
        <v>10988</v>
      </c>
      <c r="O1732">
        <v>-2747000</v>
      </c>
      <c r="P1732">
        <v>-479490.48</v>
      </c>
      <c r="Q1732" t="s">
        <v>30</v>
      </c>
      <c r="R1732" t="s">
        <v>457</v>
      </c>
      <c r="S1732" t="str">
        <v>#N/A</v>
      </c>
      <c r="T1732" t="str">
        <v>#N/A</v>
      </c>
    </row>
    <row r="1733" spans="1:20" ht="13.7" customHeight="1" x14ac:dyDescent="0.25">
      <c r="A1733" t="s">
        <v>320</v>
      </c>
      <c r="B1733" t="s">
        <v>321</v>
      </c>
      <c r="C1733" t="s">
        <v>142</v>
      </c>
      <c r="D1733">
        <v>489</v>
      </c>
      <c r="E1733" s="5">
        <v>43710</v>
      </c>
      <c r="F1733">
        <v>23657501</v>
      </c>
      <c r="G1733" t="s">
        <v>647</v>
      </c>
      <c r="H1733" t="s">
        <v>1129</v>
      </c>
      <c r="I1733" t="s">
        <v>1130</v>
      </c>
      <c r="J1733">
        <v>1001</v>
      </c>
      <c r="K1733">
        <v>5062</v>
      </c>
      <c r="L1733" s="3">
        <v>-479490.48</v>
      </c>
      <c r="M1733" s="3">
        <v>0</v>
      </c>
      <c r="N1733">
        <v>45600</v>
      </c>
      <c r="O1733">
        <v>-11400000</v>
      </c>
      <c r="P1733">
        <v>-525090.48</v>
      </c>
      <c r="Q1733" t="s">
        <v>30</v>
      </c>
      <c r="R1733" t="s">
        <v>475</v>
      </c>
      <c r="S1733" t="str">
        <v>#N/A</v>
      </c>
      <c r="T1733" t="str">
        <v>#N/A</v>
      </c>
    </row>
    <row r="1734" spans="1:20" ht="13.7" customHeight="1" x14ac:dyDescent="0.25">
      <c r="A1734" t="s">
        <v>320</v>
      </c>
      <c r="B1734" t="s">
        <v>321</v>
      </c>
      <c r="C1734" t="s">
        <v>142</v>
      </c>
      <c r="D1734">
        <v>506</v>
      </c>
      <c r="E1734" s="5">
        <v>43743</v>
      </c>
      <c r="F1734">
        <v>23657501</v>
      </c>
      <c r="G1734" t="s">
        <v>647</v>
      </c>
      <c r="H1734" t="s">
        <v>1129</v>
      </c>
      <c r="I1734" t="s">
        <v>1130</v>
      </c>
      <c r="J1734">
        <v>1001</v>
      </c>
      <c r="K1734">
        <v>5062</v>
      </c>
      <c r="L1734" s="3">
        <v>-525090.48</v>
      </c>
      <c r="M1734" s="3">
        <v>0</v>
      </c>
      <c r="N1734">
        <v>45600</v>
      </c>
      <c r="O1734">
        <v>-11400000</v>
      </c>
      <c r="P1734">
        <v>-570690.48</v>
      </c>
      <c r="Q1734" t="s">
        <v>30</v>
      </c>
      <c r="R1734" t="s">
        <v>632</v>
      </c>
      <c r="S1734" t="str">
        <v>#N/A</v>
      </c>
      <c r="T1734" t="str">
        <v>#N/A</v>
      </c>
    </row>
    <row r="1735" spans="1:20" ht="13.7" customHeight="1" x14ac:dyDescent="0.25">
      <c r="A1735" t="s">
        <v>320</v>
      </c>
      <c r="B1735" t="s">
        <v>321</v>
      </c>
      <c r="C1735" t="s">
        <v>142</v>
      </c>
      <c r="D1735">
        <v>525</v>
      </c>
      <c r="E1735" s="5">
        <v>43771</v>
      </c>
      <c r="F1735">
        <v>23657501</v>
      </c>
      <c r="G1735" t="s">
        <v>647</v>
      </c>
      <c r="H1735" t="s">
        <v>1129</v>
      </c>
      <c r="I1735" t="s">
        <v>1130</v>
      </c>
      <c r="J1735">
        <v>1001</v>
      </c>
      <c r="K1735">
        <v>5062</v>
      </c>
      <c r="L1735" s="3">
        <v>-570690.48</v>
      </c>
      <c r="M1735" s="3">
        <v>0</v>
      </c>
      <c r="N1735">
        <v>31120</v>
      </c>
      <c r="O1735">
        <v>-7780000</v>
      </c>
      <c r="P1735">
        <v>-601810.48</v>
      </c>
      <c r="Q1735" t="s">
        <v>30</v>
      </c>
      <c r="R1735" t="s">
        <v>507</v>
      </c>
      <c r="S1735" t="str">
        <v>#N/A</v>
      </c>
      <c r="T1735" t="str">
        <v>#N/A</v>
      </c>
    </row>
    <row r="1736" spans="1:20" ht="13.7" customHeight="1" x14ac:dyDescent="0.25">
      <c r="A1736" t="s">
        <v>320</v>
      </c>
      <c r="B1736" t="s">
        <v>321</v>
      </c>
      <c r="C1736" t="s">
        <v>142</v>
      </c>
      <c r="D1736">
        <v>534</v>
      </c>
      <c r="E1736" s="5">
        <v>43795</v>
      </c>
      <c r="F1736">
        <v>23657501</v>
      </c>
      <c r="G1736" t="s">
        <v>647</v>
      </c>
      <c r="H1736" t="s">
        <v>1129</v>
      </c>
      <c r="I1736" t="s">
        <v>1130</v>
      </c>
      <c r="J1736">
        <v>1001</v>
      </c>
      <c r="K1736">
        <v>5062</v>
      </c>
      <c r="L1736" s="3">
        <v>-601810.48</v>
      </c>
      <c r="M1736" s="3">
        <v>0</v>
      </c>
      <c r="N1736">
        <v>45600</v>
      </c>
      <c r="O1736">
        <v>-11400000</v>
      </c>
      <c r="P1736">
        <v>-647410.48</v>
      </c>
      <c r="Q1736" t="s">
        <v>30</v>
      </c>
      <c r="R1736" t="s">
        <v>516</v>
      </c>
      <c r="S1736" t="str">
        <v>#N/A</v>
      </c>
      <c r="T1736" t="str">
        <v>#N/A</v>
      </c>
    </row>
    <row r="1737" spans="1:20" ht="13.7" customHeight="1" x14ac:dyDescent="0.25">
      <c r="E1737" s="5">
        <v>43465</v>
      </c>
      <c r="F1737">
        <v>23657501</v>
      </c>
      <c r="G1737" t="s">
        <v>647</v>
      </c>
      <c r="H1737" t="s">
        <v>1139</v>
      </c>
      <c r="I1737" t="s">
        <v>1140</v>
      </c>
      <c r="J1737">
        <v>0</v>
      </c>
      <c r="K1737">
        <v>0</v>
      </c>
      <c r="L1737" s="3">
        <v>-73923.679999999993</v>
      </c>
      <c r="M1737" s="3">
        <v>0</v>
      </c>
      <c r="N1737">
        <v>0</v>
      </c>
      <c r="O1737">
        <v>-18480920</v>
      </c>
      <c r="P1737">
        <v>-73923.679999999993</v>
      </c>
      <c r="R1737" t="s">
        <v>1100</v>
      </c>
      <c r="S1737" t="str">
        <v>#N/A</v>
      </c>
      <c r="T1737" t="str">
        <v>#N/A</v>
      </c>
    </row>
    <row r="1738" spans="1:20" ht="13.7" customHeight="1" x14ac:dyDescent="0.25">
      <c r="A1738" t="s">
        <v>320</v>
      </c>
      <c r="B1738" t="s">
        <v>321</v>
      </c>
      <c r="C1738" t="s">
        <v>142</v>
      </c>
      <c r="D1738">
        <v>465</v>
      </c>
      <c r="E1738" s="5">
        <v>43653</v>
      </c>
      <c r="F1738">
        <v>23657501</v>
      </c>
      <c r="G1738" t="s">
        <v>647</v>
      </c>
      <c r="H1738" t="s">
        <v>1139</v>
      </c>
      <c r="I1738" t="s">
        <v>1140</v>
      </c>
      <c r="J1738">
        <v>1001</v>
      </c>
      <c r="K1738">
        <v>5062</v>
      </c>
      <c r="L1738" s="3">
        <v>-73923.679999999993</v>
      </c>
      <c r="M1738" s="3">
        <v>0</v>
      </c>
      <c r="N1738">
        <v>2545.92</v>
      </c>
      <c r="O1738">
        <v>-636480</v>
      </c>
      <c r="P1738">
        <v>-76469.600000000006</v>
      </c>
      <c r="Q1738" t="s">
        <v>30</v>
      </c>
      <c r="R1738" t="s">
        <v>468</v>
      </c>
      <c r="S1738" t="str">
        <v>#N/A</v>
      </c>
      <c r="T1738" t="str">
        <v>#N/A</v>
      </c>
    </row>
    <row r="1739" spans="1:20" ht="13.7" customHeight="1" x14ac:dyDescent="0.25">
      <c r="E1739" s="5">
        <v>43465</v>
      </c>
      <c r="F1739">
        <v>23657501</v>
      </c>
      <c r="G1739" t="s">
        <v>647</v>
      </c>
      <c r="H1739" t="s">
        <v>1125</v>
      </c>
      <c r="I1739" t="s">
        <v>1126</v>
      </c>
      <c r="J1739">
        <v>0</v>
      </c>
      <c r="K1739">
        <v>0</v>
      </c>
      <c r="L1739" s="3">
        <v>-399570.01199999999</v>
      </c>
      <c r="M1739" s="3">
        <v>0</v>
      </c>
      <c r="N1739">
        <v>0</v>
      </c>
      <c r="O1739">
        <v>-99892503</v>
      </c>
      <c r="P1739">
        <v>-399570.01199999999</v>
      </c>
      <c r="R1739" t="s">
        <v>1100</v>
      </c>
      <c r="S1739" t="str">
        <v>#N/A</v>
      </c>
      <c r="T1739" t="str">
        <v>31</v>
      </c>
    </row>
    <row r="1740" spans="1:20" ht="13.7" customHeight="1" x14ac:dyDescent="0.25">
      <c r="A1740" t="s">
        <v>320</v>
      </c>
      <c r="B1740" t="s">
        <v>321</v>
      </c>
      <c r="C1740" t="s">
        <v>142</v>
      </c>
      <c r="D1740">
        <v>334</v>
      </c>
      <c r="E1740" s="5">
        <v>43466</v>
      </c>
      <c r="F1740">
        <v>23657501</v>
      </c>
      <c r="G1740" t="s">
        <v>647</v>
      </c>
      <c r="H1740" t="s">
        <v>1125</v>
      </c>
      <c r="I1740" t="s">
        <v>1126</v>
      </c>
      <c r="J1740">
        <v>1001</v>
      </c>
      <c r="K1740">
        <v>5062</v>
      </c>
      <c r="L1740" s="3">
        <v>-399570.01199999999</v>
      </c>
      <c r="M1740" s="3">
        <v>0</v>
      </c>
      <c r="N1740">
        <v>51400.959999999999</v>
      </c>
      <c r="O1740">
        <v>-12850240</v>
      </c>
      <c r="P1740">
        <v>-450970.97200000001</v>
      </c>
      <c r="Q1740" t="s">
        <v>30</v>
      </c>
      <c r="R1740" t="s">
        <v>654</v>
      </c>
      <c r="S1740" t="str">
        <v>#N/A</v>
      </c>
      <c r="T1740" t="str">
        <v>31</v>
      </c>
    </row>
    <row r="1741" spans="1:20" ht="13.7" customHeight="1" x14ac:dyDescent="0.25">
      <c r="A1741" t="s">
        <v>320</v>
      </c>
      <c r="B1741" t="s">
        <v>321</v>
      </c>
      <c r="C1741" t="s">
        <v>142</v>
      </c>
      <c r="D1741">
        <v>339</v>
      </c>
      <c r="E1741" s="5">
        <v>43482</v>
      </c>
      <c r="F1741">
        <v>23657501</v>
      </c>
      <c r="G1741" t="s">
        <v>647</v>
      </c>
      <c r="H1741" t="s">
        <v>1125</v>
      </c>
      <c r="I1741" t="s">
        <v>1126</v>
      </c>
      <c r="J1741">
        <v>1001</v>
      </c>
      <c r="K1741">
        <v>5062</v>
      </c>
      <c r="L1741" s="3">
        <v>-450970.97200000001</v>
      </c>
      <c r="M1741" s="3">
        <v>0</v>
      </c>
      <c r="N1741">
        <v>1869.84</v>
      </c>
      <c r="O1741">
        <v>-467460</v>
      </c>
      <c r="P1741">
        <v>-452840.81199999998</v>
      </c>
      <c r="Q1741" t="s">
        <v>30</v>
      </c>
      <c r="R1741" t="s">
        <v>658</v>
      </c>
      <c r="S1741" t="str">
        <v>#N/A</v>
      </c>
      <c r="T1741" t="str">
        <v>31</v>
      </c>
    </row>
    <row r="1742" spans="1:20" ht="13.7" customHeight="1" x14ac:dyDescent="0.25">
      <c r="A1742" t="s">
        <v>320</v>
      </c>
      <c r="B1742" t="s">
        <v>321</v>
      </c>
      <c r="C1742" t="s">
        <v>142</v>
      </c>
      <c r="D1742">
        <v>341</v>
      </c>
      <c r="E1742" s="5">
        <v>43484</v>
      </c>
      <c r="F1742">
        <v>23657501</v>
      </c>
      <c r="G1742" t="s">
        <v>647</v>
      </c>
      <c r="H1742" t="s">
        <v>1125</v>
      </c>
      <c r="I1742" t="s">
        <v>1126</v>
      </c>
      <c r="J1742">
        <v>1001</v>
      </c>
      <c r="K1742">
        <v>5062</v>
      </c>
      <c r="L1742" s="3">
        <v>-452840.81199999998</v>
      </c>
      <c r="M1742" s="3">
        <v>0</v>
      </c>
      <c r="N1742">
        <v>832</v>
      </c>
      <c r="O1742">
        <v>-208000</v>
      </c>
      <c r="P1742">
        <v>-453672.81199999998</v>
      </c>
      <c r="Q1742" t="s">
        <v>30</v>
      </c>
      <c r="R1742" t="s">
        <v>660</v>
      </c>
      <c r="S1742" t="str">
        <v>#N/A</v>
      </c>
      <c r="T1742" t="str">
        <v>31</v>
      </c>
    </row>
    <row r="1743" spans="1:20" ht="13.7" customHeight="1" x14ac:dyDescent="0.25">
      <c r="A1743" t="s">
        <v>320</v>
      </c>
      <c r="B1743" t="s">
        <v>321</v>
      </c>
      <c r="C1743" t="s">
        <v>142</v>
      </c>
      <c r="D1743">
        <v>351</v>
      </c>
      <c r="E1743" s="5">
        <v>43497</v>
      </c>
      <c r="F1743">
        <v>23657501</v>
      </c>
      <c r="G1743" t="s">
        <v>647</v>
      </c>
      <c r="H1743" t="s">
        <v>1125</v>
      </c>
      <c r="I1743" t="s">
        <v>1126</v>
      </c>
      <c r="J1743">
        <v>1001</v>
      </c>
      <c r="K1743">
        <v>5062</v>
      </c>
      <c r="L1743" s="3">
        <v>-453672.81199999998</v>
      </c>
      <c r="M1743" s="3">
        <v>0</v>
      </c>
      <c r="N1743">
        <v>456</v>
      </c>
      <c r="O1743">
        <v>-114000</v>
      </c>
      <c r="P1743">
        <v>-454128.81199999998</v>
      </c>
      <c r="Q1743" t="s">
        <v>30</v>
      </c>
      <c r="R1743" t="s">
        <v>668</v>
      </c>
      <c r="S1743" t="str">
        <v>#N/A</v>
      </c>
      <c r="T1743" t="str">
        <v>31</v>
      </c>
    </row>
    <row r="1744" spans="1:20" ht="13.7" customHeight="1" x14ac:dyDescent="0.25">
      <c r="A1744" t="s">
        <v>320</v>
      </c>
      <c r="B1744" t="s">
        <v>321</v>
      </c>
      <c r="C1744" t="s">
        <v>142</v>
      </c>
      <c r="D1744">
        <v>353</v>
      </c>
      <c r="E1744" s="5">
        <v>43500</v>
      </c>
      <c r="F1744">
        <v>23657501</v>
      </c>
      <c r="G1744" t="s">
        <v>647</v>
      </c>
      <c r="H1744" t="s">
        <v>1125</v>
      </c>
      <c r="I1744" t="s">
        <v>1126</v>
      </c>
      <c r="J1744">
        <v>1001</v>
      </c>
      <c r="K1744">
        <v>5062</v>
      </c>
      <c r="L1744" s="3">
        <v>-454128.81199999998</v>
      </c>
      <c r="M1744" s="3">
        <v>0</v>
      </c>
      <c r="N1744">
        <v>33471.983999999997</v>
      </c>
      <c r="O1744">
        <v>-8367996</v>
      </c>
      <c r="P1744">
        <v>-487600.79599999997</v>
      </c>
      <c r="Q1744" t="s">
        <v>30</v>
      </c>
      <c r="R1744" t="s">
        <v>669</v>
      </c>
      <c r="S1744" t="str">
        <v>#N/A</v>
      </c>
      <c r="T1744" t="str">
        <v>31</v>
      </c>
    </row>
    <row r="1745" spans="1:20" ht="13.7" customHeight="1" x14ac:dyDescent="0.25">
      <c r="A1745" t="s">
        <v>320</v>
      </c>
      <c r="B1745" t="s">
        <v>321</v>
      </c>
      <c r="C1745" t="s">
        <v>142</v>
      </c>
      <c r="D1745">
        <v>357</v>
      </c>
      <c r="E1745" s="5">
        <v>43504</v>
      </c>
      <c r="F1745">
        <v>23657501</v>
      </c>
      <c r="G1745" t="s">
        <v>647</v>
      </c>
      <c r="H1745" t="s">
        <v>1125</v>
      </c>
      <c r="I1745" t="s">
        <v>1126</v>
      </c>
      <c r="J1745">
        <v>1001</v>
      </c>
      <c r="K1745">
        <v>5062</v>
      </c>
      <c r="L1745" s="3">
        <v>-487600.79599999997</v>
      </c>
      <c r="M1745" s="3">
        <v>0</v>
      </c>
      <c r="N1745">
        <v>80</v>
      </c>
      <c r="O1745">
        <v>-20000</v>
      </c>
      <c r="P1745">
        <v>-487680.79599999997</v>
      </c>
      <c r="Q1745" t="s">
        <v>30</v>
      </c>
      <c r="R1745" t="s">
        <v>673</v>
      </c>
      <c r="S1745" t="str">
        <v>#N/A</v>
      </c>
      <c r="T1745" t="str">
        <v>31</v>
      </c>
    </row>
    <row r="1746" spans="1:20" ht="13.7" customHeight="1" x14ac:dyDescent="0.25">
      <c r="A1746" t="s">
        <v>320</v>
      </c>
      <c r="B1746" t="s">
        <v>321</v>
      </c>
      <c r="C1746" t="s">
        <v>142</v>
      </c>
      <c r="D1746">
        <v>358</v>
      </c>
      <c r="E1746" s="5">
        <v>43507</v>
      </c>
      <c r="F1746">
        <v>23657501</v>
      </c>
      <c r="G1746" t="s">
        <v>647</v>
      </c>
      <c r="H1746" t="s">
        <v>1125</v>
      </c>
      <c r="I1746" t="s">
        <v>1126</v>
      </c>
      <c r="J1746">
        <v>1001</v>
      </c>
      <c r="K1746">
        <v>5062</v>
      </c>
      <c r="L1746" s="3">
        <v>-487680.79599999997</v>
      </c>
      <c r="M1746" s="3">
        <v>0</v>
      </c>
      <c r="N1746">
        <v>7104</v>
      </c>
      <c r="O1746">
        <v>-1776000</v>
      </c>
      <c r="P1746">
        <v>-494784.79599999997</v>
      </c>
      <c r="Q1746" t="s">
        <v>30</v>
      </c>
      <c r="R1746" t="s">
        <v>674</v>
      </c>
      <c r="S1746" t="str">
        <v>#N/A</v>
      </c>
      <c r="T1746" t="str">
        <v>31</v>
      </c>
    </row>
    <row r="1747" spans="1:20" ht="13.7" customHeight="1" x14ac:dyDescent="0.25">
      <c r="A1747" t="s">
        <v>320</v>
      </c>
      <c r="B1747" t="s">
        <v>321</v>
      </c>
      <c r="C1747" t="s">
        <v>142</v>
      </c>
      <c r="D1747">
        <v>361</v>
      </c>
      <c r="E1747" s="5">
        <v>43507</v>
      </c>
      <c r="F1747">
        <v>23657501</v>
      </c>
      <c r="G1747" t="s">
        <v>647</v>
      </c>
      <c r="H1747" t="s">
        <v>1125</v>
      </c>
      <c r="I1747" t="s">
        <v>1126</v>
      </c>
      <c r="J1747">
        <v>1001</v>
      </c>
      <c r="K1747">
        <v>5062</v>
      </c>
      <c r="L1747" s="3">
        <v>-494784.79599999997</v>
      </c>
      <c r="M1747" s="3">
        <v>0</v>
      </c>
      <c r="N1747">
        <v>4440</v>
      </c>
      <c r="O1747">
        <v>-1110000</v>
      </c>
      <c r="P1747">
        <v>-499224.79599999997</v>
      </c>
      <c r="Q1747" t="s">
        <v>30</v>
      </c>
      <c r="R1747" t="s">
        <v>676</v>
      </c>
      <c r="S1747" t="str">
        <v>#N/A</v>
      </c>
      <c r="T1747" t="str">
        <v>31</v>
      </c>
    </row>
    <row r="1748" spans="1:20" ht="13.7" customHeight="1" x14ac:dyDescent="0.25">
      <c r="A1748" t="s">
        <v>320</v>
      </c>
      <c r="B1748" t="s">
        <v>321</v>
      </c>
      <c r="C1748" t="s">
        <v>142</v>
      </c>
      <c r="D1748">
        <v>362</v>
      </c>
      <c r="E1748" s="5">
        <v>43508</v>
      </c>
      <c r="F1748">
        <v>23657501</v>
      </c>
      <c r="G1748" t="s">
        <v>647</v>
      </c>
      <c r="H1748" t="s">
        <v>1125</v>
      </c>
      <c r="I1748" t="s">
        <v>1126</v>
      </c>
      <c r="J1748">
        <v>1001</v>
      </c>
      <c r="K1748">
        <v>5062</v>
      </c>
      <c r="L1748" s="3">
        <v>-499224.79599999997</v>
      </c>
      <c r="M1748" s="3">
        <v>0</v>
      </c>
      <c r="N1748">
        <v>2041.56</v>
      </c>
      <c r="O1748">
        <v>-510390</v>
      </c>
      <c r="P1748">
        <v>-501266.35600000003</v>
      </c>
      <c r="Q1748" t="s">
        <v>30</v>
      </c>
      <c r="R1748" t="s">
        <v>677</v>
      </c>
      <c r="S1748" t="str">
        <v>#N/A</v>
      </c>
      <c r="T1748" t="str">
        <v>31</v>
      </c>
    </row>
    <row r="1749" spans="1:20" ht="13.7" customHeight="1" x14ac:dyDescent="0.25">
      <c r="A1749" t="s">
        <v>320</v>
      </c>
      <c r="B1749" t="s">
        <v>321</v>
      </c>
      <c r="C1749" t="s">
        <v>142</v>
      </c>
      <c r="D1749">
        <v>374</v>
      </c>
      <c r="E1749" s="5">
        <v>43519</v>
      </c>
      <c r="F1749">
        <v>23657501</v>
      </c>
      <c r="G1749" t="s">
        <v>647</v>
      </c>
      <c r="H1749" t="s">
        <v>1125</v>
      </c>
      <c r="I1749" t="s">
        <v>1126</v>
      </c>
      <c r="J1749">
        <v>1001</v>
      </c>
      <c r="K1749">
        <v>5062</v>
      </c>
      <c r="L1749" s="3">
        <v>-501266.35600000003</v>
      </c>
      <c r="M1749" s="3">
        <v>0</v>
      </c>
      <c r="N1749">
        <v>12449.6</v>
      </c>
      <c r="O1749">
        <v>-3112400</v>
      </c>
      <c r="P1749">
        <v>-513715.95600000001</v>
      </c>
      <c r="Q1749" t="s">
        <v>30</v>
      </c>
      <c r="R1749" t="s">
        <v>368</v>
      </c>
      <c r="S1749" t="str">
        <v>#N/A</v>
      </c>
      <c r="T1749" t="str">
        <v>31</v>
      </c>
    </row>
    <row r="1750" spans="1:20" ht="13.7" customHeight="1" x14ac:dyDescent="0.25">
      <c r="A1750" t="s">
        <v>320</v>
      </c>
      <c r="B1750" t="s">
        <v>321</v>
      </c>
      <c r="C1750" t="s">
        <v>142</v>
      </c>
      <c r="D1750">
        <v>377</v>
      </c>
      <c r="E1750" s="5">
        <v>43528</v>
      </c>
      <c r="F1750">
        <v>23657501</v>
      </c>
      <c r="G1750" t="s">
        <v>647</v>
      </c>
      <c r="H1750" t="s">
        <v>1125</v>
      </c>
      <c r="I1750" t="s">
        <v>1126</v>
      </c>
      <c r="J1750">
        <v>1001</v>
      </c>
      <c r="K1750">
        <v>5062</v>
      </c>
      <c r="L1750" s="3">
        <v>-513715.95600000001</v>
      </c>
      <c r="M1750" s="3">
        <v>0</v>
      </c>
      <c r="N1750">
        <v>1140</v>
      </c>
      <c r="O1750">
        <v>-285000</v>
      </c>
      <c r="P1750">
        <v>-514855.95600000001</v>
      </c>
      <c r="Q1750" t="s">
        <v>30</v>
      </c>
      <c r="R1750" t="s">
        <v>392</v>
      </c>
      <c r="S1750" t="str">
        <v>#N/A</v>
      </c>
      <c r="T1750" t="str">
        <v>31</v>
      </c>
    </row>
    <row r="1751" spans="1:20" ht="13.7" customHeight="1" x14ac:dyDescent="0.25">
      <c r="A1751" t="s">
        <v>320</v>
      </c>
      <c r="B1751" t="s">
        <v>321</v>
      </c>
      <c r="C1751" t="s">
        <v>142</v>
      </c>
      <c r="D1751">
        <v>379</v>
      </c>
      <c r="E1751" s="5">
        <v>43531</v>
      </c>
      <c r="F1751">
        <v>23657501</v>
      </c>
      <c r="G1751" t="s">
        <v>647</v>
      </c>
      <c r="H1751" t="s">
        <v>1125</v>
      </c>
      <c r="I1751" t="s">
        <v>1126</v>
      </c>
      <c r="J1751">
        <v>1001</v>
      </c>
      <c r="K1751">
        <v>5062</v>
      </c>
      <c r="L1751" s="3">
        <v>-514855.95600000001</v>
      </c>
      <c r="M1751" s="3">
        <v>0</v>
      </c>
      <c r="N1751">
        <v>9229.2000000000007</v>
      </c>
      <c r="O1751">
        <v>-2307300</v>
      </c>
      <c r="P1751">
        <v>-524085.15600000002</v>
      </c>
      <c r="Q1751" t="s">
        <v>30</v>
      </c>
      <c r="R1751" t="s">
        <v>395</v>
      </c>
      <c r="S1751" t="str">
        <v>#N/A</v>
      </c>
      <c r="T1751" t="str">
        <v>31</v>
      </c>
    </row>
    <row r="1752" spans="1:20" ht="13.7" customHeight="1" x14ac:dyDescent="0.25">
      <c r="A1752" t="s">
        <v>320</v>
      </c>
      <c r="B1752" t="s">
        <v>321</v>
      </c>
      <c r="C1752" t="s">
        <v>142</v>
      </c>
      <c r="D1752">
        <v>381</v>
      </c>
      <c r="E1752" s="5">
        <v>43535</v>
      </c>
      <c r="F1752">
        <v>23657501</v>
      </c>
      <c r="G1752" t="s">
        <v>647</v>
      </c>
      <c r="H1752" t="s">
        <v>1125</v>
      </c>
      <c r="I1752" t="s">
        <v>1126</v>
      </c>
      <c r="J1752">
        <v>1001</v>
      </c>
      <c r="K1752">
        <v>5062</v>
      </c>
      <c r="L1752" s="3">
        <v>-524085.15600000002</v>
      </c>
      <c r="M1752" s="3">
        <v>0</v>
      </c>
      <c r="N1752">
        <v>508.8</v>
      </c>
      <c r="O1752">
        <v>-127200</v>
      </c>
      <c r="P1752">
        <v>-524593.95600000001</v>
      </c>
      <c r="Q1752" t="s">
        <v>30</v>
      </c>
      <c r="R1752" t="s">
        <v>399</v>
      </c>
      <c r="S1752" t="str">
        <v>#N/A</v>
      </c>
      <c r="T1752" t="str">
        <v>31</v>
      </c>
    </row>
    <row r="1753" spans="1:20" ht="13.7" customHeight="1" x14ac:dyDescent="0.25">
      <c r="A1753" t="s">
        <v>320</v>
      </c>
      <c r="B1753" t="s">
        <v>321</v>
      </c>
      <c r="C1753" t="s">
        <v>142</v>
      </c>
      <c r="D1753">
        <v>383</v>
      </c>
      <c r="E1753" s="5">
        <v>43542</v>
      </c>
      <c r="F1753">
        <v>23657501</v>
      </c>
      <c r="G1753" t="s">
        <v>647</v>
      </c>
      <c r="H1753" t="s">
        <v>1125</v>
      </c>
      <c r="I1753" t="s">
        <v>1126</v>
      </c>
      <c r="J1753">
        <v>1001</v>
      </c>
      <c r="K1753">
        <v>5062</v>
      </c>
      <c r="L1753" s="3">
        <v>-524593.95600000001</v>
      </c>
      <c r="M1753" s="3">
        <v>0</v>
      </c>
      <c r="N1753">
        <v>1680</v>
      </c>
      <c r="O1753">
        <v>-420000</v>
      </c>
      <c r="P1753">
        <v>-526273.95600000001</v>
      </c>
      <c r="Q1753" t="s">
        <v>30</v>
      </c>
      <c r="R1753" t="s">
        <v>405</v>
      </c>
      <c r="S1753" t="str">
        <v>#N/A</v>
      </c>
      <c r="T1753" t="str">
        <v>31</v>
      </c>
    </row>
    <row r="1754" spans="1:20" ht="13.7" customHeight="1" x14ac:dyDescent="0.25">
      <c r="A1754" t="s">
        <v>320</v>
      </c>
      <c r="B1754" t="s">
        <v>321</v>
      </c>
      <c r="C1754" t="s">
        <v>142</v>
      </c>
      <c r="D1754">
        <v>388</v>
      </c>
      <c r="E1754" s="5">
        <v>43545</v>
      </c>
      <c r="F1754">
        <v>23657501</v>
      </c>
      <c r="G1754" t="s">
        <v>647</v>
      </c>
      <c r="H1754" t="s">
        <v>1125</v>
      </c>
      <c r="I1754" t="s">
        <v>1126</v>
      </c>
      <c r="J1754">
        <v>1001</v>
      </c>
      <c r="K1754">
        <v>5062</v>
      </c>
      <c r="L1754" s="3">
        <v>-526273.95600000001</v>
      </c>
      <c r="M1754" s="3">
        <v>0</v>
      </c>
      <c r="N1754">
        <v>1728</v>
      </c>
      <c r="O1754">
        <v>-432000</v>
      </c>
      <c r="P1754">
        <v>-528001.95600000001</v>
      </c>
      <c r="Q1754" t="s">
        <v>30</v>
      </c>
      <c r="R1754" t="s">
        <v>408</v>
      </c>
      <c r="S1754" t="str">
        <v>#N/A</v>
      </c>
      <c r="T1754" t="str">
        <v>31</v>
      </c>
    </row>
    <row r="1755" spans="1:20" ht="13.7" customHeight="1" x14ac:dyDescent="0.25">
      <c r="A1755" t="s">
        <v>320</v>
      </c>
      <c r="B1755" t="s">
        <v>321</v>
      </c>
      <c r="C1755" t="s">
        <v>142</v>
      </c>
      <c r="D1755">
        <v>389</v>
      </c>
      <c r="E1755" s="5">
        <v>43546</v>
      </c>
      <c r="F1755">
        <v>23657501</v>
      </c>
      <c r="G1755" t="s">
        <v>647</v>
      </c>
      <c r="H1755" t="s">
        <v>1125</v>
      </c>
      <c r="I1755" t="s">
        <v>1126</v>
      </c>
      <c r="J1755">
        <v>1001</v>
      </c>
      <c r="K1755">
        <v>5062</v>
      </c>
      <c r="L1755" s="3">
        <v>-528001.95600000001</v>
      </c>
      <c r="M1755" s="3">
        <v>0</v>
      </c>
      <c r="N1755">
        <v>54080</v>
      </c>
      <c r="O1755">
        <v>-13520000</v>
      </c>
      <c r="P1755">
        <v>-582081.95600000001</v>
      </c>
      <c r="Q1755" t="s">
        <v>30</v>
      </c>
      <c r="R1755" t="s">
        <v>409</v>
      </c>
      <c r="S1755" t="str">
        <v>#N/A</v>
      </c>
      <c r="T1755" t="str">
        <v>31</v>
      </c>
    </row>
    <row r="1756" spans="1:20" ht="13.7" customHeight="1" x14ac:dyDescent="0.25">
      <c r="A1756" t="s">
        <v>320</v>
      </c>
      <c r="B1756" t="s">
        <v>321</v>
      </c>
      <c r="C1756" t="s">
        <v>142</v>
      </c>
      <c r="D1756">
        <v>390</v>
      </c>
      <c r="E1756" s="5">
        <v>43550</v>
      </c>
      <c r="F1756">
        <v>23657501</v>
      </c>
      <c r="G1756" t="s">
        <v>647</v>
      </c>
      <c r="H1756" t="s">
        <v>1125</v>
      </c>
      <c r="I1756" t="s">
        <v>1126</v>
      </c>
      <c r="J1756">
        <v>1001</v>
      </c>
      <c r="K1756">
        <v>5062</v>
      </c>
      <c r="L1756" s="3">
        <v>-582081.95600000001</v>
      </c>
      <c r="M1756" s="3">
        <v>0</v>
      </c>
      <c r="N1756">
        <v>80</v>
      </c>
      <c r="O1756">
        <v>-20000</v>
      </c>
      <c r="P1756">
        <v>-582161.95600000001</v>
      </c>
      <c r="Q1756" t="s">
        <v>30</v>
      </c>
      <c r="R1756" t="s">
        <v>410</v>
      </c>
      <c r="S1756" t="str">
        <v>#N/A</v>
      </c>
      <c r="T1756" t="str">
        <v>31</v>
      </c>
    </row>
    <row r="1757" spans="1:20" ht="13.7" customHeight="1" x14ac:dyDescent="0.25">
      <c r="A1757" t="s">
        <v>320</v>
      </c>
      <c r="B1757" t="s">
        <v>321</v>
      </c>
      <c r="C1757" t="s">
        <v>142</v>
      </c>
      <c r="D1757">
        <v>393</v>
      </c>
      <c r="E1757" s="5">
        <v>43553</v>
      </c>
      <c r="F1757">
        <v>23657501</v>
      </c>
      <c r="G1757" t="s">
        <v>647</v>
      </c>
      <c r="H1757" t="s">
        <v>1125</v>
      </c>
      <c r="I1757" t="s">
        <v>1126</v>
      </c>
      <c r="J1757">
        <v>1001</v>
      </c>
      <c r="K1757">
        <v>5062</v>
      </c>
      <c r="L1757" s="3">
        <v>-582161.95600000001</v>
      </c>
      <c r="M1757" s="3">
        <v>0</v>
      </c>
      <c r="N1757">
        <v>5976</v>
      </c>
      <c r="O1757">
        <v>-1494000</v>
      </c>
      <c r="P1757">
        <v>-588137.95600000001</v>
      </c>
      <c r="Q1757" t="s">
        <v>30</v>
      </c>
      <c r="R1757" t="s">
        <v>419</v>
      </c>
      <c r="S1757" t="str">
        <v>#N/A</v>
      </c>
      <c r="T1757" t="str">
        <v>31</v>
      </c>
    </row>
    <row r="1758" spans="1:20" ht="13.7" customHeight="1" x14ac:dyDescent="0.25">
      <c r="A1758" t="s">
        <v>320</v>
      </c>
      <c r="B1758" t="s">
        <v>321</v>
      </c>
      <c r="C1758" t="s">
        <v>142</v>
      </c>
      <c r="D1758">
        <v>396</v>
      </c>
      <c r="E1758" s="5">
        <v>43556</v>
      </c>
      <c r="F1758">
        <v>23657501</v>
      </c>
      <c r="G1758" t="s">
        <v>647</v>
      </c>
      <c r="H1758" t="s">
        <v>1125</v>
      </c>
      <c r="I1758" t="s">
        <v>1126</v>
      </c>
      <c r="J1758">
        <v>1001</v>
      </c>
      <c r="K1758">
        <v>5062</v>
      </c>
      <c r="L1758" s="3">
        <v>-588137.95600000001</v>
      </c>
      <c r="M1758" s="3">
        <v>0</v>
      </c>
      <c r="N1758">
        <v>180</v>
      </c>
      <c r="O1758">
        <v>-45000</v>
      </c>
      <c r="P1758">
        <v>-588317.95600000001</v>
      </c>
      <c r="Q1758" t="s">
        <v>30</v>
      </c>
      <c r="R1758" t="s">
        <v>421</v>
      </c>
      <c r="S1758" t="str">
        <v>#N/A</v>
      </c>
      <c r="T1758" t="str">
        <v>31</v>
      </c>
    </row>
    <row r="1759" spans="1:20" ht="13.7" customHeight="1" x14ac:dyDescent="0.25">
      <c r="A1759" t="s">
        <v>320</v>
      </c>
      <c r="B1759" t="s">
        <v>321</v>
      </c>
      <c r="C1759" t="s">
        <v>142</v>
      </c>
      <c r="D1759">
        <v>399</v>
      </c>
      <c r="E1759" s="5">
        <v>43559</v>
      </c>
      <c r="F1759">
        <v>23657501</v>
      </c>
      <c r="G1759" t="s">
        <v>647</v>
      </c>
      <c r="H1759" t="s">
        <v>1125</v>
      </c>
      <c r="I1759" t="s">
        <v>1126</v>
      </c>
      <c r="J1759">
        <v>1001</v>
      </c>
      <c r="K1759">
        <v>5062</v>
      </c>
      <c r="L1759" s="3">
        <v>-588317.95600000001</v>
      </c>
      <c r="M1759" s="3">
        <v>0</v>
      </c>
      <c r="N1759">
        <v>2742</v>
      </c>
      <c r="O1759">
        <v>-685500</v>
      </c>
      <c r="P1759">
        <v>-591059.95600000001</v>
      </c>
      <c r="Q1759" t="s">
        <v>30</v>
      </c>
      <c r="R1759" t="s">
        <v>423</v>
      </c>
      <c r="S1759" t="str">
        <v>#N/A</v>
      </c>
      <c r="T1759" t="str">
        <v>31</v>
      </c>
    </row>
    <row r="1760" spans="1:20" ht="13.7" customHeight="1" x14ac:dyDescent="0.25">
      <c r="A1760" t="s">
        <v>320</v>
      </c>
      <c r="B1760" t="s">
        <v>321</v>
      </c>
      <c r="C1760" t="s">
        <v>142</v>
      </c>
      <c r="D1760">
        <v>402</v>
      </c>
      <c r="E1760" s="5">
        <v>43560</v>
      </c>
      <c r="F1760">
        <v>23657501</v>
      </c>
      <c r="G1760" t="s">
        <v>647</v>
      </c>
      <c r="H1760" t="s">
        <v>1125</v>
      </c>
      <c r="I1760" t="s">
        <v>1126</v>
      </c>
      <c r="J1760">
        <v>1001</v>
      </c>
      <c r="K1760">
        <v>5062</v>
      </c>
      <c r="L1760" s="3">
        <v>-591059.95600000001</v>
      </c>
      <c r="M1760" s="3">
        <v>0</v>
      </c>
      <c r="N1760">
        <v>16200</v>
      </c>
      <c r="O1760">
        <v>-4050000</v>
      </c>
      <c r="P1760">
        <v>-607259.95600000001</v>
      </c>
      <c r="Q1760" t="s">
        <v>30</v>
      </c>
      <c r="R1760" t="s">
        <v>425</v>
      </c>
      <c r="S1760" t="str">
        <v>#N/A</v>
      </c>
      <c r="T1760" t="str">
        <v>31</v>
      </c>
    </row>
    <row r="1761" spans="1:20" ht="13.7" customHeight="1" x14ac:dyDescent="0.25">
      <c r="A1761" t="s">
        <v>320</v>
      </c>
      <c r="B1761" t="s">
        <v>321</v>
      </c>
      <c r="C1761" t="s">
        <v>142</v>
      </c>
      <c r="D1761">
        <v>404</v>
      </c>
      <c r="E1761" s="5">
        <v>43560</v>
      </c>
      <c r="F1761">
        <v>23657501</v>
      </c>
      <c r="G1761" t="s">
        <v>647</v>
      </c>
      <c r="H1761" t="s">
        <v>1125</v>
      </c>
      <c r="I1761" t="s">
        <v>1126</v>
      </c>
      <c r="J1761">
        <v>1001</v>
      </c>
      <c r="K1761">
        <v>5062</v>
      </c>
      <c r="L1761" s="3">
        <v>-607259.95600000001</v>
      </c>
      <c r="M1761" s="3">
        <v>0</v>
      </c>
      <c r="N1761">
        <v>3665.6</v>
      </c>
      <c r="O1761">
        <v>-916400</v>
      </c>
      <c r="P1761">
        <v>-610925.55599999998</v>
      </c>
      <c r="Q1761" t="s">
        <v>30</v>
      </c>
      <c r="R1761" t="s">
        <v>426</v>
      </c>
      <c r="S1761" t="str">
        <v>#N/A</v>
      </c>
      <c r="T1761" t="str">
        <v>31</v>
      </c>
    </row>
    <row r="1762" spans="1:20" ht="13.7" customHeight="1" x14ac:dyDescent="0.25">
      <c r="A1762" t="s">
        <v>320</v>
      </c>
      <c r="B1762" t="s">
        <v>321</v>
      </c>
      <c r="C1762" t="s">
        <v>142</v>
      </c>
      <c r="D1762">
        <v>409</v>
      </c>
      <c r="E1762" s="5">
        <v>43567</v>
      </c>
      <c r="F1762">
        <v>23657501</v>
      </c>
      <c r="G1762" t="s">
        <v>647</v>
      </c>
      <c r="H1762" t="s">
        <v>1125</v>
      </c>
      <c r="I1762" t="s">
        <v>1126</v>
      </c>
      <c r="J1762">
        <v>1001</v>
      </c>
      <c r="K1762">
        <v>5062</v>
      </c>
      <c r="L1762" s="3">
        <v>-610925.55599999998</v>
      </c>
      <c r="M1762" s="3">
        <v>0</v>
      </c>
      <c r="N1762">
        <v>8192.4</v>
      </c>
      <c r="O1762">
        <v>-2048100</v>
      </c>
      <c r="P1762">
        <v>-619117.95600000001</v>
      </c>
      <c r="Q1762" t="s">
        <v>30</v>
      </c>
      <c r="R1762" t="s">
        <v>429</v>
      </c>
      <c r="S1762" t="str">
        <v>#N/A</v>
      </c>
      <c r="T1762" t="str">
        <v>31</v>
      </c>
    </row>
    <row r="1763" spans="1:20" ht="13.7" customHeight="1" x14ac:dyDescent="0.25">
      <c r="A1763" t="s">
        <v>320</v>
      </c>
      <c r="B1763" t="s">
        <v>321</v>
      </c>
      <c r="C1763" t="s">
        <v>142</v>
      </c>
      <c r="D1763">
        <v>410</v>
      </c>
      <c r="E1763" s="5">
        <v>43570</v>
      </c>
      <c r="F1763">
        <v>23657501</v>
      </c>
      <c r="G1763" t="s">
        <v>647</v>
      </c>
      <c r="H1763" t="s">
        <v>1125</v>
      </c>
      <c r="I1763" t="s">
        <v>1126</v>
      </c>
      <c r="J1763">
        <v>1001</v>
      </c>
      <c r="K1763">
        <v>5062</v>
      </c>
      <c r="L1763" s="3">
        <v>-619117.95600000001</v>
      </c>
      <c r="M1763" s="3">
        <v>0</v>
      </c>
      <c r="N1763">
        <v>1628.36</v>
      </c>
      <c r="O1763">
        <v>-407090</v>
      </c>
      <c r="P1763">
        <v>-620746.31599999999</v>
      </c>
      <c r="Q1763" t="s">
        <v>30</v>
      </c>
      <c r="R1763" t="s">
        <v>430</v>
      </c>
      <c r="S1763" t="str">
        <v>#N/A</v>
      </c>
      <c r="T1763" t="str">
        <v>31</v>
      </c>
    </row>
    <row r="1764" spans="1:20" ht="13.7" customHeight="1" x14ac:dyDescent="0.25">
      <c r="A1764" t="s">
        <v>320</v>
      </c>
      <c r="B1764" t="s">
        <v>321</v>
      </c>
      <c r="C1764" t="s">
        <v>142</v>
      </c>
      <c r="D1764">
        <v>411</v>
      </c>
      <c r="E1764" s="5">
        <v>43570</v>
      </c>
      <c r="F1764">
        <v>23657501</v>
      </c>
      <c r="G1764" t="s">
        <v>647</v>
      </c>
      <c r="H1764" t="s">
        <v>1125</v>
      </c>
      <c r="I1764" t="s">
        <v>1126</v>
      </c>
      <c r="J1764">
        <v>1001</v>
      </c>
      <c r="K1764">
        <v>5062</v>
      </c>
      <c r="L1764" s="3">
        <v>-620746.31599999999</v>
      </c>
      <c r="M1764" s="3">
        <v>0</v>
      </c>
      <c r="N1764">
        <v>1188</v>
      </c>
      <c r="O1764">
        <v>-297000</v>
      </c>
      <c r="P1764">
        <v>-621934.31599999999</v>
      </c>
      <c r="Q1764" t="s">
        <v>30</v>
      </c>
      <c r="R1764" t="s">
        <v>431</v>
      </c>
      <c r="S1764" t="str">
        <v>#N/A</v>
      </c>
      <c r="T1764" t="str">
        <v>31</v>
      </c>
    </row>
    <row r="1765" spans="1:20" ht="13.7" customHeight="1" x14ac:dyDescent="0.25">
      <c r="A1765" t="s">
        <v>320</v>
      </c>
      <c r="B1765" t="s">
        <v>321</v>
      </c>
      <c r="C1765" t="s">
        <v>142</v>
      </c>
      <c r="D1765">
        <v>419</v>
      </c>
      <c r="E1765" s="5">
        <v>43584</v>
      </c>
      <c r="F1765">
        <v>23657501</v>
      </c>
      <c r="G1765" t="s">
        <v>647</v>
      </c>
      <c r="H1765" t="s">
        <v>1125</v>
      </c>
      <c r="I1765" t="s">
        <v>1126</v>
      </c>
      <c r="J1765">
        <v>1001</v>
      </c>
      <c r="K1765">
        <v>5062</v>
      </c>
      <c r="L1765" s="3">
        <v>-621934.31599999999</v>
      </c>
      <c r="M1765" s="3">
        <v>0</v>
      </c>
      <c r="N1765">
        <v>4325.6000000000004</v>
      </c>
      <c r="O1765">
        <v>-1081400</v>
      </c>
      <c r="P1765">
        <v>-626259.91599999997</v>
      </c>
      <c r="Q1765" t="s">
        <v>30</v>
      </c>
      <c r="R1765" t="s">
        <v>438</v>
      </c>
      <c r="S1765" t="str">
        <v>#N/A</v>
      </c>
      <c r="T1765" t="str">
        <v>31</v>
      </c>
    </row>
    <row r="1766" spans="1:20" ht="13.7" customHeight="1" x14ac:dyDescent="0.25">
      <c r="A1766" t="s">
        <v>320</v>
      </c>
      <c r="B1766" t="s">
        <v>321</v>
      </c>
      <c r="C1766" t="s">
        <v>142</v>
      </c>
      <c r="D1766">
        <v>420</v>
      </c>
      <c r="E1766" s="5">
        <v>43587</v>
      </c>
      <c r="F1766">
        <v>23657501</v>
      </c>
      <c r="G1766" t="s">
        <v>647</v>
      </c>
      <c r="H1766" t="s">
        <v>1125</v>
      </c>
      <c r="I1766" t="s">
        <v>1126</v>
      </c>
      <c r="J1766">
        <v>1001</v>
      </c>
      <c r="K1766">
        <v>5062</v>
      </c>
      <c r="L1766" s="3">
        <v>-626259.91599999997</v>
      </c>
      <c r="M1766" s="3">
        <v>0</v>
      </c>
      <c r="N1766">
        <v>240</v>
      </c>
      <c r="O1766">
        <v>-60000</v>
      </c>
      <c r="P1766">
        <v>-626499.91599999997</v>
      </c>
      <c r="Q1766" t="s">
        <v>30</v>
      </c>
      <c r="R1766" t="s">
        <v>439</v>
      </c>
      <c r="S1766" t="str">
        <v>#N/A</v>
      </c>
      <c r="T1766" t="str">
        <v>31</v>
      </c>
    </row>
    <row r="1767" spans="1:20" ht="13.7" customHeight="1" x14ac:dyDescent="0.25">
      <c r="A1767" t="s">
        <v>320</v>
      </c>
      <c r="B1767" t="s">
        <v>321</v>
      </c>
      <c r="C1767" t="s">
        <v>142</v>
      </c>
      <c r="D1767">
        <v>425</v>
      </c>
      <c r="E1767" s="5">
        <v>43592</v>
      </c>
      <c r="F1767">
        <v>23657501</v>
      </c>
      <c r="G1767" t="s">
        <v>647</v>
      </c>
      <c r="H1767" t="s">
        <v>1125</v>
      </c>
      <c r="I1767" t="s">
        <v>1126</v>
      </c>
      <c r="J1767">
        <v>1001</v>
      </c>
      <c r="K1767">
        <v>5062</v>
      </c>
      <c r="L1767" s="3">
        <v>-626499.91599999997</v>
      </c>
      <c r="M1767" s="3">
        <v>0</v>
      </c>
      <c r="N1767">
        <v>3562.68</v>
      </c>
      <c r="O1767">
        <v>-890670</v>
      </c>
      <c r="P1767">
        <v>-630062.59600000002</v>
      </c>
      <c r="Q1767" t="s">
        <v>30</v>
      </c>
      <c r="R1767" t="s">
        <v>442</v>
      </c>
      <c r="S1767" t="str">
        <v>#N/A</v>
      </c>
      <c r="T1767" t="str">
        <v>31</v>
      </c>
    </row>
    <row r="1768" spans="1:20" ht="13.7" customHeight="1" x14ac:dyDescent="0.25">
      <c r="A1768" t="s">
        <v>320</v>
      </c>
      <c r="B1768" t="s">
        <v>321</v>
      </c>
      <c r="C1768" t="s">
        <v>142</v>
      </c>
      <c r="D1768">
        <v>428</v>
      </c>
      <c r="E1768" s="5">
        <v>43593</v>
      </c>
      <c r="F1768">
        <v>23657501</v>
      </c>
      <c r="G1768" t="s">
        <v>647</v>
      </c>
      <c r="H1768" t="s">
        <v>1125</v>
      </c>
      <c r="I1768" t="s">
        <v>1126</v>
      </c>
      <c r="J1768">
        <v>1001</v>
      </c>
      <c r="K1768">
        <v>5062</v>
      </c>
      <c r="L1768" s="3">
        <v>-630062.59600000002</v>
      </c>
      <c r="M1768" s="3">
        <v>0</v>
      </c>
      <c r="N1768">
        <v>200</v>
      </c>
      <c r="O1768">
        <v>-50000</v>
      </c>
      <c r="P1768">
        <v>-630262.59600000002</v>
      </c>
      <c r="Q1768" t="s">
        <v>30</v>
      </c>
      <c r="R1768" t="s">
        <v>444</v>
      </c>
      <c r="S1768" t="str">
        <v>#N/A</v>
      </c>
      <c r="T1768" t="str">
        <v>31</v>
      </c>
    </row>
    <row r="1769" spans="1:20" ht="13.7" customHeight="1" x14ac:dyDescent="0.25">
      <c r="A1769" t="s">
        <v>320</v>
      </c>
      <c r="B1769" t="s">
        <v>321</v>
      </c>
      <c r="C1769" t="s">
        <v>142</v>
      </c>
      <c r="D1769">
        <v>429</v>
      </c>
      <c r="E1769" s="5">
        <v>43594</v>
      </c>
      <c r="F1769">
        <v>23657501</v>
      </c>
      <c r="G1769" t="s">
        <v>647</v>
      </c>
      <c r="H1769" t="s">
        <v>1125</v>
      </c>
      <c r="I1769" t="s">
        <v>1126</v>
      </c>
      <c r="J1769">
        <v>1001</v>
      </c>
      <c r="K1769">
        <v>5062</v>
      </c>
      <c r="L1769" s="3">
        <v>-630262.59600000002</v>
      </c>
      <c r="M1769" s="3">
        <v>0</v>
      </c>
      <c r="N1769">
        <v>5268.68</v>
      </c>
      <c r="O1769">
        <v>-1317170</v>
      </c>
      <c r="P1769">
        <v>-635531.27599999995</v>
      </c>
      <c r="Q1769" t="s">
        <v>30</v>
      </c>
      <c r="R1769" t="s">
        <v>446</v>
      </c>
      <c r="S1769" t="str">
        <v>#N/A</v>
      </c>
      <c r="T1769" t="str">
        <v>31</v>
      </c>
    </row>
    <row r="1770" spans="1:20" ht="13.7" customHeight="1" x14ac:dyDescent="0.25">
      <c r="A1770" t="s">
        <v>320</v>
      </c>
      <c r="B1770" t="s">
        <v>321</v>
      </c>
      <c r="C1770" t="s">
        <v>142</v>
      </c>
      <c r="D1770">
        <v>430</v>
      </c>
      <c r="E1770" s="5">
        <v>43595</v>
      </c>
      <c r="F1770">
        <v>23657501</v>
      </c>
      <c r="G1770" t="s">
        <v>647</v>
      </c>
      <c r="H1770" t="s">
        <v>1125</v>
      </c>
      <c r="I1770" t="s">
        <v>1126</v>
      </c>
      <c r="J1770">
        <v>1001</v>
      </c>
      <c r="K1770">
        <v>5062</v>
      </c>
      <c r="L1770" s="3">
        <v>-635531.27599999995</v>
      </c>
      <c r="M1770" s="3">
        <v>0</v>
      </c>
      <c r="N1770">
        <v>1036.8</v>
      </c>
      <c r="O1770">
        <v>-259200</v>
      </c>
      <c r="P1770">
        <v>-636568.076</v>
      </c>
      <c r="Q1770" t="s">
        <v>30</v>
      </c>
      <c r="R1770" t="s">
        <v>447</v>
      </c>
      <c r="S1770" t="str">
        <v>#N/A</v>
      </c>
      <c r="T1770" t="str">
        <v>31</v>
      </c>
    </row>
    <row r="1771" spans="1:20" ht="13.7" customHeight="1" x14ac:dyDescent="0.25">
      <c r="A1771" t="s">
        <v>320</v>
      </c>
      <c r="B1771" t="s">
        <v>321</v>
      </c>
      <c r="C1771" t="s">
        <v>142</v>
      </c>
      <c r="D1771">
        <v>437</v>
      </c>
      <c r="E1771" s="5">
        <v>43606</v>
      </c>
      <c r="F1771">
        <v>23657501</v>
      </c>
      <c r="G1771" t="s">
        <v>647</v>
      </c>
      <c r="H1771" t="s">
        <v>1125</v>
      </c>
      <c r="I1771" t="s">
        <v>1126</v>
      </c>
      <c r="J1771">
        <v>1001</v>
      </c>
      <c r="K1771">
        <v>5062</v>
      </c>
      <c r="L1771" s="3">
        <v>-636568.076</v>
      </c>
      <c r="M1771" s="3">
        <v>0</v>
      </c>
      <c r="N1771">
        <v>5342</v>
      </c>
      <c r="O1771">
        <v>-1335500</v>
      </c>
      <c r="P1771">
        <v>-641910.076</v>
      </c>
      <c r="Q1771" t="s">
        <v>30</v>
      </c>
      <c r="R1771" t="s">
        <v>451</v>
      </c>
      <c r="S1771" t="str">
        <v>#N/A</v>
      </c>
      <c r="T1771" t="str">
        <v>31</v>
      </c>
    </row>
    <row r="1772" spans="1:20" ht="13.7" customHeight="1" x14ac:dyDescent="0.25">
      <c r="A1772" t="s">
        <v>320</v>
      </c>
      <c r="B1772" t="s">
        <v>321</v>
      </c>
      <c r="C1772" t="s">
        <v>142</v>
      </c>
      <c r="D1772">
        <v>442</v>
      </c>
      <c r="E1772" s="5">
        <v>43613</v>
      </c>
      <c r="F1772">
        <v>23657501</v>
      </c>
      <c r="G1772" t="s">
        <v>647</v>
      </c>
      <c r="H1772" t="s">
        <v>1125</v>
      </c>
      <c r="I1772" t="s">
        <v>1126</v>
      </c>
      <c r="J1772">
        <v>1001</v>
      </c>
      <c r="K1772">
        <v>5062</v>
      </c>
      <c r="L1772" s="3">
        <v>-641910.076</v>
      </c>
      <c r="M1772" s="3">
        <v>0</v>
      </c>
      <c r="N1772">
        <v>520</v>
      </c>
      <c r="O1772">
        <v>-130000</v>
      </c>
      <c r="P1772">
        <v>-642430.076</v>
      </c>
      <c r="Q1772" t="s">
        <v>30</v>
      </c>
      <c r="R1772" t="s">
        <v>455</v>
      </c>
      <c r="S1772" t="str">
        <v>#N/A</v>
      </c>
      <c r="T1772" t="str">
        <v>31</v>
      </c>
    </row>
    <row r="1773" spans="1:20" ht="13.7" customHeight="1" x14ac:dyDescent="0.25">
      <c r="A1773" t="s">
        <v>320</v>
      </c>
      <c r="B1773" t="s">
        <v>321</v>
      </c>
      <c r="C1773" t="s">
        <v>142</v>
      </c>
      <c r="D1773">
        <v>447</v>
      </c>
      <c r="E1773" s="5">
        <v>43620</v>
      </c>
      <c r="F1773">
        <v>23657501</v>
      </c>
      <c r="G1773" t="s">
        <v>647</v>
      </c>
      <c r="H1773" t="s">
        <v>1125</v>
      </c>
      <c r="I1773" t="s">
        <v>1126</v>
      </c>
      <c r="J1773">
        <v>1001</v>
      </c>
      <c r="K1773">
        <v>5062</v>
      </c>
      <c r="L1773" s="3">
        <v>-642430.076</v>
      </c>
      <c r="M1773" s="3">
        <v>0</v>
      </c>
      <c r="N1773">
        <v>200</v>
      </c>
      <c r="O1773">
        <v>-50000</v>
      </c>
      <c r="P1773">
        <v>-642630.076</v>
      </c>
      <c r="Q1773" t="s">
        <v>30</v>
      </c>
      <c r="R1773" t="s">
        <v>458</v>
      </c>
      <c r="S1773" t="str">
        <v>#N/A</v>
      </c>
      <c r="T1773" t="str">
        <v>31</v>
      </c>
    </row>
    <row r="1774" spans="1:20" ht="13.7" customHeight="1" x14ac:dyDescent="0.25">
      <c r="A1774" t="s">
        <v>320</v>
      </c>
      <c r="B1774" t="s">
        <v>321</v>
      </c>
      <c r="C1774" t="s">
        <v>142</v>
      </c>
      <c r="D1774">
        <v>455</v>
      </c>
      <c r="E1774" s="5">
        <v>43629</v>
      </c>
      <c r="F1774">
        <v>23657501</v>
      </c>
      <c r="G1774" t="s">
        <v>647</v>
      </c>
      <c r="H1774" t="s">
        <v>1125</v>
      </c>
      <c r="I1774" t="s">
        <v>1126</v>
      </c>
      <c r="J1774">
        <v>1001</v>
      </c>
      <c r="K1774">
        <v>5062</v>
      </c>
      <c r="L1774" s="3">
        <v>-642630.076</v>
      </c>
      <c r="M1774" s="3">
        <v>0</v>
      </c>
      <c r="N1774">
        <v>12696</v>
      </c>
      <c r="O1774">
        <v>-3174000</v>
      </c>
      <c r="P1774">
        <v>-655326.076</v>
      </c>
      <c r="Q1774" t="s">
        <v>30</v>
      </c>
      <c r="R1774" t="s">
        <v>460</v>
      </c>
      <c r="S1774" t="str">
        <v>#N/A</v>
      </c>
      <c r="T1774" t="str">
        <v>31</v>
      </c>
    </row>
    <row r="1775" spans="1:20" ht="13.7" customHeight="1" x14ac:dyDescent="0.25">
      <c r="A1775" t="s">
        <v>320</v>
      </c>
      <c r="B1775" t="s">
        <v>321</v>
      </c>
      <c r="C1775" t="s">
        <v>142</v>
      </c>
      <c r="D1775">
        <v>458</v>
      </c>
      <c r="E1775" s="5">
        <v>43633</v>
      </c>
      <c r="F1775">
        <v>23657501</v>
      </c>
      <c r="G1775" t="s">
        <v>647</v>
      </c>
      <c r="H1775" t="s">
        <v>1125</v>
      </c>
      <c r="I1775" t="s">
        <v>1126</v>
      </c>
      <c r="J1775">
        <v>1001</v>
      </c>
      <c r="K1775">
        <v>5062</v>
      </c>
      <c r="L1775" s="3">
        <v>-655326.076</v>
      </c>
      <c r="M1775" s="3">
        <v>0</v>
      </c>
      <c r="N1775">
        <v>2184</v>
      </c>
      <c r="O1775">
        <v>-546000</v>
      </c>
      <c r="P1775">
        <v>-657510.076</v>
      </c>
      <c r="Q1775" t="s">
        <v>30</v>
      </c>
      <c r="R1775" t="s">
        <v>463</v>
      </c>
      <c r="S1775" t="str">
        <v>#N/A</v>
      </c>
      <c r="T1775" t="str">
        <v>31</v>
      </c>
    </row>
    <row r="1776" spans="1:20" ht="13.7" customHeight="1" x14ac:dyDescent="0.25">
      <c r="A1776" t="s">
        <v>320</v>
      </c>
      <c r="B1776" t="s">
        <v>321</v>
      </c>
      <c r="C1776" t="s">
        <v>142</v>
      </c>
      <c r="D1776">
        <v>459</v>
      </c>
      <c r="E1776" s="5">
        <v>43635</v>
      </c>
      <c r="F1776">
        <v>23657501</v>
      </c>
      <c r="G1776" t="s">
        <v>647</v>
      </c>
      <c r="H1776" t="s">
        <v>1125</v>
      </c>
      <c r="I1776" t="s">
        <v>1126</v>
      </c>
      <c r="J1776">
        <v>1001</v>
      </c>
      <c r="K1776">
        <v>5062</v>
      </c>
      <c r="L1776" s="3">
        <v>-657510.076</v>
      </c>
      <c r="M1776" s="3">
        <v>0</v>
      </c>
      <c r="N1776">
        <v>560</v>
      </c>
      <c r="O1776">
        <v>-140000</v>
      </c>
      <c r="P1776">
        <v>-658070.076</v>
      </c>
      <c r="Q1776" t="s">
        <v>30</v>
      </c>
      <c r="R1776" t="s">
        <v>464</v>
      </c>
      <c r="S1776" t="str">
        <v>#N/A</v>
      </c>
      <c r="T1776" t="str">
        <v>31</v>
      </c>
    </row>
    <row r="1777" spans="1:20" ht="13.7" customHeight="1" x14ac:dyDescent="0.25">
      <c r="A1777" t="s">
        <v>320</v>
      </c>
      <c r="B1777" t="s">
        <v>321</v>
      </c>
      <c r="C1777" t="s">
        <v>142</v>
      </c>
      <c r="D1777">
        <v>461</v>
      </c>
      <c r="E1777" s="5">
        <v>43642</v>
      </c>
      <c r="F1777">
        <v>23657501</v>
      </c>
      <c r="G1777" t="s">
        <v>647</v>
      </c>
      <c r="H1777" t="s">
        <v>1125</v>
      </c>
      <c r="I1777" t="s">
        <v>1126</v>
      </c>
      <c r="J1777">
        <v>1001</v>
      </c>
      <c r="K1777">
        <v>5062</v>
      </c>
      <c r="L1777" s="3">
        <v>-658070.076</v>
      </c>
      <c r="M1777" s="3">
        <v>0</v>
      </c>
      <c r="N1777">
        <v>467.2</v>
      </c>
      <c r="O1777">
        <v>-116800</v>
      </c>
      <c r="P1777">
        <v>-658537.27599999995</v>
      </c>
      <c r="Q1777" t="s">
        <v>30</v>
      </c>
      <c r="R1777" t="s">
        <v>686</v>
      </c>
      <c r="S1777" t="str">
        <v>#N/A</v>
      </c>
      <c r="T1777" t="str">
        <v>31</v>
      </c>
    </row>
    <row r="1778" spans="1:20" ht="13.7" customHeight="1" x14ac:dyDescent="0.25">
      <c r="A1778" t="s">
        <v>320</v>
      </c>
      <c r="B1778" t="s">
        <v>321</v>
      </c>
      <c r="C1778" t="s">
        <v>142</v>
      </c>
      <c r="D1778">
        <v>464</v>
      </c>
      <c r="E1778" s="5">
        <v>43653</v>
      </c>
      <c r="F1778">
        <v>23657501</v>
      </c>
      <c r="G1778" t="s">
        <v>647</v>
      </c>
      <c r="H1778" t="s">
        <v>1125</v>
      </c>
      <c r="I1778" t="s">
        <v>1126</v>
      </c>
      <c r="J1778">
        <v>1001</v>
      </c>
      <c r="K1778">
        <v>5062</v>
      </c>
      <c r="L1778" s="3">
        <v>-658537.27599999995</v>
      </c>
      <c r="M1778" s="3">
        <v>0</v>
      </c>
      <c r="N1778">
        <v>17327.36</v>
      </c>
      <c r="O1778">
        <v>-4331840</v>
      </c>
      <c r="P1778">
        <v>-675864.63600000006</v>
      </c>
      <c r="Q1778" t="s">
        <v>30</v>
      </c>
      <c r="R1778" t="s">
        <v>467</v>
      </c>
      <c r="S1778" t="str">
        <v>#N/A</v>
      </c>
      <c r="T1778" t="str">
        <v>31</v>
      </c>
    </row>
    <row r="1779" spans="1:20" ht="13.7" customHeight="1" x14ac:dyDescent="0.25">
      <c r="A1779" t="s">
        <v>320</v>
      </c>
      <c r="B1779" t="s">
        <v>321</v>
      </c>
      <c r="C1779" t="s">
        <v>142</v>
      </c>
      <c r="D1779">
        <v>467</v>
      </c>
      <c r="E1779" s="5">
        <v>43656</v>
      </c>
      <c r="F1779">
        <v>23657501</v>
      </c>
      <c r="G1779" t="s">
        <v>647</v>
      </c>
      <c r="H1779" t="s">
        <v>1125</v>
      </c>
      <c r="I1779" t="s">
        <v>1126</v>
      </c>
      <c r="J1779">
        <v>1001</v>
      </c>
      <c r="K1779">
        <v>5062</v>
      </c>
      <c r="L1779" s="3">
        <v>-675864.63600000006</v>
      </c>
      <c r="M1779" s="3">
        <v>0</v>
      </c>
      <c r="N1779">
        <v>1446</v>
      </c>
      <c r="O1779">
        <v>-361500</v>
      </c>
      <c r="P1779">
        <v>-677310.63600000006</v>
      </c>
      <c r="Q1779" t="s">
        <v>30</v>
      </c>
      <c r="R1779" t="s">
        <v>469</v>
      </c>
      <c r="S1779" t="str">
        <v>#N/A</v>
      </c>
      <c r="T1779" t="str">
        <v>31</v>
      </c>
    </row>
    <row r="1780" spans="1:20" ht="13.7" customHeight="1" x14ac:dyDescent="0.25">
      <c r="A1780" t="s">
        <v>320</v>
      </c>
      <c r="B1780" t="s">
        <v>321</v>
      </c>
      <c r="C1780" t="s">
        <v>142</v>
      </c>
      <c r="D1780">
        <v>468</v>
      </c>
      <c r="E1780" s="5">
        <v>43665</v>
      </c>
      <c r="F1780">
        <v>23657501</v>
      </c>
      <c r="G1780" t="s">
        <v>647</v>
      </c>
      <c r="H1780" t="s">
        <v>1125</v>
      </c>
      <c r="I1780" t="s">
        <v>1126</v>
      </c>
      <c r="J1780">
        <v>1001</v>
      </c>
      <c r="K1780">
        <v>5062</v>
      </c>
      <c r="L1780" s="3">
        <v>-677310.63600000006</v>
      </c>
      <c r="M1780" s="3">
        <v>0</v>
      </c>
      <c r="N1780">
        <v>612</v>
      </c>
      <c r="O1780">
        <v>-153000</v>
      </c>
      <c r="P1780">
        <v>-677922.63600000006</v>
      </c>
      <c r="Q1780" t="s">
        <v>30</v>
      </c>
      <c r="R1780" t="s">
        <v>470</v>
      </c>
      <c r="S1780" t="str">
        <v>#N/A</v>
      </c>
      <c r="T1780" t="str">
        <v>31</v>
      </c>
    </row>
    <row r="1781" spans="1:20" ht="13.7" customHeight="1" x14ac:dyDescent="0.25">
      <c r="A1781" t="s">
        <v>320</v>
      </c>
      <c r="B1781" t="s">
        <v>321</v>
      </c>
      <c r="C1781" t="s">
        <v>142</v>
      </c>
      <c r="D1781">
        <v>469</v>
      </c>
      <c r="E1781" s="5">
        <v>43670</v>
      </c>
      <c r="F1781">
        <v>23657501</v>
      </c>
      <c r="G1781" t="s">
        <v>647</v>
      </c>
      <c r="H1781" t="s">
        <v>1125</v>
      </c>
      <c r="I1781" t="s">
        <v>1126</v>
      </c>
      <c r="J1781">
        <v>1001</v>
      </c>
      <c r="K1781">
        <v>5062</v>
      </c>
      <c r="L1781" s="3">
        <v>-677922.63600000006</v>
      </c>
      <c r="M1781" s="3">
        <v>0</v>
      </c>
      <c r="N1781">
        <v>35164.120000000003</v>
      </c>
      <c r="O1781">
        <v>-8791030</v>
      </c>
      <c r="P1781">
        <v>-713086.75600000005</v>
      </c>
      <c r="Q1781" t="s">
        <v>30</v>
      </c>
      <c r="R1781" t="s">
        <v>471</v>
      </c>
      <c r="S1781" t="str">
        <v>#N/A</v>
      </c>
      <c r="T1781" t="str">
        <v>31</v>
      </c>
    </row>
    <row r="1782" spans="1:20" ht="13.7" customHeight="1" x14ac:dyDescent="0.25">
      <c r="A1782" t="s">
        <v>320</v>
      </c>
      <c r="B1782" t="s">
        <v>321</v>
      </c>
      <c r="C1782" t="s">
        <v>142</v>
      </c>
      <c r="D1782">
        <v>473</v>
      </c>
      <c r="E1782" s="5">
        <v>43676</v>
      </c>
      <c r="F1782">
        <v>23657501</v>
      </c>
      <c r="G1782" t="s">
        <v>647</v>
      </c>
      <c r="H1782" t="s">
        <v>1125</v>
      </c>
      <c r="I1782" t="s">
        <v>1126</v>
      </c>
      <c r="J1782">
        <v>1001</v>
      </c>
      <c r="K1782">
        <v>5062</v>
      </c>
      <c r="L1782" s="3">
        <v>-713086.75600000005</v>
      </c>
      <c r="M1782" s="3">
        <v>0</v>
      </c>
      <c r="N1782">
        <v>220</v>
      </c>
      <c r="O1782">
        <v>-55000</v>
      </c>
      <c r="P1782">
        <v>-713306.75600000005</v>
      </c>
      <c r="Q1782" t="s">
        <v>30</v>
      </c>
      <c r="R1782" t="s">
        <v>473</v>
      </c>
      <c r="S1782" t="str">
        <v>#N/A</v>
      </c>
      <c r="T1782" t="str">
        <v>31</v>
      </c>
    </row>
    <row r="1783" spans="1:20" ht="13.7" customHeight="1" x14ac:dyDescent="0.25">
      <c r="A1783" t="s">
        <v>320</v>
      </c>
      <c r="B1783" t="s">
        <v>321</v>
      </c>
      <c r="C1783" t="s">
        <v>142</v>
      </c>
      <c r="D1783">
        <v>490</v>
      </c>
      <c r="E1783" s="5">
        <v>43710</v>
      </c>
      <c r="F1783">
        <v>23657501</v>
      </c>
      <c r="G1783" t="s">
        <v>647</v>
      </c>
      <c r="H1783" t="s">
        <v>1125</v>
      </c>
      <c r="I1783" t="s">
        <v>1126</v>
      </c>
      <c r="J1783">
        <v>1001</v>
      </c>
      <c r="K1783">
        <v>5062</v>
      </c>
      <c r="L1783" s="3">
        <v>-713306.75600000005</v>
      </c>
      <c r="M1783" s="3">
        <v>0</v>
      </c>
      <c r="N1783">
        <v>4304.28</v>
      </c>
      <c r="O1783">
        <v>-1076070</v>
      </c>
      <c r="P1783">
        <v>-717611.03599999996</v>
      </c>
      <c r="Q1783" t="s">
        <v>30</v>
      </c>
      <c r="R1783" t="s">
        <v>476</v>
      </c>
      <c r="S1783" t="str">
        <v>#N/A</v>
      </c>
      <c r="T1783" t="str">
        <v>31</v>
      </c>
    </row>
    <row r="1784" spans="1:20" ht="13.7" customHeight="1" x14ac:dyDescent="0.25">
      <c r="A1784" t="s">
        <v>320</v>
      </c>
      <c r="B1784" t="s">
        <v>321</v>
      </c>
      <c r="C1784" t="s">
        <v>142</v>
      </c>
      <c r="D1784">
        <v>492</v>
      </c>
      <c r="E1784" s="5">
        <v>43721</v>
      </c>
      <c r="F1784">
        <v>23657501</v>
      </c>
      <c r="G1784" t="s">
        <v>647</v>
      </c>
      <c r="H1784" t="s">
        <v>1125</v>
      </c>
      <c r="I1784" t="s">
        <v>1126</v>
      </c>
      <c r="J1784">
        <v>1001</v>
      </c>
      <c r="K1784">
        <v>5062</v>
      </c>
      <c r="L1784" s="3">
        <v>-717611.03599999996</v>
      </c>
      <c r="M1784" s="3">
        <v>0</v>
      </c>
      <c r="N1784">
        <v>12927.92</v>
      </c>
      <c r="O1784">
        <v>-3231980</v>
      </c>
      <c r="P1784">
        <v>-730538.95600000001</v>
      </c>
      <c r="Q1784" t="s">
        <v>30</v>
      </c>
      <c r="R1784" t="s">
        <v>618</v>
      </c>
      <c r="S1784" t="str">
        <v>#N/A</v>
      </c>
      <c r="T1784" t="str">
        <v>31</v>
      </c>
    </row>
    <row r="1785" spans="1:20" ht="13.7" customHeight="1" x14ac:dyDescent="0.25">
      <c r="A1785" t="s">
        <v>320</v>
      </c>
      <c r="B1785" t="s">
        <v>321</v>
      </c>
      <c r="C1785" t="s">
        <v>142</v>
      </c>
      <c r="D1785">
        <v>495</v>
      </c>
      <c r="E1785" s="5">
        <v>43727</v>
      </c>
      <c r="F1785">
        <v>23657501</v>
      </c>
      <c r="G1785" t="s">
        <v>647</v>
      </c>
      <c r="H1785" t="s">
        <v>1125</v>
      </c>
      <c r="I1785" t="s">
        <v>1126</v>
      </c>
      <c r="J1785">
        <v>1001</v>
      </c>
      <c r="K1785">
        <v>5062</v>
      </c>
      <c r="L1785" s="3">
        <v>-730538.95600000001</v>
      </c>
      <c r="M1785" s="3">
        <v>0</v>
      </c>
      <c r="N1785">
        <v>2600</v>
      </c>
      <c r="O1785">
        <v>-650000</v>
      </c>
      <c r="P1785">
        <v>-733138.95600000001</v>
      </c>
      <c r="Q1785" t="s">
        <v>30</v>
      </c>
      <c r="R1785" t="s">
        <v>480</v>
      </c>
      <c r="S1785" t="str">
        <v>#N/A</v>
      </c>
      <c r="T1785" t="str">
        <v>31</v>
      </c>
    </row>
    <row r="1786" spans="1:20" ht="13.7" customHeight="1" x14ac:dyDescent="0.25">
      <c r="A1786" t="s">
        <v>320</v>
      </c>
      <c r="B1786" t="s">
        <v>321</v>
      </c>
      <c r="C1786" t="s">
        <v>142</v>
      </c>
      <c r="D1786">
        <v>497</v>
      </c>
      <c r="E1786" s="5">
        <v>43728</v>
      </c>
      <c r="F1786">
        <v>23657501</v>
      </c>
      <c r="G1786" t="s">
        <v>647</v>
      </c>
      <c r="H1786" t="s">
        <v>1125</v>
      </c>
      <c r="I1786" t="s">
        <v>1126</v>
      </c>
      <c r="J1786">
        <v>1001</v>
      </c>
      <c r="K1786">
        <v>5062</v>
      </c>
      <c r="L1786" s="3">
        <v>-733138.95600000001</v>
      </c>
      <c r="M1786" s="3">
        <v>0</v>
      </c>
      <c r="N1786">
        <v>24000</v>
      </c>
      <c r="O1786">
        <v>-6000000</v>
      </c>
      <c r="P1786">
        <v>-757138.95600000001</v>
      </c>
      <c r="Q1786" t="s">
        <v>30</v>
      </c>
      <c r="R1786" t="s">
        <v>482</v>
      </c>
      <c r="S1786" t="str">
        <v>#N/A</v>
      </c>
      <c r="T1786" t="str">
        <v>31</v>
      </c>
    </row>
    <row r="1787" spans="1:20" ht="13.7" customHeight="1" x14ac:dyDescent="0.25">
      <c r="A1787" t="s">
        <v>320</v>
      </c>
      <c r="B1787" t="s">
        <v>321</v>
      </c>
      <c r="C1787" t="s">
        <v>142</v>
      </c>
      <c r="D1787">
        <v>501</v>
      </c>
      <c r="E1787" s="5">
        <v>43738</v>
      </c>
      <c r="F1787">
        <v>23657501</v>
      </c>
      <c r="G1787" t="s">
        <v>647</v>
      </c>
      <c r="H1787" t="s">
        <v>1125</v>
      </c>
      <c r="I1787" t="s">
        <v>1126</v>
      </c>
      <c r="J1787">
        <v>1001</v>
      </c>
      <c r="K1787">
        <v>5062</v>
      </c>
      <c r="L1787" s="3">
        <v>-757138.95600000001</v>
      </c>
      <c r="M1787" s="3">
        <v>0</v>
      </c>
      <c r="N1787">
        <v>8383.86</v>
      </c>
      <c r="O1787">
        <v>-2095965</v>
      </c>
      <c r="P1787">
        <v>-765522.81599999999</v>
      </c>
      <c r="Q1787" t="s">
        <v>30</v>
      </c>
      <c r="R1787" t="s">
        <v>486</v>
      </c>
      <c r="S1787" t="str">
        <v>#N/A</v>
      </c>
      <c r="T1787" t="str">
        <v>31</v>
      </c>
    </row>
    <row r="1788" spans="1:20" ht="13.7" customHeight="1" x14ac:dyDescent="0.25">
      <c r="A1788" t="s">
        <v>320</v>
      </c>
      <c r="B1788" t="s">
        <v>321</v>
      </c>
      <c r="C1788" t="s">
        <v>142</v>
      </c>
      <c r="D1788">
        <v>502</v>
      </c>
      <c r="E1788" s="5">
        <v>43738</v>
      </c>
      <c r="F1788">
        <v>23657501</v>
      </c>
      <c r="G1788" t="s">
        <v>647</v>
      </c>
      <c r="H1788" t="s">
        <v>1125</v>
      </c>
      <c r="I1788" t="s">
        <v>1126</v>
      </c>
      <c r="J1788">
        <v>1001</v>
      </c>
      <c r="K1788">
        <v>5062</v>
      </c>
      <c r="L1788" s="3">
        <v>-765522.81599999999</v>
      </c>
      <c r="M1788" s="3">
        <v>0</v>
      </c>
      <c r="N1788">
        <v>592</v>
      </c>
      <c r="O1788">
        <v>-148000</v>
      </c>
      <c r="P1788">
        <v>-766114.81599999999</v>
      </c>
      <c r="Q1788" t="s">
        <v>30</v>
      </c>
      <c r="R1788" t="s">
        <v>487</v>
      </c>
      <c r="S1788" t="str">
        <v>#N/A</v>
      </c>
      <c r="T1788" t="str">
        <v>31</v>
      </c>
    </row>
    <row r="1789" spans="1:20" ht="13.7" customHeight="1" x14ac:dyDescent="0.25">
      <c r="A1789" t="s">
        <v>320</v>
      </c>
      <c r="B1789" t="s">
        <v>321</v>
      </c>
      <c r="C1789" t="s">
        <v>142</v>
      </c>
      <c r="D1789">
        <v>504</v>
      </c>
      <c r="E1789" s="5">
        <v>43741</v>
      </c>
      <c r="F1789">
        <v>23657501</v>
      </c>
      <c r="G1789" t="s">
        <v>647</v>
      </c>
      <c r="H1789" t="s">
        <v>1125</v>
      </c>
      <c r="I1789" t="s">
        <v>1126</v>
      </c>
      <c r="J1789">
        <v>1001</v>
      </c>
      <c r="K1789">
        <v>5062</v>
      </c>
      <c r="L1789" s="3">
        <v>-766114.81599999999</v>
      </c>
      <c r="M1789" s="3">
        <v>0</v>
      </c>
      <c r="N1789">
        <v>11544</v>
      </c>
      <c r="O1789">
        <v>-2886000</v>
      </c>
      <c r="P1789">
        <v>-777658.81599999999</v>
      </c>
      <c r="Q1789" t="s">
        <v>30</v>
      </c>
      <c r="R1789" t="s">
        <v>619</v>
      </c>
      <c r="S1789" t="str">
        <v>#N/A</v>
      </c>
      <c r="T1789" t="str">
        <v>31</v>
      </c>
    </row>
    <row r="1790" spans="1:20" ht="13.7" customHeight="1" x14ac:dyDescent="0.25">
      <c r="A1790" t="s">
        <v>320</v>
      </c>
      <c r="B1790" t="s">
        <v>321</v>
      </c>
      <c r="C1790" t="s">
        <v>142</v>
      </c>
      <c r="D1790">
        <v>508</v>
      </c>
      <c r="E1790" s="5">
        <v>43748</v>
      </c>
      <c r="F1790">
        <v>23657501</v>
      </c>
      <c r="G1790" t="s">
        <v>647</v>
      </c>
      <c r="H1790" t="s">
        <v>1125</v>
      </c>
      <c r="I1790" t="s">
        <v>1126</v>
      </c>
      <c r="J1790">
        <v>1001</v>
      </c>
      <c r="K1790">
        <v>5062</v>
      </c>
      <c r="L1790" s="3">
        <v>-777658.81599999999</v>
      </c>
      <c r="M1790" s="3">
        <v>0</v>
      </c>
      <c r="N1790">
        <v>16054.388000000001</v>
      </c>
      <c r="O1790">
        <v>-4013597</v>
      </c>
      <c r="P1790">
        <v>-793713.20400000003</v>
      </c>
      <c r="Q1790" t="s">
        <v>30</v>
      </c>
      <c r="R1790" t="s">
        <v>493</v>
      </c>
      <c r="S1790" t="str">
        <v>#N/A</v>
      </c>
      <c r="T1790" t="str">
        <v>31</v>
      </c>
    </row>
    <row r="1791" spans="1:20" ht="13.7" customHeight="1" x14ac:dyDescent="0.25">
      <c r="A1791" t="s">
        <v>320</v>
      </c>
      <c r="B1791" t="s">
        <v>321</v>
      </c>
      <c r="C1791" t="s">
        <v>142</v>
      </c>
      <c r="D1791">
        <v>510</v>
      </c>
      <c r="E1791" s="5">
        <v>43749</v>
      </c>
      <c r="F1791">
        <v>23657501</v>
      </c>
      <c r="G1791" t="s">
        <v>647</v>
      </c>
      <c r="H1791" t="s">
        <v>1125</v>
      </c>
      <c r="I1791" t="s">
        <v>1126</v>
      </c>
      <c r="J1791">
        <v>1001</v>
      </c>
      <c r="K1791">
        <v>5062</v>
      </c>
      <c r="L1791" s="3">
        <v>-793713.20400000003</v>
      </c>
      <c r="M1791" s="3">
        <v>0</v>
      </c>
      <c r="N1791">
        <v>832</v>
      </c>
      <c r="O1791">
        <v>-208000</v>
      </c>
      <c r="P1791">
        <v>-794545.20400000003</v>
      </c>
      <c r="Q1791" t="s">
        <v>30</v>
      </c>
      <c r="R1791" t="s">
        <v>495</v>
      </c>
      <c r="S1791" t="str">
        <v>#N/A</v>
      </c>
      <c r="T1791" t="str">
        <v>31</v>
      </c>
    </row>
    <row r="1792" spans="1:20" ht="13.7" customHeight="1" x14ac:dyDescent="0.25">
      <c r="A1792" t="s">
        <v>320</v>
      </c>
      <c r="B1792" t="s">
        <v>321</v>
      </c>
      <c r="C1792" t="s">
        <v>142</v>
      </c>
      <c r="D1792">
        <v>511</v>
      </c>
      <c r="E1792" s="5">
        <v>43754</v>
      </c>
      <c r="F1792">
        <v>23657501</v>
      </c>
      <c r="G1792" t="s">
        <v>647</v>
      </c>
      <c r="H1792" t="s">
        <v>1125</v>
      </c>
      <c r="I1792" t="s">
        <v>1126</v>
      </c>
      <c r="J1792">
        <v>1001</v>
      </c>
      <c r="K1792">
        <v>5062</v>
      </c>
      <c r="L1792" s="3">
        <v>-794545.20400000003</v>
      </c>
      <c r="M1792" s="3">
        <v>0</v>
      </c>
      <c r="N1792">
        <v>2876.8</v>
      </c>
      <c r="O1792">
        <v>-719200</v>
      </c>
      <c r="P1792">
        <v>-797422.00399999996</v>
      </c>
      <c r="Q1792" t="s">
        <v>30</v>
      </c>
      <c r="R1792" t="s">
        <v>496</v>
      </c>
      <c r="S1792" t="str">
        <v>#N/A</v>
      </c>
      <c r="T1792" t="str">
        <v>31</v>
      </c>
    </row>
    <row r="1793" spans="1:20" ht="13.7" customHeight="1" x14ac:dyDescent="0.25">
      <c r="A1793" t="s">
        <v>320</v>
      </c>
      <c r="B1793" t="s">
        <v>321</v>
      </c>
      <c r="C1793" t="s">
        <v>142</v>
      </c>
      <c r="D1793">
        <v>514</v>
      </c>
      <c r="E1793" s="5">
        <v>43759</v>
      </c>
      <c r="F1793">
        <v>23657501</v>
      </c>
      <c r="G1793" t="s">
        <v>647</v>
      </c>
      <c r="H1793" t="s">
        <v>1125</v>
      </c>
      <c r="I1793" t="s">
        <v>1126</v>
      </c>
      <c r="J1793">
        <v>1001</v>
      </c>
      <c r="K1793">
        <v>5062</v>
      </c>
      <c r="L1793" s="3">
        <v>-797422.00399999996</v>
      </c>
      <c r="M1793" s="3">
        <v>0</v>
      </c>
      <c r="N1793">
        <v>280</v>
      </c>
      <c r="O1793">
        <v>-70000</v>
      </c>
      <c r="P1793">
        <v>-797702.00399999996</v>
      </c>
      <c r="Q1793" t="s">
        <v>30</v>
      </c>
      <c r="R1793" t="s">
        <v>499</v>
      </c>
      <c r="S1793" t="str">
        <v>#N/A</v>
      </c>
      <c r="T1793" t="str">
        <v>31</v>
      </c>
    </row>
    <row r="1794" spans="1:20" ht="13.7" customHeight="1" x14ac:dyDescent="0.25">
      <c r="A1794" t="s">
        <v>320</v>
      </c>
      <c r="B1794" t="s">
        <v>321</v>
      </c>
      <c r="C1794" t="s">
        <v>142</v>
      </c>
      <c r="D1794">
        <v>522</v>
      </c>
      <c r="E1794" s="5">
        <v>43768</v>
      </c>
      <c r="F1794">
        <v>23657501</v>
      </c>
      <c r="G1794" t="s">
        <v>647</v>
      </c>
      <c r="H1794" t="s">
        <v>1125</v>
      </c>
      <c r="I1794" t="s">
        <v>1126</v>
      </c>
      <c r="J1794">
        <v>1001</v>
      </c>
      <c r="K1794">
        <v>5062</v>
      </c>
      <c r="L1794" s="3">
        <v>-797702.00399999996</v>
      </c>
      <c r="M1794" s="3">
        <v>0</v>
      </c>
      <c r="N1794">
        <v>2963.2559999999999</v>
      </c>
      <c r="O1794">
        <v>-740814</v>
      </c>
      <c r="P1794">
        <v>-800665.26</v>
      </c>
      <c r="Q1794" t="s">
        <v>30</v>
      </c>
      <c r="R1794" t="s">
        <v>504</v>
      </c>
      <c r="S1794" t="str">
        <v>#N/A</v>
      </c>
      <c r="T1794" t="str">
        <v>31</v>
      </c>
    </row>
    <row r="1795" spans="1:20" ht="13.7" customHeight="1" x14ac:dyDescent="0.25">
      <c r="A1795" t="s">
        <v>320</v>
      </c>
      <c r="B1795" t="s">
        <v>321</v>
      </c>
      <c r="C1795" t="s">
        <v>142</v>
      </c>
      <c r="D1795">
        <v>523</v>
      </c>
      <c r="E1795" s="5">
        <v>43770</v>
      </c>
      <c r="F1795">
        <v>23657501</v>
      </c>
      <c r="G1795" t="s">
        <v>647</v>
      </c>
      <c r="H1795" t="s">
        <v>1125</v>
      </c>
      <c r="I1795" t="s">
        <v>1126</v>
      </c>
      <c r="J1795">
        <v>1001</v>
      </c>
      <c r="K1795">
        <v>5062</v>
      </c>
      <c r="L1795" s="3">
        <v>-800665.26</v>
      </c>
      <c r="M1795" s="3">
        <v>0</v>
      </c>
      <c r="N1795">
        <v>3280</v>
      </c>
      <c r="O1795">
        <v>-820000</v>
      </c>
      <c r="P1795">
        <v>-803945.26</v>
      </c>
      <c r="Q1795" t="s">
        <v>30</v>
      </c>
      <c r="R1795" t="s">
        <v>505</v>
      </c>
      <c r="S1795" t="str">
        <v>#N/A</v>
      </c>
      <c r="T1795" t="str">
        <v>31</v>
      </c>
    </row>
    <row r="1796" spans="1:20" ht="13.7" customHeight="1" x14ac:dyDescent="0.25">
      <c r="A1796" t="s">
        <v>320</v>
      </c>
      <c r="B1796" t="s">
        <v>321</v>
      </c>
      <c r="C1796" t="s">
        <v>142</v>
      </c>
      <c r="D1796">
        <v>524</v>
      </c>
      <c r="E1796" s="5">
        <v>43770</v>
      </c>
      <c r="F1796">
        <v>23657501</v>
      </c>
      <c r="G1796" t="s">
        <v>647</v>
      </c>
      <c r="H1796" t="s">
        <v>1125</v>
      </c>
      <c r="I1796" t="s">
        <v>1126</v>
      </c>
      <c r="J1796">
        <v>1001</v>
      </c>
      <c r="K1796">
        <v>5062</v>
      </c>
      <c r="L1796" s="3">
        <v>-803945.26</v>
      </c>
      <c r="M1796" s="3">
        <v>0</v>
      </c>
      <c r="N1796">
        <v>4028</v>
      </c>
      <c r="O1796">
        <v>-1007000</v>
      </c>
      <c r="P1796">
        <v>-807973.26</v>
      </c>
      <c r="Q1796" t="s">
        <v>30</v>
      </c>
      <c r="R1796" t="s">
        <v>506</v>
      </c>
      <c r="S1796" t="str">
        <v>#N/A</v>
      </c>
      <c r="T1796" t="str">
        <v>31</v>
      </c>
    </row>
    <row r="1797" spans="1:20" ht="13.7" customHeight="1" x14ac:dyDescent="0.25">
      <c r="A1797" t="s">
        <v>320</v>
      </c>
      <c r="B1797" t="s">
        <v>321</v>
      </c>
      <c r="C1797" t="s">
        <v>142</v>
      </c>
      <c r="D1797">
        <v>527</v>
      </c>
      <c r="E1797" s="5">
        <v>43778</v>
      </c>
      <c r="F1797">
        <v>23657501</v>
      </c>
      <c r="G1797" t="s">
        <v>647</v>
      </c>
      <c r="H1797" t="s">
        <v>1125</v>
      </c>
      <c r="I1797" t="s">
        <v>1126</v>
      </c>
      <c r="J1797">
        <v>1001</v>
      </c>
      <c r="K1797">
        <v>5062</v>
      </c>
      <c r="L1797" s="3">
        <v>-807973.26</v>
      </c>
      <c r="M1797" s="3">
        <v>0</v>
      </c>
      <c r="N1797">
        <v>1768</v>
      </c>
      <c r="O1797">
        <v>-442000</v>
      </c>
      <c r="P1797">
        <v>-809741.26</v>
      </c>
      <c r="Q1797" t="s">
        <v>30</v>
      </c>
      <c r="R1797" t="s">
        <v>509</v>
      </c>
      <c r="S1797" t="str">
        <v>#N/A</v>
      </c>
      <c r="T1797" t="str">
        <v>31</v>
      </c>
    </row>
    <row r="1798" spans="1:20" ht="13.7" customHeight="1" x14ac:dyDescent="0.25">
      <c r="A1798" t="s">
        <v>320</v>
      </c>
      <c r="B1798" t="s">
        <v>321</v>
      </c>
      <c r="C1798" t="s">
        <v>142</v>
      </c>
      <c r="D1798">
        <v>529</v>
      </c>
      <c r="E1798" s="5">
        <v>43784</v>
      </c>
      <c r="F1798">
        <v>23657501</v>
      </c>
      <c r="G1798" t="s">
        <v>647</v>
      </c>
      <c r="H1798" t="s">
        <v>1125</v>
      </c>
      <c r="I1798" t="s">
        <v>1126</v>
      </c>
      <c r="J1798">
        <v>1001</v>
      </c>
      <c r="K1798">
        <v>5062</v>
      </c>
      <c r="L1798" s="3">
        <v>-809741.26</v>
      </c>
      <c r="M1798" s="3">
        <v>0</v>
      </c>
      <c r="N1798">
        <v>314</v>
      </c>
      <c r="O1798">
        <v>-78500</v>
      </c>
      <c r="P1798">
        <v>-810055.26</v>
      </c>
      <c r="Q1798" t="s">
        <v>30</v>
      </c>
      <c r="R1798" t="s">
        <v>511</v>
      </c>
      <c r="S1798" t="str">
        <v>#N/A</v>
      </c>
      <c r="T1798" t="str">
        <v>31</v>
      </c>
    </row>
    <row r="1799" spans="1:20" ht="13.7" customHeight="1" x14ac:dyDescent="0.25">
      <c r="A1799" t="s">
        <v>320</v>
      </c>
      <c r="B1799" t="s">
        <v>321</v>
      </c>
      <c r="C1799" t="s">
        <v>142</v>
      </c>
      <c r="D1799">
        <v>531</v>
      </c>
      <c r="E1799" s="5">
        <v>43787</v>
      </c>
      <c r="F1799">
        <v>23657501</v>
      </c>
      <c r="G1799" t="s">
        <v>647</v>
      </c>
      <c r="H1799" t="s">
        <v>1125</v>
      </c>
      <c r="I1799" t="s">
        <v>1126</v>
      </c>
      <c r="J1799">
        <v>1001</v>
      </c>
      <c r="K1799">
        <v>5062</v>
      </c>
      <c r="L1799" s="3">
        <v>-810055.26</v>
      </c>
      <c r="M1799" s="3">
        <v>0</v>
      </c>
      <c r="N1799">
        <v>1021.8</v>
      </c>
      <c r="O1799">
        <v>-255450</v>
      </c>
      <c r="P1799">
        <v>-811077.06</v>
      </c>
      <c r="Q1799" t="s">
        <v>30</v>
      </c>
      <c r="R1799" t="s">
        <v>687</v>
      </c>
      <c r="S1799" t="str">
        <v>#N/A</v>
      </c>
      <c r="T1799" t="str">
        <v>31</v>
      </c>
    </row>
    <row r="1800" spans="1:20" ht="13.7" customHeight="1" x14ac:dyDescent="0.25">
      <c r="A1800" t="s">
        <v>320</v>
      </c>
      <c r="B1800" t="s">
        <v>321</v>
      </c>
      <c r="C1800" t="s">
        <v>142</v>
      </c>
      <c r="D1800">
        <v>532</v>
      </c>
      <c r="E1800" s="5">
        <v>43789</v>
      </c>
      <c r="F1800">
        <v>23657501</v>
      </c>
      <c r="G1800" t="s">
        <v>647</v>
      </c>
      <c r="H1800" t="s">
        <v>1125</v>
      </c>
      <c r="I1800" t="s">
        <v>1126</v>
      </c>
      <c r="J1800">
        <v>1001</v>
      </c>
      <c r="K1800">
        <v>5062</v>
      </c>
      <c r="L1800" s="3">
        <v>-811077.06</v>
      </c>
      <c r="M1800" s="3">
        <v>0</v>
      </c>
      <c r="N1800">
        <v>800</v>
      </c>
      <c r="O1800">
        <v>-200000</v>
      </c>
      <c r="P1800">
        <v>-811877.06</v>
      </c>
      <c r="Q1800" t="s">
        <v>30</v>
      </c>
      <c r="R1800" t="s">
        <v>514</v>
      </c>
      <c r="S1800" t="str">
        <v>#N/A</v>
      </c>
      <c r="T1800" t="str">
        <v>31</v>
      </c>
    </row>
    <row r="1801" spans="1:20" ht="13.7" customHeight="1" x14ac:dyDescent="0.25">
      <c r="A1801" t="s">
        <v>320</v>
      </c>
      <c r="B1801" t="s">
        <v>321</v>
      </c>
      <c r="C1801" t="s">
        <v>142</v>
      </c>
      <c r="D1801">
        <v>533</v>
      </c>
      <c r="E1801" s="5">
        <v>43794</v>
      </c>
      <c r="F1801">
        <v>23657501</v>
      </c>
      <c r="G1801" t="s">
        <v>647</v>
      </c>
      <c r="H1801" t="s">
        <v>1125</v>
      </c>
      <c r="I1801" t="s">
        <v>1126</v>
      </c>
      <c r="J1801">
        <v>1001</v>
      </c>
      <c r="K1801">
        <v>5062</v>
      </c>
      <c r="L1801" s="3">
        <v>-811877.06</v>
      </c>
      <c r="M1801" s="3">
        <v>0</v>
      </c>
      <c r="N1801">
        <v>1344</v>
      </c>
      <c r="O1801">
        <v>-336000</v>
      </c>
      <c r="P1801">
        <v>-813221.06</v>
      </c>
      <c r="Q1801" t="s">
        <v>30</v>
      </c>
      <c r="R1801" t="s">
        <v>515</v>
      </c>
      <c r="S1801" t="str">
        <v>#N/A</v>
      </c>
      <c r="T1801" t="str">
        <v>31</v>
      </c>
    </row>
    <row r="1802" spans="1:20" ht="13.7" customHeight="1" x14ac:dyDescent="0.25">
      <c r="A1802" t="s">
        <v>320</v>
      </c>
      <c r="B1802" t="s">
        <v>321</v>
      </c>
      <c r="C1802" t="s">
        <v>142</v>
      </c>
      <c r="D1802">
        <v>535</v>
      </c>
      <c r="E1802" s="5">
        <v>43796</v>
      </c>
      <c r="F1802">
        <v>23657501</v>
      </c>
      <c r="G1802" t="s">
        <v>647</v>
      </c>
      <c r="H1802" t="s">
        <v>1125</v>
      </c>
      <c r="I1802" t="s">
        <v>1126</v>
      </c>
      <c r="J1802">
        <v>1001</v>
      </c>
      <c r="K1802">
        <v>5062</v>
      </c>
      <c r="L1802" s="3">
        <v>-813221.06</v>
      </c>
      <c r="M1802" s="3">
        <v>0</v>
      </c>
      <c r="N1802">
        <v>9026.52</v>
      </c>
      <c r="O1802">
        <v>-2256630</v>
      </c>
      <c r="P1802">
        <v>-822247.58</v>
      </c>
      <c r="Q1802" t="s">
        <v>30</v>
      </c>
      <c r="R1802" t="s">
        <v>517</v>
      </c>
      <c r="S1802" t="str">
        <v>#N/A</v>
      </c>
      <c r="T1802" t="str">
        <v>31</v>
      </c>
    </row>
    <row r="1803" spans="1:20" ht="13.7" customHeight="1" x14ac:dyDescent="0.25">
      <c r="E1803" s="5">
        <v>43465</v>
      </c>
      <c r="F1803">
        <v>23657501</v>
      </c>
      <c r="G1803" t="s">
        <v>647</v>
      </c>
      <c r="H1803" t="s">
        <v>1131</v>
      </c>
      <c r="I1803" t="s">
        <v>1132</v>
      </c>
      <c r="J1803">
        <v>0</v>
      </c>
      <c r="K1803">
        <v>0</v>
      </c>
      <c r="L1803" s="3">
        <v>-106975.2</v>
      </c>
      <c r="M1803" s="3">
        <v>0</v>
      </c>
      <c r="N1803">
        <v>0</v>
      </c>
      <c r="O1803">
        <v>-26743800</v>
      </c>
      <c r="P1803">
        <v>-106975.2</v>
      </c>
      <c r="R1803" t="s">
        <v>1100</v>
      </c>
      <c r="S1803" t="str">
        <v>#N/A</v>
      </c>
      <c r="T1803" t="str">
        <v>#N/A</v>
      </c>
    </row>
    <row r="1804" spans="1:20" ht="13.7" customHeight="1" x14ac:dyDescent="0.25">
      <c r="A1804" t="s">
        <v>320</v>
      </c>
      <c r="B1804" t="s">
        <v>321</v>
      </c>
      <c r="C1804" t="s">
        <v>142</v>
      </c>
      <c r="D1804">
        <v>354</v>
      </c>
      <c r="E1804" s="5">
        <v>43501</v>
      </c>
      <c r="F1804">
        <v>23657501</v>
      </c>
      <c r="G1804" t="s">
        <v>647</v>
      </c>
      <c r="H1804" t="s">
        <v>1131</v>
      </c>
      <c r="I1804" t="s">
        <v>1132</v>
      </c>
      <c r="J1804">
        <v>1001</v>
      </c>
      <c r="K1804">
        <v>5062</v>
      </c>
      <c r="L1804" s="3">
        <v>-106975.2</v>
      </c>
      <c r="M1804" s="3">
        <v>0</v>
      </c>
      <c r="N1804">
        <v>9960</v>
      </c>
      <c r="O1804">
        <v>-2490000</v>
      </c>
      <c r="P1804">
        <v>-116935.2</v>
      </c>
      <c r="Q1804" t="s">
        <v>30</v>
      </c>
      <c r="R1804" t="s">
        <v>670</v>
      </c>
      <c r="S1804" t="str">
        <v>#N/A</v>
      </c>
      <c r="T1804" t="str">
        <v>#N/A</v>
      </c>
    </row>
    <row r="1805" spans="1:20" ht="13.7" customHeight="1" x14ac:dyDescent="0.25">
      <c r="A1805" t="s">
        <v>320</v>
      </c>
      <c r="B1805" t="s">
        <v>321</v>
      </c>
      <c r="C1805" t="s">
        <v>142</v>
      </c>
      <c r="D1805">
        <v>376</v>
      </c>
      <c r="E1805" s="5">
        <v>43525</v>
      </c>
      <c r="F1805">
        <v>23657501</v>
      </c>
      <c r="G1805" t="s">
        <v>647</v>
      </c>
      <c r="H1805" t="s">
        <v>1131</v>
      </c>
      <c r="I1805" t="s">
        <v>1132</v>
      </c>
      <c r="J1805">
        <v>1001</v>
      </c>
      <c r="K1805">
        <v>5062</v>
      </c>
      <c r="L1805" s="3">
        <v>-116935.2</v>
      </c>
      <c r="M1805" s="3">
        <v>0</v>
      </c>
      <c r="N1805">
        <v>25610</v>
      </c>
      <c r="O1805">
        <v>-6402500</v>
      </c>
      <c r="P1805">
        <v>-142545.20000000001</v>
      </c>
      <c r="Q1805" t="s">
        <v>30</v>
      </c>
      <c r="R1805" t="s">
        <v>684</v>
      </c>
      <c r="S1805" t="str">
        <v>#N/A</v>
      </c>
      <c r="T1805" t="str">
        <v>#N/A</v>
      </c>
    </row>
    <row r="1806" spans="1:20" ht="13.7" customHeight="1" x14ac:dyDescent="0.25">
      <c r="A1806" t="s">
        <v>320</v>
      </c>
      <c r="B1806" t="s">
        <v>321</v>
      </c>
      <c r="C1806" t="s">
        <v>142</v>
      </c>
      <c r="D1806">
        <v>457</v>
      </c>
      <c r="E1806" s="5">
        <v>43630</v>
      </c>
      <c r="F1806">
        <v>23657501</v>
      </c>
      <c r="G1806" t="s">
        <v>647</v>
      </c>
      <c r="H1806" t="s">
        <v>1131</v>
      </c>
      <c r="I1806" t="s">
        <v>1132</v>
      </c>
      <c r="J1806">
        <v>1001</v>
      </c>
      <c r="K1806">
        <v>5062</v>
      </c>
      <c r="L1806" s="3">
        <v>-142545.20000000001</v>
      </c>
      <c r="M1806" s="3">
        <v>0</v>
      </c>
      <c r="N1806">
        <v>6883.2</v>
      </c>
      <c r="O1806">
        <v>-1720800</v>
      </c>
      <c r="P1806">
        <v>-149428.4</v>
      </c>
      <c r="Q1806" t="s">
        <v>30</v>
      </c>
      <c r="R1806" t="s">
        <v>462</v>
      </c>
      <c r="S1806" t="str">
        <v>#N/A</v>
      </c>
      <c r="T1806" t="str">
        <v>#N/A</v>
      </c>
    </row>
    <row r="1807" spans="1:20" ht="13.7" customHeight="1" x14ac:dyDescent="0.25">
      <c r="A1807" t="s">
        <v>320</v>
      </c>
      <c r="B1807" t="s">
        <v>321</v>
      </c>
      <c r="C1807" t="s">
        <v>142</v>
      </c>
      <c r="D1807">
        <v>498</v>
      </c>
      <c r="E1807" s="5">
        <v>43732</v>
      </c>
      <c r="F1807">
        <v>23657501</v>
      </c>
      <c r="G1807" t="s">
        <v>647</v>
      </c>
      <c r="H1807" t="s">
        <v>1131</v>
      </c>
      <c r="I1807" t="s">
        <v>1132</v>
      </c>
      <c r="J1807">
        <v>1001</v>
      </c>
      <c r="K1807">
        <v>5062</v>
      </c>
      <c r="L1807" s="3">
        <v>-149428.4</v>
      </c>
      <c r="M1807" s="3">
        <v>0</v>
      </c>
      <c r="N1807">
        <v>8666</v>
      </c>
      <c r="O1807">
        <v>-2166500</v>
      </c>
      <c r="P1807">
        <v>-158094.39999999999</v>
      </c>
      <c r="Q1807" t="s">
        <v>30</v>
      </c>
      <c r="R1807" t="s">
        <v>483</v>
      </c>
      <c r="S1807" t="str">
        <v>#N/A</v>
      </c>
      <c r="T1807" t="str">
        <v>#N/A</v>
      </c>
    </row>
    <row r="1808" spans="1:20" ht="13.7" customHeight="1" x14ac:dyDescent="0.25">
      <c r="E1808" s="5">
        <v>43465</v>
      </c>
      <c r="F1808">
        <v>23657501</v>
      </c>
      <c r="G1808" t="s">
        <v>647</v>
      </c>
      <c r="H1808" t="s">
        <v>1133</v>
      </c>
      <c r="I1808" t="s">
        <v>1134</v>
      </c>
      <c r="J1808">
        <v>0</v>
      </c>
      <c r="K1808">
        <v>0</v>
      </c>
      <c r="L1808" s="3">
        <v>-3416.232</v>
      </c>
      <c r="M1808" s="3">
        <v>0</v>
      </c>
      <c r="N1808">
        <v>0</v>
      </c>
      <c r="O1808">
        <v>-854058</v>
      </c>
      <c r="P1808">
        <v>-3416.232</v>
      </c>
      <c r="R1808" t="s">
        <v>1100</v>
      </c>
      <c r="S1808" t="str">
        <v>#N/A</v>
      </c>
      <c r="T1808" t="str">
        <v>#N/A</v>
      </c>
    </row>
    <row r="1809" spans="1:20" ht="13.7" customHeight="1" x14ac:dyDescent="0.25">
      <c r="A1809" t="s">
        <v>320</v>
      </c>
      <c r="B1809" t="s">
        <v>321</v>
      </c>
      <c r="C1809" t="s">
        <v>142</v>
      </c>
      <c r="D1809">
        <v>367</v>
      </c>
      <c r="E1809" s="5">
        <v>43512</v>
      </c>
      <c r="F1809">
        <v>23657501</v>
      </c>
      <c r="G1809" t="s">
        <v>647</v>
      </c>
      <c r="H1809" t="s">
        <v>1133</v>
      </c>
      <c r="I1809" t="s">
        <v>1134</v>
      </c>
      <c r="J1809">
        <v>1001</v>
      </c>
      <c r="K1809">
        <v>5062</v>
      </c>
      <c r="L1809" s="3">
        <v>-3416.232</v>
      </c>
      <c r="M1809" s="3">
        <v>0</v>
      </c>
      <c r="N1809">
        <v>1708.2719999999999</v>
      </c>
      <c r="O1809">
        <v>-427068</v>
      </c>
      <c r="P1809">
        <v>-5124.5039999999999</v>
      </c>
      <c r="Q1809" t="s">
        <v>30</v>
      </c>
      <c r="R1809" t="s">
        <v>605</v>
      </c>
      <c r="S1809" t="str">
        <v>#N/A</v>
      </c>
      <c r="T1809" t="str">
        <v>#N/A</v>
      </c>
    </row>
    <row r="1810" spans="1:20" ht="13.7" customHeight="1" x14ac:dyDescent="0.25">
      <c r="A1810" t="s">
        <v>320</v>
      </c>
      <c r="B1810" t="s">
        <v>321</v>
      </c>
      <c r="C1810" t="s">
        <v>142</v>
      </c>
      <c r="D1810">
        <v>368</v>
      </c>
      <c r="E1810" s="5">
        <v>43513</v>
      </c>
      <c r="F1810">
        <v>23657501</v>
      </c>
      <c r="G1810" t="s">
        <v>647</v>
      </c>
      <c r="H1810" t="s">
        <v>1133</v>
      </c>
      <c r="I1810" t="s">
        <v>1134</v>
      </c>
      <c r="J1810">
        <v>1001</v>
      </c>
      <c r="K1810">
        <v>5062</v>
      </c>
      <c r="L1810" s="3">
        <v>-5124.5039999999999</v>
      </c>
      <c r="M1810" s="3">
        <v>0</v>
      </c>
      <c r="N1810">
        <v>1888.0319999999999</v>
      </c>
      <c r="O1810">
        <v>-472008</v>
      </c>
      <c r="P1810">
        <v>-7012.5360000000001</v>
      </c>
      <c r="Q1810" t="s">
        <v>30</v>
      </c>
      <c r="R1810" t="s">
        <v>682</v>
      </c>
      <c r="S1810" t="str">
        <v>#N/A</v>
      </c>
      <c r="T1810" t="str">
        <v>#N/A</v>
      </c>
    </row>
    <row r="1811" spans="1:20" ht="13.7" customHeight="1" x14ac:dyDescent="0.25">
      <c r="A1811" t="s">
        <v>320</v>
      </c>
      <c r="B1811" t="s">
        <v>321</v>
      </c>
      <c r="C1811" t="s">
        <v>142</v>
      </c>
      <c r="D1811">
        <v>369</v>
      </c>
      <c r="E1811" s="5">
        <v>43514</v>
      </c>
      <c r="F1811">
        <v>23657501</v>
      </c>
      <c r="G1811" t="s">
        <v>647</v>
      </c>
      <c r="H1811" t="s">
        <v>1133</v>
      </c>
      <c r="I1811" t="s">
        <v>1134</v>
      </c>
      <c r="J1811">
        <v>1001</v>
      </c>
      <c r="K1811">
        <v>5062</v>
      </c>
      <c r="L1811" s="3">
        <v>-7012.5360000000001</v>
      </c>
      <c r="M1811" s="3">
        <v>0</v>
      </c>
      <c r="N1811">
        <v>1553.36</v>
      </c>
      <c r="O1811">
        <v>-388340</v>
      </c>
      <c r="P1811">
        <v>-8565.8960000000006</v>
      </c>
      <c r="Q1811" t="s">
        <v>30</v>
      </c>
      <c r="R1811" t="s">
        <v>683</v>
      </c>
      <c r="S1811" t="str">
        <v>#N/A</v>
      </c>
      <c r="T1811" t="str">
        <v>#N/A</v>
      </c>
    </row>
    <row r="1812" spans="1:20" ht="13.7" customHeight="1" x14ac:dyDescent="0.25">
      <c r="A1812" t="s">
        <v>320</v>
      </c>
      <c r="B1812" t="s">
        <v>321</v>
      </c>
      <c r="C1812" t="s">
        <v>142</v>
      </c>
      <c r="D1812">
        <v>371</v>
      </c>
      <c r="E1812" s="5">
        <v>43516</v>
      </c>
      <c r="F1812">
        <v>23657501</v>
      </c>
      <c r="G1812" t="s">
        <v>647</v>
      </c>
      <c r="H1812" t="s">
        <v>1133</v>
      </c>
      <c r="I1812" t="s">
        <v>1134</v>
      </c>
      <c r="J1812">
        <v>1001</v>
      </c>
      <c r="K1812">
        <v>5062</v>
      </c>
      <c r="L1812" s="3">
        <v>-8565.8960000000006</v>
      </c>
      <c r="M1812" s="3">
        <v>0</v>
      </c>
      <c r="N1812">
        <v>1073.52</v>
      </c>
      <c r="O1812">
        <v>-268380</v>
      </c>
      <c r="P1812">
        <v>-9639.4159999999993</v>
      </c>
      <c r="Q1812" t="s">
        <v>30</v>
      </c>
      <c r="R1812" t="s">
        <v>362</v>
      </c>
      <c r="S1812" t="str">
        <v>#N/A</v>
      </c>
      <c r="T1812" t="str">
        <v>#N/A</v>
      </c>
    </row>
    <row r="1813" spans="1:20" ht="13.7" customHeight="1" x14ac:dyDescent="0.25">
      <c r="A1813" t="s">
        <v>320</v>
      </c>
      <c r="B1813" t="s">
        <v>321</v>
      </c>
      <c r="C1813" t="s">
        <v>142</v>
      </c>
      <c r="D1813">
        <v>375</v>
      </c>
      <c r="E1813" s="5">
        <v>43524</v>
      </c>
      <c r="F1813">
        <v>23657501</v>
      </c>
      <c r="G1813" t="s">
        <v>647</v>
      </c>
      <c r="H1813" t="s">
        <v>1133</v>
      </c>
      <c r="I1813" t="s">
        <v>1134</v>
      </c>
      <c r="J1813">
        <v>1001</v>
      </c>
      <c r="K1813">
        <v>5062</v>
      </c>
      <c r="L1813" s="3">
        <v>-9639.4159999999993</v>
      </c>
      <c r="M1813" s="3">
        <v>0</v>
      </c>
      <c r="N1813">
        <v>462.92</v>
      </c>
      <c r="O1813">
        <v>-115730</v>
      </c>
      <c r="P1813">
        <v>-10102.335999999999</v>
      </c>
      <c r="Q1813" t="s">
        <v>30</v>
      </c>
      <c r="R1813" t="s">
        <v>390</v>
      </c>
      <c r="S1813" t="str">
        <v>#N/A</v>
      </c>
      <c r="T1813" t="str">
        <v>#N/A</v>
      </c>
    </row>
    <row r="1814" spans="1:20" ht="13.7" customHeight="1" x14ac:dyDescent="0.25">
      <c r="A1814" t="s">
        <v>320</v>
      </c>
      <c r="B1814" t="s">
        <v>321</v>
      </c>
      <c r="C1814" t="s">
        <v>142</v>
      </c>
      <c r="D1814">
        <v>456</v>
      </c>
      <c r="E1814" s="5">
        <v>43630</v>
      </c>
      <c r="F1814">
        <v>23657501</v>
      </c>
      <c r="G1814" t="s">
        <v>647</v>
      </c>
      <c r="H1814" t="s">
        <v>1133</v>
      </c>
      <c r="I1814" t="s">
        <v>1134</v>
      </c>
      <c r="J1814">
        <v>1001</v>
      </c>
      <c r="K1814">
        <v>5062</v>
      </c>
      <c r="L1814" s="3">
        <v>-10102.335999999999</v>
      </c>
      <c r="M1814" s="3">
        <v>0</v>
      </c>
      <c r="N1814">
        <v>1859.6320000000001</v>
      </c>
      <c r="O1814">
        <v>-464908</v>
      </c>
      <c r="P1814">
        <v>-11961.968000000001</v>
      </c>
      <c r="Q1814" t="s">
        <v>30</v>
      </c>
      <c r="R1814" t="s">
        <v>461</v>
      </c>
      <c r="S1814" t="str">
        <v>#N/A</v>
      </c>
      <c r="T1814" t="str">
        <v>#N/A</v>
      </c>
    </row>
    <row r="1815" spans="1:20" ht="13.7" customHeight="1" x14ac:dyDescent="0.25">
      <c r="A1815" t="s">
        <v>320</v>
      </c>
      <c r="B1815" t="s">
        <v>321</v>
      </c>
      <c r="C1815" t="s">
        <v>142</v>
      </c>
      <c r="D1815">
        <v>487</v>
      </c>
      <c r="E1815" s="5">
        <v>43708</v>
      </c>
      <c r="F1815">
        <v>23657501</v>
      </c>
      <c r="G1815" t="s">
        <v>647</v>
      </c>
      <c r="H1815" t="s">
        <v>1133</v>
      </c>
      <c r="I1815" t="s">
        <v>1134</v>
      </c>
      <c r="J1815">
        <v>1001</v>
      </c>
      <c r="K1815">
        <v>5062</v>
      </c>
      <c r="L1815" s="3">
        <v>-11961.968000000001</v>
      </c>
      <c r="M1815" s="3">
        <v>0</v>
      </c>
      <c r="N1815">
        <v>677.37599999999998</v>
      </c>
      <c r="O1815">
        <v>-169344</v>
      </c>
      <c r="P1815">
        <v>-12639.343999999999</v>
      </c>
      <c r="Q1815" t="s">
        <v>30</v>
      </c>
      <c r="R1815" t="s">
        <v>474</v>
      </c>
      <c r="S1815" t="str">
        <v>#N/A</v>
      </c>
      <c r="T1815" t="str">
        <v>#N/A</v>
      </c>
    </row>
    <row r="1816" spans="1:20" ht="13.7" customHeight="1" x14ac:dyDescent="0.25">
      <c r="A1816" t="s">
        <v>320</v>
      </c>
      <c r="B1816" t="s">
        <v>321</v>
      </c>
      <c r="C1816" t="s">
        <v>142</v>
      </c>
      <c r="D1816">
        <v>496</v>
      </c>
      <c r="E1816" s="5">
        <v>43727</v>
      </c>
      <c r="F1816">
        <v>23657501</v>
      </c>
      <c r="G1816" t="s">
        <v>647</v>
      </c>
      <c r="H1816" t="s">
        <v>1133</v>
      </c>
      <c r="I1816" t="s">
        <v>1134</v>
      </c>
      <c r="J1816">
        <v>1001</v>
      </c>
      <c r="K1816">
        <v>5062</v>
      </c>
      <c r="L1816" s="3">
        <v>-12639.343999999999</v>
      </c>
      <c r="M1816" s="3">
        <v>0</v>
      </c>
      <c r="N1816">
        <v>615.52</v>
      </c>
      <c r="O1816">
        <v>-153880</v>
      </c>
      <c r="P1816">
        <v>-13254.864</v>
      </c>
      <c r="Q1816" t="s">
        <v>30</v>
      </c>
      <c r="R1816" t="s">
        <v>481</v>
      </c>
      <c r="S1816" t="str">
        <v>#N/A</v>
      </c>
      <c r="T1816" t="str">
        <v>#N/A</v>
      </c>
    </row>
    <row r="1817" spans="1:20" ht="13.7" customHeight="1" x14ac:dyDescent="0.25">
      <c r="A1817" t="s">
        <v>320</v>
      </c>
      <c r="B1817" t="s">
        <v>321</v>
      </c>
      <c r="C1817" t="s">
        <v>142</v>
      </c>
      <c r="D1817">
        <v>507</v>
      </c>
      <c r="E1817" s="5">
        <v>43747</v>
      </c>
      <c r="F1817">
        <v>23657501</v>
      </c>
      <c r="G1817" t="s">
        <v>647</v>
      </c>
      <c r="H1817" t="s">
        <v>1133</v>
      </c>
      <c r="I1817" t="s">
        <v>1134</v>
      </c>
      <c r="J1817">
        <v>1001</v>
      </c>
      <c r="K1817">
        <v>5062</v>
      </c>
      <c r="L1817" s="3">
        <v>-13254.864</v>
      </c>
      <c r="M1817" s="3">
        <v>0</v>
      </c>
      <c r="N1817">
        <v>700</v>
      </c>
      <c r="O1817">
        <v>-175020</v>
      </c>
      <c r="P1817">
        <v>-13954.864</v>
      </c>
      <c r="Q1817" t="s">
        <v>30</v>
      </c>
      <c r="R1817" t="s">
        <v>608</v>
      </c>
      <c r="S1817" t="str">
        <v>#N/A</v>
      </c>
      <c r="T1817" t="str">
        <v>#N/A</v>
      </c>
    </row>
    <row r="1818" spans="1:20" ht="13.7" customHeight="1" x14ac:dyDescent="0.25">
      <c r="A1818" t="s">
        <v>320</v>
      </c>
      <c r="B1818" t="s">
        <v>321</v>
      </c>
      <c r="C1818" t="s">
        <v>142</v>
      </c>
      <c r="D1818">
        <v>516</v>
      </c>
      <c r="E1818" s="5">
        <v>43760</v>
      </c>
      <c r="F1818">
        <v>23657501</v>
      </c>
      <c r="G1818" t="s">
        <v>647</v>
      </c>
      <c r="H1818" t="s">
        <v>1133</v>
      </c>
      <c r="I1818" t="s">
        <v>1134</v>
      </c>
      <c r="J1818">
        <v>1001</v>
      </c>
      <c r="K1818">
        <v>5062</v>
      </c>
      <c r="L1818" s="3">
        <v>-13954.864</v>
      </c>
      <c r="M1818" s="3">
        <v>0</v>
      </c>
      <c r="N1818">
        <v>1721.44</v>
      </c>
      <c r="O1818">
        <v>-430360</v>
      </c>
      <c r="P1818">
        <v>-15676.304</v>
      </c>
      <c r="Q1818" t="s">
        <v>30</v>
      </c>
      <c r="R1818" t="s">
        <v>500</v>
      </c>
      <c r="S1818" t="str">
        <v>#N/A</v>
      </c>
      <c r="T1818" t="str">
        <v>#N/A</v>
      </c>
    </row>
    <row r="1819" spans="1:20" ht="13.7" customHeight="1" x14ac:dyDescent="0.25">
      <c r="A1819" t="s">
        <v>320</v>
      </c>
      <c r="B1819" t="s">
        <v>321</v>
      </c>
      <c r="C1819" t="s">
        <v>142</v>
      </c>
      <c r="D1819">
        <v>517</v>
      </c>
      <c r="E1819" s="5">
        <v>43762</v>
      </c>
      <c r="F1819">
        <v>23657501</v>
      </c>
      <c r="G1819" t="s">
        <v>647</v>
      </c>
      <c r="H1819" t="s">
        <v>1133</v>
      </c>
      <c r="I1819" t="s">
        <v>1134</v>
      </c>
      <c r="J1819">
        <v>1001</v>
      </c>
      <c r="K1819">
        <v>5062</v>
      </c>
      <c r="L1819" s="3">
        <v>-15676.304</v>
      </c>
      <c r="M1819" s="3">
        <v>0</v>
      </c>
      <c r="N1819">
        <v>1600.8</v>
      </c>
      <c r="O1819">
        <v>-400200</v>
      </c>
      <c r="P1819">
        <v>-17277.103999999999</v>
      </c>
      <c r="Q1819" t="s">
        <v>30</v>
      </c>
      <c r="R1819" t="s">
        <v>501</v>
      </c>
      <c r="S1819" t="str">
        <v>#N/A</v>
      </c>
      <c r="T1819" t="str">
        <v>#N/A</v>
      </c>
    </row>
    <row r="1820" spans="1:20" ht="13.7" customHeight="1" x14ac:dyDescent="0.25">
      <c r="A1820" t="s">
        <v>320</v>
      </c>
      <c r="B1820" t="s">
        <v>321</v>
      </c>
      <c r="C1820" t="s">
        <v>142</v>
      </c>
      <c r="D1820">
        <v>518</v>
      </c>
      <c r="E1820" s="5">
        <v>43766</v>
      </c>
      <c r="F1820">
        <v>23657501</v>
      </c>
      <c r="G1820" t="s">
        <v>647</v>
      </c>
      <c r="H1820" t="s">
        <v>1133</v>
      </c>
      <c r="I1820" t="s">
        <v>1134</v>
      </c>
      <c r="J1820">
        <v>1001</v>
      </c>
      <c r="K1820">
        <v>5062</v>
      </c>
      <c r="L1820" s="3">
        <v>-17277.103999999999</v>
      </c>
      <c r="M1820" s="3">
        <v>0</v>
      </c>
      <c r="N1820">
        <v>1619.36</v>
      </c>
      <c r="O1820">
        <v>-404840</v>
      </c>
      <c r="P1820">
        <v>-18896.464</v>
      </c>
      <c r="Q1820" t="s">
        <v>30</v>
      </c>
      <c r="R1820" t="s">
        <v>502</v>
      </c>
      <c r="S1820" t="str">
        <v>#N/A</v>
      </c>
      <c r="T1820" t="str">
        <v>#N/A</v>
      </c>
    </row>
    <row r="1821" spans="1:20" ht="13.7" customHeight="1" x14ac:dyDescent="0.25">
      <c r="E1821" s="5">
        <v>43465</v>
      </c>
      <c r="F1821">
        <v>23657501</v>
      </c>
      <c r="G1821" t="s">
        <v>647</v>
      </c>
      <c r="H1821" t="s">
        <v>1137</v>
      </c>
      <c r="I1821" t="s">
        <v>1138</v>
      </c>
      <c r="J1821">
        <v>0</v>
      </c>
      <c r="K1821">
        <v>0</v>
      </c>
      <c r="L1821" s="3">
        <v>0</v>
      </c>
      <c r="M1821" s="3">
        <v>0</v>
      </c>
      <c r="N1821">
        <v>0</v>
      </c>
      <c r="O1821">
        <v>0</v>
      </c>
      <c r="P1821">
        <v>0</v>
      </c>
      <c r="R1821" t="s">
        <v>1100</v>
      </c>
      <c r="S1821" t="str">
        <v>#N/A</v>
      </c>
      <c r="T1821" t="str">
        <v>#N/A</v>
      </c>
    </row>
    <row r="1822" spans="1:20" ht="13.7" customHeight="1" x14ac:dyDescent="0.25">
      <c r="A1822" t="s">
        <v>320</v>
      </c>
      <c r="B1822" t="s">
        <v>321</v>
      </c>
      <c r="C1822" t="s">
        <v>142</v>
      </c>
      <c r="D1822">
        <v>439</v>
      </c>
      <c r="E1822" s="5">
        <v>43608</v>
      </c>
      <c r="F1822">
        <v>23657501</v>
      </c>
      <c r="G1822" t="s">
        <v>647</v>
      </c>
      <c r="H1822" t="s">
        <v>1137</v>
      </c>
      <c r="I1822" t="s">
        <v>1138</v>
      </c>
      <c r="J1822">
        <v>1001</v>
      </c>
      <c r="K1822">
        <v>5062</v>
      </c>
      <c r="L1822" s="3">
        <v>0</v>
      </c>
      <c r="M1822" s="3">
        <v>0</v>
      </c>
      <c r="N1822">
        <v>1344</v>
      </c>
      <c r="O1822">
        <v>-336000</v>
      </c>
      <c r="P1822">
        <v>-1344</v>
      </c>
      <c r="Q1822" t="s">
        <v>30</v>
      </c>
      <c r="R1822" t="s">
        <v>453</v>
      </c>
      <c r="S1822" t="str">
        <v>#N/A</v>
      </c>
      <c r="T1822" t="str">
        <v>#N/A</v>
      </c>
    </row>
    <row r="1823" spans="1:20" ht="13.7" customHeight="1" x14ac:dyDescent="0.25">
      <c r="A1823" t="s">
        <v>320</v>
      </c>
      <c r="B1823" t="s">
        <v>321</v>
      </c>
      <c r="C1823" t="s">
        <v>142</v>
      </c>
      <c r="D1823">
        <v>450</v>
      </c>
      <c r="E1823" s="5">
        <v>43628</v>
      </c>
      <c r="F1823">
        <v>23657501</v>
      </c>
      <c r="G1823" t="s">
        <v>647</v>
      </c>
      <c r="H1823" t="s">
        <v>1137</v>
      </c>
      <c r="I1823" t="s">
        <v>1138</v>
      </c>
      <c r="J1823">
        <v>1001</v>
      </c>
      <c r="K1823">
        <v>5062</v>
      </c>
      <c r="L1823" s="3">
        <v>-1344</v>
      </c>
      <c r="M1823" s="3">
        <v>0</v>
      </c>
      <c r="N1823">
        <v>7700</v>
      </c>
      <c r="O1823">
        <v>-1925000</v>
      </c>
      <c r="P1823">
        <v>-9044</v>
      </c>
      <c r="Q1823" t="s">
        <v>30</v>
      </c>
      <c r="R1823" t="s">
        <v>459</v>
      </c>
      <c r="S1823" t="str">
        <v>#N/A</v>
      </c>
      <c r="T1823" t="str">
        <v>#N/A</v>
      </c>
    </row>
    <row r="1824" spans="1:20" ht="13.7" customHeight="1" x14ac:dyDescent="0.25">
      <c r="A1824" t="s">
        <v>320</v>
      </c>
      <c r="B1824" t="s">
        <v>321</v>
      </c>
      <c r="C1824" t="s">
        <v>142</v>
      </c>
      <c r="D1824">
        <v>500</v>
      </c>
      <c r="E1824" s="5">
        <v>43734</v>
      </c>
      <c r="F1824">
        <v>23657501</v>
      </c>
      <c r="G1824" t="s">
        <v>647</v>
      </c>
      <c r="H1824" t="s">
        <v>1137</v>
      </c>
      <c r="I1824" t="s">
        <v>1138</v>
      </c>
      <c r="J1824">
        <v>1001</v>
      </c>
      <c r="K1824">
        <v>5062</v>
      </c>
      <c r="L1824" s="3">
        <v>-9044</v>
      </c>
      <c r="M1824" s="3">
        <v>0</v>
      </c>
      <c r="N1824">
        <v>7700</v>
      </c>
      <c r="O1824">
        <v>-1925000</v>
      </c>
      <c r="P1824">
        <v>-16744</v>
      </c>
      <c r="Q1824" t="s">
        <v>30</v>
      </c>
      <c r="R1824" t="s">
        <v>485</v>
      </c>
      <c r="S1824" t="str">
        <v>#N/A</v>
      </c>
      <c r="T1824" t="str">
        <v>#N/A</v>
      </c>
    </row>
    <row r="1825" spans="1:20" ht="13.7" customHeight="1" x14ac:dyDescent="0.25">
      <c r="E1825" s="5">
        <v>43465</v>
      </c>
      <c r="F1825">
        <v>23680101</v>
      </c>
      <c r="G1825" t="s">
        <v>688</v>
      </c>
      <c r="H1825" t="s">
        <v>1181</v>
      </c>
      <c r="I1825" t="s">
        <v>1182</v>
      </c>
      <c r="J1825">
        <v>0</v>
      </c>
      <c r="K1825">
        <v>0</v>
      </c>
      <c r="L1825" s="3">
        <v>0</v>
      </c>
      <c r="M1825" s="3">
        <v>0</v>
      </c>
      <c r="N1825">
        <v>0</v>
      </c>
      <c r="O1825">
        <v>0</v>
      </c>
      <c r="P1825">
        <v>0</v>
      </c>
      <c r="R1825" t="s">
        <v>1100</v>
      </c>
      <c r="S1825" t="str">
        <v>#N/A</v>
      </c>
      <c r="T1825" t="str">
        <v>#N/A</v>
      </c>
    </row>
    <row r="1826" spans="1:20" ht="13.7" customHeight="1" x14ac:dyDescent="0.25">
      <c r="A1826" t="s">
        <v>26</v>
      </c>
      <c r="B1826" t="s">
        <v>27</v>
      </c>
      <c r="C1826" t="s">
        <v>91</v>
      </c>
      <c r="D1826">
        <v>61</v>
      </c>
      <c r="E1826" s="5">
        <v>43552</v>
      </c>
      <c r="F1826">
        <v>23680101</v>
      </c>
      <c r="G1826" t="s">
        <v>688</v>
      </c>
      <c r="H1826" t="s">
        <v>1181</v>
      </c>
      <c r="I1826" t="s">
        <v>1182</v>
      </c>
      <c r="J1826">
        <v>0</v>
      </c>
      <c r="K1826">
        <v>0</v>
      </c>
      <c r="L1826" s="3">
        <v>0</v>
      </c>
      <c r="M1826" s="3">
        <v>0</v>
      </c>
      <c r="N1826">
        <v>7647</v>
      </c>
      <c r="O1826">
        <v>-695179</v>
      </c>
      <c r="P1826">
        <v>-7647</v>
      </c>
      <c r="Q1826" t="s">
        <v>30</v>
      </c>
      <c r="R1826" t="s">
        <v>110</v>
      </c>
      <c r="S1826" t="str">
        <v>#N/A</v>
      </c>
      <c r="T1826" t="str">
        <v>#N/A</v>
      </c>
    </row>
    <row r="1827" spans="1:20" ht="13.7" customHeight="1" x14ac:dyDescent="0.25">
      <c r="E1827" s="5">
        <v>43465</v>
      </c>
      <c r="F1827">
        <v>23680101</v>
      </c>
      <c r="G1827" t="s">
        <v>688</v>
      </c>
      <c r="H1827" t="s">
        <v>1155</v>
      </c>
      <c r="I1827" t="s">
        <v>1156</v>
      </c>
      <c r="J1827">
        <v>0</v>
      </c>
      <c r="K1827">
        <v>0</v>
      </c>
      <c r="L1827" s="3">
        <v>0</v>
      </c>
      <c r="M1827" s="3">
        <v>0</v>
      </c>
      <c r="N1827">
        <v>0</v>
      </c>
      <c r="O1827">
        <v>0</v>
      </c>
      <c r="P1827">
        <v>0</v>
      </c>
      <c r="R1827" t="s">
        <v>1100</v>
      </c>
      <c r="S1827" t="str">
        <v>#N/A</v>
      </c>
      <c r="T1827" t="str">
        <v>#N/A</v>
      </c>
    </row>
    <row r="1828" spans="1:20" ht="13.7" customHeight="1" x14ac:dyDescent="0.25">
      <c r="A1828" t="s">
        <v>26</v>
      </c>
      <c r="B1828" t="s">
        <v>27</v>
      </c>
      <c r="C1828" t="s">
        <v>41</v>
      </c>
      <c r="D1828">
        <v>51</v>
      </c>
      <c r="E1828" s="5">
        <v>43788</v>
      </c>
      <c r="F1828">
        <v>23680101</v>
      </c>
      <c r="G1828" t="s">
        <v>688</v>
      </c>
      <c r="H1828" t="s">
        <v>1155</v>
      </c>
      <c r="I1828" t="s">
        <v>1156</v>
      </c>
      <c r="J1828">
        <v>0</v>
      </c>
      <c r="K1828">
        <v>0</v>
      </c>
      <c r="L1828" s="3">
        <v>0</v>
      </c>
      <c r="M1828" s="3">
        <v>0</v>
      </c>
      <c r="N1828">
        <v>77000</v>
      </c>
      <c r="O1828">
        <v>-10000000</v>
      </c>
      <c r="P1828">
        <v>-77000</v>
      </c>
      <c r="Q1828" t="s">
        <v>30</v>
      </c>
      <c r="R1828" t="s">
        <v>306</v>
      </c>
      <c r="S1828" t="str">
        <v>#N/A</v>
      </c>
      <c r="T1828" t="str">
        <v>#N/A</v>
      </c>
    </row>
    <row r="1829" spans="1:20" ht="13.7" customHeight="1" x14ac:dyDescent="0.25">
      <c r="E1829" s="5">
        <v>43465</v>
      </c>
      <c r="F1829">
        <v>23680101</v>
      </c>
      <c r="G1829" t="s">
        <v>688</v>
      </c>
      <c r="H1829" t="s">
        <v>1179</v>
      </c>
      <c r="I1829" t="s">
        <v>1180</v>
      </c>
      <c r="J1829">
        <v>0</v>
      </c>
      <c r="K1829">
        <v>0</v>
      </c>
      <c r="L1829" s="3">
        <v>-60179</v>
      </c>
      <c r="M1829" s="3">
        <v>0</v>
      </c>
      <c r="N1829">
        <v>0</v>
      </c>
      <c r="O1829">
        <v>-8232820</v>
      </c>
      <c r="P1829">
        <v>-60179</v>
      </c>
      <c r="R1829" t="s">
        <v>1100</v>
      </c>
      <c r="S1829" t="str">
        <v>#N/A</v>
      </c>
      <c r="T1829" t="str">
        <v>13</v>
      </c>
    </row>
    <row r="1830" spans="1:20" ht="13.7" customHeight="1" x14ac:dyDescent="0.25">
      <c r="A1830" t="s">
        <v>26</v>
      </c>
      <c r="B1830" t="s">
        <v>27</v>
      </c>
      <c r="C1830" t="s">
        <v>32</v>
      </c>
      <c r="D1830">
        <v>53</v>
      </c>
      <c r="E1830" s="5">
        <v>43522</v>
      </c>
      <c r="F1830">
        <v>23680101</v>
      </c>
      <c r="G1830" t="s">
        <v>688</v>
      </c>
      <c r="H1830" t="s">
        <v>1179</v>
      </c>
      <c r="I1830" t="s">
        <v>1180</v>
      </c>
      <c r="J1830">
        <v>0</v>
      </c>
      <c r="K1830">
        <v>0</v>
      </c>
      <c r="L1830" s="3">
        <v>-60179</v>
      </c>
      <c r="M1830" s="3">
        <v>0</v>
      </c>
      <c r="N1830">
        <v>7010</v>
      </c>
      <c r="O1830">
        <v>-910420</v>
      </c>
      <c r="P1830">
        <v>-67189</v>
      </c>
      <c r="Q1830" t="s">
        <v>30</v>
      </c>
      <c r="R1830" t="s">
        <v>88</v>
      </c>
      <c r="S1830" t="str">
        <v>#N/A</v>
      </c>
      <c r="T1830" t="str">
        <v>13</v>
      </c>
    </row>
    <row r="1831" spans="1:20" ht="13.7" customHeight="1" x14ac:dyDescent="0.25">
      <c r="E1831" s="5">
        <v>43465</v>
      </c>
      <c r="F1831">
        <v>23680101</v>
      </c>
      <c r="G1831" t="s">
        <v>688</v>
      </c>
      <c r="H1831" t="s">
        <v>1115</v>
      </c>
      <c r="I1831" t="s">
        <v>1116</v>
      </c>
      <c r="J1831">
        <v>0</v>
      </c>
      <c r="K1831">
        <v>0</v>
      </c>
      <c r="L1831" s="3">
        <v>0</v>
      </c>
      <c r="M1831" s="3">
        <v>0</v>
      </c>
      <c r="N1831">
        <v>0</v>
      </c>
      <c r="O1831">
        <v>0</v>
      </c>
      <c r="P1831">
        <v>0</v>
      </c>
      <c r="R1831" t="s">
        <v>1100</v>
      </c>
      <c r="S1831" t="str">
        <v>#N/A</v>
      </c>
      <c r="T1831" t="str">
        <v>13</v>
      </c>
    </row>
    <row r="1832" spans="1:20" ht="13.7" customHeight="1" x14ac:dyDescent="0.25">
      <c r="A1832" t="s">
        <v>26</v>
      </c>
      <c r="B1832" t="s">
        <v>27</v>
      </c>
      <c r="C1832" t="s">
        <v>39</v>
      </c>
      <c r="D1832">
        <v>14</v>
      </c>
      <c r="E1832" s="5">
        <v>43714</v>
      </c>
      <c r="F1832">
        <v>23680101</v>
      </c>
      <c r="G1832" t="s">
        <v>688</v>
      </c>
      <c r="H1832" t="s">
        <v>1115</v>
      </c>
      <c r="I1832" t="s">
        <v>1116</v>
      </c>
      <c r="J1832">
        <v>0</v>
      </c>
      <c r="K1832">
        <v>0</v>
      </c>
      <c r="L1832" s="3">
        <v>0</v>
      </c>
      <c r="M1832" s="3">
        <v>0</v>
      </c>
      <c r="N1832">
        <v>5251</v>
      </c>
      <c r="O1832">
        <v>-681932</v>
      </c>
      <c r="P1832">
        <v>-5251</v>
      </c>
      <c r="Q1832" t="s">
        <v>30</v>
      </c>
      <c r="R1832" t="s">
        <v>565</v>
      </c>
      <c r="S1832" t="str">
        <v>#N/A</v>
      </c>
      <c r="T1832" t="str">
        <v>13</v>
      </c>
    </row>
    <row r="1833" spans="1:20" ht="13.7" customHeight="1" x14ac:dyDescent="0.25">
      <c r="A1833" t="s">
        <v>26</v>
      </c>
      <c r="B1833" t="s">
        <v>27</v>
      </c>
      <c r="C1833" t="s">
        <v>39</v>
      </c>
      <c r="D1833">
        <v>52</v>
      </c>
      <c r="E1833" s="5">
        <v>43734</v>
      </c>
      <c r="F1833">
        <v>23680101</v>
      </c>
      <c r="G1833" t="s">
        <v>688</v>
      </c>
      <c r="H1833" t="s">
        <v>1115</v>
      </c>
      <c r="I1833" t="s">
        <v>1116</v>
      </c>
      <c r="J1833">
        <v>0</v>
      </c>
      <c r="K1833">
        <v>0</v>
      </c>
      <c r="L1833" s="3">
        <v>-5251</v>
      </c>
      <c r="M1833" s="3">
        <v>0</v>
      </c>
      <c r="N1833">
        <v>8495</v>
      </c>
      <c r="O1833">
        <v>-1040597</v>
      </c>
      <c r="P1833">
        <v>-13746</v>
      </c>
      <c r="Q1833" t="s">
        <v>30</v>
      </c>
      <c r="R1833" t="s">
        <v>569</v>
      </c>
      <c r="S1833" t="str">
        <v>#N/A</v>
      </c>
      <c r="T1833" t="str">
        <v>13</v>
      </c>
    </row>
    <row r="1834" spans="1:20" ht="13.7" customHeight="1" x14ac:dyDescent="0.25">
      <c r="E1834" s="5">
        <v>43465</v>
      </c>
      <c r="F1834">
        <v>23680101</v>
      </c>
      <c r="G1834" t="s">
        <v>688</v>
      </c>
      <c r="H1834" t="s">
        <v>1523</v>
      </c>
      <c r="I1834" t="s">
        <v>1524</v>
      </c>
      <c r="J1834">
        <v>0</v>
      </c>
      <c r="K1834">
        <v>0</v>
      </c>
      <c r="L1834" s="3">
        <v>0</v>
      </c>
      <c r="M1834" s="3">
        <v>0</v>
      </c>
      <c r="N1834">
        <v>0</v>
      </c>
      <c r="O1834">
        <v>0</v>
      </c>
      <c r="P1834">
        <v>0</v>
      </c>
      <c r="R1834" t="s">
        <v>1100</v>
      </c>
      <c r="S1834" t="str">
        <v>#N/A</v>
      </c>
      <c r="T1834" t="str">
        <v>#N/A</v>
      </c>
    </row>
    <row r="1835" spans="1:20" ht="13.7" customHeight="1" x14ac:dyDescent="0.25">
      <c r="A1835" t="s">
        <v>26</v>
      </c>
      <c r="B1835" t="s">
        <v>27</v>
      </c>
      <c r="C1835" t="s">
        <v>180</v>
      </c>
      <c r="D1835">
        <v>9</v>
      </c>
      <c r="E1835" s="5">
        <v>43805</v>
      </c>
      <c r="F1835">
        <v>23680101</v>
      </c>
      <c r="G1835" t="s">
        <v>688</v>
      </c>
      <c r="H1835" t="s">
        <v>1523</v>
      </c>
      <c r="I1835" t="s">
        <v>1524</v>
      </c>
      <c r="J1835">
        <v>0</v>
      </c>
      <c r="K1835">
        <v>0</v>
      </c>
      <c r="L1835" s="3">
        <v>0</v>
      </c>
      <c r="M1835" s="3">
        <v>0</v>
      </c>
      <c r="N1835">
        <v>4620</v>
      </c>
      <c r="O1835">
        <v>-600000</v>
      </c>
      <c r="P1835">
        <v>-4620</v>
      </c>
      <c r="Q1835" t="s">
        <v>30</v>
      </c>
      <c r="R1835" t="s">
        <v>312</v>
      </c>
      <c r="S1835" t="str">
        <v>#N/A</v>
      </c>
      <c r="T1835" t="str">
        <v>#N/A</v>
      </c>
    </row>
    <row r="1836" spans="1:20" ht="13.7" customHeight="1" x14ac:dyDescent="0.25">
      <c r="E1836" s="5">
        <v>43465</v>
      </c>
      <c r="F1836">
        <v>23680101</v>
      </c>
      <c r="G1836" t="s">
        <v>688</v>
      </c>
      <c r="H1836" t="s">
        <v>1183</v>
      </c>
      <c r="I1836" t="s">
        <v>1184</v>
      </c>
      <c r="J1836">
        <v>0</v>
      </c>
      <c r="K1836">
        <v>0</v>
      </c>
      <c r="L1836" s="3">
        <v>0</v>
      </c>
      <c r="M1836" s="3">
        <v>0</v>
      </c>
      <c r="N1836">
        <v>0</v>
      </c>
      <c r="O1836">
        <v>0</v>
      </c>
      <c r="P1836">
        <v>0</v>
      </c>
      <c r="R1836" t="s">
        <v>1100</v>
      </c>
      <c r="S1836" t="str">
        <v>#N/A</v>
      </c>
      <c r="T1836" t="str">
        <v>#N/A</v>
      </c>
    </row>
    <row r="1837" spans="1:20" ht="13.7" customHeight="1" x14ac:dyDescent="0.25">
      <c r="A1837" t="s">
        <v>26</v>
      </c>
      <c r="B1837" t="s">
        <v>27</v>
      </c>
      <c r="C1837" t="s">
        <v>34</v>
      </c>
      <c r="D1837">
        <v>65</v>
      </c>
      <c r="E1837" s="5">
        <v>43584</v>
      </c>
      <c r="F1837">
        <v>23680101</v>
      </c>
      <c r="G1837" t="s">
        <v>688</v>
      </c>
      <c r="H1837" t="s">
        <v>1183</v>
      </c>
      <c r="I1837" t="s">
        <v>1184</v>
      </c>
      <c r="J1837">
        <v>0</v>
      </c>
      <c r="K1837">
        <v>0</v>
      </c>
      <c r="L1837" s="3">
        <v>0</v>
      </c>
      <c r="M1837" s="3">
        <v>0</v>
      </c>
      <c r="N1837">
        <v>5306</v>
      </c>
      <c r="O1837">
        <v>-689076</v>
      </c>
      <c r="P1837">
        <v>-5306</v>
      </c>
      <c r="Q1837" t="s">
        <v>30</v>
      </c>
      <c r="R1837" t="s">
        <v>255</v>
      </c>
      <c r="S1837" t="str">
        <v>#N/A</v>
      </c>
      <c r="T1837" t="str">
        <v>#N/A</v>
      </c>
    </row>
    <row r="1838" spans="1:20" ht="13.7" customHeight="1" x14ac:dyDescent="0.25">
      <c r="E1838" s="5">
        <v>43465</v>
      </c>
      <c r="F1838">
        <v>23680101</v>
      </c>
      <c r="G1838" t="s">
        <v>688</v>
      </c>
      <c r="H1838" t="s">
        <v>1113</v>
      </c>
      <c r="I1838" t="s">
        <v>1114</v>
      </c>
      <c r="J1838">
        <v>0</v>
      </c>
      <c r="K1838">
        <v>0</v>
      </c>
      <c r="L1838" s="3">
        <v>-49823</v>
      </c>
      <c r="M1838" s="3">
        <v>0</v>
      </c>
      <c r="N1838">
        <v>0</v>
      </c>
      <c r="O1838">
        <v>-647058</v>
      </c>
      <c r="P1838">
        <v>-49823</v>
      </c>
      <c r="R1838" t="s">
        <v>1100</v>
      </c>
      <c r="S1838" t="str">
        <v>#N/A</v>
      </c>
      <c r="T1838" t="str">
        <v>31</v>
      </c>
    </row>
    <row r="1839" spans="1:20" ht="13.7" customHeight="1" x14ac:dyDescent="0.25">
      <c r="A1839" t="s">
        <v>26</v>
      </c>
      <c r="B1839" t="s">
        <v>27</v>
      </c>
      <c r="C1839" t="s">
        <v>91</v>
      </c>
      <c r="D1839">
        <v>17</v>
      </c>
      <c r="E1839" s="5">
        <v>43529</v>
      </c>
      <c r="F1839">
        <v>23680101</v>
      </c>
      <c r="G1839" t="s">
        <v>688</v>
      </c>
      <c r="H1839" t="s">
        <v>1113</v>
      </c>
      <c r="I1839" t="s">
        <v>1114</v>
      </c>
      <c r="J1839">
        <v>0</v>
      </c>
      <c r="K1839">
        <v>0</v>
      </c>
      <c r="L1839" s="3">
        <v>-49823</v>
      </c>
      <c r="M1839" s="3">
        <v>0</v>
      </c>
      <c r="N1839">
        <v>4413</v>
      </c>
      <c r="O1839">
        <v>-573176</v>
      </c>
      <c r="P1839">
        <v>-54236</v>
      </c>
      <c r="Q1839" t="s">
        <v>30</v>
      </c>
      <c r="R1839" t="s">
        <v>92</v>
      </c>
      <c r="S1839" t="str">
        <v>#N/A</v>
      </c>
      <c r="T1839" t="str">
        <v>31</v>
      </c>
    </row>
    <row r="1840" spans="1:20" ht="13.7" customHeight="1" x14ac:dyDescent="0.25">
      <c r="A1840" t="s">
        <v>26</v>
      </c>
      <c r="B1840" t="s">
        <v>27</v>
      </c>
      <c r="C1840" t="s">
        <v>40</v>
      </c>
      <c r="D1840">
        <v>54</v>
      </c>
      <c r="E1840" s="5">
        <v>43767</v>
      </c>
      <c r="F1840">
        <v>23680101</v>
      </c>
      <c r="G1840" t="s">
        <v>688</v>
      </c>
      <c r="H1840" t="s">
        <v>1113</v>
      </c>
      <c r="I1840" t="s">
        <v>1114</v>
      </c>
      <c r="J1840">
        <v>0</v>
      </c>
      <c r="K1840">
        <v>0</v>
      </c>
      <c r="L1840" s="3">
        <v>-54236</v>
      </c>
      <c r="M1840" s="3">
        <v>0</v>
      </c>
      <c r="N1840">
        <v>15142</v>
      </c>
      <c r="O1840">
        <v>-605675</v>
      </c>
      <c r="P1840">
        <v>-69378</v>
      </c>
      <c r="Q1840" t="s">
        <v>30</v>
      </c>
      <c r="R1840" t="s">
        <v>169</v>
      </c>
      <c r="S1840" t="str">
        <v>#N/A</v>
      </c>
      <c r="T1840" t="str">
        <v>31</v>
      </c>
    </row>
    <row r="1841" spans="1:20" ht="13.7" customHeight="1" x14ac:dyDescent="0.25">
      <c r="E1841" s="5">
        <v>43465</v>
      </c>
      <c r="F1841">
        <v>23680101</v>
      </c>
      <c r="G1841" t="s">
        <v>688</v>
      </c>
      <c r="H1841" t="s">
        <v>1163</v>
      </c>
      <c r="I1841" t="s">
        <v>1164</v>
      </c>
      <c r="J1841">
        <v>0</v>
      </c>
      <c r="K1841">
        <v>0</v>
      </c>
      <c r="L1841" s="3">
        <v>0</v>
      </c>
      <c r="M1841" s="3">
        <v>0</v>
      </c>
      <c r="N1841">
        <v>0</v>
      </c>
      <c r="O1841">
        <v>0</v>
      </c>
      <c r="P1841">
        <v>0</v>
      </c>
      <c r="R1841" t="s">
        <v>1100</v>
      </c>
      <c r="S1841" t="str">
        <v>#N/A</v>
      </c>
      <c r="T1841" t="str">
        <v>#N/A</v>
      </c>
    </row>
    <row r="1842" spans="1:20" ht="13.7" customHeight="1" x14ac:dyDescent="0.25">
      <c r="A1842" t="s">
        <v>26</v>
      </c>
      <c r="B1842" t="s">
        <v>27</v>
      </c>
      <c r="C1842" t="s">
        <v>40</v>
      </c>
      <c r="D1842">
        <v>37</v>
      </c>
      <c r="E1842" s="5">
        <v>43757</v>
      </c>
      <c r="F1842">
        <v>23680101</v>
      </c>
      <c r="G1842" t="s">
        <v>688</v>
      </c>
      <c r="H1842" t="s">
        <v>1163</v>
      </c>
      <c r="I1842" t="s">
        <v>1164</v>
      </c>
      <c r="J1842">
        <v>0</v>
      </c>
      <c r="K1842">
        <v>0</v>
      </c>
      <c r="L1842" s="3">
        <v>0</v>
      </c>
      <c r="M1842" s="3">
        <v>0</v>
      </c>
      <c r="N1842">
        <v>23618</v>
      </c>
      <c r="O1842">
        <v>-3067227</v>
      </c>
      <c r="P1842">
        <v>-23618</v>
      </c>
      <c r="Q1842" t="s">
        <v>30</v>
      </c>
      <c r="R1842" t="s">
        <v>319</v>
      </c>
      <c r="S1842" t="str">
        <v>#N/A</v>
      </c>
      <c r="T1842" t="str">
        <v>#N/A</v>
      </c>
    </row>
    <row r="1843" spans="1:20" ht="13.7" customHeight="1" x14ac:dyDescent="0.25">
      <c r="E1843" s="5">
        <v>43465</v>
      </c>
      <c r="F1843">
        <v>23680101</v>
      </c>
      <c r="G1843" t="s">
        <v>688</v>
      </c>
      <c r="H1843" t="s">
        <v>1105</v>
      </c>
      <c r="I1843" t="s">
        <v>1106</v>
      </c>
      <c r="J1843">
        <v>0</v>
      </c>
      <c r="K1843">
        <v>0</v>
      </c>
      <c r="L1843" s="3">
        <v>-11319</v>
      </c>
      <c r="M1843" s="3">
        <v>0</v>
      </c>
      <c r="N1843">
        <v>0</v>
      </c>
      <c r="O1843">
        <v>-1470000</v>
      </c>
      <c r="P1843">
        <v>-11319</v>
      </c>
      <c r="R1843" t="s">
        <v>1100</v>
      </c>
      <c r="S1843" t="str">
        <v>#N/A</v>
      </c>
      <c r="T1843" t="str">
        <v>#N/A</v>
      </c>
    </row>
    <row r="1844" spans="1:20" ht="13.7" customHeight="1" x14ac:dyDescent="0.25">
      <c r="A1844" t="s">
        <v>26</v>
      </c>
      <c r="B1844" t="s">
        <v>27</v>
      </c>
      <c r="C1844" t="s">
        <v>41</v>
      </c>
      <c r="D1844">
        <v>17</v>
      </c>
      <c r="E1844" s="5">
        <v>43748</v>
      </c>
      <c r="F1844">
        <v>23680101</v>
      </c>
      <c r="G1844" t="s">
        <v>688</v>
      </c>
      <c r="H1844" t="s">
        <v>1105</v>
      </c>
      <c r="I1844" t="s">
        <v>1106</v>
      </c>
      <c r="J1844">
        <v>0</v>
      </c>
      <c r="K1844">
        <v>0</v>
      </c>
      <c r="L1844" s="3">
        <v>-11319</v>
      </c>
      <c r="M1844" s="3">
        <v>0</v>
      </c>
      <c r="N1844">
        <v>5864</v>
      </c>
      <c r="O1844">
        <v>-761600</v>
      </c>
      <c r="P1844">
        <v>-17183</v>
      </c>
      <c r="Q1844" t="s">
        <v>30</v>
      </c>
      <c r="R1844" t="s">
        <v>295</v>
      </c>
      <c r="S1844" t="str">
        <v>#N/A</v>
      </c>
      <c r="T1844" t="str">
        <v>#N/A</v>
      </c>
    </row>
    <row r="1845" spans="1:20" ht="13.7" customHeight="1" x14ac:dyDescent="0.25">
      <c r="A1845" t="s">
        <v>26</v>
      </c>
      <c r="B1845" t="s">
        <v>27</v>
      </c>
      <c r="C1845" t="s">
        <v>41</v>
      </c>
      <c r="D1845">
        <v>3</v>
      </c>
      <c r="E1845" s="5">
        <v>43770</v>
      </c>
      <c r="F1845">
        <v>23680101</v>
      </c>
      <c r="G1845" t="s">
        <v>688</v>
      </c>
      <c r="H1845" t="s">
        <v>1105</v>
      </c>
      <c r="I1845" t="s">
        <v>1106</v>
      </c>
      <c r="J1845">
        <v>0</v>
      </c>
      <c r="K1845">
        <v>0</v>
      </c>
      <c r="L1845" s="3">
        <v>-17183</v>
      </c>
      <c r="M1845" s="3">
        <v>0</v>
      </c>
      <c r="N1845">
        <v>6832</v>
      </c>
      <c r="O1845">
        <v>-887250</v>
      </c>
      <c r="P1845">
        <v>-24015</v>
      </c>
      <c r="Q1845" t="s">
        <v>30</v>
      </c>
      <c r="R1845" t="s">
        <v>300</v>
      </c>
      <c r="S1845" t="str">
        <v>#N/A</v>
      </c>
      <c r="T1845" t="str">
        <v>#N/A</v>
      </c>
    </row>
    <row r="1846" spans="1:20" ht="13.7" customHeight="1" x14ac:dyDescent="0.25">
      <c r="A1846" t="s">
        <v>26</v>
      </c>
      <c r="B1846" t="s">
        <v>27</v>
      </c>
      <c r="C1846" t="s">
        <v>41</v>
      </c>
      <c r="D1846">
        <v>7</v>
      </c>
      <c r="E1846" s="5">
        <v>43803</v>
      </c>
      <c r="F1846">
        <v>23680101</v>
      </c>
      <c r="G1846" t="s">
        <v>688</v>
      </c>
      <c r="H1846" t="s">
        <v>1105</v>
      </c>
      <c r="I1846" t="s">
        <v>1106</v>
      </c>
      <c r="J1846">
        <v>0</v>
      </c>
      <c r="K1846">
        <v>0</v>
      </c>
      <c r="L1846" s="3">
        <v>-24015</v>
      </c>
      <c r="M1846" s="3">
        <v>0</v>
      </c>
      <c r="N1846">
        <v>2519.4</v>
      </c>
      <c r="O1846">
        <v>-327200</v>
      </c>
      <c r="P1846">
        <v>-26534.400000000001</v>
      </c>
      <c r="Q1846" t="s">
        <v>30</v>
      </c>
      <c r="R1846" t="s">
        <v>88</v>
      </c>
      <c r="S1846" t="str">
        <v>#N/A</v>
      </c>
      <c r="T1846" t="str">
        <v>#N/A</v>
      </c>
    </row>
    <row r="1847" spans="1:20" ht="13.7" customHeight="1" x14ac:dyDescent="0.25">
      <c r="E1847" s="5">
        <v>43465</v>
      </c>
      <c r="F1847">
        <v>23680101</v>
      </c>
      <c r="G1847" t="s">
        <v>688</v>
      </c>
      <c r="H1847" t="s">
        <v>1449</v>
      </c>
      <c r="I1847" t="s">
        <v>1450</v>
      </c>
      <c r="J1847">
        <v>0</v>
      </c>
      <c r="K1847">
        <v>0</v>
      </c>
      <c r="L1847" s="3">
        <v>-6622</v>
      </c>
      <c r="M1847" s="3">
        <v>0</v>
      </c>
      <c r="N1847">
        <v>0</v>
      </c>
      <c r="O1847">
        <v>-860000</v>
      </c>
      <c r="P1847">
        <v>-6622</v>
      </c>
      <c r="R1847" t="s">
        <v>1100</v>
      </c>
      <c r="S1847" t="str">
        <v>#N/A</v>
      </c>
      <c r="T1847" t="str">
        <v>13</v>
      </c>
    </row>
    <row r="1848" spans="1:20" ht="13.7" customHeight="1" x14ac:dyDescent="0.25">
      <c r="E1848" s="5">
        <v>43465</v>
      </c>
      <c r="F1848">
        <v>23680102</v>
      </c>
      <c r="G1848" t="s">
        <v>689</v>
      </c>
      <c r="H1848" t="s">
        <v>1173</v>
      </c>
      <c r="I1848" t="s">
        <v>1174</v>
      </c>
      <c r="J1848">
        <v>0</v>
      </c>
      <c r="K1848">
        <v>0</v>
      </c>
      <c r="L1848" s="3">
        <v>-9852</v>
      </c>
      <c r="M1848" s="3">
        <v>0</v>
      </c>
      <c r="N1848">
        <v>0</v>
      </c>
      <c r="O1848">
        <v>-895624</v>
      </c>
      <c r="P1848">
        <v>-9852</v>
      </c>
      <c r="R1848" t="s">
        <v>1100</v>
      </c>
      <c r="S1848" t="str">
        <v>#N/A</v>
      </c>
      <c r="T1848" t="str">
        <v>#N/A</v>
      </c>
    </row>
    <row r="1849" spans="1:20" ht="13.7" customHeight="1" x14ac:dyDescent="0.25">
      <c r="A1849" t="s">
        <v>26</v>
      </c>
      <c r="B1849" t="s">
        <v>27</v>
      </c>
      <c r="C1849" t="s">
        <v>40</v>
      </c>
      <c r="D1849">
        <v>18</v>
      </c>
      <c r="E1849" s="5">
        <v>43749</v>
      </c>
      <c r="F1849">
        <v>23680102</v>
      </c>
      <c r="G1849" t="s">
        <v>689</v>
      </c>
      <c r="H1849" t="s">
        <v>1173</v>
      </c>
      <c r="I1849" t="s">
        <v>1174</v>
      </c>
      <c r="J1849">
        <v>0</v>
      </c>
      <c r="K1849">
        <v>0</v>
      </c>
      <c r="L1849" s="3">
        <v>-9852</v>
      </c>
      <c r="M1849" s="3">
        <v>0</v>
      </c>
      <c r="N1849">
        <v>1051</v>
      </c>
      <c r="O1849">
        <v>-105164</v>
      </c>
      <c r="P1849">
        <v>-10903</v>
      </c>
      <c r="Q1849" t="s">
        <v>30</v>
      </c>
      <c r="R1849" t="s">
        <v>296</v>
      </c>
      <c r="S1849" t="str">
        <v>#N/A</v>
      </c>
      <c r="T1849" t="str">
        <v>#N/A</v>
      </c>
    </row>
    <row r="1850" spans="1:20" ht="13.7" customHeight="1" x14ac:dyDescent="0.25">
      <c r="E1850" s="5">
        <v>43465</v>
      </c>
      <c r="F1850">
        <v>23680102</v>
      </c>
      <c r="G1850" t="s">
        <v>689</v>
      </c>
      <c r="H1850" t="s">
        <v>1527</v>
      </c>
      <c r="I1850" t="s">
        <v>1528</v>
      </c>
      <c r="J1850">
        <v>0</v>
      </c>
      <c r="K1850">
        <v>0</v>
      </c>
      <c r="L1850" s="3">
        <v>-26950</v>
      </c>
      <c r="M1850" s="3">
        <v>0</v>
      </c>
      <c r="N1850">
        <v>0</v>
      </c>
      <c r="O1850">
        <v>-3500000</v>
      </c>
      <c r="P1850">
        <v>-26950</v>
      </c>
      <c r="R1850" t="s">
        <v>1100</v>
      </c>
      <c r="S1850" t="str">
        <v>#N/A</v>
      </c>
      <c r="T1850" t="str">
        <v>13</v>
      </c>
    </row>
    <row r="1851" spans="1:20" ht="13.7" customHeight="1" x14ac:dyDescent="0.25">
      <c r="E1851" s="5">
        <v>43465</v>
      </c>
      <c r="F1851">
        <v>23680102</v>
      </c>
      <c r="G1851" t="s">
        <v>689</v>
      </c>
      <c r="H1851" t="s">
        <v>1185</v>
      </c>
      <c r="I1851" t="s">
        <v>1186</v>
      </c>
      <c r="J1851">
        <v>0</v>
      </c>
      <c r="K1851">
        <v>0</v>
      </c>
      <c r="L1851" s="3">
        <v>0</v>
      </c>
      <c r="M1851" s="3">
        <v>0</v>
      </c>
      <c r="N1851">
        <v>0</v>
      </c>
      <c r="O1851">
        <v>0</v>
      </c>
      <c r="P1851">
        <v>0</v>
      </c>
      <c r="R1851" t="s">
        <v>1100</v>
      </c>
      <c r="S1851" t="str">
        <v>#N/A</v>
      </c>
      <c r="T1851" t="str">
        <v>#N/A</v>
      </c>
    </row>
    <row r="1852" spans="1:20" ht="13.7" customHeight="1" x14ac:dyDescent="0.25">
      <c r="A1852" t="s">
        <v>26</v>
      </c>
      <c r="B1852" t="s">
        <v>27</v>
      </c>
      <c r="C1852" t="s">
        <v>32</v>
      </c>
      <c r="D1852">
        <v>26</v>
      </c>
      <c r="E1852" s="5">
        <v>43509</v>
      </c>
      <c r="F1852">
        <v>23680102</v>
      </c>
      <c r="G1852" t="s">
        <v>689</v>
      </c>
      <c r="H1852" t="s">
        <v>1185</v>
      </c>
      <c r="I1852" t="s">
        <v>1186</v>
      </c>
      <c r="J1852">
        <v>0</v>
      </c>
      <c r="K1852">
        <v>0</v>
      </c>
      <c r="L1852" s="3">
        <v>0</v>
      </c>
      <c r="M1852" s="3">
        <v>0</v>
      </c>
      <c r="N1852">
        <v>1760</v>
      </c>
      <c r="O1852">
        <v>-160000</v>
      </c>
      <c r="P1852">
        <v>-1760</v>
      </c>
      <c r="Q1852" t="s">
        <v>30</v>
      </c>
      <c r="R1852" t="s">
        <v>80</v>
      </c>
      <c r="S1852" t="str">
        <v>#N/A</v>
      </c>
      <c r="T1852" t="str">
        <v>#N/A</v>
      </c>
    </row>
    <row r="1853" spans="1:20" ht="13.7" customHeight="1" x14ac:dyDescent="0.25">
      <c r="A1853" t="s">
        <v>26</v>
      </c>
      <c r="B1853" t="s">
        <v>27</v>
      </c>
      <c r="C1853" t="s">
        <v>180</v>
      </c>
      <c r="D1853">
        <v>53</v>
      </c>
      <c r="E1853" s="5">
        <v>43818</v>
      </c>
      <c r="F1853">
        <v>23680102</v>
      </c>
      <c r="G1853" t="s">
        <v>689</v>
      </c>
      <c r="H1853" t="s">
        <v>1185</v>
      </c>
      <c r="I1853" t="s">
        <v>1186</v>
      </c>
      <c r="J1853">
        <v>0</v>
      </c>
      <c r="K1853">
        <v>0</v>
      </c>
      <c r="L1853" s="3">
        <v>-1760</v>
      </c>
      <c r="M1853" s="3">
        <v>0</v>
      </c>
      <c r="N1853">
        <v>5000</v>
      </c>
      <c r="O1853">
        <v>-500000</v>
      </c>
      <c r="P1853">
        <v>-6760</v>
      </c>
      <c r="Q1853" t="s">
        <v>30</v>
      </c>
      <c r="R1853" t="s">
        <v>190</v>
      </c>
      <c r="S1853" t="str">
        <v>#N/A</v>
      </c>
      <c r="T1853" t="str">
        <v>#N/A</v>
      </c>
    </row>
    <row r="1854" spans="1:20" ht="13.7" customHeight="1" x14ac:dyDescent="0.25">
      <c r="A1854" t="s">
        <v>26</v>
      </c>
      <c r="B1854" t="s">
        <v>27</v>
      </c>
      <c r="C1854" t="s">
        <v>180</v>
      </c>
      <c r="D1854">
        <v>54</v>
      </c>
      <c r="E1854" s="5">
        <v>43819</v>
      </c>
      <c r="F1854">
        <v>23680102</v>
      </c>
      <c r="G1854" t="s">
        <v>689</v>
      </c>
      <c r="H1854" t="s">
        <v>1185</v>
      </c>
      <c r="I1854" t="s">
        <v>1186</v>
      </c>
      <c r="J1854">
        <v>0</v>
      </c>
      <c r="K1854">
        <v>0</v>
      </c>
      <c r="L1854" s="3">
        <v>-6760</v>
      </c>
      <c r="M1854" s="3">
        <v>0</v>
      </c>
      <c r="N1854">
        <v>10000</v>
      </c>
      <c r="O1854">
        <v>-1000000</v>
      </c>
      <c r="P1854">
        <v>-16760</v>
      </c>
      <c r="Q1854" t="s">
        <v>30</v>
      </c>
      <c r="R1854" t="s">
        <v>190</v>
      </c>
      <c r="S1854" t="str">
        <v>#N/A</v>
      </c>
      <c r="T1854" t="str">
        <v>#N/A</v>
      </c>
    </row>
    <row r="1855" spans="1:20" ht="13.7" customHeight="1" x14ac:dyDescent="0.25">
      <c r="E1855" s="5">
        <v>43465</v>
      </c>
      <c r="F1855">
        <v>23680102</v>
      </c>
      <c r="G1855" t="s">
        <v>689</v>
      </c>
      <c r="H1855" t="s">
        <v>1175</v>
      </c>
      <c r="I1855" t="s">
        <v>1176</v>
      </c>
      <c r="J1855">
        <v>0</v>
      </c>
      <c r="K1855">
        <v>0</v>
      </c>
      <c r="L1855" s="3">
        <v>0</v>
      </c>
      <c r="M1855" s="3">
        <v>0</v>
      </c>
      <c r="N1855">
        <v>0</v>
      </c>
      <c r="O1855">
        <v>0</v>
      </c>
      <c r="P1855">
        <v>0</v>
      </c>
      <c r="R1855" t="s">
        <v>1100</v>
      </c>
      <c r="S1855" t="str">
        <v>#N/A</v>
      </c>
      <c r="T1855" t="str">
        <v>#N/A</v>
      </c>
    </row>
    <row r="1856" spans="1:20" ht="13.7" customHeight="1" x14ac:dyDescent="0.25">
      <c r="A1856" t="s">
        <v>26</v>
      </c>
      <c r="B1856" t="s">
        <v>27</v>
      </c>
      <c r="C1856" t="s">
        <v>36</v>
      </c>
      <c r="D1856">
        <v>38</v>
      </c>
      <c r="E1856" s="5">
        <v>43633</v>
      </c>
      <c r="F1856">
        <v>23680102</v>
      </c>
      <c r="G1856" t="s">
        <v>689</v>
      </c>
      <c r="H1856" t="s">
        <v>1175</v>
      </c>
      <c r="I1856" t="s">
        <v>1176</v>
      </c>
      <c r="J1856">
        <v>0</v>
      </c>
      <c r="K1856">
        <v>0</v>
      </c>
      <c r="L1856" s="3">
        <v>0</v>
      </c>
      <c r="M1856" s="3">
        <v>0</v>
      </c>
      <c r="N1856">
        <v>1584</v>
      </c>
      <c r="O1856">
        <v>-240000</v>
      </c>
      <c r="P1856">
        <v>-1584</v>
      </c>
      <c r="Q1856" t="s">
        <v>30</v>
      </c>
      <c r="R1856" t="s">
        <v>64</v>
      </c>
      <c r="S1856" t="str">
        <v>#N/A</v>
      </c>
      <c r="T1856" t="str">
        <v>#N/A</v>
      </c>
    </row>
    <row r="1857" spans="1:20" ht="13.7" customHeight="1" x14ac:dyDescent="0.25">
      <c r="A1857" t="s">
        <v>26</v>
      </c>
      <c r="B1857" t="s">
        <v>27</v>
      </c>
      <c r="C1857" t="s">
        <v>36</v>
      </c>
      <c r="D1857">
        <v>60</v>
      </c>
      <c r="E1857" s="5">
        <v>43643</v>
      </c>
      <c r="F1857">
        <v>23680102</v>
      </c>
      <c r="G1857" t="s">
        <v>689</v>
      </c>
      <c r="H1857" t="s">
        <v>1175</v>
      </c>
      <c r="I1857" t="s">
        <v>1176</v>
      </c>
      <c r="J1857">
        <v>0</v>
      </c>
      <c r="K1857">
        <v>0</v>
      </c>
      <c r="L1857" s="3">
        <v>-1584</v>
      </c>
      <c r="M1857" s="3">
        <v>0</v>
      </c>
      <c r="N1857">
        <v>3168</v>
      </c>
      <c r="O1857">
        <v>-480000</v>
      </c>
      <c r="P1857">
        <v>-4752</v>
      </c>
      <c r="Q1857" t="s">
        <v>30</v>
      </c>
      <c r="R1857" t="s">
        <v>64</v>
      </c>
      <c r="S1857" t="str">
        <v>#N/A</v>
      </c>
      <c r="T1857" t="str">
        <v>#N/A</v>
      </c>
    </row>
    <row r="1858" spans="1:20" ht="13.7" customHeight="1" x14ac:dyDescent="0.25">
      <c r="E1858" s="5">
        <v>43465</v>
      </c>
      <c r="F1858">
        <v>23680102</v>
      </c>
      <c r="G1858" t="s">
        <v>689</v>
      </c>
      <c r="H1858" t="s">
        <v>1179</v>
      </c>
      <c r="I1858" t="s">
        <v>1180</v>
      </c>
      <c r="J1858">
        <v>0</v>
      </c>
      <c r="K1858">
        <v>0</v>
      </c>
      <c r="L1858" s="3">
        <v>-5940</v>
      </c>
      <c r="M1858" s="3">
        <v>0</v>
      </c>
      <c r="N1858">
        <v>0</v>
      </c>
      <c r="O1858">
        <v>-900000</v>
      </c>
      <c r="P1858">
        <v>-5940</v>
      </c>
      <c r="R1858" t="s">
        <v>1100</v>
      </c>
      <c r="S1858" t="str">
        <v>#N/A</v>
      </c>
      <c r="T1858" t="str">
        <v>13</v>
      </c>
    </row>
    <row r="1859" spans="1:20" ht="13.7" customHeight="1" x14ac:dyDescent="0.25">
      <c r="A1859" t="s">
        <v>26</v>
      </c>
      <c r="B1859" t="s">
        <v>27</v>
      </c>
      <c r="C1859" t="s">
        <v>180</v>
      </c>
      <c r="D1859">
        <v>2</v>
      </c>
      <c r="E1859" s="5">
        <v>43801</v>
      </c>
      <c r="F1859">
        <v>23680102</v>
      </c>
      <c r="G1859" t="s">
        <v>689</v>
      </c>
      <c r="H1859" t="s">
        <v>1179</v>
      </c>
      <c r="I1859" t="s">
        <v>1180</v>
      </c>
      <c r="J1859">
        <v>0</v>
      </c>
      <c r="K1859">
        <v>0</v>
      </c>
      <c r="L1859" s="3">
        <v>-5940</v>
      </c>
      <c r="M1859" s="3">
        <v>0</v>
      </c>
      <c r="N1859">
        <v>8217</v>
      </c>
      <c r="O1859">
        <v>-10672200</v>
      </c>
      <c r="P1859">
        <v>-14157</v>
      </c>
      <c r="Q1859" t="s">
        <v>30</v>
      </c>
      <c r="R1859" t="s">
        <v>88</v>
      </c>
      <c r="S1859" t="str">
        <v>#N/A</v>
      </c>
      <c r="T1859" t="str">
        <v>13</v>
      </c>
    </row>
    <row r="1860" spans="1:20" ht="13.7" customHeight="1" x14ac:dyDescent="0.25">
      <c r="E1860" s="5">
        <v>43465</v>
      </c>
      <c r="F1860">
        <v>23680102</v>
      </c>
      <c r="G1860" t="s">
        <v>689</v>
      </c>
      <c r="H1860" t="s">
        <v>1115</v>
      </c>
      <c r="I1860" t="s">
        <v>1116</v>
      </c>
      <c r="J1860">
        <v>0</v>
      </c>
      <c r="K1860">
        <v>0</v>
      </c>
      <c r="L1860" s="3">
        <v>-186009</v>
      </c>
      <c r="M1860" s="3">
        <v>0</v>
      </c>
      <c r="N1860">
        <v>0</v>
      </c>
      <c r="O1860">
        <v>-21070920</v>
      </c>
      <c r="P1860">
        <v>-186009</v>
      </c>
      <c r="R1860" t="s">
        <v>1100</v>
      </c>
      <c r="S1860" t="str">
        <v>#N/A</v>
      </c>
      <c r="T1860" t="str">
        <v>13</v>
      </c>
    </row>
    <row r="1861" spans="1:20" ht="13.7" customHeight="1" x14ac:dyDescent="0.25">
      <c r="A1861" t="s">
        <v>26</v>
      </c>
      <c r="B1861" t="s">
        <v>27</v>
      </c>
      <c r="C1861" t="s">
        <v>91</v>
      </c>
      <c r="D1861">
        <v>56</v>
      </c>
      <c r="E1861" s="5">
        <v>43540</v>
      </c>
      <c r="F1861">
        <v>23680102</v>
      </c>
      <c r="G1861" t="s">
        <v>689</v>
      </c>
      <c r="H1861" t="s">
        <v>1115</v>
      </c>
      <c r="I1861" t="s">
        <v>1116</v>
      </c>
      <c r="J1861">
        <v>0</v>
      </c>
      <c r="K1861">
        <v>0</v>
      </c>
      <c r="L1861" s="3">
        <v>-186009</v>
      </c>
      <c r="M1861" s="3">
        <v>0</v>
      </c>
      <c r="N1861">
        <v>15000</v>
      </c>
      <c r="O1861">
        <v>-1500000</v>
      </c>
      <c r="P1861">
        <v>-201009</v>
      </c>
      <c r="Q1861" t="s">
        <v>30</v>
      </c>
      <c r="R1861" t="s">
        <v>239</v>
      </c>
      <c r="S1861" t="str">
        <v>#N/A</v>
      </c>
      <c r="T1861" t="str">
        <v>13</v>
      </c>
    </row>
    <row r="1862" spans="1:20" ht="13.7" customHeight="1" x14ac:dyDescent="0.25">
      <c r="A1862" t="s">
        <v>26</v>
      </c>
      <c r="B1862" t="s">
        <v>27</v>
      </c>
      <c r="C1862" t="s">
        <v>91</v>
      </c>
      <c r="D1862">
        <v>50</v>
      </c>
      <c r="E1862" s="5">
        <v>43546</v>
      </c>
      <c r="F1862">
        <v>23680102</v>
      </c>
      <c r="G1862" t="s">
        <v>689</v>
      </c>
      <c r="H1862" t="s">
        <v>1115</v>
      </c>
      <c r="I1862" t="s">
        <v>1116</v>
      </c>
      <c r="J1862">
        <v>0</v>
      </c>
      <c r="K1862">
        <v>0</v>
      </c>
      <c r="L1862" s="3">
        <v>-201009</v>
      </c>
      <c r="M1862" s="3">
        <v>0</v>
      </c>
      <c r="N1862">
        <v>9000</v>
      </c>
      <c r="O1862">
        <v>-900000</v>
      </c>
      <c r="P1862">
        <v>-210009</v>
      </c>
      <c r="Q1862" t="s">
        <v>30</v>
      </c>
      <c r="R1862" t="s">
        <v>243</v>
      </c>
      <c r="S1862" t="str">
        <v>#N/A</v>
      </c>
      <c r="T1862" t="str">
        <v>13</v>
      </c>
    </row>
    <row r="1863" spans="1:20" ht="13.7" customHeight="1" x14ac:dyDescent="0.25">
      <c r="A1863" t="s">
        <v>26</v>
      </c>
      <c r="B1863" t="s">
        <v>27</v>
      </c>
      <c r="C1863" t="s">
        <v>91</v>
      </c>
      <c r="D1863">
        <v>65</v>
      </c>
      <c r="E1863" s="5">
        <v>43554</v>
      </c>
      <c r="F1863">
        <v>23680102</v>
      </c>
      <c r="G1863" t="s">
        <v>689</v>
      </c>
      <c r="H1863" t="s">
        <v>1115</v>
      </c>
      <c r="I1863" t="s">
        <v>1116</v>
      </c>
      <c r="J1863">
        <v>0</v>
      </c>
      <c r="K1863">
        <v>0</v>
      </c>
      <c r="L1863" s="3">
        <v>-210009</v>
      </c>
      <c r="M1863" s="3">
        <v>0</v>
      </c>
      <c r="N1863">
        <v>15000</v>
      </c>
      <c r="O1863">
        <v>-1500000</v>
      </c>
      <c r="P1863">
        <v>-225009</v>
      </c>
      <c r="Q1863" t="s">
        <v>30</v>
      </c>
      <c r="R1863" t="s">
        <v>239</v>
      </c>
      <c r="S1863" t="str">
        <v>#N/A</v>
      </c>
      <c r="T1863" t="str">
        <v>13</v>
      </c>
    </row>
    <row r="1864" spans="1:20" ht="13.7" customHeight="1" x14ac:dyDescent="0.25">
      <c r="A1864" t="s">
        <v>26</v>
      </c>
      <c r="B1864" t="s">
        <v>27</v>
      </c>
      <c r="C1864" t="s">
        <v>34</v>
      </c>
      <c r="D1864">
        <v>34</v>
      </c>
      <c r="E1864" s="5">
        <v>43570</v>
      </c>
      <c r="F1864">
        <v>23680102</v>
      </c>
      <c r="G1864" t="s">
        <v>689</v>
      </c>
      <c r="H1864" t="s">
        <v>1115</v>
      </c>
      <c r="I1864" t="s">
        <v>1116</v>
      </c>
      <c r="J1864">
        <v>0</v>
      </c>
      <c r="K1864">
        <v>0</v>
      </c>
      <c r="L1864" s="3">
        <v>-225009</v>
      </c>
      <c r="M1864" s="3">
        <v>0</v>
      </c>
      <c r="N1864">
        <v>15000</v>
      </c>
      <c r="O1864">
        <v>-1500000</v>
      </c>
      <c r="P1864">
        <v>-240009</v>
      </c>
      <c r="Q1864" t="s">
        <v>30</v>
      </c>
      <c r="R1864" t="s">
        <v>69</v>
      </c>
      <c r="S1864" t="str">
        <v>#N/A</v>
      </c>
      <c r="T1864" t="str">
        <v>13</v>
      </c>
    </row>
    <row r="1865" spans="1:20" ht="13.7" customHeight="1" x14ac:dyDescent="0.25">
      <c r="A1865" t="s">
        <v>26</v>
      </c>
      <c r="B1865" t="s">
        <v>27</v>
      </c>
      <c r="C1865" t="s">
        <v>35</v>
      </c>
      <c r="D1865">
        <v>1</v>
      </c>
      <c r="E1865" s="5">
        <v>43588</v>
      </c>
      <c r="F1865">
        <v>23680102</v>
      </c>
      <c r="G1865" t="s">
        <v>689</v>
      </c>
      <c r="H1865" t="s">
        <v>1115</v>
      </c>
      <c r="I1865" t="s">
        <v>1116</v>
      </c>
      <c r="J1865">
        <v>0</v>
      </c>
      <c r="K1865">
        <v>0</v>
      </c>
      <c r="L1865" s="3">
        <v>-240009</v>
      </c>
      <c r="M1865" s="3">
        <v>0</v>
      </c>
      <c r="N1865">
        <v>15000</v>
      </c>
      <c r="O1865">
        <v>-1500000</v>
      </c>
      <c r="P1865">
        <v>-255009</v>
      </c>
      <c r="Q1865" t="s">
        <v>30</v>
      </c>
      <c r="R1865" t="s">
        <v>69</v>
      </c>
      <c r="S1865" t="str">
        <v>#N/A</v>
      </c>
      <c r="T1865" t="str">
        <v>13</v>
      </c>
    </row>
    <row r="1866" spans="1:20" ht="13.7" customHeight="1" x14ac:dyDescent="0.25">
      <c r="A1866" t="s">
        <v>26</v>
      </c>
      <c r="B1866" t="s">
        <v>27</v>
      </c>
      <c r="C1866" t="s">
        <v>35</v>
      </c>
      <c r="D1866">
        <v>4</v>
      </c>
      <c r="E1866" s="5">
        <v>43601</v>
      </c>
      <c r="F1866">
        <v>23680102</v>
      </c>
      <c r="G1866" t="s">
        <v>689</v>
      </c>
      <c r="H1866" t="s">
        <v>1115</v>
      </c>
      <c r="I1866" t="s">
        <v>1116</v>
      </c>
      <c r="J1866">
        <v>0</v>
      </c>
      <c r="K1866">
        <v>0</v>
      </c>
      <c r="L1866" s="3">
        <v>-255009</v>
      </c>
      <c r="M1866" s="3">
        <v>0</v>
      </c>
      <c r="N1866">
        <v>15000</v>
      </c>
      <c r="O1866">
        <v>-1500000</v>
      </c>
      <c r="P1866">
        <v>-270009</v>
      </c>
      <c r="Q1866" t="s">
        <v>30</v>
      </c>
      <c r="R1866" t="s">
        <v>69</v>
      </c>
      <c r="S1866" t="str">
        <v>#N/A</v>
      </c>
      <c r="T1866" t="str">
        <v>13</v>
      </c>
    </row>
    <row r="1867" spans="1:20" ht="13.7" customHeight="1" x14ac:dyDescent="0.25">
      <c r="A1867" t="s">
        <v>26</v>
      </c>
      <c r="B1867" t="s">
        <v>27</v>
      </c>
      <c r="C1867" t="s">
        <v>36</v>
      </c>
      <c r="D1867">
        <v>7</v>
      </c>
      <c r="E1867" s="5">
        <v>43617</v>
      </c>
      <c r="F1867">
        <v>23680102</v>
      </c>
      <c r="G1867" t="s">
        <v>689</v>
      </c>
      <c r="H1867" t="s">
        <v>1115</v>
      </c>
      <c r="I1867" t="s">
        <v>1116</v>
      </c>
      <c r="J1867">
        <v>0</v>
      </c>
      <c r="K1867">
        <v>0</v>
      </c>
      <c r="L1867" s="3">
        <v>-270009</v>
      </c>
      <c r="M1867" s="3">
        <v>0</v>
      </c>
      <c r="N1867">
        <v>15000</v>
      </c>
      <c r="O1867">
        <v>-1500000</v>
      </c>
      <c r="P1867">
        <v>-285009</v>
      </c>
      <c r="Q1867" t="s">
        <v>30</v>
      </c>
      <c r="R1867" t="s">
        <v>263</v>
      </c>
      <c r="S1867" t="str">
        <v>#N/A</v>
      </c>
      <c r="T1867" t="str">
        <v>13</v>
      </c>
    </row>
    <row r="1868" spans="1:20" ht="13.7" customHeight="1" x14ac:dyDescent="0.25">
      <c r="A1868" t="s">
        <v>26</v>
      </c>
      <c r="B1868" t="s">
        <v>27</v>
      </c>
      <c r="C1868" t="s">
        <v>36</v>
      </c>
      <c r="D1868">
        <v>22</v>
      </c>
      <c r="E1868" s="5">
        <v>43629</v>
      </c>
      <c r="F1868">
        <v>23680102</v>
      </c>
      <c r="G1868" t="s">
        <v>689</v>
      </c>
      <c r="H1868" t="s">
        <v>1115</v>
      </c>
      <c r="I1868" t="s">
        <v>1116</v>
      </c>
      <c r="J1868">
        <v>0</v>
      </c>
      <c r="K1868">
        <v>0</v>
      </c>
      <c r="L1868" s="3">
        <v>-285009</v>
      </c>
      <c r="M1868" s="3">
        <v>0</v>
      </c>
      <c r="N1868">
        <v>15000</v>
      </c>
      <c r="O1868">
        <v>-1500000</v>
      </c>
      <c r="P1868">
        <v>-300009</v>
      </c>
      <c r="Q1868" t="s">
        <v>30</v>
      </c>
      <c r="R1868" t="s">
        <v>263</v>
      </c>
      <c r="S1868" t="str">
        <v>#N/A</v>
      </c>
      <c r="T1868" t="str">
        <v>13</v>
      </c>
    </row>
    <row r="1869" spans="1:20" ht="13.7" customHeight="1" x14ac:dyDescent="0.25">
      <c r="A1869" t="s">
        <v>26</v>
      </c>
      <c r="B1869" t="s">
        <v>27</v>
      </c>
      <c r="C1869" t="s">
        <v>36</v>
      </c>
      <c r="D1869">
        <v>50</v>
      </c>
      <c r="E1869" s="5">
        <v>43638</v>
      </c>
      <c r="F1869">
        <v>23680102</v>
      </c>
      <c r="G1869" t="s">
        <v>689</v>
      </c>
      <c r="H1869" t="s">
        <v>1115</v>
      </c>
      <c r="I1869" t="s">
        <v>1116</v>
      </c>
      <c r="J1869">
        <v>0</v>
      </c>
      <c r="K1869">
        <v>0</v>
      </c>
      <c r="L1869" s="3">
        <v>-300009</v>
      </c>
      <c r="M1869" s="3">
        <v>0</v>
      </c>
      <c r="N1869">
        <v>5000</v>
      </c>
      <c r="O1869">
        <v>-500000</v>
      </c>
      <c r="P1869">
        <v>-305009</v>
      </c>
      <c r="Q1869" t="s">
        <v>30</v>
      </c>
      <c r="R1869" t="s">
        <v>263</v>
      </c>
      <c r="S1869" t="str">
        <v>#N/A</v>
      </c>
      <c r="T1869" t="str">
        <v>13</v>
      </c>
    </row>
    <row r="1870" spans="1:20" ht="13.7" customHeight="1" x14ac:dyDescent="0.25">
      <c r="A1870" t="s">
        <v>26</v>
      </c>
      <c r="B1870" t="s">
        <v>27</v>
      </c>
      <c r="C1870" t="s">
        <v>36</v>
      </c>
      <c r="D1870">
        <v>64</v>
      </c>
      <c r="E1870" s="5">
        <v>43645</v>
      </c>
      <c r="F1870">
        <v>23680102</v>
      </c>
      <c r="G1870" t="s">
        <v>689</v>
      </c>
      <c r="H1870" t="s">
        <v>1115</v>
      </c>
      <c r="I1870" t="s">
        <v>1116</v>
      </c>
      <c r="J1870">
        <v>0</v>
      </c>
      <c r="K1870">
        <v>0</v>
      </c>
      <c r="L1870" s="3">
        <v>-305009</v>
      </c>
      <c r="M1870" s="3">
        <v>0</v>
      </c>
      <c r="N1870">
        <v>10000</v>
      </c>
      <c r="O1870">
        <v>-1000000</v>
      </c>
      <c r="P1870">
        <v>-315009</v>
      </c>
      <c r="Q1870" t="s">
        <v>30</v>
      </c>
      <c r="R1870" t="s">
        <v>276</v>
      </c>
      <c r="S1870" t="str">
        <v>#N/A</v>
      </c>
      <c r="T1870" t="str">
        <v>13</v>
      </c>
    </row>
    <row r="1871" spans="1:20" ht="13.7" customHeight="1" x14ac:dyDescent="0.25">
      <c r="A1871" t="s">
        <v>26</v>
      </c>
      <c r="B1871" t="s">
        <v>27</v>
      </c>
      <c r="C1871" t="s">
        <v>37</v>
      </c>
      <c r="D1871">
        <v>49</v>
      </c>
      <c r="E1871" s="5">
        <v>43668</v>
      </c>
      <c r="F1871">
        <v>23680102</v>
      </c>
      <c r="G1871" t="s">
        <v>689</v>
      </c>
      <c r="H1871" t="s">
        <v>1115</v>
      </c>
      <c r="I1871" t="s">
        <v>1116</v>
      </c>
      <c r="J1871">
        <v>0</v>
      </c>
      <c r="K1871">
        <v>0</v>
      </c>
      <c r="L1871" s="3">
        <v>-315009</v>
      </c>
      <c r="M1871" s="3">
        <v>0</v>
      </c>
      <c r="N1871">
        <v>15000</v>
      </c>
      <c r="O1871">
        <v>-1500000</v>
      </c>
      <c r="P1871">
        <v>-330009</v>
      </c>
      <c r="Q1871" t="s">
        <v>30</v>
      </c>
      <c r="R1871" t="s">
        <v>281</v>
      </c>
      <c r="S1871" t="str">
        <v>#N/A</v>
      </c>
      <c r="T1871" t="str">
        <v>13</v>
      </c>
    </row>
    <row r="1872" spans="1:20" ht="13.7" customHeight="1" x14ac:dyDescent="0.25">
      <c r="A1872" t="s">
        <v>26</v>
      </c>
      <c r="B1872" t="s">
        <v>27</v>
      </c>
      <c r="C1872" t="s">
        <v>38</v>
      </c>
      <c r="D1872">
        <v>2</v>
      </c>
      <c r="E1872" s="5">
        <v>43679</v>
      </c>
      <c r="F1872">
        <v>23680102</v>
      </c>
      <c r="G1872" t="s">
        <v>689</v>
      </c>
      <c r="H1872" t="s">
        <v>1115</v>
      </c>
      <c r="I1872" t="s">
        <v>1116</v>
      </c>
      <c r="J1872">
        <v>0</v>
      </c>
      <c r="K1872">
        <v>0</v>
      </c>
      <c r="L1872" s="3">
        <v>-330009</v>
      </c>
      <c r="M1872" s="3">
        <v>0</v>
      </c>
      <c r="N1872">
        <v>15000</v>
      </c>
      <c r="O1872">
        <v>-1500000</v>
      </c>
      <c r="P1872">
        <v>-345009</v>
      </c>
      <c r="Q1872" t="s">
        <v>30</v>
      </c>
      <c r="R1872" t="s">
        <v>263</v>
      </c>
      <c r="S1872" t="str">
        <v>#N/A</v>
      </c>
      <c r="T1872" t="str">
        <v>13</v>
      </c>
    </row>
    <row r="1873" spans="1:20" ht="13.7" customHeight="1" x14ac:dyDescent="0.25">
      <c r="A1873" t="s">
        <v>26</v>
      </c>
      <c r="B1873" t="s">
        <v>27</v>
      </c>
      <c r="C1873" t="s">
        <v>38</v>
      </c>
      <c r="D1873">
        <v>36</v>
      </c>
      <c r="E1873" s="5">
        <v>43701</v>
      </c>
      <c r="F1873">
        <v>23680102</v>
      </c>
      <c r="G1873" t="s">
        <v>689</v>
      </c>
      <c r="H1873" t="s">
        <v>1115</v>
      </c>
      <c r="I1873" t="s">
        <v>1116</v>
      </c>
      <c r="J1873">
        <v>0</v>
      </c>
      <c r="K1873">
        <v>0</v>
      </c>
      <c r="L1873" s="3">
        <v>-345009</v>
      </c>
      <c r="M1873" s="3">
        <v>0</v>
      </c>
      <c r="N1873">
        <v>15000</v>
      </c>
      <c r="O1873">
        <v>-1500000</v>
      </c>
      <c r="P1873">
        <v>-360009</v>
      </c>
      <c r="Q1873" t="s">
        <v>30</v>
      </c>
      <c r="R1873" t="s">
        <v>263</v>
      </c>
      <c r="S1873" t="str">
        <v>#N/A</v>
      </c>
      <c r="T1873" t="str">
        <v>13</v>
      </c>
    </row>
    <row r="1874" spans="1:20" ht="13.7" customHeight="1" x14ac:dyDescent="0.25">
      <c r="A1874" t="s">
        <v>26</v>
      </c>
      <c r="B1874" t="s">
        <v>27</v>
      </c>
      <c r="C1874" t="s">
        <v>40</v>
      </c>
      <c r="D1874">
        <v>5</v>
      </c>
      <c r="E1874" s="5">
        <v>43743</v>
      </c>
      <c r="F1874">
        <v>23680102</v>
      </c>
      <c r="G1874" t="s">
        <v>689</v>
      </c>
      <c r="H1874" t="s">
        <v>1115</v>
      </c>
      <c r="I1874" t="s">
        <v>1116</v>
      </c>
      <c r="J1874">
        <v>0</v>
      </c>
      <c r="K1874">
        <v>0</v>
      </c>
      <c r="L1874" s="3">
        <v>-360009</v>
      </c>
      <c r="M1874" s="3">
        <v>0</v>
      </c>
      <c r="N1874">
        <v>20000</v>
      </c>
      <c r="O1874">
        <v>-2000000</v>
      </c>
      <c r="P1874">
        <v>-380009</v>
      </c>
      <c r="Q1874" t="s">
        <v>30</v>
      </c>
      <c r="R1874" t="s">
        <v>292</v>
      </c>
      <c r="S1874" t="str">
        <v>#N/A</v>
      </c>
      <c r="T1874" t="str">
        <v>13</v>
      </c>
    </row>
    <row r="1875" spans="1:20" ht="13.7" customHeight="1" x14ac:dyDescent="0.25">
      <c r="A1875" t="s">
        <v>26</v>
      </c>
      <c r="B1875" t="s">
        <v>27</v>
      </c>
      <c r="C1875" t="s">
        <v>40</v>
      </c>
      <c r="D1875">
        <v>27</v>
      </c>
      <c r="E1875" s="5">
        <v>43754</v>
      </c>
      <c r="F1875">
        <v>23680102</v>
      </c>
      <c r="G1875" t="s">
        <v>689</v>
      </c>
      <c r="H1875" t="s">
        <v>1115</v>
      </c>
      <c r="I1875" t="s">
        <v>1116</v>
      </c>
      <c r="J1875">
        <v>0</v>
      </c>
      <c r="K1875">
        <v>0</v>
      </c>
      <c r="L1875" s="3">
        <v>-380009</v>
      </c>
      <c r="M1875" s="3">
        <v>0</v>
      </c>
      <c r="N1875">
        <v>25000</v>
      </c>
      <c r="O1875">
        <v>-2500000</v>
      </c>
      <c r="P1875">
        <v>-405009</v>
      </c>
      <c r="Q1875" t="s">
        <v>30</v>
      </c>
      <c r="R1875" t="s">
        <v>263</v>
      </c>
      <c r="S1875" t="str">
        <v>#N/A</v>
      </c>
      <c r="T1875" t="str">
        <v>13</v>
      </c>
    </row>
    <row r="1876" spans="1:20" ht="13.7" customHeight="1" x14ac:dyDescent="0.25">
      <c r="A1876" t="s">
        <v>26</v>
      </c>
      <c r="B1876" t="s">
        <v>27</v>
      </c>
      <c r="C1876" t="s">
        <v>40</v>
      </c>
      <c r="D1876">
        <v>60</v>
      </c>
      <c r="E1876" s="5">
        <v>43769</v>
      </c>
      <c r="F1876">
        <v>23680102</v>
      </c>
      <c r="G1876" t="s">
        <v>689</v>
      </c>
      <c r="H1876" t="s">
        <v>1115</v>
      </c>
      <c r="I1876" t="s">
        <v>1116</v>
      </c>
      <c r="J1876">
        <v>0</v>
      </c>
      <c r="K1876">
        <v>0</v>
      </c>
      <c r="L1876" s="3">
        <v>-405009</v>
      </c>
      <c r="M1876" s="3">
        <v>0</v>
      </c>
      <c r="N1876">
        <v>15000</v>
      </c>
      <c r="O1876">
        <v>-1500000</v>
      </c>
      <c r="P1876">
        <v>-420009</v>
      </c>
      <c r="Q1876" t="s">
        <v>30</v>
      </c>
      <c r="R1876" t="s">
        <v>263</v>
      </c>
      <c r="S1876" t="str">
        <v>#N/A</v>
      </c>
      <c r="T1876" t="str">
        <v>13</v>
      </c>
    </row>
    <row r="1877" spans="1:20" ht="13.7" customHeight="1" x14ac:dyDescent="0.25">
      <c r="A1877" t="s">
        <v>26</v>
      </c>
      <c r="B1877" t="s">
        <v>27</v>
      </c>
      <c r="C1877" t="s">
        <v>41</v>
      </c>
      <c r="D1877">
        <v>40</v>
      </c>
      <c r="E1877" s="5">
        <v>43785</v>
      </c>
      <c r="F1877">
        <v>23680102</v>
      </c>
      <c r="G1877" t="s">
        <v>689</v>
      </c>
      <c r="H1877" t="s">
        <v>1115</v>
      </c>
      <c r="I1877" t="s">
        <v>1116</v>
      </c>
      <c r="J1877">
        <v>0</v>
      </c>
      <c r="K1877">
        <v>0</v>
      </c>
      <c r="L1877" s="3">
        <v>-420009</v>
      </c>
      <c r="M1877" s="3">
        <v>0</v>
      </c>
      <c r="N1877">
        <v>15000</v>
      </c>
      <c r="O1877">
        <v>-1500000</v>
      </c>
      <c r="P1877">
        <v>-435009</v>
      </c>
      <c r="Q1877" t="s">
        <v>30</v>
      </c>
      <c r="R1877" t="s">
        <v>69</v>
      </c>
      <c r="S1877" t="str">
        <v>#N/A</v>
      </c>
      <c r="T1877" t="str">
        <v>13</v>
      </c>
    </row>
    <row r="1878" spans="1:20" ht="13.7" customHeight="1" x14ac:dyDescent="0.25">
      <c r="A1878" t="s">
        <v>26</v>
      </c>
      <c r="B1878" t="s">
        <v>27</v>
      </c>
      <c r="C1878" t="s">
        <v>180</v>
      </c>
      <c r="D1878">
        <v>45</v>
      </c>
      <c r="E1878" s="5">
        <v>43816</v>
      </c>
      <c r="F1878">
        <v>23680102</v>
      </c>
      <c r="G1878" t="s">
        <v>689</v>
      </c>
      <c r="H1878" t="s">
        <v>1115</v>
      </c>
      <c r="I1878" t="s">
        <v>1116</v>
      </c>
      <c r="J1878">
        <v>0</v>
      </c>
      <c r="K1878">
        <v>0</v>
      </c>
      <c r="L1878" s="3">
        <v>-435009</v>
      </c>
      <c r="M1878" s="3">
        <v>0</v>
      </c>
      <c r="N1878">
        <v>15000</v>
      </c>
      <c r="O1878">
        <v>-1500000</v>
      </c>
      <c r="P1878">
        <v>-450009</v>
      </c>
      <c r="Q1878" t="s">
        <v>30</v>
      </c>
      <c r="R1878" t="s">
        <v>69</v>
      </c>
      <c r="S1878" t="str">
        <v>#N/A</v>
      </c>
      <c r="T1878" t="str">
        <v>13</v>
      </c>
    </row>
    <row r="1879" spans="1:20" ht="13.7" customHeight="1" x14ac:dyDescent="0.25">
      <c r="E1879" s="5">
        <v>43465</v>
      </c>
      <c r="F1879">
        <v>23680102</v>
      </c>
      <c r="G1879" t="s">
        <v>689</v>
      </c>
      <c r="H1879" t="s">
        <v>1529</v>
      </c>
      <c r="I1879" t="s">
        <v>1530</v>
      </c>
      <c r="J1879">
        <v>0</v>
      </c>
      <c r="K1879">
        <v>0</v>
      </c>
      <c r="L1879" s="3">
        <v>-7500</v>
      </c>
      <c r="M1879" s="3">
        <v>0</v>
      </c>
      <c r="N1879">
        <v>0</v>
      </c>
      <c r="O1879">
        <v>-750000</v>
      </c>
      <c r="P1879">
        <v>-7500</v>
      </c>
      <c r="R1879" t="s">
        <v>1100</v>
      </c>
      <c r="S1879" t="str">
        <v>#N/A</v>
      </c>
      <c r="T1879" t="str">
        <v>#N/A</v>
      </c>
    </row>
    <row r="1880" spans="1:20" ht="13.7" customHeight="1" x14ac:dyDescent="0.25">
      <c r="E1880" s="5">
        <v>43465</v>
      </c>
      <c r="F1880">
        <v>23680102</v>
      </c>
      <c r="G1880" t="s">
        <v>689</v>
      </c>
      <c r="H1880" t="s">
        <v>1317</v>
      </c>
      <c r="I1880" t="s">
        <v>1318</v>
      </c>
      <c r="J1880">
        <v>0</v>
      </c>
      <c r="K1880">
        <v>0</v>
      </c>
      <c r="L1880" s="3">
        <v>-33820</v>
      </c>
      <c r="M1880" s="3">
        <v>0</v>
      </c>
      <c r="N1880">
        <v>0</v>
      </c>
      <c r="O1880">
        <v>-422000</v>
      </c>
      <c r="P1880">
        <v>-33820</v>
      </c>
      <c r="R1880" t="s">
        <v>1100</v>
      </c>
      <c r="S1880" t="str">
        <v>#N/A</v>
      </c>
      <c r="T1880" t="str">
        <v>13</v>
      </c>
    </row>
    <row r="1881" spans="1:20" ht="13.7" customHeight="1" x14ac:dyDescent="0.25">
      <c r="E1881" s="5">
        <v>43465</v>
      </c>
      <c r="F1881">
        <v>23680102</v>
      </c>
      <c r="G1881" t="s">
        <v>689</v>
      </c>
      <c r="H1881" t="s">
        <v>1119</v>
      </c>
      <c r="I1881" t="s">
        <v>1120</v>
      </c>
      <c r="J1881">
        <v>0</v>
      </c>
      <c r="K1881">
        <v>0</v>
      </c>
      <c r="L1881" s="3">
        <v>-33970</v>
      </c>
      <c r="M1881" s="3">
        <v>0</v>
      </c>
      <c r="N1881">
        <v>0</v>
      </c>
      <c r="O1881">
        <v>-2449000</v>
      </c>
      <c r="P1881">
        <v>-33970</v>
      </c>
      <c r="R1881" t="s">
        <v>1100</v>
      </c>
      <c r="S1881" t="str">
        <v>#N/A</v>
      </c>
      <c r="T1881" t="str">
        <v>13</v>
      </c>
    </row>
    <row r="1882" spans="1:20" ht="13.7" customHeight="1" x14ac:dyDescent="0.25">
      <c r="A1882" t="s">
        <v>26</v>
      </c>
      <c r="B1882" t="s">
        <v>27</v>
      </c>
      <c r="C1882" t="s">
        <v>28</v>
      </c>
      <c r="D1882">
        <v>74</v>
      </c>
      <c r="E1882" s="5">
        <v>43493</v>
      </c>
      <c r="F1882">
        <v>23680102</v>
      </c>
      <c r="G1882" t="s">
        <v>689</v>
      </c>
      <c r="H1882" t="s">
        <v>1119</v>
      </c>
      <c r="I1882" t="s">
        <v>1120</v>
      </c>
      <c r="J1882">
        <v>0</v>
      </c>
      <c r="K1882">
        <v>0</v>
      </c>
      <c r="L1882" s="3">
        <v>-33970</v>
      </c>
      <c r="M1882" s="3">
        <v>0</v>
      </c>
      <c r="N1882">
        <v>64680</v>
      </c>
      <c r="O1882">
        <v>-840000</v>
      </c>
      <c r="P1882">
        <v>-98650</v>
      </c>
      <c r="Q1882" t="s">
        <v>30</v>
      </c>
      <c r="R1882" t="s">
        <v>86</v>
      </c>
      <c r="S1882" t="str">
        <v>#N/A</v>
      </c>
      <c r="T1882" t="str">
        <v>13</v>
      </c>
    </row>
    <row r="1883" spans="1:20" ht="13.7" customHeight="1" x14ac:dyDescent="0.25">
      <c r="A1883" t="s">
        <v>26</v>
      </c>
      <c r="B1883" t="s">
        <v>27</v>
      </c>
      <c r="C1883" t="s">
        <v>91</v>
      </c>
      <c r="D1883">
        <v>58</v>
      </c>
      <c r="E1883" s="5">
        <v>43550</v>
      </c>
      <c r="F1883">
        <v>23680102</v>
      </c>
      <c r="G1883" t="s">
        <v>689</v>
      </c>
      <c r="H1883" t="s">
        <v>1119</v>
      </c>
      <c r="I1883" t="s">
        <v>1120</v>
      </c>
      <c r="J1883">
        <v>0</v>
      </c>
      <c r="K1883">
        <v>0</v>
      </c>
      <c r="L1883" s="3">
        <v>-98650</v>
      </c>
      <c r="M1883" s="3">
        <v>0</v>
      </c>
      <c r="N1883">
        <v>9240</v>
      </c>
      <c r="O1883">
        <v>-840000</v>
      </c>
      <c r="P1883">
        <v>-107890</v>
      </c>
      <c r="Q1883" t="s">
        <v>30</v>
      </c>
      <c r="R1883" t="s">
        <v>245</v>
      </c>
      <c r="S1883" t="str">
        <v>#N/A</v>
      </c>
      <c r="T1883" t="str">
        <v>13</v>
      </c>
    </row>
    <row r="1884" spans="1:20" ht="13.7" customHeight="1" x14ac:dyDescent="0.25">
      <c r="A1884" t="s">
        <v>26</v>
      </c>
      <c r="B1884" t="s">
        <v>27</v>
      </c>
      <c r="C1884" t="s">
        <v>35</v>
      </c>
      <c r="D1884">
        <v>5</v>
      </c>
      <c r="E1884" s="5">
        <v>43612</v>
      </c>
      <c r="F1884">
        <v>23680102</v>
      </c>
      <c r="G1884" t="s">
        <v>689</v>
      </c>
      <c r="H1884" t="s">
        <v>1119</v>
      </c>
      <c r="I1884" t="s">
        <v>1120</v>
      </c>
      <c r="J1884">
        <v>0</v>
      </c>
      <c r="K1884">
        <v>0</v>
      </c>
      <c r="L1884" s="3">
        <v>-107890</v>
      </c>
      <c r="M1884" s="3">
        <v>0</v>
      </c>
      <c r="N1884">
        <v>9240</v>
      </c>
      <c r="O1884">
        <v>-840000</v>
      </c>
      <c r="P1884">
        <v>-117130</v>
      </c>
      <c r="Q1884" t="s">
        <v>30</v>
      </c>
      <c r="R1884" t="s">
        <v>86</v>
      </c>
      <c r="S1884" t="str">
        <v>#N/A</v>
      </c>
      <c r="T1884" t="str">
        <v>13</v>
      </c>
    </row>
    <row r="1885" spans="1:20" ht="13.7" customHeight="1" x14ac:dyDescent="0.25">
      <c r="A1885" t="s">
        <v>26</v>
      </c>
      <c r="B1885" t="s">
        <v>27</v>
      </c>
      <c r="C1885" t="s">
        <v>36</v>
      </c>
      <c r="D1885">
        <v>55</v>
      </c>
      <c r="E1885" s="5">
        <v>43642</v>
      </c>
      <c r="F1885">
        <v>23680102</v>
      </c>
      <c r="G1885" t="s">
        <v>689</v>
      </c>
      <c r="H1885" t="s">
        <v>1119</v>
      </c>
      <c r="I1885" t="s">
        <v>1120</v>
      </c>
      <c r="J1885">
        <v>0</v>
      </c>
      <c r="K1885">
        <v>0</v>
      </c>
      <c r="L1885" s="3">
        <v>-117130</v>
      </c>
      <c r="M1885" s="3">
        <v>0</v>
      </c>
      <c r="N1885">
        <v>9240</v>
      </c>
      <c r="O1885">
        <v>-840000</v>
      </c>
      <c r="P1885">
        <v>-126370</v>
      </c>
      <c r="Q1885" t="s">
        <v>30</v>
      </c>
      <c r="R1885" t="s">
        <v>86</v>
      </c>
      <c r="S1885" t="str">
        <v>#N/A</v>
      </c>
      <c r="T1885" t="str">
        <v>13</v>
      </c>
    </row>
    <row r="1886" spans="1:20" ht="13.7" customHeight="1" x14ac:dyDescent="0.25">
      <c r="A1886" t="s">
        <v>26</v>
      </c>
      <c r="B1886" t="s">
        <v>27</v>
      </c>
      <c r="C1886" t="s">
        <v>37</v>
      </c>
      <c r="D1886">
        <v>50</v>
      </c>
      <c r="E1886" s="5">
        <v>43668</v>
      </c>
      <c r="F1886">
        <v>23680102</v>
      </c>
      <c r="G1886" t="s">
        <v>689</v>
      </c>
      <c r="H1886" t="s">
        <v>1119</v>
      </c>
      <c r="I1886" t="s">
        <v>1120</v>
      </c>
      <c r="J1886">
        <v>0</v>
      </c>
      <c r="K1886">
        <v>0</v>
      </c>
      <c r="L1886" s="3">
        <v>-126370</v>
      </c>
      <c r="M1886" s="3">
        <v>0</v>
      </c>
      <c r="N1886">
        <v>9240</v>
      </c>
      <c r="O1886">
        <v>-840000</v>
      </c>
      <c r="P1886">
        <v>-135610</v>
      </c>
      <c r="Q1886" t="s">
        <v>30</v>
      </c>
      <c r="R1886" t="s">
        <v>86</v>
      </c>
      <c r="S1886" t="str">
        <v>#N/A</v>
      </c>
      <c r="T1886" t="str">
        <v>13</v>
      </c>
    </row>
    <row r="1887" spans="1:20" ht="13.7" customHeight="1" x14ac:dyDescent="0.25">
      <c r="A1887" t="s">
        <v>26</v>
      </c>
      <c r="B1887" t="s">
        <v>27</v>
      </c>
      <c r="C1887" t="s">
        <v>38</v>
      </c>
      <c r="D1887">
        <v>48</v>
      </c>
      <c r="E1887" s="5">
        <v>43704</v>
      </c>
      <c r="F1887">
        <v>23680102</v>
      </c>
      <c r="G1887" t="s">
        <v>689</v>
      </c>
      <c r="H1887" t="s">
        <v>1119</v>
      </c>
      <c r="I1887" t="s">
        <v>1120</v>
      </c>
      <c r="J1887">
        <v>0</v>
      </c>
      <c r="K1887">
        <v>0</v>
      </c>
      <c r="L1887" s="3">
        <v>-135610</v>
      </c>
      <c r="M1887" s="3">
        <v>0</v>
      </c>
      <c r="N1887">
        <v>8400</v>
      </c>
      <c r="O1887">
        <v>-840000</v>
      </c>
      <c r="P1887">
        <v>-144010</v>
      </c>
      <c r="Q1887" t="s">
        <v>30</v>
      </c>
      <c r="R1887" t="s">
        <v>86</v>
      </c>
      <c r="S1887" t="str">
        <v>#N/A</v>
      </c>
      <c r="T1887" t="str">
        <v>13</v>
      </c>
    </row>
    <row r="1888" spans="1:20" ht="13.7" customHeight="1" x14ac:dyDescent="0.25">
      <c r="A1888" t="s">
        <v>26</v>
      </c>
      <c r="B1888" t="s">
        <v>27</v>
      </c>
      <c r="C1888" t="s">
        <v>39</v>
      </c>
      <c r="D1888">
        <v>58</v>
      </c>
      <c r="E1888" s="5">
        <v>43736</v>
      </c>
      <c r="F1888">
        <v>23680102</v>
      </c>
      <c r="G1888" t="s">
        <v>689</v>
      </c>
      <c r="H1888" t="s">
        <v>1119</v>
      </c>
      <c r="I1888" t="s">
        <v>1120</v>
      </c>
      <c r="J1888">
        <v>0</v>
      </c>
      <c r="K1888">
        <v>0</v>
      </c>
      <c r="L1888" s="3">
        <v>-144010</v>
      </c>
      <c r="M1888" s="3">
        <v>0</v>
      </c>
      <c r="N1888">
        <v>8400</v>
      </c>
      <c r="O1888">
        <v>-840000</v>
      </c>
      <c r="P1888">
        <v>-152410</v>
      </c>
      <c r="Q1888" t="s">
        <v>30</v>
      </c>
      <c r="R1888" t="s">
        <v>86</v>
      </c>
      <c r="S1888" t="str">
        <v>#N/A</v>
      </c>
      <c r="T1888" t="str">
        <v>13</v>
      </c>
    </row>
    <row r="1889" spans="1:20" ht="13.7" customHeight="1" x14ac:dyDescent="0.25">
      <c r="A1889" t="s">
        <v>26</v>
      </c>
      <c r="B1889" t="s">
        <v>27</v>
      </c>
      <c r="C1889" t="s">
        <v>40</v>
      </c>
      <c r="D1889">
        <v>43</v>
      </c>
      <c r="E1889" s="5">
        <v>43759</v>
      </c>
      <c r="F1889">
        <v>23680102</v>
      </c>
      <c r="G1889" t="s">
        <v>689</v>
      </c>
      <c r="H1889" t="s">
        <v>1119</v>
      </c>
      <c r="I1889" t="s">
        <v>1120</v>
      </c>
      <c r="J1889">
        <v>0</v>
      </c>
      <c r="K1889">
        <v>0</v>
      </c>
      <c r="L1889" s="3">
        <v>-152410</v>
      </c>
      <c r="M1889" s="3">
        <v>0</v>
      </c>
      <c r="N1889">
        <v>840</v>
      </c>
      <c r="O1889">
        <v>-840000</v>
      </c>
      <c r="P1889">
        <v>-153250</v>
      </c>
      <c r="Q1889" t="s">
        <v>30</v>
      </c>
      <c r="R1889" t="s">
        <v>86</v>
      </c>
      <c r="S1889" t="str">
        <v>#N/A</v>
      </c>
      <c r="T1889" t="str">
        <v>13</v>
      </c>
    </row>
    <row r="1890" spans="1:20" ht="13.7" customHeight="1" x14ac:dyDescent="0.25">
      <c r="A1890" t="s">
        <v>26</v>
      </c>
      <c r="B1890" t="s">
        <v>27</v>
      </c>
      <c r="C1890" t="s">
        <v>41</v>
      </c>
      <c r="D1890">
        <v>56</v>
      </c>
      <c r="E1890" s="5">
        <v>43792</v>
      </c>
      <c r="F1890">
        <v>23680102</v>
      </c>
      <c r="G1890" t="s">
        <v>689</v>
      </c>
      <c r="H1890" t="s">
        <v>1119</v>
      </c>
      <c r="I1890" t="s">
        <v>1120</v>
      </c>
      <c r="J1890">
        <v>0</v>
      </c>
      <c r="K1890">
        <v>0</v>
      </c>
      <c r="L1890" s="3">
        <v>-153250</v>
      </c>
      <c r="M1890" s="3">
        <v>0</v>
      </c>
      <c r="N1890">
        <v>8400</v>
      </c>
      <c r="O1890">
        <v>-840000</v>
      </c>
      <c r="P1890">
        <v>-161650</v>
      </c>
      <c r="Q1890" t="s">
        <v>30</v>
      </c>
      <c r="R1890" t="s">
        <v>86</v>
      </c>
      <c r="S1890" t="str">
        <v>#N/A</v>
      </c>
      <c r="T1890" t="str">
        <v>13</v>
      </c>
    </row>
    <row r="1891" spans="1:20" ht="13.7" customHeight="1" x14ac:dyDescent="0.25">
      <c r="A1891" t="s">
        <v>26</v>
      </c>
      <c r="B1891" t="s">
        <v>27</v>
      </c>
      <c r="C1891" t="s">
        <v>180</v>
      </c>
      <c r="D1891">
        <v>88</v>
      </c>
      <c r="E1891" s="5">
        <v>43829</v>
      </c>
      <c r="F1891">
        <v>23680102</v>
      </c>
      <c r="G1891" t="s">
        <v>689</v>
      </c>
      <c r="H1891" t="s">
        <v>1119</v>
      </c>
      <c r="I1891" t="s">
        <v>1120</v>
      </c>
      <c r="J1891">
        <v>0</v>
      </c>
      <c r="K1891">
        <v>0</v>
      </c>
      <c r="L1891" s="3">
        <v>-161650</v>
      </c>
      <c r="M1891" s="3">
        <v>0</v>
      </c>
      <c r="N1891">
        <v>8400</v>
      </c>
      <c r="O1891">
        <v>-840000</v>
      </c>
      <c r="P1891">
        <v>-170050</v>
      </c>
      <c r="Q1891" t="s">
        <v>30</v>
      </c>
      <c r="R1891" t="s">
        <v>647</v>
      </c>
      <c r="S1891" t="str">
        <v>#N/A</v>
      </c>
      <c r="T1891" t="str">
        <v>13</v>
      </c>
    </row>
    <row r="1892" spans="1:20" ht="13.7" customHeight="1" x14ac:dyDescent="0.25">
      <c r="E1892" s="5">
        <v>43465</v>
      </c>
      <c r="F1892">
        <v>23680102</v>
      </c>
      <c r="G1892" t="s">
        <v>689</v>
      </c>
      <c r="H1892" t="s">
        <v>1499</v>
      </c>
      <c r="I1892" t="s">
        <v>1500</v>
      </c>
      <c r="J1892">
        <v>0</v>
      </c>
      <c r="K1892">
        <v>0</v>
      </c>
      <c r="L1892" s="3">
        <v>-3337</v>
      </c>
      <c r="M1892" s="3">
        <v>0</v>
      </c>
      <c r="N1892">
        <v>0</v>
      </c>
      <c r="O1892">
        <v>-337734</v>
      </c>
      <c r="P1892">
        <v>-3337</v>
      </c>
      <c r="R1892" t="s">
        <v>1100</v>
      </c>
      <c r="S1892" t="str">
        <v>#N/A</v>
      </c>
      <c r="T1892" t="str">
        <v>#N/A</v>
      </c>
    </row>
    <row r="1893" spans="1:20" ht="13.7" customHeight="1" x14ac:dyDescent="0.25">
      <c r="E1893" s="5">
        <v>43465</v>
      </c>
      <c r="F1893">
        <v>23680102</v>
      </c>
      <c r="G1893" t="s">
        <v>689</v>
      </c>
      <c r="H1893" t="s">
        <v>1121</v>
      </c>
      <c r="I1893" t="s">
        <v>1122</v>
      </c>
      <c r="J1893">
        <v>0</v>
      </c>
      <c r="K1893">
        <v>0</v>
      </c>
      <c r="L1893" s="3">
        <v>-14652</v>
      </c>
      <c r="M1893" s="3">
        <v>0</v>
      </c>
      <c r="N1893">
        <v>0</v>
      </c>
      <c r="O1893">
        <v>-2120000</v>
      </c>
      <c r="P1893">
        <v>-14652</v>
      </c>
      <c r="R1893" t="s">
        <v>1100</v>
      </c>
      <c r="S1893" t="str">
        <v>#N/A</v>
      </c>
      <c r="T1893" t="str">
        <v>31</v>
      </c>
    </row>
    <row r="1894" spans="1:20" ht="13.7" customHeight="1" x14ac:dyDescent="0.25">
      <c r="A1894" t="s">
        <v>26</v>
      </c>
      <c r="B1894" t="s">
        <v>27</v>
      </c>
      <c r="C1894" t="s">
        <v>32</v>
      </c>
      <c r="D1894">
        <v>1</v>
      </c>
      <c r="E1894" s="5">
        <v>43497</v>
      </c>
      <c r="F1894">
        <v>23680102</v>
      </c>
      <c r="G1894" t="s">
        <v>689</v>
      </c>
      <c r="H1894" t="s">
        <v>1121</v>
      </c>
      <c r="I1894" t="s">
        <v>1122</v>
      </c>
      <c r="J1894">
        <v>0</v>
      </c>
      <c r="K1894">
        <v>0</v>
      </c>
      <c r="L1894" s="3">
        <v>-14652</v>
      </c>
      <c r="M1894" s="3">
        <v>0</v>
      </c>
      <c r="N1894">
        <v>660</v>
      </c>
      <c r="O1894">
        <v>-100000</v>
      </c>
      <c r="P1894">
        <v>-15312</v>
      </c>
      <c r="Q1894" t="s">
        <v>30</v>
      </c>
      <c r="R1894" t="s">
        <v>210</v>
      </c>
      <c r="S1894" t="str">
        <v>#N/A</v>
      </c>
      <c r="T1894" t="str">
        <v>31</v>
      </c>
    </row>
    <row r="1895" spans="1:20" ht="13.7" customHeight="1" x14ac:dyDescent="0.25">
      <c r="A1895" t="s">
        <v>26</v>
      </c>
      <c r="B1895" t="s">
        <v>27</v>
      </c>
      <c r="C1895" t="s">
        <v>34</v>
      </c>
      <c r="D1895">
        <v>4</v>
      </c>
      <c r="E1895" s="5">
        <v>43558</v>
      </c>
      <c r="F1895">
        <v>23680102</v>
      </c>
      <c r="G1895" t="s">
        <v>689</v>
      </c>
      <c r="H1895" t="s">
        <v>1121</v>
      </c>
      <c r="I1895" t="s">
        <v>1122</v>
      </c>
      <c r="J1895">
        <v>0</v>
      </c>
      <c r="K1895">
        <v>0</v>
      </c>
      <c r="L1895" s="3">
        <v>-15312</v>
      </c>
      <c r="M1895" s="3">
        <v>0</v>
      </c>
      <c r="N1895">
        <v>660</v>
      </c>
      <c r="O1895">
        <v>-100000</v>
      </c>
      <c r="P1895">
        <v>-15972</v>
      </c>
      <c r="Q1895" t="s">
        <v>30</v>
      </c>
      <c r="R1895" t="s">
        <v>210</v>
      </c>
      <c r="S1895" t="str">
        <v>#N/A</v>
      </c>
      <c r="T1895" t="str">
        <v>31</v>
      </c>
    </row>
    <row r="1896" spans="1:20" ht="13.7" customHeight="1" x14ac:dyDescent="0.25">
      <c r="A1896" t="s">
        <v>26</v>
      </c>
      <c r="B1896" t="s">
        <v>27</v>
      </c>
      <c r="C1896" t="s">
        <v>35</v>
      </c>
      <c r="D1896">
        <v>2</v>
      </c>
      <c r="E1896" s="5">
        <v>43588</v>
      </c>
      <c r="F1896">
        <v>23680102</v>
      </c>
      <c r="G1896" t="s">
        <v>689</v>
      </c>
      <c r="H1896" t="s">
        <v>1121</v>
      </c>
      <c r="I1896" t="s">
        <v>1122</v>
      </c>
      <c r="J1896">
        <v>0</v>
      </c>
      <c r="K1896">
        <v>0</v>
      </c>
      <c r="L1896" s="3">
        <v>-15972</v>
      </c>
      <c r="M1896" s="3">
        <v>0</v>
      </c>
      <c r="N1896">
        <v>660</v>
      </c>
      <c r="O1896">
        <v>-100000</v>
      </c>
      <c r="P1896">
        <v>-16632</v>
      </c>
      <c r="Q1896" t="s">
        <v>30</v>
      </c>
      <c r="R1896" t="s">
        <v>210</v>
      </c>
      <c r="S1896" t="str">
        <v>#N/A</v>
      </c>
      <c r="T1896" t="str">
        <v>31</v>
      </c>
    </row>
    <row r="1897" spans="1:20" ht="13.7" customHeight="1" x14ac:dyDescent="0.25">
      <c r="A1897" t="s">
        <v>26</v>
      </c>
      <c r="B1897" t="s">
        <v>27</v>
      </c>
      <c r="C1897" t="s">
        <v>36</v>
      </c>
      <c r="D1897">
        <v>35</v>
      </c>
      <c r="E1897" s="5">
        <v>43633</v>
      </c>
      <c r="F1897">
        <v>23680102</v>
      </c>
      <c r="G1897" t="s">
        <v>689</v>
      </c>
      <c r="H1897" t="s">
        <v>1121</v>
      </c>
      <c r="I1897" t="s">
        <v>1122</v>
      </c>
      <c r="J1897">
        <v>0</v>
      </c>
      <c r="K1897">
        <v>0</v>
      </c>
      <c r="L1897" s="3">
        <v>-16632</v>
      </c>
      <c r="M1897" s="3">
        <v>0</v>
      </c>
      <c r="N1897">
        <v>660</v>
      </c>
      <c r="O1897">
        <v>-100000</v>
      </c>
      <c r="P1897">
        <v>-17292</v>
      </c>
      <c r="Q1897" t="s">
        <v>30</v>
      </c>
      <c r="R1897" t="s">
        <v>210</v>
      </c>
      <c r="S1897" t="str">
        <v>#N/A</v>
      </c>
      <c r="T1897" t="str">
        <v>31</v>
      </c>
    </row>
    <row r="1898" spans="1:20" ht="13.7" customHeight="1" x14ac:dyDescent="0.25">
      <c r="A1898" t="s">
        <v>26</v>
      </c>
      <c r="B1898" t="s">
        <v>27</v>
      </c>
      <c r="C1898" t="s">
        <v>37</v>
      </c>
      <c r="D1898">
        <v>12</v>
      </c>
      <c r="E1898" s="5">
        <v>43652</v>
      </c>
      <c r="F1898">
        <v>23680102</v>
      </c>
      <c r="G1898" t="s">
        <v>689</v>
      </c>
      <c r="H1898" t="s">
        <v>1121</v>
      </c>
      <c r="I1898" t="s">
        <v>1122</v>
      </c>
      <c r="J1898">
        <v>0</v>
      </c>
      <c r="K1898">
        <v>0</v>
      </c>
      <c r="L1898" s="3">
        <v>-17292</v>
      </c>
      <c r="M1898" s="3">
        <v>0</v>
      </c>
      <c r="N1898">
        <v>660</v>
      </c>
      <c r="O1898">
        <v>-100000</v>
      </c>
      <c r="P1898">
        <v>-17952</v>
      </c>
      <c r="Q1898" t="s">
        <v>30</v>
      </c>
      <c r="R1898" t="s">
        <v>210</v>
      </c>
      <c r="S1898" t="str">
        <v>#N/A</v>
      </c>
      <c r="T1898" t="str">
        <v>31</v>
      </c>
    </row>
    <row r="1899" spans="1:20" ht="13.7" customHeight="1" x14ac:dyDescent="0.25">
      <c r="A1899" t="s">
        <v>26</v>
      </c>
      <c r="B1899" t="s">
        <v>27</v>
      </c>
      <c r="C1899" t="s">
        <v>38</v>
      </c>
      <c r="D1899">
        <v>13</v>
      </c>
      <c r="E1899" s="5">
        <v>43685</v>
      </c>
      <c r="F1899">
        <v>23680102</v>
      </c>
      <c r="G1899" t="s">
        <v>689</v>
      </c>
      <c r="H1899" t="s">
        <v>1121</v>
      </c>
      <c r="I1899" t="s">
        <v>1122</v>
      </c>
      <c r="J1899">
        <v>0</v>
      </c>
      <c r="K1899">
        <v>0</v>
      </c>
      <c r="L1899" s="3">
        <v>-17952</v>
      </c>
      <c r="M1899" s="3">
        <v>0</v>
      </c>
      <c r="N1899">
        <v>660</v>
      </c>
      <c r="O1899">
        <v>-100000</v>
      </c>
      <c r="P1899">
        <v>-18612</v>
      </c>
      <c r="Q1899" t="s">
        <v>30</v>
      </c>
      <c r="R1899" t="s">
        <v>210</v>
      </c>
      <c r="S1899" t="str">
        <v>#N/A</v>
      </c>
      <c r="T1899" t="str">
        <v>31</v>
      </c>
    </row>
    <row r="1900" spans="1:20" ht="13.7" customHeight="1" x14ac:dyDescent="0.25">
      <c r="E1900" s="5">
        <v>43465</v>
      </c>
      <c r="F1900">
        <v>23680102</v>
      </c>
      <c r="G1900" t="s">
        <v>689</v>
      </c>
      <c r="H1900" t="s">
        <v>1105</v>
      </c>
      <c r="I1900" t="s">
        <v>1106</v>
      </c>
      <c r="J1900">
        <v>0</v>
      </c>
      <c r="K1900">
        <v>0</v>
      </c>
      <c r="L1900" s="3">
        <v>-35290</v>
      </c>
      <c r="M1900" s="3">
        <v>0</v>
      </c>
      <c r="N1900">
        <v>0</v>
      </c>
      <c r="O1900">
        <v>-4673147</v>
      </c>
      <c r="P1900">
        <v>-35290</v>
      </c>
      <c r="R1900" t="s">
        <v>1100</v>
      </c>
      <c r="S1900" t="str">
        <v>#N/A</v>
      </c>
      <c r="T1900" t="str">
        <v>#N/A</v>
      </c>
    </row>
    <row r="1901" spans="1:20" ht="13.7" customHeight="1" x14ac:dyDescent="0.25">
      <c r="A1901" t="s">
        <v>26</v>
      </c>
      <c r="B1901" t="s">
        <v>27</v>
      </c>
      <c r="C1901" t="s">
        <v>32</v>
      </c>
      <c r="D1901">
        <v>2</v>
      </c>
      <c r="E1901" s="5">
        <v>43497</v>
      </c>
      <c r="F1901">
        <v>23680102</v>
      </c>
      <c r="G1901" t="s">
        <v>689</v>
      </c>
      <c r="H1901" t="s">
        <v>1105</v>
      </c>
      <c r="I1901" t="s">
        <v>1106</v>
      </c>
      <c r="J1901">
        <v>0</v>
      </c>
      <c r="K1901">
        <v>0</v>
      </c>
      <c r="L1901" s="3">
        <v>-35290</v>
      </c>
      <c r="M1901" s="3">
        <v>0</v>
      </c>
      <c r="N1901">
        <v>15000</v>
      </c>
      <c r="O1901">
        <v>-1500000</v>
      </c>
      <c r="P1901">
        <v>-50290</v>
      </c>
      <c r="Q1901" t="s">
        <v>30</v>
      </c>
      <c r="R1901" t="s">
        <v>69</v>
      </c>
      <c r="S1901" t="str">
        <v>#N/A</v>
      </c>
      <c r="T1901" t="str">
        <v>#N/A</v>
      </c>
    </row>
    <row r="1902" spans="1:20" ht="13.7" customHeight="1" x14ac:dyDescent="0.25">
      <c r="A1902" t="s">
        <v>26</v>
      </c>
      <c r="B1902" t="s">
        <v>27</v>
      </c>
      <c r="C1902" t="s">
        <v>32</v>
      </c>
      <c r="D1902">
        <v>31</v>
      </c>
      <c r="E1902" s="5">
        <v>43511</v>
      </c>
      <c r="F1902">
        <v>23680102</v>
      </c>
      <c r="G1902" t="s">
        <v>689</v>
      </c>
      <c r="H1902" t="s">
        <v>1105</v>
      </c>
      <c r="I1902" t="s">
        <v>1106</v>
      </c>
      <c r="J1902">
        <v>0</v>
      </c>
      <c r="K1902">
        <v>0</v>
      </c>
      <c r="L1902" s="3">
        <v>-50290</v>
      </c>
      <c r="M1902" s="3">
        <v>0</v>
      </c>
      <c r="N1902">
        <v>15000</v>
      </c>
      <c r="O1902">
        <v>-1500000</v>
      </c>
      <c r="P1902">
        <v>-65290</v>
      </c>
      <c r="Q1902" t="s">
        <v>30</v>
      </c>
      <c r="R1902" t="s">
        <v>69</v>
      </c>
      <c r="S1902" t="str">
        <v>#N/A</v>
      </c>
      <c r="T1902" t="str">
        <v>#N/A</v>
      </c>
    </row>
    <row r="1903" spans="1:20" ht="13.7" customHeight="1" x14ac:dyDescent="0.25">
      <c r="A1903" t="s">
        <v>26</v>
      </c>
      <c r="B1903" t="s">
        <v>27</v>
      </c>
      <c r="C1903" t="s">
        <v>32</v>
      </c>
      <c r="D1903">
        <v>51</v>
      </c>
      <c r="E1903" s="5">
        <v>43521</v>
      </c>
      <c r="F1903">
        <v>23680102</v>
      </c>
      <c r="G1903" t="s">
        <v>689</v>
      </c>
      <c r="H1903" t="s">
        <v>1105</v>
      </c>
      <c r="I1903" t="s">
        <v>1106</v>
      </c>
      <c r="J1903">
        <v>0</v>
      </c>
      <c r="K1903">
        <v>0</v>
      </c>
      <c r="L1903" s="3">
        <v>-65290</v>
      </c>
      <c r="M1903" s="3">
        <v>0</v>
      </c>
      <c r="N1903">
        <v>32400</v>
      </c>
      <c r="O1903">
        <v>-840000</v>
      </c>
      <c r="P1903">
        <v>-97690</v>
      </c>
      <c r="Q1903" t="s">
        <v>30</v>
      </c>
      <c r="R1903" t="s">
        <v>86</v>
      </c>
      <c r="S1903" t="str">
        <v>#N/A</v>
      </c>
      <c r="T1903" t="str">
        <v>#N/A</v>
      </c>
    </row>
    <row r="1904" spans="1:20" ht="13.7" customHeight="1" x14ac:dyDescent="0.25">
      <c r="A1904" t="s">
        <v>26</v>
      </c>
      <c r="B1904" t="s">
        <v>27</v>
      </c>
      <c r="C1904" t="s">
        <v>34</v>
      </c>
      <c r="D1904">
        <v>20</v>
      </c>
      <c r="E1904" s="5">
        <v>43565</v>
      </c>
      <c r="F1904">
        <v>23680102</v>
      </c>
      <c r="G1904" t="s">
        <v>689</v>
      </c>
      <c r="H1904" t="s">
        <v>1105</v>
      </c>
      <c r="I1904" t="s">
        <v>1106</v>
      </c>
      <c r="J1904">
        <v>0</v>
      </c>
      <c r="K1904">
        <v>0</v>
      </c>
      <c r="L1904" s="3">
        <v>-97690</v>
      </c>
      <c r="M1904" s="3">
        <v>0</v>
      </c>
      <c r="N1904">
        <v>1540</v>
      </c>
      <c r="O1904">
        <v>-200000</v>
      </c>
      <c r="P1904">
        <v>-99230</v>
      </c>
      <c r="Q1904" t="s">
        <v>30</v>
      </c>
      <c r="R1904" t="s">
        <v>251</v>
      </c>
      <c r="S1904" t="str">
        <v>#N/A</v>
      </c>
      <c r="T1904" t="str">
        <v>#N/A</v>
      </c>
    </row>
    <row r="1905" spans="1:20" ht="13.7" customHeight="1" x14ac:dyDescent="0.25">
      <c r="A1905" t="s">
        <v>26</v>
      </c>
      <c r="B1905" t="s">
        <v>27</v>
      </c>
      <c r="C1905" t="s">
        <v>34</v>
      </c>
      <c r="D1905">
        <v>53</v>
      </c>
      <c r="E1905" s="5">
        <v>43578</v>
      </c>
      <c r="F1905">
        <v>23680102</v>
      </c>
      <c r="G1905" t="s">
        <v>689</v>
      </c>
      <c r="H1905" t="s">
        <v>1105</v>
      </c>
      <c r="I1905" t="s">
        <v>1106</v>
      </c>
      <c r="J1905">
        <v>0</v>
      </c>
      <c r="K1905">
        <v>0</v>
      </c>
      <c r="L1905" s="3">
        <v>-99230</v>
      </c>
      <c r="M1905" s="3">
        <v>0</v>
      </c>
      <c r="N1905">
        <v>8400</v>
      </c>
      <c r="O1905">
        <v>-840000</v>
      </c>
      <c r="P1905">
        <v>-107630</v>
      </c>
      <c r="Q1905" t="s">
        <v>30</v>
      </c>
      <c r="R1905" t="s">
        <v>86</v>
      </c>
      <c r="S1905" t="str">
        <v>#N/A</v>
      </c>
      <c r="T1905" t="str">
        <v>#N/A</v>
      </c>
    </row>
    <row r="1906" spans="1:20" ht="13.7" customHeight="1" x14ac:dyDescent="0.25">
      <c r="E1906" s="5">
        <v>43465</v>
      </c>
      <c r="F1906">
        <v>23700501</v>
      </c>
      <c r="G1906">
        <v>0</v>
      </c>
      <c r="H1906" t="s">
        <v>1187</v>
      </c>
      <c r="I1906" t="s">
        <v>1188</v>
      </c>
      <c r="J1906">
        <v>0</v>
      </c>
      <c r="K1906">
        <v>0</v>
      </c>
      <c r="L1906" s="3">
        <v>785700</v>
      </c>
      <c r="M1906" s="3">
        <v>0</v>
      </c>
      <c r="N1906">
        <v>0</v>
      </c>
      <c r="O1906">
        <v>0</v>
      </c>
      <c r="P1906">
        <v>785700</v>
      </c>
      <c r="R1906" t="s">
        <v>1100</v>
      </c>
      <c r="S1906" t="str">
        <v>#N/A</v>
      </c>
      <c r="T1906" t="str">
        <v>31</v>
      </c>
    </row>
    <row r="1907" spans="1:20" ht="13.7" customHeight="1" x14ac:dyDescent="0.25">
      <c r="E1907" s="5">
        <v>43465</v>
      </c>
      <c r="F1907">
        <v>23700501</v>
      </c>
      <c r="G1907">
        <v>0</v>
      </c>
      <c r="H1907" t="s">
        <v>1531</v>
      </c>
      <c r="I1907" t="s">
        <v>1532</v>
      </c>
      <c r="J1907">
        <v>0</v>
      </c>
      <c r="K1907">
        <v>0</v>
      </c>
      <c r="L1907" s="3">
        <v>26800</v>
      </c>
      <c r="M1907" s="3">
        <v>0</v>
      </c>
      <c r="N1907">
        <v>0</v>
      </c>
      <c r="O1907">
        <v>0</v>
      </c>
      <c r="P1907">
        <v>26800</v>
      </c>
      <c r="R1907" t="s">
        <v>1100</v>
      </c>
      <c r="S1907" t="str">
        <v>#N/A</v>
      </c>
      <c r="T1907" t="str">
        <v>#N/A</v>
      </c>
    </row>
    <row r="1908" spans="1:20" ht="13.7" customHeight="1" x14ac:dyDescent="0.25">
      <c r="E1908" s="5">
        <v>43465</v>
      </c>
      <c r="F1908">
        <v>23700502</v>
      </c>
      <c r="G1908" t="s">
        <v>690</v>
      </c>
      <c r="H1908" t="s">
        <v>1187</v>
      </c>
      <c r="I1908" t="s">
        <v>1188</v>
      </c>
      <c r="J1908">
        <v>0</v>
      </c>
      <c r="K1908">
        <v>0</v>
      </c>
      <c r="L1908" s="3">
        <v>-823509.5</v>
      </c>
      <c r="M1908" s="3">
        <v>0</v>
      </c>
      <c r="N1908">
        <v>0</v>
      </c>
      <c r="O1908">
        <v>0</v>
      </c>
      <c r="P1908">
        <v>-823509.5</v>
      </c>
      <c r="R1908" t="s">
        <v>1100</v>
      </c>
      <c r="S1908" t="str">
        <v>#N/A</v>
      </c>
      <c r="T1908" t="str">
        <v>31</v>
      </c>
    </row>
    <row r="1909" spans="1:20" ht="13.7" customHeight="1" x14ac:dyDescent="0.25">
      <c r="A1909" t="s">
        <v>26</v>
      </c>
      <c r="B1909" t="s">
        <v>27</v>
      </c>
      <c r="C1909" t="s">
        <v>28</v>
      </c>
      <c r="D1909">
        <v>77</v>
      </c>
      <c r="E1909" s="5">
        <v>43491</v>
      </c>
      <c r="F1909">
        <v>23700502</v>
      </c>
      <c r="G1909" t="s">
        <v>690</v>
      </c>
      <c r="H1909" t="s">
        <v>1187</v>
      </c>
      <c r="I1909" t="s">
        <v>1188</v>
      </c>
      <c r="J1909">
        <v>1009</v>
      </c>
      <c r="K1909">
        <v>1005</v>
      </c>
      <c r="L1909" s="3">
        <v>-823509.5</v>
      </c>
      <c r="M1909" s="3">
        <v>0</v>
      </c>
      <c r="N1909">
        <v>74320</v>
      </c>
      <c r="O1909">
        <v>0</v>
      </c>
      <c r="P1909">
        <v>-897829.5</v>
      </c>
      <c r="Q1909" t="s">
        <v>30</v>
      </c>
      <c r="R1909" t="s">
        <v>202</v>
      </c>
      <c r="S1909" t="str">
        <v>#N/A</v>
      </c>
      <c r="T1909" t="str">
        <v>31</v>
      </c>
    </row>
    <row r="1910" spans="1:20" ht="13.7" customHeight="1" x14ac:dyDescent="0.25">
      <c r="A1910" t="s">
        <v>26</v>
      </c>
      <c r="B1910" t="s">
        <v>27</v>
      </c>
      <c r="C1910" t="s">
        <v>32</v>
      </c>
      <c r="D1910">
        <v>60</v>
      </c>
      <c r="E1910" s="5">
        <v>43505</v>
      </c>
      <c r="F1910">
        <v>23700502</v>
      </c>
      <c r="G1910" t="s">
        <v>690</v>
      </c>
      <c r="H1910" t="s">
        <v>1187</v>
      </c>
      <c r="I1910" t="s">
        <v>1188</v>
      </c>
      <c r="J1910">
        <v>1009</v>
      </c>
      <c r="K1910">
        <v>1005</v>
      </c>
      <c r="L1910" s="3">
        <v>-897829.5</v>
      </c>
      <c r="M1910" s="3">
        <v>0</v>
      </c>
      <c r="N1910">
        <v>70201</v>
      </c>
      <c r="O1910">
        <v>0</v>
      </c>
      <c r="P1910">
        <v>-968030.5</v>
      </c>
      <c r="Q1910" t="s">
        <v>30</v>
      </c>
      <c r="R1910" t="s">
        <v>215</v>
      </c>
      <c r="S1910" t="str">
        <v>#N/A</v>
      </c>
      <c r="T1910" t="str">
        <v>31</v>
      </c>
    </row>
    <row r="1911" spans="1:20" ht="13.7" customHeight="1" x14ac:dyDescent="0.25">
      <c r="A1911" t="s">
        <v>26</v>
      </c>
      <c r="B1911" t="s">
        <v>27</v>
      </c>
      <c r="C1911" t="s">
        <v>32</v>
      </c>
      <c r="D1911">
        <v>61</v>
      </c>
      <c r="E1911" s="5">
        <v>43519</v>
      </c>
      <c r="F1911">
        <v>23700502</v>
      </c>
      <c r="G1911" t="s">
        <v>690</v>
      </c>
      <c r="H1911" t="s">
        <v>1187</v>
      </c>
      <c r="I1911" t="s">
        <v>1188</v>
      </c>
      <c r="J1911">
        <v>1009</v>
      </c>
      <c r="K1911">
        <v>1005</v>
      </c>
      <c r="L1911" s="3">
        <v>-968030.5</v>
      </c>
      <c r="M1911" s="3">
        <v>0</v>
      </c>
      <c r="N1911">
        <v>69979</v>
      </c>
      <c r="O1911">
        <v>0</v>
      </c>
      <c r="P1911">
        <v>-1038009.5</v>
      </c>
      <c r="Q1911" t="s">
        <v>30</v>
      </c>
      <c r="R1911" t="s">
        <v>226</v>
      </c>
      <c r="S1911" t="str">
        <v>#N/A</v>
      </c>
      <c r="T1911" t="str">
        <v>31</v>
      </c>
    </row>
    <row r="1912" spans="1:20" ht="13.7" customHeight="1" x14ac:dyDescent="0.25">
      <c r="A1912" t="s">
        <v>26</v>
      </c>
      <c r="B1912" t="s">
        <v>27</v>
      </c>
      <c r="C1912" t="s">
        <v>91</v>
      </c>
      <c r="D1912">
        <v>79</v>
      </c>
      <c r="E1912" s="5">
        <v>43533</v>
      </c>
      <c r="F1912">
        <v>23700502</v>
      </c>
      <c r="G1912" t="s">
        <v>690</v>
      </c>
      <c r="H1912" t="s">
        <v>1187</v>
      </c>
      <c r="I1912" t="s">
        <v>1188</v>
      </c>
      <c r="J1912">
        <v>1009</v>
      </c>
      <c r="K1912">
        <v>1005</v>
      </c>
      <c r="L1912" s="3">
        <v>-1038009.5</v>
      </c>
      <c r="M1912" s="3">
        <v>0</v>
      </c>
      <c r="N1912">
        <v>69010</v>
      </c>
      <c r="O1912">
        <v>0</v>
      </c>
      <c r="P1912">
        <v>-1107019.5</v>
      </c>
      <c r="Q1912" t="s">
        <v>30</v>
      </c>
      <c r="R1912" t="s">
        <v>236</v>
      </c>
      <c r="S1912" t="str">
        <v>#N/A</v>
      </c>
      <c r="T1912" t="str">
        <v>31</v>
      </c>
    </row>
    <row r="1913" spans="1:20" ht="13.7" customHeight="1" x14ac:dyDescent="0.25">
      <c r="A1913" t="s">
        <v>26</v>
      </c>
      <c r="B1913" t="s">
        <v>27</v>
      </c>
      <c r="C1913" t="s">
        <v>91</v>
      </c>
      <c r="D1913">
        <v>80</v>
      </c>
      <c r="E1913" s="5">
        <v>43547</v>
      </c>
      <c r="F1913">
        <v>23700502</v>
      </c>
      <c r="G1913" t="s">
        <v>690</v>
      </c>
      <c r="H1913" t="s">
        <v>1187</v>
      </c>
      <c r="I1913" t="s">
        <v>1188</v>
      </c>
      <c r="J1913">
        <v>1009</v>
      </c>
      <c r="K1913">
        <v>1005</v>
      </c>
      <c r="L1913" s="3">
        <v>-1107019.5</v>
      </c>
      <c r="M1913" s="3">
        <v>0</v>
      </c>
      <c r="N1913">
        <v>67912</v>
      </c>
      <c r="O1913">
        <v>0</v>
      </c>
      <c r="P1913">
        <v>-1174931.5</v>
      </c>
      <c r="Q1913" t="s">
        <v>30</v>
      </c>
      <c r="R1913" t="s">
        <v>244</v>
      </c>
      <c r="S1913" t="str">
        <v>#N/A</v>
      </c>
      <c r="T1913" t="str">
        <v>31</v>
      </c>
    </row>
    <row r="1914" spans="1:20" ht="13.7" customHeight="1" x14ac:dyDescent="0.25">
      <c r="A1914" t="s">
        <v>26</v>
      </c>
      <c r="B1914" t="s">
        <v>27</v>
      </c>
      <c r="C1914" t="s">
        <v>34</v>
      </c>
      <c r="D1914">
        <v>71</v>
      </c>
      <c r="E1914" s="5">
        <v>43561</v>
      </c>
      <c r="F1914">
        <v>23700502</v>
      </c>
      <c r="G1914" t="s">
        <v>690</v>
      </c>
      <c r="H1914" t="s">
        <v>1187</v>
      </c>
      <c r="I1914" t="s">
        <v>1188</v>
      </c>
      <c r="J1914">
        <v>1009</v>
      </c>
      <c r="K1914">
        <v>1005</v>
      </c>
      <c r="L1914" s="3">
        <v>-1174931.5</v>
      </c>
      <c r="M1914" s="3">
        <v>0</v>
      </c>
      <c r="N1914">
        <v>68034</v>
      </c>
      <c r="O1914">
        <v>0</v>
      </c>
      <c r="P1914">
        <v>-1242965.5</v>
      </c>
      <c r="Q1914" t="s">
        <v>30</v>
      </c>
      <c r="R1914" t="s">
        <v>244</v>
      </c>
      <c r="S1914" t="str">
        <v>#N/A</v>
      </c>
      <c r="T1914" t="str">
        <v>31</v>
      </c>
    </row>
    <row r="1915" spans="1:20" ht="13.7" customHeight="1" x14ac:dyDescent="0.25">
      <c r="A1915" t="s">
        <v>26</v>
      </c>
      <c r="B1915" t="s">
        <v>27</v>
      </c>
      <c r="C1915" t="s">
        <v>34</v>
      </c>
      <c r="D1915">
        <v>72</v>
      </c>
      <c r="E1915" s="5">
        <v>43575</v>
      </c>
      <c r="F1915">
        <v>23700502</v>
      </c>
      <c r="G1915" t="s">
        <v>690</v>
      </c>
      <c r="H1915" t="s">
        <v>1187</v>
      </c>
      <c r="I1915" t="s">
        <v>1188</v>
      </c>
      <c r="J1915">
        <v>1009</v>
      </c>
      <c r="K1915">
        <v>1005</v>
      </c>
      <c r="L1915" s="3">
        <v>-1242965.5</v>
      </c>
      <c r="M1915" s="3">
        <v>0</v>
      </c>
      <c r="N1915">
        <v>60850</v>
      </c>
      <c r="O1915">
        <v>0</v>
      </c>
      <c r="P1915">
        <v>-1303815.5</v>
      </c>
      <c r="Q1915" t="s">
        <v>30</v>
      </c>
      <c r="R1915" t="s">
        <v>254</v>
      </c>
      <c r="S1915" t="str">
        <v>#N/A</v>
      </c>
      <c r="T1915" t="str">
        <v>31</v>
      </c>
    </row>
    <row r="1916" spans="1:20" ht="13.7" customHeight="1" x14ac:dyDescent="0.25">
      <c r="A1916" t="s">
        <v>26</v>
      </c>
      <c r="B1916" t="s">
        <v>27</v>
      </c>
      <c r="C1916" t="s">
        <v>35</v>
      </c>
      <c r="D1916">
        <v>97</v>
      </c>
      <c r="E1916" s="5">
        <v>43589</v>
      </c>
      <c r="F1916">
        <v>23700502</v>
      </c>
      <c r="G1916" t="s">
        <v>690</v>
      </c>
      <c r="H1916" t="s">
        <v>1187</v>
      </c>
      <c r="I1916" t="s">
        <v>1188</v>
      </c>
      <c r="J1916">
        <v>1009</v>
      </c>
      <c r="K1916">
        <v>1005</v>
      </c>
      <c r="L1916" s="3">
        <v>-1303815.5</v>
      </c>
      <c r="M1916" s="3">
        <v>0</v>
      </c>
      <c r="N1916">
        <v>67772</v>
      </c>
      <c r="O1916">
        <v>0</v>
      </c>
      <c r="P1916">
        <v>-1371587.5</v>
      </c>
      <c r="Q1916" t="s">
        <v>30</v>
      </c>
      <c r="R1916" t="s">
        <v>256</v>
      </c>
      <c r="S1916" t="str">
        <v>#N/A</v>
      </c>
      <c r="T1916" t="str">
        <v>31</v>
      </c>
    </row>
    <row r="1917" spans="1:20" ht="13.7" customHeight="1" x14ac:dyDescent="0.25">
      <c r="A1917" t="s">
        <v>26</v>
      </c>
      <c r="B1917" t="s">
        <v>27</v>
      </c>
      <c r="C1917" t="s">
        <v>35</v>
      </c>
      <c r="D1917">
        <v>98</v>
      </c>
      <c r="E1917" s="5">
        <v>43603</v>
      </c>
      <c r="F1917">
        <v>23700502</v>
      </c>
      <c r="G1917" t="s">
        <v>690</v>
      </c>
      <c r="H1917" t="s">
        <v>1187</v>
      </c>
      <c r="I1917" t="s">
        <v>1188</v>
      </c>
      <c r="J1917">
        <v>1009</v>
      </c>
      <c r="K1917">
        <v>1005</v>
      </c>
      <c r="L1917" s="3">
        <v>-1371587.5</v>
      </c>
      <c r="M1917" s="3">
        <v>0</v>
      </c>
      <c r="N1917">
        <v>69090</v>
      </c>
      <c r="O1917">
        <v>0</v>
      </c>
      <c r="P1917">
        <v>-1440677.5</v>
      </c>
      <c r="Q1917" t="s">
        <v>30</v>
      </c>
      <c r="R1917" t="s">
        <v>261</v>
      </c>
      <c r="S1917" t="str">
        <v>#N/A</v>
      </c>
      <c r="T1917" t="str">
        <v>31</v>
      </c>
    </row>
    <row r="1918" spans="1:20" ht="13.7" customHeight="1" x14ac:dyDescent="0.25">
      <c r="A1918" t="s">
        <v>26</v>
      </c>
      <c r="B1918" t="s">
        <v>27</v>
      </c>
      <c r="C1918" t="s">
        <v>36</v>
      </c>
      <c r="D1918">
        <v>70</v>
      </c>
      <c r="E1918" s="5">
        <v>43617</v>
      </c>
      <c r="F1918">
        <v>23700502</v>
      </c>
      <c r="G1918" t="s">
        <v>690</v>
      </c>
      <c r="H1918" t="s">
        <v>1187</v>
      </c>
      <c r="I1918" t="s">
        <v>1188</v>
      </c>
      <c r="J1918">
        <v>1009</v>
      </c>
      <c r="K1918">
        <v>1005</v>
      </c>
      <c r="L1918" s="3">
        <v>-1440677.5</v>
      </c>
      <c r="M1918" s="3">
        <v>0</v>
      </c>
      <c r="N1918">
        <v>67438</v>
      </c>
      <c r="O1918">
        <v>0</v>
      </c>
      <c r="P1918">
        <v>-1508115.5</v>
      </c>
      <c r="Q1918" t="s">
        <v>30</v>
      </c>
      <c r="R1918" t="s">
        <v>264</v>
      </c>
      <c r="S1918" t="str">
        <v>#N/A</v>
      </c>
      <c r="T1918" t="str">
        <v>31</v>
      </c>
    </row>
    <row r="1919" spans="1:20" ht="13.7" customHeight="1" x14ac:dyDescent="0.25">
      <c r="A1919" t="s">
        <v>26</v>
      </c>
      <c r="B1919" t="s">
        <v>27</v>
      </c>
      <c r="C1919" t="s">
        <v>36</v>
      </c>
      <c r="D1919">
        <v>71</v>
      </c>
      <c r="E1919" s="5">
        <v>43631</v>
      </c>
      <c r="F1919">
        <v>23700502</v>
      </c>
      <c r="G1919" t="s">
        <v>690</v>
      </c>
      <c r="H1919" t="s">
        <v>1187</v>
      </c>
      <c r="I1919" t="s">
        <v>1188</v>
      </c>
      <c r="J1919">
        <v>1009</v>
      </c>
      <c r="K1919">
        <v>1005</v>
      </c>
      <c r="L1919" s="3">
        <v>-1508115.5</v>
      </c>
      <c r="M1919" s="3">
        <v>0</v>
      </c>
      <c r="N1919">
        <v>63798</v>
      </c>
      <c r="O1919">
        <v>0</v>
      </c>
      <c r="P1919">
        <v>-1571913.5</v>
      </c>
      <c r="Q1919" t="s">
        <v>30</v>
      </c>
      <c r="R1919" t="s">
        <v>270</v>
      </c>
      <c r="S1919" t="str">
        <v>#N/A</v>
      </c>
      <c r="T1919" t="str">
        <v>31</v>
      </c>
    </row>
    <row r="1920" spans="1:20" ht="13.7" customHeight="1" x14ac:dyDescent="0.25">
      <c r="A1920" t="s">
        <v>26</v>
      </c>
      <c r="B1920" t="s">
        <v>27</v>
      </c>
      <c r="C1920" t="s">
        <v>36</v>
      </c>
      <c r="D1920">
        <v>73</v>
      </c>
      <c r="E1920" s="5">
        <v>43642</v>
      </c>
      <c r="F1920">
        <v>23700502</v>
      </c>
      <c r="G1920" t="s">
        <v>690</v>
      </c>
      <c r="H1920" t="s">
        <v>1187</v>
      </c>
      <c r="I1920" t="s">
        <v>1188</v>
      </c>
      <c r="J1920">
        <v>1009</v>
      </c>
      <c r="K1920">
        <v>1005</v>
      </c>
      <c r="L1920" s="3">
        <v>-1571913.5</v>
      </c>
      <c r="M1920" s="3">
        <v>0</v>
      </c>
      <c r="N1920">
        <v>64060</v>
      </c>
      <c r="O1920">
        <v>0</v>
      </c>
      <c r="P1920">
        <v>-1635973.5</v>
      </c>
      <c r="Q1920" t="s">
        <v>30</v>
      </c>
      <c r="R1920" t="s">
        <v>274</v>
      </c>
      <c r="S1920" t="str">
        <v>#N/A</v>
      </c>
      <c r="T1920" t="str">
        <v>31</v>
      </c>
    </row>
    <row r="1921" spans="1:20" ht="13.7" customHeight="1" x14ac:dyDescent="0.25">
      <c r="A1921" t="s">
        <v>26</v>
      </c>
      <c r="B1921" t="s">
        <v>27</v>
      </c>
      <c r="C1921" t="s">
        <v>37</v>
      </c>
      <c r="D1921">
        <v>66</v>
      </c>
      <c r="E1921" s="5">
        <v>43659</v>
      </c>
      <c r="F1921">
        <v>23700502</v>
      </c>
      <c r="G1921" t="s">
        <v>690</v>
      </c>
      <c r="H1921" t="s">
        <v>1187</v>
      </c>
      <c r="I1921" t="s">
        <v>1188</v>
      </c>
      <c r="J1921">
        <v>1009</v>
      </c>
      <c r="K1921">
        <v>1005</v>
      </c>
      <c r="L1921" s="3">
        <v>-1635973.5</v>
      </c>
      <c r="M1921" s="3">
        <v>0</v>
      </c>
      <c r="N1921">
        <v>68617</v>
      </c>
      <c r="O1921">
        <v>0</v>
      </c>
      <c r="P1921">
        <v>-1704590.5</v>
      </c>
      <c r="Q1921" t="s">
        <v>30</v>
      </c>
      <c r="R1921" t="s">
        <v>279</v>
      </c>
      <c r="S1921" t="str">
        <v>#N/A</v>
      </c>
      <c r="T1921" t="str">
        <v>31</v>
      </c>
    </row>
    <row r="1922" spans="1:20" ht="13.7" customHeight="1" x14ac:dyDescent="0.25">
      <c r="A1922" t="s">
        <v>26</v>
      </c>
      <c r="B1922" t="s">
        <v>27</v>
      </c>
      <c r="C1922" t="s">
        <v>37</v>
      </c>
      <c r="D1922">
        <v>67</v>
      </c>
      <c r="E1922" s="5">
        <v>43673</v>
      </c>
      <c r="F1922">
        <v>23700502</v>
      </c>
      <c r="G1922" t="s">
        <v>690</v>
      </c>
      <c r="H1922" t="s">
        <v>1187</v>
      </c>
      <c r="I1922" t="s">
        <v>1188</v>
      </c>
      <c r="J1922">
        <v>1009</v>
      </c>
      <c r="K1922">
        <v>1005</v>
      </c>
      <c r="L1922" s="3">
        <v>-1704590.5</v>
      </c>
      <c r="M1922" s="3">
        <v>0</v>
      </c>
      <c r="N1922">
        <v>62542</v>
      </c>
      <c r="O1922">
        <v>0</v>
      </c>
      <c r="P1922">
        <v>-1767132.5</v>
      </c>
      <c r="Q1922" t="s">
        <v>30</v>
      </c>
      <c r="R1922" t="s">
        <v>282</v>
      </c>
      <c r="S1922" t="str">
        <v>#N/A</v>
      </c>
      <c r="T1922" t="str">
        <v>31</v>
      </c>
    </row>
    <row r="1923" spans="1:20" ht="13.7" customHeight="1" x14ac:dyDescent="0.25">
      <c r="A1923" t="s">
        <v>26</v>
      </c>
      <c r="B1923" t="s">
        <v>27</v>
      </c>
      <c r="C1923" t="s">
        <v>38</v>
      </c>
      <c r="D1923">
        <v>56</v>
      </c>
      <c r="E1923" s="5">
        <v>43687</v>
      </c>
      <c r="F1923">
        <v>23700502</v>
      </c>
      <c r="G1923" t="s">
        <v>690</v>
      </c>
      <c r="H1923" t="s">
        <v>1187</v>
      </c>
      <c r="I1923" t="s">
        <v>1188</v>
      </c>
      <c r="J1923">
        <v>1009</v>
      </c>
      <c r="K1923">
        <v>1005</v>
      </c>
      <c r="L1923" s="3">
        <v>-1767132.5</v>
      </c>
      <c r="M1923" s="3">
        <v>0</v>
      </c>
      <c r="N1923">
        <v>66358</v>
      </c>
      <c r="O1923">
        <v>0</v>
      </c>
      <c r="P1923">
        <v>-1833490.5</v>
      </c>
      <c r="Q1923" t="s">
        <v>30</v>
      </c>
      <c r="R1923" t="s">
        <v>284</v>
      </c>
      <c r="S1923" t="str">
        <v>#N/A</v>
      </c>
      <c r="T1923" t="str">
        <v>31</v>
      </c>
    </row>
    <row r="1924" spans="1:20" ht="13.7" customHeight="1" x14ac:dyDescent="0.25">
      <c r="A1924" t="s">
        <v>26</v>
      </c>
      <c r="B1924" t="s">
        <v>27</v>
      </c>
      <c r="C1924" t="s">
        <v>38</v>
      </c>
      <c r="D1924">
        <v>57</v>
      </c>
      <c r="E1924" s="5">
        <v>43701</v>
      </c>
      <c r="F1924">
        <v>23700502</v>
      </c>
      <c r="G1924" t="s">
        <v>690</v>
      </c>
      <c r="H1924" t="s">
        <v>1187</v>
      </c>
      <c r="I1924" t="s">
        <v>1188</v>
      </c>
      <c r="J1924">
        <v>1009</v>
      </c>
      <c r="K1924">
        <v>1005</v>
      </c>
      <c r="L1924" s="3">
        <v>-1833490.5</v>
      </c>
      <c r="M1924" s="3">
        <v>0</v>
      </c>
      <c r="N1924">
        <v>68053</v>
      </c>
      <c r="O1924">
        <v>0</v>
      </c>
      <c r="P1924">
        <v>-1901543.5</v>
      </c>
      <c r="Q1924" t="s">
        <v>30</v>
      </c>
      <c r="R1924" t="s">
        <v>287</v>
      </c>
      <c r="S1924" t="str">
        <v>#N/A</v>
      </c>
      <c r="T1924" t="str">
        <v>31</v>
      </c>
    </row>
    <row r="1925" spans="1:20" ht="13.7" customHeight="1" x14ac:dyDescent="0.25">
      <c r="A1925" t="s">
        <v>26</v>
      </c>
      <c r="B1925" t="s">
        <v>27</v>
      </c>
      <c r="C1925" t="s">
        <v>39</v>
      </c>
      <c r="D1925">
        <v>68</v>
      </c>
      <c r="E1925" s="5">
        <v>43715</v>
      </c>
      <c r="F1925">
        <v>23700502</v>
      </c>
      <c r="G1925" t="s">
        <v>690</v>
      </c>
      <c r="H1925" t="s">
        <v>1187</v>
      </c>
      <c r="I1925" t="s">
        <v>1188</v>
      </c>
      <c r="J1925">
        <v>1009</v>
      </c>
      <c r="K1925">
        <v>1005</v>
      </c>
      <c r="L1925" s="3">
        <v>-1901543.5</v>
      </c>
      <c r="M1925" s="3">
        <v>0</v>
      </c>
      <c r="N1925">
        <v>63981</v>
      </c>
      <c r="O1925">
        <v>0</v>
      </c>
      <c r="P1925">
        <v>-1965524.5</v>
      </c>
      <c r="Q1925" t="s">
        <v>30</v>
      </c>
      <c r="R1925" t="s">
        <v>288</v>
      </c>
      <c r="S1925" t="str">
        <v>#N/A</v>
      </c>
      <c r="T1925" t="str">
        <v>31</v>
      </c>
    </row>
    <row r="1926" spans="1:20" ht="13.7" customHeight="1" x14ac:dyDescent="0.25">
      <c r="A1926" t="s">
        <v>26</v>
      </c>
      <c r="B1926" t="s">
        <v>27</v>
      </c>
      <c r="C1926" t="s">
        <v>39</v>
      </c>
      <c r="D1926">
        <v>69</v>
      </c>
      <c r="E1926" s="5">
        <v>43729</v>
      </c>
      <c r="F1926">
        <v>23700502</v>
      </c>
      <c r="G1926" t="s">
        <v>690</v>
      </c>
      <c r="H1926" t="s">
        <v>1187</v>
      </c>
      <c r="I1926" t="s">
        <v>1188</v>
      </c>
      <c r="J1926">
        <v>1009</v>
      </c>
      <c r="K1926">
        <v>1005</v>
      </c>
      <c r="L1926" s="3">
        <v>-1965524.5</v>
      </c>
      <c r="M1926" s="3">
        <v>0</v>
      </c>
      <c r="N1926">
        <v>66833</v>
      </c>
      <c r="O1926">
        <v>0</v>
      </c>
      <c r="P1926">
        <v>-2032357.5</v>
      </c>
      <c r="Q1926" t="s">
        <v>30</v>
      </c>
      <c r="R1926" t="s">
        <v>291</v>
      </c>
      <c r="S1926" t="str">
        <v>#N/A</v>
      </c>
      <c r="T1926" t="str">
        <v>31</v>
      </c>
    </row>
    <row r="1927" spans="1:20" ht="13.7" customHeight="1" x14ac:dyDescent="0.25">
      <c r="A1927" t="s">
        <v>26</v>
      </c>
      <c r="B1927" t="s">
        <v>27</v>
      </c>
      <c r="C1927" t="s">
        <v>40</v>
      </c>
      <c r="D1927">
        <v>61</v>
      </c>
      <c r="E1927" s="5">
        <v>43743</v>
      </c>
      <c r="F1927">
        <v>23700502</v>
      </c>
      <c r="G1927" t="s">
        <v>690</v>
      </c>
      <c r="H1927" t="s">
        <v>1187</v>
      </c>
      <c r="I1927" t="s">
        <v>1188</v>
      </c>
      <c r="J1927">
        <v>1009</v>
      </c>
      <c r="K1927">
        <v>1005</v>
      </c>
      <c r="L1927" s="3">
        <v>-2032357.5</v>
      </c>
      <c r="M1927" s="3">
        <v>0</v>
      </c>
      <c r="N1927">
        <v>80836</v>
      </c>
      <c r="O1927">
        <v>0</v>
      </c>
      <c r="P1927">
        <v>-2113193.5</v>
      </c>
      <c r="Q1927" t="s">
        <v>30</v>
      </c>
      <c r="R1927" t="s">
        <v>293</v>
      </c>
      <c r="S1927" t="str">
        <v>#N/A</v>
      </c>
      <c r="T1927" t="str">
        <v>31</v>
      </c>
    </row>
    <row r="1928" spans="1:20" ht="13.7" customHeight="1" x14ac:dyDescent="0.25">
      <c r="A1928" t="s">
        <v>26</v>
      </c>
      <c r="B1928" t="s">
        <v>27</v>
      </c>
      <c r="C1928" t="s">
        <v>40</v>
      </c>
      <c r="D1928">
        <v>62</v>
      </c>
      <c r="E1928" s="5">
        <v>43757</v>
      </c>
      <c r="F1928">
        <v>23700502</v>
      </c>
      <c r="G1928" t="s">
        <v>690</v>
      </c>
      <c r="H1928" t="s">
        <v>1187</v>
      </c>
      <c r="I1928" t="s">
        <v>1188</v>
      </c>
      <c r="J1928">
        <v>1009</v>
      </c>
      <c r="K1928">
        <v>1005</v>
      </c>
      <c r="L1928" s="3">
        <v>-2113193.5</v>
      </c>
      <c r="M1928" s="3">
        <v>0</v>
      </c>
      <c r="N1928">
        <v>84020</v>
      </c>
      <c r="O1928">
        <v>0</v>
      </c>
      <c r="P1928">
        <v>-2197213.5</v>
      </c>
      <c r="Q1928" t="s">
        <v>30</v>
      </c>
      <c r="R1928" t="s">
        <v>299</v>
      </c>
      <c r="S1928" t="str">
        <v>#N/A</v>
      </c>
      <c r="T1928" t="str">
        <v>31</v>
      </c>
    </row>
    <row r="1929" spans="1:20" ht="13.7" customHeight="1" x14ac:dyDescent="0.25">
      <c r="A1929" t="s">
        <v>26</v>
      </c>
      <c r="B1929" t="s">
        <v>27</v>
      </c>
      <c r="C1929" t="s">
        <v>41</v>
      </c>
      <c r="D1929">
        <v>76</v>
      </c>
      <c r="E1929" s="5">
        <v>43771</v>
      </c>
      <c r="F1929">
        <v>23700502</v>
      </c>
      <c r="G1929" t="s">
        <v>690</v>
      </c>
      <c r="H1929" t="s">
        <v>1187</v>
      </c>
      <c r="I1929" t="s">
        <v>1188</v>
      </c>
      <c r="J1929">
        <v>1009</v>
      </c>
      <c r="K1929">
        <v>1005</v>
      </c>
      <c r="L1929" s="3">
        <v>-2197213.5</v>
      </c>
      <c r="M1929" s="3">
        <v>0</v>
      </c>
      <c r="N1929">
        <v>83729</v>
      </c>
      <c r="O1929">
        <v>0</v>
      </c>
      <c r="P1929">
        <v>-2280942.5</v>
      </c>
      <c r="Q1929" t="s">
        <v>30</v>
      </c>
      <c r="R1929" t="s">
        <v>301</v>
      </c>
      <c r="S1929" t="str">
        <v>#N/A</v>
      </c>
      <c r="T1929" t="str">
        <v>31</v>
      </c>
    </row>
    <row r="1930" spans="1:20" ht="13.7" customHeight="1" x14ac:dyDescent="0.25">
      <c r="A1930" t="s">
        <v>26</v>
      </c>
      <c r="B1930" t="s">
        <v>27</v>
      </c>
      <c r="C1930" t="s">
        <v>41</v>
      </c>
      <c r="D1930">
        <v>77</v>
      </c>
      <c r="E1930" s="5">
        <v>43785</v>
      </c>
      <c r="F1930">
        <v>23700502</v>
      </c>
      <c r="G1930" t="s">
        <v>690</v>
      </c>
      <c r="H1930" t="s">
        <v>1187</v>
      </c>
      <c r="I1930" t="s">
        <v>1188</v>
      </c>
      <c r="J1930">
        <v>1009</v>
      </c>
      <c r="K1930">
        <v>1005</v>
      </c>
      <c r="L1930" s="3">
        <v>-2280942.5</v>
      </c>
      <c r="M1930" s="3">
        <v>0</v>
      </c>
      <c r="N1930">
        <v>85786</v>
      </c>
      <c r="O1930">
        <v>0</v>
      </c>
      <c r="P1930">
        <v>-2366728.5</v>
      </c>
      <c r="Q1930" t="s">
        <v>30</v>
      </c>
      <c r="R1930" t="s">
        <v>305</v>
      </c>
      <c r="S1930" t="str">
        <v>#N/A</v>
      </c>
      <c r="T1930" t="str">
        <v>31</v>
      </c>
    </row>
    <row r="1931" spans="1:20" ht="13.7" customHeight="1" x14ac:dyDescent="0.25">
      <c r="A1931" t="s">
        <v>26</v>
      </c>
      <c r="B1931" t="s">
        <v>27</v>
      </c>
      <c r="C1931" t="s">
        <v>41</v>
      </c>
      <c r="D1931">
        <v>78</v>
      </c>
      <c r="E1931" s="5">
        <v>43799</v>
      </c>
      <c r="F1931">
        <v>23700502</v>
      </c>
      <c r="G1931" t="s">
        <v>690</v>
      </c>
      <c r="H1931" t="s">
        <v>1187</v>
      </c>
      <c r="I1931" t="s">
        <v>1188</v>
      </c>
      <c r="J1931">
        <v>1009</v>
      </c>
      <c r="K1931">
        <v>1005</v>
      </c>
      <c r="L1931" s="3">
        <v>-2366728.5</v>
      </c>
      <c r="M1931" s="3">
        <v>0</v>
      </c>
      <c r="N1931">
        <v>80919</v>
      </c>
      <c r="O1931">
        <v>0</v>
      </c>
      <c r="P1931">
        <v>-2447647.5</v>
      </c>
      <c r="Q1931" t="s">
        <v>30</v>
      </c>
      <c r="R1931" t="s">
        <v>309</v>
      </c>
      <c r="S1931" t="str">
        <v>#N/A</v>
      </c>
      <c r="T1931" t="str">
        <v>31</v>
      </c>
    </row>
    <row r="1932" spans="1:20" ht="13.7" customHeight="1" x14ac:dyDescent="0.25">
      <c r="A1932" t="s">
        <v>26</v>
      </c>
      <c r="B1932" t="s">
        <v>27</v>
      </c>
      <c r="C1932" t="s">
        <v>180</v>
      </c>
      <c r="D1932">
        <v>1</v>
      </c>
      <c r="E1932" s="5">
        <v>43813</v>
      </c>
      <c r="F1932">
        <v>23700502</v>
      </c>
      <c r="G1932" t="s">
        <v>690</v>
      </c>
      <c r="H1932" t="s">
        <v>1187</v>
      </c>
      <c r="I1932" t="s">
        <v>1188</v>
      </c>
      <c r="J1932">
        <v>1009</v>
      </c>
      <c r="K1932">
        <v>1005</v>
      </c>
      <c r="L1932" s="3">
        <v>-2447647.5</v>
      </c>
      <c r="M1932" s="3">
        <v>0</v>
      </c>
      <c r="N1932">
        <v>80629</v>
      </c>
      <c r="O1932">
        <v>0</v>
      </c>
      <c r="P1932">
        <v>-2528276.5</v>
      </c>
      <c r="Q1932" t="s">
        <v>30</v>
      </c>
      <c r="R1932" t="s">
        <v>316</v>
      </c>
      <c r="S1932" t="str">
        <v>#N/A</v>
      </c>
      <c r="T1932" t="str">
        <v>31</v>
      </c>
    </row>
    <row r="1933" spans="1:20" ht="13.7" customHeight="1" x14ac:dyDescent="0.25">
      <c r="A1933" t="s">
        <v>26</v>
      </c>
      <c r="B1933" t="s">
        <v>27</v>
      </c>
      <c r="C1933" t="s">
        <v>180</v>
      </c>
      <c r="D1933">
        <v>90</v>
      </c>
      <c r="E1933" s="5">
        <v>43819</v>
      </c>
      <c r="F1933">
        <v>23700502</v>
      </c>
      <c r="G1933" t="s">
        <v>690</v>
      </c>
      <c r="H1933" t="s">
        <v>1187</v>
      </c>
      <c r="I1933" t="s">
        <v>1188</v>
      </c>
      <c r="J1933" t="e">
        <v>#N/A</v>
      </c>
      <c r="K1933" t="e">
        <v>#N/A</v>
      </c>
      <c r="L1933" s="3">
        <v>-2528276.5</v>
      </c>
      <c r="M1933" s="3">
        <v>0</v>
      </c>
      <c r="N1933">
        <v>44905</v>
      </c>
      <c r="O1933">
        <v>0</v>
      </c>
      <c r="P1933">
        <v>-2573181.5</v>
      </c>
      <c r="Q1933" t="s">
        <v>30</v>
      </c>
      <c r="R1933" t="s">
        <v>1503</v>
      </c>
      <c r="S1933" t="str">
        <v>#N/A</v>
      </c>
      <c r="T1933" t="str">
        <v>31</v>
      </c>
    </row>
    <row r="1934" spans="1:20" ht="13.7" customHeight="1" x14ac:dyDescent="0.25">
      <c r="E1934" s="5">
        <v>43465</v>
      </c>
      <c r="F1934">
        <v>23700502</v>
      </c>
      <c r="G1934" t="s">
        <v>690</v>
      </c>
      <c r="H1934" t="s">
        <v>1531</v>
      </c>
      <c r="I1934" t="s">
        <v>1532</v>
      </c>
      <c r="J1934">
        <v>0</v>
      </c>
      <c r="K1934">
        <v>0</v>
      </c>
      <c r="L1934" s="3">
        <v>0</v>
      </c>
      <c r="M1934" s="3">
        <v>0</v>
      </c>
      <c r="N1934">
        <v>0</v>
      </c>
      <c r="O1934">
        <v>0</v>
      </c>
      <c r="P1934">
        <v>0</v>
      </c>
      <c r="R1934" t="s">
        <v>1100</v>
      </c>
      <c r="S1934" t="str">
        <v>#N/A</v>
      </c>
      <c r="T1934" t="str">
        <v>#N/A</v>
      </c>
    </row>
    <row r="1935" spans="1:20" ht="13.7" customHeight="1" x14ac:dyDescent="0.25">
      <c r="A1935" t="s">
        <v>26</v>
      </c>
      <c r="B1935" t="s">
        <v>27</v>
      </c>
      <c r="C1935" t="s">
        <v>34</v>
      </c>
      <c r="D1935">
        <v>71</v>
      </c>
      <c r="E1935" s="5">
        <v>43561</v>
      </c>
      <c r="F1935">
        <v>23700502</v>
      </c>
      <c r="G1935" t="s">
        <v>690</v>
      </c>
      <c r="H1935" t="s">
        <v>1531</v>
      </c>
      <c r="I1935" t="s">
        <v>1532</v>
      </c>
      <c r="J1935">
        <v>1009</v>
      </c>
      <c r="K1935">
        <v>1005</v>
      </c>
      <c r="L1935" s="3">
        <v>0</v>
      </c>
      <c r="M1935" s="3">
        <v>0</v>
      </c>
      <c r="N1935">
        <v>15458</v>
      </c>
      <c r="O1935">
        <v>0</v>
      </c>
      <c r="P1935">
        <v>-15458</v>
      </c>
      <c r="Q1935" t="s">
        <v>30</v>
      </c>
      <c r="R1935" t="s">
        <v>244</v>
      </c>
      <c r="S1935" t="str">
        <v>#N/A</v>
      </c>
      <c r="T1935" t="str">
        <v>#N/A</v>
      </c>
    </row>
    <row r="1936" spans="1:20" ht="13.7" customHeight="1" x14ac:dyDescent="0.25">
      <c r="A1936" t="s">
        <v>26</v>
      </c>
      <c r="B1936" t="s">
        <v>27</v>
      </c>
      <c r="C1936" t="s">
        <v>34</v>
      </c>
      <c r="D1936">
        <v>72</v>
      </c>
      <c r="E1936" s="5">
        <v>43575</v>
      </c>
      <c r="F1936">
        <v>23700502</v>
      </c>
      <c r="G1936" t="s">
        <v>690</v>
      </c>
      <c r="H1936" t="s">
        <v>1531</v>
      </c>
      <c r="I1936" t="s">
        <v>1532</v>
      </c>
      <c r="J1936">
        <v>1009</v>
      </c>
      <c r="K1936">
        <v>1005</v>
      </c>
      <c r="L1936" s="3">
        <v>-15458</v>
      </c>
      <c r="M1936" s="3">
        <v>0</v>
      </c>
      <c r="N1936">
        <v>15458</v>
      </c>
      <c r="O1936">
        <v>0</v>
      </c>
      <c r="P1936">
        <v>-30916</v>
      </c>
      <c r="Q1936" t="s">
        <v>30</v>
      </c>
      <c r="R1936" t="s">
        <v>254</v>
      </c>
      <c r="S1936" t="str">
        <v>#N/A</v>
      </c>
      <c r="T1936" t="str">
        <v>#N/A</v>
      </c>
    </row>
    <row r="1937" spans="1:20" ht="13.7" customHeight="1" x14ac:dyDescent="0.25">
      <c r="A1937" t="s">
        <v>26</v>
      </c>
      <c r="B1937" t="s">
        <v>27</v>
      </c>
      <c r="C1937" t="s">
        <v>35</v>
      </c>
      <c r="D1937">
        <v>97</v>
      </c>
      <c r="E1937" s="5">
        <v>43589</v>
      </c>
      <c r="F1937">
        <v>23700502</v>
      </c>
      <c r="G1937" t="s">
        <v>690</v>
      </c>
      <c r="H1937" t="s">
        <v>1531</v>
      </c>
      <c r="I1937" t="s">
        <v>1532</v>
      </c>
      <c r="J1937">
        <v>1009</v>
      </c>
      <c r="K1937">
        <v>1005</v>
      </c>
      <c r="L1937" s="3">
        <v>-30916</v>
      </c>
      <c r="M1937" s="3">
        <v>0</v>
      </c>
      <c r="N1937">
        <v>15458</v>
      </c>
      <c r="O1937">
        <v>0</v>
      </c>
      <c r="P1937">
        <v>-46374</v>
      </c>
      <c r="Q1937" t="s">
        <v>30</v>
      </c>
      <c r="R1937" t="s">
        <v>256</v>
      </c>
      <c r="S1937" t="str">
        <v>#N/A</v>
      </c>
      <c r="T1937" t="str">
        <v>#N/A</v>
      </c>
    </row>
    <row r="1938" spans="1:20" ht="13.7" customHeight="1" x14ac:dyDescent="0.25">
      <c r="A1938" t="s">
        <v>26</v>
      </c>
      <c r="B1938" t="s">
        <v>27</v>
      </c>
      <c r="C1938" t="s">
        <v>35</v>
      </c>
      <c r="D1938">
        <v>98</v>
      </c>
      <c r="E1938" s="5">
        <v>43603</v>
      </c>
      <c r="F1938">
        <v>23700502</v>
      </c>
      <c r="G1938" t="s">
        <v>690</v>
      </c>
      <c r="H1938" t="s">
        <v>1531</v>
      </c>
      <c r="I1938" t="s">
        <v>1532</v>
      </c>
      <c r="J1938">
        <v>1009</v>
      </c>
      <c r="K1938">
        <v>1005</v>
      </c>
      <c r="L1938" s="3">
        <v>-46374</v>
      </c>
      <c r="M1938" s="3">
        <v>0</v>
      </c>
      <c r="N1938">
        <v>15458</v>
      </c>
      <c r="O1938">
        <v>0</v>
      </c>
      <c r="P1938">
        <v>-61832</v>
      </c>
      <c r="Q1938" t="s">
        <v>30</v>
      </c>
      <c r="R1938" t="s">
        <v>261</v>
      </c>
      <c r="S1938" t="str">
        <v>#N/A</v>
      </c>
      <c r="T1938" t="str">
        <v>#N/A</v>
      </c>
    </row>
    <row r="1939" spans="1:20" ht="13.7" customHeight="1" x14ac:dyDescent="0.25">
      <c r="A1939" t="s">
        <v>26</v>
      </c>
      <c r="B1939" t="s">
        <v>27</v>
      </c>
      <c r="C1939" t="s">
        <v>36</v>
      </c>
      <c r="D1939">
        <v>70</v>
      </c>
      <c r="E1939" s="5">
        <v>43617</v>
      </c>
      <c r="F1939">
        <v>23700502</v>
      </c>
      <c r="G1939" t="s">
        <v>690</v>
      </c>
      <c r="H1939" t="s">
        <v>1531</v>
      </c>
      <c r="I1939" t="s">
        <v>1532</v>
      </c>
      <c r="J1939">
        <v>1009</v>
      </c>
      <c r="K1939">
        <v>1005</v>
      </c>
      <c r="L1939" s="3">
        <v>-61832</v>
      </c>
      <c r="M1939" s="3">
        <v>0</v>
      </c>
      <c r="N1939">
        <v>15458</v>
      </c>
      <c r="O1939">
        <v>0</v>
      </c>
      <c r="P1939">
        <v>-77290</v>
      </c>
      <c r="Q1939" t="s">
        <v>30</v>
      </c>
      <c r="R1939" t="s">
        <v>264</v>
      </c>
      <c r="S1939" t="str">
        <v>#N/A</v>
      </c>
      <c r="T1939" t="str">
        <v>#N/A</v>
      </c>
    </row>
    <row r="1940" spans="1:20" ht="13.7" customHeight="1" x14ac:dyDescent="0.25">
      <c r="A1940" t="s">
        <v>26</v>
      </c>
      <c r="B1940" t="s">
        <v>27</v>
      </c>
      <c r="C1940" t="s">
        <v>36</v>
      </c>
      <c r="D1940">
        <v>71</v>
      </c>
      <c r="E1940" s="5">
        <v>43631</v>
      </c>
      <c r="F1940">
        <v>23700502</v>
      </c>
      <c r="G1940" t="s">
        <v>690</v>
      </c>
      <c r="H1940" t="s">
        <v>1531</v>
      </c>
      <c r="I1940" t="s">
        <v>1532</v>
      </c>
      <c r="J1940">
        <v>1009</v>
      </c>
      <c r="K1940">
        <v>1005</v>
      </c>
      <c r="L1940" s="3">
        <v>-77290</v>
      </c>
      <c r="M1940" s="3">
        <v>0</v>
      </c>
      <c r="N1940">
        <v>15458</v>
      </c>
      <c r="O1940">
        <v>0</v>
      </c>
      <c r="P1940">
        <v>-92748</v>
      </c>
      <c r="Q1940" t="s">
        <v>30</v>
      </c>
      <c r="R1940" t="s">
        <v>270</v>
      </c>
      <c r="S1940" t="str">
        <v>#N/A</v>
      </c>
      <c r="T1940" t="str">
        <v>#N/A</v>
      </c>
    </row>
    <row r="1941" spans="1:20" ht="13.7" customHeight="1" x14ac:dyDescent="0.25">
      <c r="A1941" t="s">
        <v>26</v>
      </c>
      <c r="B1941" t="s">
        <v>27</v>
      </c>
      <c r="C1941" t="s">
        <v>36</v>
      </c>
      <c r="D1941">
        <v>73</v>
      </c>
      <c r="E1941" s="5">
        <v>43642</v>
      </c>
      <c r="F1941">
        <v>23700502</v>
      </c>
      <c r="G1941" t="s">
        <v>690</v>
      </c>
      <c r="H1941" t="s">
        <v>1531</v>
      </c>
      <c r="I1941" t="s">
        <v>1532</v>
      </c>
      <c r="J1941">
        <v>1009</v>
      </c>
      <c r="K1941">
        <v>1005</v>
      </c>
      <c r="L1941" s="3">
        <v>-92748</v>
      </c>
      <c r="M1941" s="3">
        <v>0</v>
      </c>
      <c r="N1941">
        <v>15458</v>
      </c>
      <c r="O1941">
        <v>0</v>
      </c>
      <c r="P1941">
        <v>-108206</v>
      </c>
      <c r="Q1941" t="s">
        <v>30</v>
      </c>
      <c r="R1941" t="s">
        <v>274</v>
      </c>
      <c r="S1941" t="str">
        <v>#N/A</v>
      </c>
      <c r="T1941" t="str">
        <v>#N/A</v>
      </c>
    </row>
    <row r="1942" spans="1:20" ht="13.7" customHeight="1" x14ac:dyDescent="0.25">
      <c r="A1942" t="s">
        <v>26</v>
      </c>
      <c r="B1942" t="s">
        <v>27</v>
      </c>
      <c r="C1942" t="s">
        <v>37</v>
      </c>
      <c r="D1942">
        <v>66</v>
      </c>
      <c r="E1942" s="5">
        <v>43659</v>
      </c>
      <c r="F1942">
        <v>23700502</v>
      </c>
      <c r="G1942" t="s">
        <v>690</v>
      </c>
      <c r="H1942" t="s">
        <v>1531</v>
      </c>
      <c r="I1942" t="s">
        <v>1532</v>
      </c>
      <c r="J1942">
        <v>1009</v>
      </c>
      <c r="K1942">
        <v>1005</v>
      </c>
      <c r="L1942" s="3">
        <v>-108206</v>
      </c>
      <c r="M1942" s="3">
        <v>0</v>
      </c>
      <c r="N1942">
        <v>15458</v>
      </c>
      <c r="O1942">
        <v>0</v>
      </c>
      <c r="P1942">
        <v>-123664</v>
      </c>
      <c r="Q1942" t="s">
        <v>30</v>
      </c>
      <c r="R1942" t="s">
        <v>279</v>
      </c>
      <c r="S1942" t="str">
        <v>#N/A</v>
      </c>
      <c r="T1942" t="str">
        <v>#N/A</v>
      </c>
    </row>
    <row r="1943" spans="1:20" ht="13.7" customHeight="1" x14ac:dyDescent="0.25">
      <c r="A1943" t="s">
        <v>26</v>
      </c>
      <c r="B1943" t="s">
        <v>27</v>
      </c>
      <c r="C1943" t="s">
        <v>37</v>
      </c>
      <c r="D1943">
        <v>67</v>
      </c>
      <c r="E1943" s="5">
        <v>43673</v>
      </c>
      <c r="F1943">
        <v>23700502</v>
      </c>
      <c r="G1943" t="s">
        <v>690</v>
      </c>
      <c r="H1943" t="s">
        <v>1531</v>
      </c>
      <c r="I1943" t="s">
        <v>1532</v>
      </c>
      <c r="J1943">
        <v>1009</v>
      </c>
      <c r="K1943">
        <v>1005</v>
      </c>
      <c r="L1943" s="3">
        <v>-123664</v>
      </c>
      <c r="M1943" s="3">
        <v>0</v>
      </c>
      <c r="N1943">
        <v>15458</v>
      </c>
      <c r="O1943">
        <v>0</v>
      </c>
      <c r="P1943">
        <v>-139122</v>
      </c>
      <c r="Q1943" t="s">
        <v>30</v>
      </c>
      <c r="R1943" t="s">
        <v>282</v>
      </c>
      <c r="S1943" t="str">
        <v>#N/A</v>
      </c>
      <c r="T1943" t="str">
        <v>#N/A</v>
      </c>
    </row>
    <row r="1944" spans="1:20" ht="13.7" customHeight="1" x14ac:dyDescent="0.25">
      <c r="A1944" t="s">
        <v>26</v>
      </c>
      <c r="B1944" t="s">
        <v>27</v>
      </c>
      <c r="C1944" t="s">
        <v>38</v>
      </c>
      <c r="D1944">
        <v>56</v>
      </c>
      <c r="E1944" s="5">
        <v>43687</v>
      </c>
      <c r="F1944">
        <v>23700502</v>
      </c>
      <c r="G1944" t="s">
        <v>690</v>
      </c>
      <c r="H1944" t="s">
        <v>1531</v>
      </c>
      <c r="I1944" t="s">
        <v>1532</v>
      </c>
      <c r="J1944">
        <v>1009</v>
      </c>
      <c r="K1944">
        <v>1005</v>
      </c>
      <c r="L1944" s="3">
        <v>-139122</v>
      </c>
      <c r="M1944" s="3">
        <v>0</v>
      </c>
      <c r="N1944">
        <v>15458</v>
      </c>
      <c r="O1944">
        <v>0</v>
      </c>
      <c r="P1944">
        <v>-154580</v>
      </c>
      <c r="Q1944" t="s">
        <v>30</v>
      </c>
      <c r="R1944" t="s">
        <v>284</v>
      </c>
      <c r="S1944" t="str">
        <v>#N/A</v>
      </c>
      <c r="T1944" t="str">
        <v>#N/A</v>
      </c>
    </row>
    <row r="1945" spans="1:20" ht="13.7" customHeight="1" x14ac:dyDescent="0.25">
      <c r="A1945" t="s">
        <v>26</v>
      </c>
      <c r="B1945" t="s">
        <v>27</v>
      </c>
      <c r="C1945" t="s">
        <v>38</v>
      </c>
      <c r="D1945">
        <v>57</v>
      </c>
      <c r="E1945" s="5">
        <v>43701</v>
      </c>
      <c r="F1945">
        <v>23700502</v>
      </c>
      <c r="G1945" t="s">
        <v>690</v>
      </c>
      <c r="H1945" t="s">
        <v>1531</v>
      </c>
      <c r="I1945" t="s">
        <v>1532</v>
      </c>
      <c r="J1945">
        <v>1009</v>
      </c>
      <c r="K1945">
        <v>1005</v>
      </c>
      <c r="L1945" s="3">
        <v>-154580</v>
      </c>
      <c r="M1945" s="3">
        <v>0</v>
      </c>
      <c r="N1945">
        <v>15458</v>
      </c>
      <c r="O1945">
        <v>0</v>
      </c>
      <c r="P1945">
        <v>-170038</v>
      </c>
      <c r="Q1945" t="s">
        <v>30</v>
      </c>
      <c r="R1945" t="s">
        <v>287</v>
      </c>
      <c r="S1945" t="str">
        <v>#N/A</v>
      </c>
      <c r="T1945" t="str">
        <v>#N/A</v>
      </c>
    </row>
    <row r="1946" spans="1:20" ht="13.7" customHeight="1" x14ac:dyDescent="0.25">
      <c r="A1946" t="s">
        <v>26</v>
      </c>
      <c r="B1946" t="s">
        <v>27</v>
      </c>
      <c r="C1946" t="s">
        <v>39</v>
      </c>
      <c r="D1946">
        <v>68</v>
      </c>
      <c r="E1946" s="5">
        <v>43715</v>
      </c>
      <c r="F1946">
        <v>23700502</v>
      </c>
      <c r="G1946" t="s">
        <v>690</v>
      </c>
      <c r="H1946" t="s">
        <v>1531</v>
      </c>
      <c r="I1946" t="s">
        <v>1532</v>
      </c>
      <c r="J1946">
        <v>1009</v>
      </c>
      <c r="K1946">
        <v>1005</v>
      </c>
      <c r="L1946" s="3">
        <v>-170038</v>
      </c>
      <c r="M1946" s="3">
        <v>0</v>
      </c>
      <c r="N1946">
        <v>15458</v>
      </c>
      <c r="O1946">
        <v>0</v>
      </c>
      <c r="P1946">
        <v>-185496</v>
      </c>
      <c r="Q1946" t="s">
        <v>30</v>
      </c>
      <c r="R1946" t="s">
        <v>288</v>
      </c>
      <c r="S1946" t="str">
        <v>#N/A</v>
      </c>
      <c r="T1946" t="str">
        <v>#N/A</v>
      </c>
    </row>
    <row r="1947" spans="1:20" ht="13.7" customHeight="1" x14ac:dyDescent="0.25">
      <c r="A1947" t="s">
        <v>26</v>
      </c>
      <c r="B1947" t="s">
        <v>27</v>
      </c>
      <c r="C1947" t="s">
        <v>39</v>
      </c>
      <c r="D1947">
        <v>69</v>
      </c>
      <c r="E1947" s="5">
        <v>43729</v>
      </c>
      <c r="F1947">
        <v>23700502</v>
      </c>
      <c r="G1947" t="s">
        <v>690</v>
      </c>
      <c r="H1947" t="s">
        <v>1531</v>
      </c>
      <c r="I1947" t="s">
        <v>1532</v>
      </c>
      <c r="J1947">
        <v>1009</v>
      </c>
      <c r="K1947">
        <v>1005</v>
      </c>
      <c r="L1947" s="3">
        <v>-185496</v>
      </c>
      <c r="M1947" s="3">
        <v>0</v>
      </c>
      <c r="N1947">
        <v>15458</v>
      </c>
      <c r="O1947">
        <v>0</v>
      </c>
      <c r="P1947">
        <v>-200954</v>
      </c>
      <c r="Q1947" t="s">
        <v>30</v>
      </c>
      <c r="R1947" t="s">
        <v>291</v>
      </c>
      <c r="S1947" t="str">
        <v>#N/A</v>
      </c>
      <c r="T1947" t="str">
        <v>#N/A</v>
      </c>
    </row>
    <row r="1948" spans="1:20" ht="13.7" customHeight="1" x14ac:dyDescent="0.25">
      <c r="E1948" s="5">
        <v>43465</v>
      </c>
      <c r="F1948">
        <v>23700502</v>
      </c>
      <c r="G1948" t="s">
        <v>690</v>
      </c>
      <c r="H1948" t="s">
        <v>1533</v>
      </c>
      <c r="I1948" t="s">
        <v>1534</v>
      </c>
      <c r="J1948">
        <v>0</v>
      </c>
      <c r="K1948">
        <v>0</v>
      </c>
      <c r="L1948" s="3">
        <v>1</v>
      </c>
      <c r="M1948" s="3">
        <v>0</v>
      </c>
      <c r="N1948">
        <v>0</v>
      </c>
      <c r="O1948">
        <v>0</v>
      </c>
      <c r="P1948">
        <v>1</v>
      </c>
      <c r="R1948" t="s">
        <v>1100</v>
      </c>
      <c r="S1948" t="str">
        <v>#N/A</v>
      </c>
      <c r="T1948" t="str">
        <v>31</v>
      </c>
    </row>
    <row r="1949" spans="1:20" ht="13.7" customHeight="1" x14ac:dyDescent="0.25">
      <c r="A1949" t="s">
        <v>26</v>
      </c>
      <c r="B1949" t="s">
        <v>27</v>
      </c>
      <c r="C1949" t="s">
        <v>36</v>
      </c>
      <c r="D1949">
        <v>70</v>
      </c>
      <c r="E1949" s="5">
        <v>43617</v>
      </c>
      <c r="F1949">
        <v>23700502</v>
      </c>
      <c r="G1949" t="s">
        <v>690</v>
      </c>
      <c r="H1949" t="s">
        <v>1533</v>
      </c>
      <c r="I1949" t="s">
        <v>1534</v>
      </c>
      <c r="J1949">
        <v>1009</v>
      </c>
      <c r="K1949">
        <v>1005</v>
      </c>
      <c r="L1949" s="3">
        <v>1</v>
      </c>
      <c r="M1949" s="3">
        <v>0</v>
      </c>
      <c r="N1949">
        <v>15458</v>
      </c>
      <c r="O1949">
        <v>0</v>
      </c>
      <c r="P1949">
        <v>-15457</v>
      </c>
      <c r="Q1949" t="s">
        <v>30</v>
      </c>
      <c r="R1949" t="s">
        <v>264</v>
      </c>
      <c r="S1949" t="str">
        <v>#N/A</v>
      </c>
      <c r="T1949" t="str">
        <v>31</v>
      </c>
    </row>
    <row r="1950" spans="1:20" ht="13.7" customHeight="1" x14ac:dyDescent="0.25">
      <c r="A1950" t="s">
        <v>26</v>
      </c>
      <c r="B1950" t="s">
        <v>27</v>
      </c>
      <c r="C1950" t="s">
        <v>36</v>
      </c>
      <c r="D1950">
        <v>71</v>
      </c>
      <c r="E1950" s="5">
        <v>43631</v>
      </c>
      <c r="F1950">
        <v>23700502</v>
      </c>
      <c r="G1950" t="s">
        <v>690</v>
      </c>
      <c r="H1950" t="s">
        <v>1533</v>
      </c>
      <c r="I1950" t="s">
        <v>1534</v>
      </c>
      <c r="J1950">
        <v>1009</v>
      </c>
      <c r="K1950">
        <v>1005</v>
      </c>
      <c r="L1950" s="3">
        <v>-15457</v>
      </c>
      <c r="M1950" s="3">
        <v>0</v>
      </c>
      <c r="N1950">
        <v>15458</v>
      </c>
      <c r="O1950">
        <v>0</v>
      </c>
      <c r="P1950">
        <v>-30915</v>
      </c>
      <c r="Q1950" t="s">
        <v>30</v>
      </c>
      <c r="R1950" t="s">
        <v>270</v>
      </c>
      <c r="S1950" t="str">
        <v>#N/A</v>
      </c>
      <c r="T1950" t="str">
        <v>31</v>
      </c>
    </row>
    <row r="1951" spans="1:20" ht="13.7" customHeight="1" x14ac:dyDescent="0.25">
      <c r="A1951" t="s">
        <v>26</v>
      </c>
      <c r="B1951" t="s">
        <v>27</v>
      </c>
      <c r="C1951" t="s">
        <v>36</v>
      </c>
      <c r="D1951">
        <v>73</v>
      </c>
      <c r="E1951" s="5">
        <v>43642</v>
      </c>
      <c r="F1951">
        <v>23700502</v>
      </c>
      <c r="G1951" t="s">
        <v>690</v>
      </c>
      <c r="H1951" t="s">
        <v>1533</v>
      </c>
      <c r="I1951" t="s">
        <v>1534</v>
      </c>
      <c r="J1951">
        <v>1009</v>
      </c>
      <c r="K1951">
        <v>1005</v>
      </c>
      <c r="L1951" s="3">
        <v>-30915</v>
      </c>
      <c r="M1951" s="3">
        <v>0</v>
      </c>
      <c r="N1951">
        <v>1104</v>
      </c>
      <c r="O1951">
        <v>0</v>
      </c>
      <c r="P1951">
        <v>-32019</v>
      </c>
      <c r="Q1951" t="s">
        <v>30</v>
      </c>
      <c r="R1951" t="s">
        <v>274</v>
      </c>
      <c r="S1951" t="str">
        <v>#N/A</v>
      </c>
      <c r="T1951" t="str">
        <v>31</v>
      </c>
    </row>
    <row r="1952" spans="1:20" ht="13.7" customHeight="1" x14ac:dyDescent="0.25">
      <c r="A1952" t="s">
        <v>26</v>
      </c>
      <c r="B1952" t="s">
        <v>27</v>
      </c>
      <c r="C1952" t="s">
        <v>37</v>
      </c>
      <c r="D1952">
        <v>66</v>
      </c>
      <c r="E1952" s="5">
        <v>43659</v>
      </c>
      <c r="F1952">
        <v>23700502</v>
      </c>
      <c r="G1952" t="s">
        <v>690</v>
      </c>
      <c r="H1952" t="s">
        <v>1533</v>
      </c>
      <c r="I1952" t="s">
        <v>1534</v>
      </c>
      <c r="J1952">
        <v>1009</v>
      </c>
      <c r="K1952">
        <v>1005</v>
      </c>
      <c r="L1952" s="3">
        <v>-32019</v>
      </c>
      <c r="M1952" s="3">
        <v>0</v>
      </c>
      <c r="N1952">
        <v>1104</v>
      </c>
      <c r="O1952">
        <v>0</v>
      </c>
      <c r="P1952">
        <v>-33123</v>
      </c>
      <c r="Q1952" t="s">
        <v>30</v>
      </c>
      <c r="R1952" t="s">
        <v>279</v>
      </c>
      <c r="S1952" t="str">
        <v>#N/A</v>
      </c>
      <c r="T1952" t="str">
        <v>31</v>
      </c>
    </row>
    <row r="1953" spans="1:20" ht="13.7" customHeight="1" x14ac:dyDescent="0.25">
      <c r="A1953" t="s">
        <v>26</v>
      </c>
      <c r="B1953" t="s">
        <v>27</v>
      </c>
      <c r="C1953" t="s">
        <v>37</v>
      </c>
      <c r="D1953">
        <v>67</v>
      </c>
      <c r="E1953" s="5">
        <v>43673</v>
      </c>
      <c r="F1953">
        <v>23700502</v>
      </c>
      <c r="G1953" t="s">
        <v>690</v>
      </c>
      <c r="H1953" t="s">
        <v>1533</v>
      </c>
      <c r="I1953" t="s">
        <v>1534</v>
      </c>
      <c r="J1953">
        <v>1009</v>
      </c>
      <c r="K1953">
        <v>1005</v>
      </c>
      <c r="L1953" s="3">
        <v>-33123</v>
      </c>
      <c r="M1953" s="3">
        <v>0</v>
      </c>
      <c r="N1953">
        <v>15458</v>
      </c>
      <c r="O1953">
        <v>0</v>
      </c>
      <c r="P1953">
        <v>-48581</v>
      </c>
      <c r="Q1953" t="s">
        <v>30</v>
      </c>
      <c r="R1953" t="s">
        <v>282</v>
      </c>
      <c r="S1953" t="str">
        <v>#N/A</v>
      </c>
      <c r="T1953" t="str">
        <v>31</v>
      </c>
    </row>
    <row r="1954" spans="1:20" ht="13.7" customHeight="1" x14ac:dyDescent="0.25">
      <c r="A1954" t="s">
        <v>26</v>
      </c>
      <c r="B1954" t="s">
        <v>27</v>
      </c>
      <c r="C1954" t="s">
        <v>38</v>
      </c>
      <c r="D1954">
        <v>56</v>
      </c>
      <c r="E1954" s="5">
        <v>43687</v>
      </c>
      <c r="F1954">
        <v>23700502</v>
      </c>
      <c r="G1954" t="s">
        <v>690</v>
      </c>
      <c r="H1954" t="s">
        <v>1533</v>
      </c>
      <c r="I1954" t="s">
        <v>1534</v>
      </c>
      <c r="J1954">
        <v>1009</v>
      </c>
      <c r="K1954">
        <v>1005</v>
      </c>
      <c r="L1954" s="3">
        <v>-48581</v>
      </c>
      <c r="M1954" s="3">
        <v>0</v>
      </c>
      <c r="N1954">
        <v>15458</v>
      </c>
      <c r="O1954">
        <v>0</v>
      </c>
      <c r="P1954">
        <v>-64039</v>
      </c>
      <c r="Q1954" t="s">
        <v>30</v>
      </c>
      <c r="R1954" t="s">
        <v>284</v>
      </c>
      <c r="S1954" t="str">
        <v>#N/A</v>
      </c>
      <c r="T1954" t="str">
        <v>31</v>
      </c>
    </row>
    <row r="1955" spans="1:20" ht="13.7" customHeight="1" x14ac:dyDescent="0.25">
      <c r="A1955" t="s">
        <v>26</v>
      </c>
      <c r="B1955" t="s">
        <v>27</v>
      </c>
      <c r="C1955" t="s">
        <v>38</v>
      </c>
      <c r="D1955">
        <v>57</v>
      </c>
      <c r="E1955" s="5">
        <v>43701</v>
      </c>
      <c r="F1955">
        <v>23700502</v>
      </c>
      <c r="G1955" t="s">
        <v>690</v>
      </c>
      <c r="H1955" t="s">
        <v>1533</v>
      </c>
      <c r="I1955" t="s">
        <v>1534</v>
      </c>
      <c r="J1955">
        <v>1009</v>
      </c>
      <c r="K1955">
        <v>1005</v>
      </c>
      <c r="L1955" s="3">
        <v>-64039</v>
      </c>
      <c r="M1955" s="3">
        <v>0</v>
      </c>
      <c r="N1955">
        <v>15458</v>
      </c>
      <c r="O1955">
        <v>0</v>
      </c>
      <c r="P1955">
        <v>-79497</v>
      </c>
      <c r="Q1955" t="s">
        <v>30</v>
      </c>
      <c r="R1955" t="s">
        <v>287</v>
      </c>
      <c r="S1955" t="str">
        <v>#N/A</v>
      </c>
      <c r="T1955" t="str">
        <v>31</v>
      </c>
    </row>
    <row r="1956" spans="1:20" ht="13.7" customHeight="1" x14ac:dyDescent="0.25">
      <c r="A1956" t="s">
        <v>26</v>
      </c>
      <c r="B1956" t="s">
        <v>27</v>
      </c>
      <c r="C1956" t="s">
        <v>39</v>
      </c>
      <c r="D1956">
        <v>68</v>
      </c>
      <c r="E1956" s="5">
        <v>43715</v>
      </c>
      <c r="F1956">
        <v>23700502</v>
      </c>
      <c r="G1956" t="s">
        <v>690</v>
      </c>
      <c r="H1956" t="s">
        <v>1533</v>
      </c>
      <c r="I1956" t="s">
        <v>1534</v>
      </c>
      <c r="J1956">
        <v>1009</v>
      </c>
      <c r="K1956">
        <v>1005</v>
      </c>
      <c r="L1956" s="3">
        <v>-79497</v>
      </c>
      <c r="M1956" s="3">
        <v>0</v>
      </c>
      <c r="N1956">
        <v>8833</v>
      </c>
      <c r="O1956">
        <v>0</v>
      </c>
      <c r="P1956">
        <v>-88330</v>
      </c>
      <c r="Q1956" t="s">
        <v>30</v>
      </c>
      <c r="R1956" t="s">
        <v>288</v>
      </c>
      <c r="S1956" t="str">
        <v>#N/A</v>
      </c>
      <c r="T1956" t="str">
        <v>31</v>
      </c>
    </row>
    <row r="1957" spans="1:20" ht="13.7" customHeight="1" x14ac:dyDescent="0.25">
      <c r="E1957" s="5">
        <v>43465</v>
      </c>
      <c r="F1957">
        <v>23700601</v>
      </c>
      <c r="G1957">
        <v>0</v>
      </c>
      <c r="H1957" t="s">
        <v>1191</v>
      </c>
      <c r="I1957" t="s">
        <v>1192</v>
      </c>
      <c r="J1957">
        <v>0</v>
      </c>
      <c r="K1957">
        <v>0</v>
      </c>
      <c r="L1957" s="3">
        <v>484600</v>
      </c>
      <c r="M1957" s="3">
        <v>0</v>
      </c>
      <c r="N1957">
        <v>0</v>
      </c>
      <c r="O1957">
        <v>0</v>
      </c>
      <c r="P1957">
        <v>484600</v>
      </c>
      <c r="R1957" t="s">
        <v>1100</v>
      </c>
      <c r="S1957" t="str">
        <v>#N/A</v>
      </c>
      <c r="T1957" t="str">
        <v>31</v>
      </c>
    </row>
    <row r="1958" spans="1:20" ht="13.7" customHeight="1" x14ac:dyDescent="0.25">
      <c r="E1958" s="5">
        <v>43465</v>
      </c>
      <c r="F1958">
        <v>23701001</v>
      </c>
      <c r="G1958">
        <v>0</v>
      </c>
      <c r="H1958" t="s">
        <v>1193</v>
      </c>
      <c r="I1958" t="s">
        <v>1194</v>
      </c>
      <c r="J1958">
        <v>0</v>
      </c>
      <c r="K1958">
        <v>0</v>
      </c>
      <c r="L1958" s="3">
        <v>791200</v>
      </c>
      <c r="M1958" s="3">
        <v>0</v>
      </c>
      <c r="N1958">
        <v>0</v>
      </c>
      <c r="O1958">
        <v>0</v>
      </c>
      <c r="P1958">
        <v>791200</v>
      </c>
      <c r="R1958" t="s">
        <v>1100</v>
      </c>
      <c r="S1958" t="str">
        <v>#N/A</v>
      </c>
      <c r="T1958" t="str">
        <v>31</v>
      </c>
    </row>
    <row r="1959" spans="1:20" ht="13.7" customHeight="1" x14ac:dyDescent="0.25">
      <c r="E1959" s="5">
        <v>43465</v>
      </c>
      <c r="F1959">
        <v>23709501</v>
      </c>
      <c r="G1959">
        <v>0</v>
      </c>
      <c r="H1959" t="s">
        <v>1098</v>
      </c>
      <c r="I1959" t="s">
        <v>1099</v>
      </c>
      <c r="J1959">
        <v>0</v>
      </c>
      <c r="K1959">
        <v>0</v>
      </c>
      <c r="L1959" s="3">
        <v>6148</v>
      </c>
      <c r="M1959" s="3">
        <v>0</v>
      </c>
      <c r="N1959">
        <v>0</v>
      </c>
      <c r="O1959">
        <v>0</v>
      </c>
      <c r="P1959">
        <v>6148</v>
      </c>
      <c r="R1959" t="s">
        <v>1100</v>
      </c>
      <c r="S1959" t="str">
        <v>#N/A</v>
      </c>
      <c r="T1959" t="str">
        <v>31</v>
      </c>
    </row>
    <row r="1960" spans="1:20" ht="13.7" customHeight="1" x14ac:dyDescent="0.25">
      <c r="E1960" s="5">
        <v>43465</v>
      </c>
      <c r="F1960">
        <v>23803001</v>
      </c>
      <c r="G1960">
        <v>0</v>
      </c>
      <c r="H1960" t="s">
        <v>1189</v>
      </c>
      <c r="I1960" t="s">
        <v>1190</v>
      </c>
      <c r="J1960">
        <v>0</v>
      </c>
      <c r="K1960">
        <v>0</v>
      </c>
      <c r="L1960" s="3">
        <v>834873</v>
      </c>
      <c r="M1960" s="3">
        <v>0</v>
      </c>
      <c r="N1960">
        <v>0</v>
      </c>
      <c r="O1960">
        <v>0</v>
      </c>
      <c r="P1960">
        <v>834873</v>
      </c>
      <c r="R1960" t="s">
        <v>1100</v>
      </c>
      <c r="S1960" t="str">
        <v>#N/A</v>
      </c>
      <c r="T1960" t="str">
        <v>#N/A</v>
      </c>
    </row>
    <row r="1961" spans="1:20" ht="13.7" customHeight="1" x14ac:dyDescent="0.25">
      <c r="E1961" s="5">
        <v>43465</v>
      </c>
      <c r="F1961">
        <v>23803001</v>
      </c>
      <c r="G1961">
        <v>0</v>
      </c>
      <c r="H1961" t="s">
        <v>1535</v>
      </c>
      <c r="I1961" t="s">
        <v>1536</v>
      </c>
      <c r="J1961">
        <v>0</v>
      </c>
      <c r="K1961">
        <v>0</v>
      </c>
      <c r="L1961" s="3">
        <v>730450</v>
      </c>
      <c r="M1961" s="3">
        <v>0</v>
      </c>
      <c r="N1961">
        <v>0</v>
      </c>
      <c r="O1961">
        <v>0</v>
      </c>
      <c r="P1961">
        <v>730450</v>
      </c>
      <c r="R1961" t="s">
        <v>1100</v>
      </c>
      <c r="S1961" t="str">
        <v>#N/A</v>
      </c>
      <c r="T1961" t="str">
        <v>#N/A</v>
      </c>
    </row>
    <row r="1962" spans="1:20" ht="13.7" customHeight="1" x14ac:dyDescent="0.25">
      <c r="E1962" s="5">
        <v>43465</v>
      </c>
      <c r="F1962">
        <v>23803001</v>
      </c>
      <c r="G1962">
        <v>0</v>
      </c>
      <c r="H1962" t="s">
        <v>1537</v>
      </c>
      <c r="I1962" t="s">
        <v>1538</v>
      </c>
      <c r="J1962">
        <v>0</v>
      </c>
      <c r="K1962">
        <v>0</v>
      </c>
      <c r="L1962" s="3">
        <v>786700</v>
      </c>
      <c r="M1962" s="3">
        <v>0</v>
      </c>
      <c r="N1962">
        <v>0</v>
      </c>
      <c r="O1962">
        <v>0</v>
      </c>
      <c r="P1962">
        <v>786700</v>
      </c>
      <c r="R1962" t="s">
        <v>1100</v>
      </c>
      <c r="S1962" t="str">
        <v>#N/A</v>
      </c>
      <c r="T1962" t="str">
        <v>31</v>
      </c>
    </row>
    <row r="1963" spans="1:20" ht="13.7" customHeight="1" x14ac:dyDescent="0.25">
      <c r="E1963" s="5">
        <v>43465</v>
      </c>
      <c r="F1963">
        <v>23803001</v>
      </c>
      <c r="G1963">
        <v>0</v>
      </c>
      <c r="H1963" t="s">
        <v>1539</v>
      </c>
      <c r="I1963" t="s">
        <v>1540</v>
      </c>
      <c r="J1963">
        <v>0</v>
      </c>
      <c r="K1963">
        <v>0</v>
      </c>
      <c r="L1963" s="3">
        <v>357500</v>
      </c>
      <c r="M1963" s="3">
        <v>0</v>
      </c>
      <c r="N1963">
        <v>0</v>
      </c>
      <c r="O1963">
        <v>0</v>
      </c>
      <c r="P1963">
        <v>357500</v>
      </c>
      <c r="R1963" t="s">
        <v>1100</v>
      </c>
      <c r="S1963" t="str">
        <v>#N/A</v>
      </c>
      <c r="T1963" t="str">
        <v>31</v>
      </c>
    </row>
    <row r="1964" spans="1:20" ht="13.7" customHeight="1" x14ac:dyDescent="0.25">
      <c r="E1964" s="5">
        <v>43465</v>
      </c>
      <c r="F1964">
        <v>23803002</v>
      </c>
      <c r="G1964" t="s">
        <v>691</v>
      </c>
      <c r="H1964" t="s">
        <v>1187</v>
      </c>
      <c r="I1964" t="s">
        <v>1188</v>
      </c>
      <c r="J1964">
        <v>0</v>
      </c>
      <c r="K1964">
        <v>0</v>
      </c>
      <c r="L1964" s="3">
        <v>0</v>
      </c>
      <c r="M1964" s="3">
        <v>0</v>
      </c>
      <c r="N1964">
        <v>0</v>
      </c>
      <c r="O1964">
        <v>0</v>
      </c>
      <c r="P1964">
        <v>0</v>
      </c>
      <c r="R1964" t="s">
        <v>1100</v>
      </c>
      <c r="S1964" t="str">
        <v>#N/A</v>
      </c>
      <c r="T1964" t="str">
        <v>31</v>
      </c>
    </row>
    <row r="1965" spans="1:20" ht="13.7" customHeight="1" x14ac:dyDescent="0.25">
      <c r="A1965" t="s">
        <v>26</v>
      </c>
      <c r="B1965" t="s">
        <v>27</v>
      </c>
      <c r="C1965" t="s">
        <v>41</v>
      </c>
      <c r="D1965">
        <v>77</v>
      </c>
      <c r="E1965" s="5">
        <v>43785</v>
      </c>
      <c r="F1965">
        <v>23803002</v>
      </c>
      <c r="G1965" t="s">
        <v>691</v>
      </c>
      <c r="H1965" t="s">
        <v>1187</v>
      </c>
      <c r="I1965" t="s">
        <v>1188</v>
      </c>
      <c r="J1965">
        <v>1009</v>
      </c>
      <c r="K1965">
        <v>1005</v>
      </c>
      <c r="L1965" s="3">
        <v>0</v>
      </c>
      <c r="M1965" s="3">
        <v>0</v>
      </c>
      <c r="N1965">
        <v>19173</v>
      </c>
      <c r="O1965">
        <v>0</v>
      </c>
      <c r="P1965">
        <v>-19173</v>
      </c>
      <c r="Q1965" t="s">
        <v>30</v>
      </c>
      <c r="R1965" t="s">
        <v>305</v>
      </c>
      <c r="S1965" t="str">
        <v>#N/A</v>
      </c>
      <c r="T1965" t="str">
        <v>31</v>
      </c>
    </row>
    <row r="1966" spans="1:20" ht="13.7" customHeight="1" x14ac:dyDescent="0.25">
      <c r="E1966" s="5">
        <v>43465</v>
      </c>
      <c r="F1966">
        <v>23803002</v>
      </c>
      <c r="G1966" t="s">
        <v>691</v>
      </c>
      <c r="H1966" t="s">
        <v>1189</v>
      </c>
      <c r="I1966" t="s">
        <v>1190</v>
      </c>
      <c r="J1966">
        <v>0</v>
      </c>
      <c r="K1966">
        <v>0</v>
      </c>
      <c r="L1966" s="3">
        <v>-148982</v>
      </c>
      <c r="M1966" s="3">
        <v>0</v>
      </c>
      <c r="N1966">
        <v>0</v>
      </c>
      <c r="O1966">
        <v>0</v>
      </c>
      <c r="P1966">
        <v>-148982</v>
      </c>
      <c r="R1966" t="s">
        <v>1100</v>
      </c>
      <c r="S1966" t="str">
        <v>#N/A</v>
      </c>
      <c r="T1966" t="str">
        <v>#N/A</v>
      </c>
    </row>
    <row r="1967" spans="1:20" ht="13.7" customHeight="1" x14ac:dyDescent="0.25">
      <c r="A1967" t="s">
        <v>26</v>
      </c>
      <c r="B1967" t="s">
        <v>27</v>
      </c>
      <c r="C1967" t="s">
        <v>28</v>
      </c>
      <c r="D1967">
        <v>77</v>
      </c>
      <c r="E1967" s="5">
        <v>43491</v>
      </c>
      <c r="F1967">
        <v>23803002</v>
      </c>
      <c r="G1967" t="s">
        <v>691</v>
      </c>
      <c r="H1967" t="s">
        <v>1189</v>
      </c>
      <c r="I1967" t="s">
        <v>1190</v>
      </c>
      <c r="J1967">
        <v>1009</v>
      </c>
      <c r="K1967">
        <v>1005</v>
      </c>
      <c r="L1967" s="3">
        <v>-148982</v>
      </c>
      <c r="M1967" s="3">
        <v>0</v>
      </c>
      <c r="N1967">
        <v>19706</v>
      </c>
      <c r="O1967">
        <v>0</v>
      </c>
      <c r="P1967">
        <v>-168688</v>
      </c>
      <c r="Q1967" t="s">
        <v>30</v>
      </c>
      <c r="R1967" t="s">
        <v>202</v>
      </c>
      <c r="S1967" t="str">
        <v>#N/A</v>
      </c>
      <c r="T1967" t="str">
        <v>#N/A</v>
      </c>
    </row>
    <row r="1968" spans="1:20" ht="13.7" customHeight="1" x14ac:dyDescent="0.25">
      <c r="A1968" t="s">
        <v>26</v>
      </c>
      <c r="B1968" t="s">
        <v>27</v>
      </c>
      <c r="C1968" t="s">
        <v>32</v>
      </c>
      <c r="D1968">
        <v>60</v>
      </c>
      <c r="E1968" s="5">
        <v>43505</v>
      </c>
      <c r="F1968">
        <v>23803002</v>
      </c>
      <c r="G1968" t="s">
        <v>691</v>
      </c>
      <c r="H1968" t="s">
        <v>1189</v>
      </c>
      <c r="I1968" t="s">
        <v>1190</v>
      </c>
      <c r="J1968">
        <v>1009</v>
      </c>
      <c r="K1968">
        <v>1005</v>
      </c>
      <c r="L1968" s="3">
        <v>-168688</v>
      </c>
      <c r="M1968" s="3">
        <v>0</v>
      </c>
      <c r="N1968">
        <v>19707</v>
      </c>
      <c r="O1968">
        <v>0</v>
      </c>
      <c r="P1968">
        <v>-188395</v>
      </c>
      <c r="Q1968" t="s">
        <v>30</v>
      </c>
      <c r="R1968" t="s">
        <v>215</v>
      </c>
      <c r="S1968" t="str">
        <v>#N/A</v>
      </c>
      <c r="T1968" t="str">
        <v>#N/A</v>
      </c>
    </row>
    <row r="1969" spans="1:20" ht="13.7" customHeight="1" x14ac:dyDescent="0.25">
      <c r="A1969" t="s">
        <v>26</v>
      </c>
      <c r="B1969" t="s">
        <v>27</v>
      </c>
      <c r="C1969" t="s">
        <v>32</v>
      </c>
      <c r="D1969">
        <v>61</v>
      </c>
      <c r="E1969" s="5">
        <v>43519</v>
      </c>
      <c r="F1969">
        <v>23803002</v>
      </c>
      <c r="G1969" t="s">
        <v>691</v>
      </c>
      <c r="H1969" t="s">
        <v>1189</v>
      </c>
      <c r="I1969" t="s">
        <v>1190</v>
      </c>
      <c r="J1969">
        <v>1009</v>
      </c>
      <c r="K1969">
        <v>1005</v>
      </c>
      <c r="L1969" s="3">
        <v>-188395</v>
      </c>
      <c r="M1969" s="3">
        <v>0</v>
      </c>
      <c r="N1969">
        <v>19707</v>
      </c>
      <c r="O1969">
        <v>0</v>
      </c>
      <c r="P1969">
        <v>-208102</v>
      </c>
      <c r="Q1969" t="s">
        <v>30</v>
      </c>
      <c r="R1969" t="s">
        <v>226</v>
      </c>
      <c r="S1969" t="str">
        <v>#N/A</v>
      </c>
      <c r="T1969" t="str">
        <v>#N/A</v>
      </c>
    </row>
    <row r="1970" spans="1:20" ht="13.7" customHeight="1" x14ac:dyDescent="0.25">
      <c r="A1970" t="s">
        <v>26</v>
      </c>
      <c r="B1970" t="s">
        <v>27</v>
      </c>
      <c r="C1970" t="s">
        <v>91</v>
      </c>
      <c r="D1970">
        <v>79</v>
      </c>
      <c r="E1970" s="5">
        <v>43533</v>
      </c>
      <c r="F1970">
        <v>23803002</v>
      </c>
      <c r="G1970" t="s">
        <v>691</v>
      </c>
      <c r="H1970" t="s">
        <v>1189</v>
      </c>
      <c r="I1970" t="s">
        <v>1190</v>
      </c>
      <c r="J1970">
        <v>1009</v>
      </c>
      <c r="K1970">
        <v>1005</v>
      </c>
      <c r="L1970" s="3">
        <v>-208102</v>
      </c>
      <c r="M1970" s="3">
        <v>0</v>
      </c>
      <c r="N1970">
        <v>19706</v>
      </c>
      <c r="O1970">
        <v>0</v>
      </c>
      <c r="P1970">
        <v>-227808</v>
      </c>
      <c r="Q1970" t="s">
        <v>30</v>
      </c>
      <c r="R1970" t="s">
        <v>236</v>
      </c>
      <c r="S1970" t="str">
        <v>#N/A</v>
      </c>
      <c r="T1970" t="str">
        <v>#N/A</v>
      </c>
    </row>
    <row r="1971" spans="1:20" ht="13.7" customHeight="1" x14ac:dyDescent="0.25">
      <c r="A1971" t="s">
        <v>26</v>
      </c>
      <c r="B1971" t="s">
        <v>27</v>
      </c>
      <c r="C1971" t="s">
        <v>91</v>
      </c>
      <c r="D1971">
        <v>80</v>
      </c>
      <c r="E1971" s="5">
        <v>43547</v>
      </c>
      <c r="F1971">
        <v>23803002</v>
      </c>
      <c r="G1971" t="s">
        <v>691</v>
      </c>
      <c r="H1971" t="s">
        <v>1189</v>
      </c>
      <c r="I1971" t="s">
        <v>1190</v>
      </c>
      <c r="J1971">
        <v>1009</v>
      </c>
      <c r="K1971">
        <v>1005</v>
      </c>
      <c r="L1971" s="3">
        <v>-227808</v>
      </c>
      <c r="M1971" s="3">
        <v>0</v>
      </c>
      <c r="N1971">
        <v>19706</v>
      </c>
      <c r="O1971">
        <v>0</v>
      </c>
      <c r="P1971">
        <v>-247514</v>
      </c>
      <c r="Q1971" t="s">
        <v>30</v>
      </c>
      <c r="R1971" t="s">
        <v>244</v>
      </c>
      <c r="S1971" t="str">
        <v>#N/A</v>
      </c>
      <c r="T1971" t="str">
        <v>#N/A</v>
      </c>
    </row>
    <row r="1972" spans="1:20" ht="13.7" customHeight="1" x14ac:dyDescent="0.25">
      <c r="A1972" t="s">
        <v>26</v>
      </c>
      <c r="B1972" t="s">
        <v>27</v>
      </c>
      <c r="C1972" t="s">
        <v>34</v>
      </c>
      <c r="D1972">
        <v>71</v>
      </c>
      <c r="E1972" s="5">
        <v>43561</v>
      </c>
      <c r="F1972">
        <v>23803002</v>
      </c>
      <c r="G1972" t="s">
        <v>691</v>
      </c>
      <c r="H1972" t="s">
        <v>1189</v>
      </c>
      <c r="I1972" t="s">
        <v>1190</v>
      </c>
      <c r="J1972">
        <v>1009</v>
      </c>
      <c r="K1972">
        <v>1005</v>
      </c>
      <c r="L1972" s="3">
        <v>-247514</v>
      </c>
      <c r="M1972" s="3">
        <v>0</v>
      </c>
      <c r="N1972">
        <v>19707</v>
      </c>
      <c r="O1972">
        <v>0</v>
      </c>
      <c r="P1972">
        <v>-267221</v>
      </c>
      <c r="Q1972" t="s">
        <v>30</v>
      </c>
      <c r="R1972" t="s">
        <v>244</v>
      </c>
      <c r="S1972" t="str">
        <v>#N/A</v>
      </c>
      <c r="T1972" t="str">
        <v>#N/A</v>
      </c>
    </row>
    <row r="1973" spans="1:20" ht="13.7" customHeight="1" x14ac:dyDescent="0.25">
      <c r="A1973" t="s">
        <v>26</v>
      </c>
      <c r="B1973" t="s">
        <v>27</v>
      </c>
      <c r="C1973" t="s">
        <v>34</v>
      </c>
      <c r="D1973">
        <v>72</v>
      </c>
      <c r="E1973" s="5">
        <v>43575</v>
      </c>
      <c r="F1973">
        <v>23803002</v>
      </c>
      <c r="G1973" t="s">
        <v>691</v>
      </c>
      <c r="H1973" t="s">
        <v>1189</v>
      </c>
      <c r="I1973" t="s">
        <v>1190</v>
      </c>
      <c r="J1973">
        <v>1009</v>
      </c>
      <c r="K1973">
        <v>1005</v>
      </c>
      <c r="L1973" s="3">
        <v>-267221</v>
      </c>
      <c r="M1973" s="3">
        <v>0</v>
      </c>
      <c r="N1973">
        <v>19706</v>
      </c>
      <c r="O1973">
        <v>0</v>
      </c>
      <c r="P1973">
        <v>-286927</v>
      </c>
      <c r="Q1973" t="s">
        <v>30</v>
      </c>
      <c r="R1973" t="s">
        <v>254</v>
      </c>
      <c r="S1973" t="str">
        <v>#N/A</v>
      </c>
      <c r="T1973" t="str">
        <v>#N/A</v>
      </c>
    </row>
    <row r="1974" spans="1:20" ht="13.7" customHeight="1" x14ac:dyDescent="0.25">
      <c r="A1974" t="s">
        <v>26</v>
      </c>
      <c r="B1974" t="s">
        <v>27</v>
      </c>
      <c r="C1974" t="s">
        <v>35</v>
      </c>
      <c r="D1974">
        <v>97</v>
      </c>
      <c r="E1974" s="5">
        <v>43589</v>
      </c>
      <c r="F1974">
        <v>23803002</v>
      </c>
      <c r="G1974" t="s">
        <v>691</v>
      </c>
      <c r="H1974" t="s">
        <v>1189</v>
      </c>
      <c r="I1974" t="s">
        <v>1190</v>
      </c>
      <c r="J1974">
        <v>1009</v>
      </c>
      <c r="K1974">
        <v>1005</v>
      </c>
      <c r="L1974" s="3">
        <v>-286927</v>
      </c>
      <c r="M1974" s="3">
        <v>0</v>
      </c>
      <c r="N1974">
        <v>19706</v>
      </c>
      <c r="O1974">
        <v>0</v>
      </c>
      <c r="P1974">
        <v>-306633</v>
      </c>
      <c r="Q1974" t="s">
        <v>30</v>
      </c>
      <c r="R1974" t="s">
        <v>256</v>
      </c>
      <c r="S1974" t="str">
        <v>#N/A</v>
      </c>
      <c r="T1974" t="str">
        <v>#N/A</v>
      </c>
    </row>
    <row r="1975" spans="1:20" ht="13.7" customHeight="1" x14ac:dyDescent="0.25">
      <c r="A1975" t="s">
        <v>26</v>
      </c>
      <c r="B1975" t="s">
        <v>27</v>
      </c>
      <c r="C1975" t="s">
        <v>35</v>
      </c>
      <c r="D1975">
        <v>98</v>
      </c>
      <c r="E1975" s="5">
        <v>43603</v>
      </c>
      <c r="F1975">
        <v>23803002</v>
      </c>
      <c r="G1975" t="s">
        <v>691</v>
      </c>
      <c r="H1975" t="s">
        <v>1189</v>
      </c>
      <c r="I1975" t="s">
        <v>1190</v>
      </c>
      <c r="J1975">
        <v>1009</v>
      </c>
      <c r="K1975">
        <v>1005</v>
      </c>
      <c r="L1975" s="3">
        <v>-306633</v>
      </c>
      <c r="M1975" s="3">
        <v>0</v>
      </c>
      <c r="N1975">
        <v>19707</v>
      </c>
      <c r="O1975">
        <v>0</v>
      </c>
      <c r="P1975">
        <v>-326340</v>
      </c>
      <c r="Q1975" t="s">
        <v>30</v>
      </c>
      <c r="R1975" t="s">
        <v>261</v>
      </c>
      <c r="S1975" t="str">
        <v>#N/A</v>
      </c>
      <c r="T1975" t="str">
        <v>#N/A</v>
      </c>
    </row>
    <row r="1976" spans="1:20" ht="13.7" customHeight="1" x14ac:dyDescent="0.25">
      <c r="A1976" t="s">
        <v>26</v>
      </c>
      <c r="B1976" t="s">
        <v>27</v>
      </c>
      <c r="C1976" t="s">
        <v>36</v>
      </c>
      <c r="D1976">
        <v>70</v>
      </c>
      <c r="E1976" s="5">
        <v>43617</v>
      </c>
      <c r="F1976">
        <v>23803002</v>
      </c>
      <c r="G1976" t="s">
        <v>691</v>
      </c>
      <c r="H1976" t="s">
        <v>1189</v>
      </c>
      <c r="I1976" t="s">
        <v>1190</v>
      </c>
      <c r="J1976">
        <v>1009</v>
      </c>
      <c r="K1976">
        <v>1005</v>
      </c>
      <c r="L1976" s="3">
        <v>-326340</v>
      </c>
      <c r="M1976" s="3">
        <v>0</v>
      </c>
      <c r="N1976">
        <v>19706</v>
      </c>
      <c r="O1976">
        <v>0</v>
      </c>
      <c r="P1976">
        <v>-346046</v>
      </c>
      <c r="Q1976" t="s">
        <v>30</v>
      </c>
      <c r="R1976" t="s">
        <v>264</v>
      </c>
      <c r="S1976" t="str">
        <v>#N/A</v>
      </c>
      <c r="T1976" t="str">
        <v>#N/A</v>
      </c>
    </row>
    <row r="1977" spans="1:20" ht="13.7" customHeight="1" x14ac:dyDescent="0.25">
      <c r="A1977" t="s">
        <v>26</v>
      </c>
      <c r="B1977" t="s">
        <v>27</v>
      </c>
      <c r="C1977" t="s">
        <v>36</v>
      </c>
      <c r="D1977">
        <v>71</v>
      </c>
      <c r="E1977" s="5">
        <v>43631</v>
      </c>
      <c r="F1977">
        <v>23803002</v>
      </c>
      <c r="G1977" t="s">
        <v>691</v>
      </c>
      <c r="H1977" t="s">
        <v>1189</v>
      </c>
      <c r="I1977" t="s">
        <v>1190</v>
      </c>
      <c r="J1977">
        <v>1009</v>
      </c>
      <c r="K1977">
        <v>1005</v>
      </c>
      <c r="L1977" s="3">
        <v>-346046</v>
      </c>
      <c r="M1977" s="3">
        <v>0</v>
      </c>
      <c r="N1977">
        <v>19706</v>
      </c>
      <c r="O1977">
        <v>0</v>
      </c>
      <c r="P1977">
        <v>-365752</v>
      </c>
      <c r="Q1977" t="s">
        <v>30</v>
      </c>
      <c r="R1977" t="s">
        <v>270</v>
      </c>
      <c r="S1977" t="str">
        <v>#N/A</v>
      </c>
      <c r="T1977" t="str">
        <v>#N/A</v>
      </c>
    </row>
    <row r="1978" spans="1:20" ht="13.7" customHeight="1" x14ac:dyDescent="0.25">
      <c r="A1978" t="s">
        <v>26</v>
      </c>
      <c r="B1978" t="s">
        <v>27</v>
      </c>
      <c r="C1978" t="s">
        <v>36</v>
      </c>
      <c r="D1978">
        <v>73</v>
      </c>
      <c r="E1978" s="5">
        <v>43642</v>
      </c>
      <c r="F1978">
        <v>23803002</v>
      </c>
      <c r="G1978" t="s">
        <v>691</v>
      </c>
      <c r="H1978" t="s">
        <v>1189</v>
      </c>
      <c r="I1978" t="s">
        <v>1190</v>
      </c>
      <c r="J1978">
        <v>1009</v>
      </c>
      <c r="K1978">
        <v>1005</v>
      </c>
      <c r="L1978" s="3">
        <v>-365752</v>
      </c>
      <c r="M1978" s="3">
        <v>0</v>
      </c>
      <c r="N1978">
        <v>19706</v>
      </c>
      <c r="O1978">
        <v>0</v>
      </c>
      <c r="P1978">
        <v>-385458</v>
      </c>
      <c r="Q1978" t="s">
        <v>30</v>
      </c>
      <c r="R1978" t="s">
        <v>274</v>
      </c>
      <c r="S1978" t="str">
        <v>#N/A</v>
      </c>
      <c r="T1978" t="str">
        <v>#N/A</v>
      </c>
    </row>
    <row r="1979" spans="1:20" ht="13.7" customHeight="1" x14ac:dyDescent="0.25">
      <c r="A1979" t="s">
        <v>26</v>
      </c>
      <c r="B1979" t="s">
        <v>27</v>
      </c>
      <c r="C1979" t="s">
        <v>37</v>
      </c>
      <c r="D1979">
        <v>66</v>
      </c>
      <c r="E1979" s="5">
        <v>43659</v>
      </c>
      <c r="F1979">
        <v>23803002</v>
      </c>
      <c r="G1979" t="s">
        <v>691</v>
      </c>
      <c r="H1979" t="s">
        <v>1189</v>
      </c>
      <c r="I1979" t="s">
        <v>1190</v>
      </c>
      <c r="J1979">
        <v>1009</v>
      </c>
      <c r="K1979">
        <v>1005</v>
      </c>
      <c r="L1979" s="3">
        <v>-385458</v>
      </c>
      <c r="M1979" s="3">
        <v>0</v>
      </c>
      <c r="N1979">
        <v>19706</v>
      </c>
      <c r="O1979">
        <v>0</v>
      </c>
      <c r="P1979">
        <v>-405164</v>
      </c>
      <c r="Q1979" t="s">
        <v>30</v>
      </c>
      <c r="R1979" t="s">
        <v>279</v>
      </c>
      <c r="S1979" t="str">
        <v>#N/A</v>
      </c>
      <c r="T1979" t="str">
        <v>#N/A</v>
      </c>
    </row>
    <row r="1980" spans="1:20" ht="13.7" customHeight="1" x14ac:dyDescent="0.25">
      <c r="A1980" t="s">
        <v>26</v>
      </c>
      <c r="B1980" t="s">
        <v>27</v>
      </c>
      <c r="C1980" t="s">
        <v>37</v>
      </c>
      <c r="D1980">
        <v>67</v>
      </c>
      <c r="E1980" s="5">
        <v>43673</v>
      </c>
      <c r="F1980">
        <v>23803002</v>
      </c>
      <c r="G1980" t="s">
        <v>691</v>
      </c>
      <c r="H1980" t="s">
        <v>1189</v>
      </c>
      <c r="I1980" t="s">
        <v>1190</v>
      </c>
      <c r="J1980">
        <v>1009</v>
      </c>
      <c r="K1980">
        <v>1005</v>
      </c>
      <c r="L1980" s="3">
        <v>-405164</v>
      </c>
      <c r="M1980" s="3">
        <v>0</v>
      </c>
      <c r="N1980">
        <v>19706</v>
      </c>
      <c r="O1980">
        <v>0</v>
      </c>
      <c r="P1980">
        <v>-424870</v>
      </c>
      <c r="Q1980" t="s">
        <v>30</v>
      </c>
      <c r="R1980" t="s">
        <v>282</v>
      </c>
      <c r="S1980" t="str">
        <v>#N/A</v>
      </c>
      <c r="T1980" t="str">
        <v>#N/A</v>
      </c>
    </row>
    <row r="1981" spans="1:20" ht="13.7" customHeight="1" x14ac:dyDescent="0.25">
      <c r="A1981" t="s">
        <v>26</v>
      </c>
      <c r="B1981" t="s">
        <v>27</v>
      </c>
      <c r="C1981" t="s">
        <v>38</v>
      </c>
      <c r="D1981">
        <v>56</v>
      </c>
      <c r="E1981" s="5">
        <v>43687</v>
      </c>
      <c r="F1981">
        <v>23803002</v>
      </c>
      <c r="G1981" t="s">
        <v>691</v>
      </c>
      <c r="H1981" t="s">
        <v>1189</v>
      </c>
      <c r="I1981" t="s">
        <v>1190</v>
      </c>
      <c r="J1981">
        <v>1009</v>
      </c>
      <c r="K1981">
        <v>1005</v>
      </c>
      <c r="L1981" s="3">
        <v>-424870</v>
      </c>
      <c r="M1981" s="3">
        <v>0</v>
      </c>
      <c r="N1981">
        <v>19706</v>
      </c>
      <c r="O1981">
        <v>0</v>
      </c>
      <c r="P1981">
        <v>-444576</v>
      </c>
      <c r="Q1981" t="s">
        <v>30</v>
      </c>
      <c r="R1981" t="s">
        <v>284</v>
      </c>
      <c r="S1981" t="str">
        <v>#N/A</v>
      </c>
      <c r="T1981" t="str">
        <v>#N/A</v>
      </c>
    </row>
    <row r="1982" spans="1:20" ht="13.7" customHeight="1" x14ac:dyDescent="0.25">
      <c r="A1982" t="s">
        <v>26</v>
      </c>
      <c r="B1982" t="s">
        <v>27</v>
      </c>
      <c r="C1982" t="s">
        <v>38</v>
      </c>
      <c r="D1982">
        <v>57</v>
      </c>
      <c r="E1982" s="5">
        <v>43701</v>
      </c>
      <c r="F1982">
        <v>23803002</v>
      </c>
      <c r="G1982" t="s">
        <v>691</v>
      </c>
      <c r="H1982" t="s">
        <v>1189</v>
      </c>
      <c r="I1982" t="s">
        <v>1190</v>
      </c>
      <c r="J1982">
        <v>1009</v>
      </c>
      <c r="K1982">
        <v>1005</v>
      </c>
      <c r="L1982" s="3">
        <v>-444576</v>
      </c>
      <c r="M1982" s="3">
        <v>0</v>
      </c>
      <c r="N1982">
        <v>19706</v>
      </c>
      <c r="O1982">
        <v>0</v>
      </c>
      <c r="P1982">
        <v>-464282</v>
      </c>
      <c r="Q1982" t="s">
        <v>30</v>
      </c>
      <c r="R1982" t="s">
        <v>287</v>
      </c>
      <c r="S1982" t="str">
        <v>#N/A</v>
      </c>
      <c r="T1982" t="str">
        <v>#N/A</v>
      </c>
    </row>
    <row r="1983" spans="1:20" ht="13.7" customHeight="1" x14ac:dyDescent="0.25">
      <c r="A1983" t="s">
        <v>26</v>
      </c>
      <c r="B1983" t="s">
        <v>27</v>
      </c>
      <c r="C1983" t="s">
        <v>39</v>
      </c>
      <c r="D1983">
        <v>68</v>
      </c>
      <c r="E1983" s="5">
        <v>43715</v>
      </c>
      <c r="F1983">
        <v>23803002</v>
      </c>
      <c r="G1983" t="s">
        <v>691</v>
      </c>
      <c r="H1983" t="s">
        <v>1189</v>
      </c>
      <c r="I1983" t="s">
        <v>1190</v>
      </c>
      <c r="J1983">
        <v>1009</v>
      </c>
      <c r="K1983">
        <v>1005</v>
      </c>
      <c r="L1983" s="3">
        <v>-464282</v>
      </c>
      <c r="M1983" s="3">
        <v>0</v>
      </c>
      <c r="N1983">
        <v>19706</v>
      </c>
      <c r="O1983">
        <v>0</v>
      </c>
      <c r="P1983">
        <v>-483988</v>
      </c>
      <c r="Q1983" t="s">
        <v>30</v>
      </c>
      <c r="R1983" t="s">
        <v>288</v>
      </c>
      <c r="S1983" t="str">
        <v>#N/A</v>
      </c>
      <c r="T1983" t="str">
        <v>#N/A</v>
      </c>
    </row>
    <row r="1984" spans="1:20" ht="13.7" customHeight="1" x14ac:dyDescent="0.25">
      <c r="A1984" t="s">
        <v>26</v>
      </c>
      <c r="B1984" t="s">
        <v>27</v>
      </c>
      <c r="C1984" t="s">
        <v>39</v>
      </c>
      <c r="D1984">
        <v>69</v>
      </c>
      <c r="E1984" s="5">
        <v>43729</v>
      </c>
      <c r="F1984">
        <v>23803002</v>
      </c>
      <c r="G1984" t="s">
        <v>691</v>
      </c>
      <c r="H1984" t="s">
        <v>1189</v>
      </c>
      <c r="I1984" t="s">
        <v>1190</v>
      </c>
      <c r="J1984">
        <v>1009</v>
      </c>
      <c r="K1984">
        <v>1005</v>
      </c>
      <c r="L1984" s="3">
        <v>-483988</v>
      </c>
      <c r="M1984" s="3">
        <v>0</v>
      </c>
      <c r="N1984">
        <v>19706</v>
      </c>
      <c r="O1984">
        <v>0</v>
      </c>
      <c r="P1984">
        <v>-503694</v>
      </c>
      <c r="Q1984" t="s">
        <v>30</v>
      </c>
      <c r="R1984" t="s">
        <v>291</v>
      </c>
      <c r="S1984" t="str">
        <v>#N/A</v>
      </c>
      <c r="T1984" t="str">
        <v>#N/A</v>
      </c>
    </row>
    <row r="1985" spans="1:20" ht="13.7" customHeight="1" x14ac:dyDescent="0.25">
      <c r="A1985" t="s">
        <v>26</v>
      </c>
      <c r="B1985" t="s">
        <v>27</v>
      </c>
      <c r="C1985" t="s">
        <v>40</v>
      </c>
      <c r="D1985">
        <v>61</v>
      </c>
      <c r="E1985" s="5">
        <v>43743</v>
      </c>
      <c r="F1985">
        <v>23803002</v>
      </c>
      <c r="G1985" t="s">
        <v>691</v>
      </c>
      <c r="H1985" t="s">
        <v>1189</v>
      </c>
      <c r="I1985" t="s">
        <v>1190</v>
      </c>
      <c r="J1985">
        <v>1009</v>
      </c>
      <c r="K1985">
        <v>1005</v>
      </c>
      <c r="L1985" s="3">
        <v>-503694</v>
      </c>
      <c r="M1985" s="3">
        <v>0</v>
      </c>
      <c r="N1985">
        <v>19706</v>
      </c>
      <c r="O1985">
        <v>0</v>
      </c>
      <c r="P1985">
        <v>-523400</v>
      </c>
      <c r="Q1985" t="s">
        <v>30</v>
      </c>
      <c r="R1985" t="s">
        <v>293</v>
      </c>
      <c r="S1985" t="str">
        <v>#N/A</v>
      </c>
      <c r="T1985" t="str">
        <v>#N/A</v>
      </c>
    </row>
    <row r="1986" spans="1:20" ht="13.7" customHeight="1" x14ac:dyDescent="0.25">
      <c r="A1986" t="s">
        <v>26</v>
      </c>
      <c r="B1986" t="s">
        <v>27</v>
      </c>
      <c r="C1986" t="s">
        <v>40</v>
      </c>
      <c r="D1986">
        <v>62</v>
      </c>
      <c r="E1986" s="5">
        <v>43757</v>
      </c>
      <c r="F1986">
        <v>23803002</v>
      </c>
      <c r="G1986" t="s">
        <v>691</v>
      </c>
      <c r="H1986" t="s">
        <v>1189</v>
      </c>
      <c r="I1986" t="s">
        <v>1190</v>
      </c>
      <c r="J1986">
        <v>1009</v>
      </c>
      <c r="K1986">
        <v>1005</v>
      </c>
      <c r="L1986" s="3">
        <v>-523400</v>
      </c>
      <c r="M1986" s="3">
        <v>0</v>
      </c>
      <c r="N1986">
        <v>19706</v>
      </c>
      <c r="O1986">
        <v>0</v>
      </c>
      <c r="P1986">
        <v>-543106</v>
      </c>
      <c r="Q1986" t="s">
        <v>30</v>
      </c>
      <c r="R1986" t="s">
        <v>299</v>
      </c>
      <c r="S1986" t="str">
        <v>#N/A</v>
      </c>
      <c r="T1986" t="str">
        <v>#N/A</v>
      </c>
    </row>
    <row r="1987" spans="1:20" ht="13.7" customHeight="1" x14ac:dyDescent="0.25">
      <c r="A1987" t="s">
        <v>26</v>
      </c>
      <c r="B1987" t="s">
        <v>27</v>
      </c>
      <c r="C1987" t="s">
        <v>40</v>
      </c>
      <c r="D1987">
        <v>62</v>
      </c>
      <c r="E1987" s="5">
        <v>43757</v>
      </c>
      <c r="F1987">
        <v>23803002</v>
      </c>
      <c r="G1987" t="s">
        <v>691</v>
      </c>
      <c r="H1987" t="s">
        <v>1189</v>
      </c>
      <c r="I1987" t="s">
        <v>1190</v>
      </c>
      <c r="J1987">
        <v>1009</v>
      </c>
      <c r="K1987">
        <v>1005</v>
      </c>
      <c r="L1987" s="3">
        <v>-543106</v>
      </c>
      <c r="M1987" s="3">
        <v>0</v>
      </c>
      <c r="N1987">
        <v>15458</v>
      </c>
      <c r="O1987">
        <v>0</v>
      </c>
      <c r="P1987">
        <v>-558564</v>
      </c>
      <c r="Q1987" t="s">
        <v>30</v>
      </c>
      <c r="R1987" t="s">
        <v>299</v>
      </c>
      <c r="S1987" t="str">
        <v>#N/A</v>
      </c>
      <c r="T1987" t="str">
        <v>#N/A</v>
      </c>
    </row>
    <row r="1988" spans="1:20" ht="13.7" customHeight="1" x14ac:dyDescent="0.25">
      <c r="A1988" t="s">
        <v>26</v>
      </c>
      <c r="B1988" t="s">
        <v>27</v>
      </c>
      <c r="C1988" t="s">
        <v>41</v>
      </c>
      <c r="D1988">
        <v>76</v>
      </c>
      <c r="E1988" s="5">
        <v>43771</v>
      </c>
      <c r="F1988">
        <v>23803002</v>
      </c>
      <c r="G1988" t="s">
        <v>691</v>
      </c>
      <c r="H1988" t="s">
        <v>1189</v>
      </c>
      <c r="I1988" t="s">
        <v>1190</v>
      </c>
      <c r="J1988">
        <v>1009</v>
      </c>
      <c r="K1988">
        <v>1005</v>
      </c>
      <c r="L1988" s="3">
        <v>-558564</v>
      </c>
      <c r="M1988" s="3">
        <v>0</v>
      </c>
      <c r="N1988">
        <v>19706</v>
      </c>
      <c r="O1988">
        <v>0</v>
      </c>
      <c r="P1988">
        <v>-578270</v>
      </c>
      <c r="Q1988" t="s">
        <v>30</v>
      </c>
      <c r="R1988" t="s">
        <v>301</v>
      </c>
      <c r="S1988" t="str">
        <v>#N/A</v>
      </c>
      <c r="T1988" t="str">
        <v>#N/A</v>
      </c>
    </row>
    <row r="1989" spans="1:20" ht="13.7" customHeight="1" x14ac:dyDescent="0.25">
      <c r="A1989" t="s">
        <v>26</v>
      </c>
      <c r="B1989" t="s">
        <v>27</v>
      </c>
      <c r="C1989" t="s">
        <v>41</v>
      </c>
      <c r="D1989">
        <v>77</v>
      </c>
      <c r="E1989" s="5">
        <v>43785</v>
      </c>
      <c r="F1989">
        <v>23803002</v>
      </c>
      <c r="G1989" t="s">
        <v>691</v>
      </c>
      <c r="H1989" t="s">
        <v>1189</v>
      </c>
      <c r="I1989" t="s">
        <v>1190</v>
      </c>
      <c r="J1989">
        <v>1009</v>
      </c>
      <c r="K1989">
        <v>1005</v>
      </c>
      <c r="L1989" s="3">
        <v>-578270</v>
      </c>
      <c r="M1989" s="3">
        <v>0</v>
      </c>
      <c r="N1989">
        <v>19706</v>
      </c>
      <c r="O1989">
        <v>0</v>
      </c>
      <c r="P1989">
        <v>-597976</v>
      </c>
      <c r="Q1989" t="s">
        <v>30</v>
      </c>
      <c r="R1989" t="s">
        <v>305</v>
      </c>
      <c r="S1989" t="str">
        <v>#N/A</v>
      </c>
      <c r="T1989" t="str">
        <v>#N/A</v>
      </c>
    </row>
    <row r="1990" spans="1:20" ht="13.7" customHeight="1" x14ac:dyDescent="0.25">
      <c r="A1990" t="s">
        <v>26</v>
      </c>
      <c r="B1990" t="s">
        <v>27</v>
      </c>
      <c r="C1990" t="s">
        <v>41</v>
      </c>
      <c r="D1990">
        <v>78</v>
      </c>
      <c r="E1990" s="5">
        <v>43799</v>
      </c>
      <c r="F1990">
        <v>23803002</v>
      </c>
      <c r="G1990" t="s">
        <v>691</v>
      </c>
      <c r="H1990" t="s">
        <v>1189</v>
      </c>
      <c r="I1990" t="s">
        <v>1190</v>
      </c>
      <c r="J1990">
        <v>1009</v>
      </c>
      <c r="K1990">
        <v>1005</v>
      </c>
      <c r="L1990" s="3">
        <v>-597976</v>
      </c>
      <c r="M1990" s="3">
        <v>0</v>
      </c>
      <c r="N1990">
        <v>19706</v>
      </c>
      <c r="O1990">
        <v>0</v>
      </c>
      <c r="P1990">
        <v>-617682</v>
      </c>
      <c r="Q1990" t="s">
        <v>30</v>
      </c>
      <c r="R1990" t="s">
        <v>309</v>
      </c>
      <c r="S1990" t="str">
        <v>#N/A</v>
      </c>
      <c r="T1990" t="str">
        <v>#N/A</v>
      </c>
    </row>
    <row r="1991" spans="1:20" ht="13.7" customHeight="1" x14ac:dyDescent="0.25">
      <c r="A1991" t="s">
        <v>26</v>
      </c>
      <c r="B1991" t="s">
        <v>27</v>
      </c>
      <c r="C1991" t="s">
        <v>180</v>
      </c>
      <c r="D1991">
        <v>1</v>
      </c>
      <c r="E1991" s="5">
        <v>43813</v>
      </c>
      <c r="F1991">
        <v>23803002</v>
      </c>
      <c r="G1991" t="s">
        <v>691</v>
      </c>
      <c r="H1991" t="s">
        <v>1189</v>
      </c>
      <c r="I1991" t="s">
        <v>1190</v>
      </c>
      <c r="J1991">
        <v>1009</v>
      </c>
      <c r="K1991">
        <v>1005</v>
      </c>
      <c r="L1991" s="3">
        <v>-617682</v>
      </c>
      <c r="M1991" s="3">
        <v>0</v>
      </c>
      <c r="N1991">
        <v>19706</v>
      </c>
      <c r="O1991">
        <v>0</v>
      </c>
      <c r="P1991">
        <v>-637388</v>
      </c>
      <c r="Q1991" t="s">
        <v>30</v>
      </c>
      <c r="R1991" t="s">
        <v>316</v>
      </c>
      <c r="S1991" t="str">
        <v>#N/A</v>
      </c>
      <c r="T1991" t="str">
        <v>#N/A</v>
      </c>
    </row>
    <row r="1992" spans="1:20" ht="13.7" customHeight="1" x14ac:dyDescent="0.25">
      <c r="A1992" t="s">
        <v>26</v>
      </c>
      <c r="B1992" t="s">
        <v>27</v>
      </c>
      <c r="C1992" t="s">
        <v>180</v>
      </c>
      <c r="D1992">
        <v>90</v>
      </c>
      <c r="E1992" s="5">
        <v>43819</v>
      </c>
      <c r="F1992">
        <v>23803002</v>
      </c>
      <c r="G1992" t="s">
        <v>691</v>
      </c>
      <c r="H1992" t="s">
        <v>1189</v>
      </c>
      <c r="I1992" t="s">
        <v>1190</v>
      </c>
      <c r="J1992" t="e">
        <v>#N/A</v>
      </c>
      <c r="K1992" t="e">
        <v>#N/A</v>
      </c>
      <c r="L1992" s="3">
        <v>-637388</v>
      </c>
      <c r="M1992" s="3">
        <v>0</v>
      </c>
      <c r="N1992">
        <v>8446</v>
      </c>
      <c r="O1992">
        <v>0</v>
      </c>
      <c r="P1992">
        <v>-645834</v>
      </c>
      <c r="Q1992" t="s">
        <v>30</v>
      </c>
      <c r="R1992" t="s">
        <v>1503</v>
      </c>
      <c r="S1992" t="str">
        <v>#N/A</v>
      </c>
      <c r="T1992" t="str">
        <v>#N/A</v>
      </c>
    </row>
    <row r="1993" spans="1:20" ht="13.7" customHeight="1" x14ac:dyDescent="0.25">
      <c r="E1993" s="5">
        <v>43465</v>
      </c>
      <c r="F1993">
        <v>23803002</v>
      </c>
      <c r="G1993" t="s">
        <v>691</v>
      </c>
      <c r="H1993" t="s">
        <v>1535</v>
      </c>
      <c r="I1993" t="s">
        <v>1536</v>
      </c>
      <c r="J1993">
        <v>0</v>
      </c>
      <c r="K1993">
        <v>0</v>
      </c>
      <c r="L1993" s="3">
        <v>-93059</v>
      </c>
      <c r="M1993" s="3">
        <v>0</v>
      </c>
      <c r="N1993">
        <v>0</v>
      </c>
      <c r="O1993">
        <v>0</v>
      </c>
      <c r="P1993">
        <v>-93059</v>
      </c>
      <c r="R1993" t="s">
        <v>1100</v>
      </c>
      <c r="S1993" t="str">
        <v>#N/A</v>
      </c>
      <c r="T1993" t="str">
        <v>#N/A</v>
      </c>
    </row>
    <row r="1994" spans="1:20" ht="13.7" customHeight="1" x14ac:dyDescent="0.25">
      <c r="A1994" t="s">
        <v>26</v>
      </c>
      <c r="B1994" t="s">
        <v>27</v>
      </c>
      <c r="C1994" t="s">
        <v>28</v>
      </c>
      <c r="D1994">
        <v>77</v>
      </c>
      <c r="E1994" s="5">
        <v>43491</v>
      </c>
      <c r="F1994">
        <v>23803002</v>
      </c>
      <c r="G1994" t="s">
        <v>691</v>
      </c>
      <c r="H1994" t="s">
        <v>1535</v>
      </c>
      <c r="I1994" t="s">
        <v>1536</v>
      </c>
      <c r="J1994">
        <v>1009</v>
      </c>
      <c r="K1994">
        <v>1005</v>
      </c>
      <c r="L1994" s="3">
        <v>-93059</v>
      </c>
      <c r="M1994" s="3">
        <v>0</v>
      </c>
      <c r="N1994">
        <v>14959</v>
      </c>
      <c r="O1994">
        <v>0</v>
      </c>
      <c r="P1994">
        <v>-108018</v>
      </c>
      <c r="Q1994" t="s">
        <v>30</v>
      </c>
      <c r="R1994" t="s">
        <v>202</v>
      </c>
      <c r="S1994" t="str">
        <v>#N/A</v>
      </c>
      <c r="T1994" t="str">
        <v>#N/A</v>
      </c>
    </row>
    <row r="1995" spans="1:20" ht="13.7" customHeight="1" x14ac:dyDescent="0.25">
      <c r="A1995" t="s">
        <v>26</v>
      </c>
      <c r="B1995" t="s">
        <v>27</v>
      </c>
      <c r="C1995" t="s">
        <v>32</v>
      </c>
      <c r="D1995">
        <v>60</v>
      </c>
      <c r="E1995" s="5">
        <v>43505</v>
      </c>
      <c r="F1995">
        <v>23803002</v>
      </c>
      <c r="G1995" t="s">
        <v>691</v>
      </c>
      <c r="H1995" t="s">
        <v>1535</v>
      </c>
      <c r="I1995" t="s">
        <v>1536</v>
      </c>
      <c r="J1995">
        <v>1009</v>
      </c>
      <c r="K1995">
        <v>1005</v>
      </c>
      <c r="L1995" s="3">
        <v>-108018</v>
      </c>
      <c r="M1995" s="3">
        <v>0</v>
      </c>
      <c r="N1995">
        <v>15528</v>
      </c>
      <c r="O1995">
        <v>0</v>
      </c>
      <c r="P1995">
        <v>-123546</v>
      </c>
      <c r="Q1995" t="s">
        <v>30</v>
      </c>
      <c r="R1995" t="s">
        <v>215</v>
      </c>
      <c r="S1995" t="str">
        <v>#N/A</v>
      </c>
      <c r="T1995" t="str">
        <v>#N/A</v>
      </c>
    </row>
    <row r="1996" spans="1:20" ht="13.7" customHeight="1" x14ac:dyDescent="0.25">
      <c r="A1996" t="s">
        <v>26</v>
      </c>
      <c r="B1996" t="s">
        <v>27</v>
      </c>
      <c r="C1996" t="s">
        <v>32</v>
      </c>
      <c r="D1996">
        <v>61</v>
      </c>
      <c r="E1996" s="5">
        <v>43519</v>
      </c>
      <c r="F1996">
        <v>23803002</v>
      </c>
      <c r="G1996" t="s">
        <v>691</v>
      </c>
      <c r="H1996" t="s">
        <v>1535</v>
      </c>
      <c r="I1996" t="s">
        <v>1536</v>
      </c>
      <c r="J1996">
        <v>1009</v>
      </c>
      <c r="K1996">
        <v>1005</v>
      </c>
      <c r="L1996" s="3">
        <v>-123546</v>
      </c>
      <c r="M1996" s="3">
        <v>0</v>
      </c>
      <c r="N1996">
        <v>15394</v>
      </c>
      <c r="O1996">
        <v>0</v>
      </c>
      <c r="P1996">
        <v>-138940</v>
      </c>
      <c r="Q1996" t="s">
        <v>30</v>
      </c>
      <c r="R1996" t="s">
        <v>226</v>
      </c>
      <c r="S1996" t="str">
        <v>#N/A</v>
      </c>
      <c r="T1996" t="str">
        <v>#N/A</v>
      </c>
    </row>
    <row r="1997" spans="1:20" ht="13.7" customHeight="1" x14ac:dyDescent="0.25">
      <c r="A1997" t="s">
        <v>26</v>
      </c>
      <c r="B1997" t="s">
        <v>27</v>
      </c>
      <c r="C1997" t="s">
        <v>91</v>
      </c>
      <c r="D1997">
        <v>79</v>
      </c>
      <c r="E1997" s="5">
        <v>43533</v>
      </c>
      <c r="F1997">
        <v>23803002</v>
      </c>
      <c r="G1997" t="s">
        <v>691</v>
      </c>
      <c r="H1997" t="s">
        <v>1535</v>
      </c>
      <c r="I1997" t="s">
        <v>1536</v>
      </c>
      <c r="J1997">
        <v>1009</v>
      </c>
      <c r="K1997">
        <v>1005</v>
      </c>
      <c r="L1997" s="3">
        <v>-138940</v>
      </c>
      <c r="M1997" s="3">
        <v>0</v>
      </c>
      <c r="N1997">
        <v>14759</v>
      </c>
      <c r="O1997">
        <v>0</v>
      </c>
      <c r="P1997">
        <v>-153699</v>
      </c>
      <c r="Q1997" t="s">
        <v>30</v>
      </c>
      <c r="R1997" t="s">
        <v>236</v>
      </c>
      <c r="S1997" t="str">
        <v>#N/A</v>
      </c>
      <c r="T1997" t="str">
        <v>#N/A</v>
      </c>
    </row>
    <row r="1998" spans="1:20" ht="13.7" customHeight="1" x14ac:dyDescent="0.25">
      <c r="A1998" t="s">
        <v>26</v>
      </c>
      <c r="B1998" t="s">
        <v>27</v>
      </c>
      <c r="C1998" t="s">
        <v>91</v>
      </c>
      <c r="D1998">
        <v>80</v>
      </c>
      <c r="E1998" s="5">
        <v>43547</v>
      </c>
      <c r="F1998">
        <v>23803002</v>
      </c>
      <c r="G1998" t="s">
        <v>691</v>
      </c>
      <c r="H1998" t="s">
        <v>1535</v>
      </c>
      <c r="I1998" t="s">
        <v>1536</v>
      </c>
      <c r="J1998">
        <v>1009</v>
      </c>
      <c r="K1998">
        <v>1005</v>
      </c>
      <c r="L1998" s="3">
        <v>-153699</v>
      </c>
      <c r="M1998" s="3">
        <v>0</v>
      </c>
      <c r="N1998">
        <v>14484</v>
      </c>
      <c r="O1998">
        <v>0</v>
      </c>
      <c r="P1998">
        <v>-168183</v>
      </c>
      <c r="Q1998" t="s">
        <v>30</v>
      </c>
      <c r="R1998" t="s">
        <v>244</v>
      </c>
      <c r="S1998" t="str">
        <v>#N/A</v>
      </c>
      <c r="T1998" t="str">
        <v>#N/A</v>
      </c>
    </row>
    <row r="1999" spans="1:20" ht="13.7" customHeight="1" x14ac:dyDescent="0.25">
      <c r="A1999" t="s">
        <v>26</v>
      </c>
      <c r="B1999" t="s">
        <v>27</v>
      </c>
      <c r="C1999" t="s">
        <v>34</v>
      </c>
      <c r="D1999">
        <v>71</v>
      </c>
      <c r="E1999" s="5">
        <v>43561</v>
      </c>
      <c r="F1999">
        <v>23803002</v>
      </c>
      <c r="G1999" t="s">
        <v>691</v>
      </c>
      <c r="H1999" t="s">
        <v>1535</v>
      </c>
      <c r="I1999" t="s">
        <v>1536</v>
      </c>
      <c r="J1999">
        <v>1009</v>
      </c>
      <c r="K1999">
        <v>1005</v>
      </c>
      <c r="L1999" s="3">
        <v>-168183</v>
      </c>
      <c r="M1999" s="3">
        <v>0</v>
      </c>
      <c r="N1999">
        <v>29123</v>
      </c>
      <c r="O1999">
        <v>0</v>
      </c>
      <c r="P1999">
        <v>-197306</v>
      </c>
      <c r="Q1999" t="s">
        <v>30</v>
      </c>
      <c r="R1999" t="s">
        <v>244</v>
      </c>
      <c r="S1999" t="str">
        <v>#N/A</v>
      </c>
      <c r="T1999" t="str">
        <v>#N/A</v>
      </c>
    </row>
    <row r="2000" spans="1:20" ht="13.7" customHeight="1" x14ac:dyDescent="0.25">
      <c r="A2000" t="s">
        <v>26</v>
      </c>
      <c r="B2000" t="s">
        <v>27</v>
      </c>
      <c r="C2000" t="s">
        <v>34</v>
      </c>
      <c r="D2000">
        <v>72</v>
      </c>
      <c r="E2000" s="5">
        <v>43575</v>
      </c>
      <c r="F2000">
        <v>23803002</v>
      </c>
      <c r="G2000" t="s">
        <v>691</v>
      </c>
      <c r="H2000" t="s">
        <v>1535</v>
      </c>
      <c r="I2000" t="s">
        <v>1536</v>
      </c>
      <c r="J2000">
        <v>1009</v>
      </c>
      <c r="K2000">
        <v>1005</v>
      </c>
      <c r="L2000" s="3">
        <v>-197306</v>
      </c>
      <c r="M2000" s="3">
        <v>0</v>
      </c>
      <c r="N2000">
        <v>29234</v>
      </c>
      <c r="O2000">
        <v>0</v>
      </c>
      <c r="P2000">
        <v>-226540</v>
      </c>
      <c r="Q2000" t="s">
        <v>30</v>
      </c>
      <c r="R2000" t="s">
        <v>254</v>
      </c>
      <c r="S2000" t="str">
        <v>#N/A</v>
      </c>
      <c r="T2000" t="str">
        <v>#N/A</v>
      </c>
    </row>
    <row r="2001" spans="1:20" ht="13.7" customHeight="1" x14ac:dyDescent="0.25">
      <c r="A2001" t="s">
        <v>26</v>
      </c>
      <c r="B2001" t="s">
        <v>27</v>
      </c>
      <c r="C2001" t="s">
        <v>35</v>
      </c>
      <c r="D2001">
        <v>97</v>
      </c>
      <c r="E2001" s="5">
        <v>43589</v>
      </c>
      <c r="F2001">
        <v>23803002</v>
      </c>
      <c r="G2001" t="s">
        <v>691</v>
      </c>
      <c r="H2001" t="s">
        <v>1535</v>
      </c>
      <c r="I2001" t="s">
        <v>1536</v>
      </c>
      <c r="J2001">
        <v>1009</v>
      </c>
      <c r="K2001">
        <v>1005</v>
      </c>
      <c r="L2001" s="3">
        <v>-226540</v>
      </c>
      <c r="M2001" s="3">
        <v>0</v>
      </c>
      <c r="N2001">
        <v>30228</v>
      </c>
      <c r="O2001">
        <v>0</v>
      </c>
      <c r="P2001">
        <v>-256768</v>
      </c>
      <c r="Q2001" t="s">
        <v>30</v>
      </c>
      <c r="R2001" t="s">
        <v>256</v>
      </c>
      <c r="S2001" t="str">
        <v>#N/A</v>
      </c>
      <c r="T2001" t="str">
        <v>#N/A</v>
      </c>
    </row>
    <row r="2002" spans="1:20" ht="13.7" customHeight="1" x14ac:dyDescent="0.25">
      <c r="A2002" t="s">
        <v>26</v>
      </c>
      <c r="B2002" t="s">
        <v>27</v>
      </c>
      <c r="C2002" t="s">
        <v>35</v>
      </c>
      <c r="D2002">
        <v>98</v>
      </c>
      <c r="E2002" s="5">
        <v>43603</v>
      </c>
      <c r="F2002">
        <v>23803002</v>
      </c>
      <c r="G2002" t="s">
        <v>691</v>
      </c>
      <c r="H2002" t="s">
        <v>1535</v>
      </c>
      <c r="I2002" t="s">
        <v>1536</v>
      </c>
      <c r="J2002">
        <v>1009</v>
      </c>
      <c r="K2002">
        <v>1005</v>
      </c>
      <c r="L2002" s="3">
        <v>-256768</v>
      </c>
      <c r="M2002" s="3">
        <v>0</v>
      </c>
      <c r="N2002">
        <v>29989</v>
      </c>
      <c r="O2002">
        <v>0</v>
      </c>
      <c r="P2002">
        <v>-286757</v>
      </c>
      <c r="Q2002" t="s">
        <v>30</v>
      </c>
      <c r="R2002" t="s">
        <v>261</v>
      </c>
      <c r="S2002" t="str">
        <v>#N/A</v>
      </c>
      <c r="T2002" t="str">
        <v>#N/A</v>
      </c>
    </row>
    <row r="2003" spans="1:20" ht="13.7" customHeight="1" x14ac:dyDescent="0.25">
      <c r="A2003" t="s">
        <v>26</v>
      </c>
      <c r="B2003" t="s">
        <v>27</v>
      </c>
      <c r="C2003" t="s">
        <v>36</v>
      </c>
      <c r="D2003">
        <v>70</v>
      </c>
      <c r="E2003" s="5">
        <v>43617</v>
      </c>
      <c r="F2003">
        <v>23803002</v>
      </c>
      <c r="G2003" t="s">
        <v>691</v>
      </c>
      <c r="H2003" t="s">
        <v>1535</v>
      </c>
      <c r="I2003" t="s">
        <v>1536</v>
      </c>
      <c r="J2003">
        <v>1009</v>
      </c>
      <c r="K2003">
        <v>1005</v>
      </c>
      <c r="L2003" s="3">
        <v>-286757</v>
      </c>
      <c r="M2003" s="3">
        <v>0</v>
      </c>
      <c r="N2003">
        <v>44714</v>
      </c>
      <c r="O2003">
        <v>0</v>
      </c>
      <c r="P2003">
        <v>-331471</v>
      </c>
      <c r="Q2003" t="s">
        <v>30</v>
      </c>
      <c r="R2003" t="s">
        <v>264</v>
      </c>
      <c r="S2003" t="str">
        <v>#N/A</v>
      </c>
      <c r="T2003" t="str">
        <v>#N/A</v>
      </c>
    </row>
    <row r="2004" spans="1:20" ht="13.7" customHeight="1" x14ac:dyDescent="0.25">
      <c r="A2004" t="s">
        <v>26</v>
      </c>
      <c r="B2004" t="s">
        <v>27</v>
      </c>
      <c r="C2004" t="s">
        <v>36</v>
      </c>
      <c r="D2004">
        <v>71</v>
      </c>
      <c r="E2004" s="5">
        <v>43631</v>
      </c>
      <c r="F2004">
        <v>23803002</v>
      </c>
      <c r="G2004" t="s">
        <v>691</v>
      </c>
      <c r="H2004" t="s">
        <v>1535</v>
      </c>
      <c r="I2004" t="s">
        <v>1536</v>
      </c>
      <c r="J2004">
        <v>1009</v>
      </c>
      <c r="K2004">
        <v>1005</v>
      </c>
      <c r="L2004" s="3">
        <v>-331471</v>
      </c>
      <c r="M2004" s="3">
        <v>0</v>
      </c>
      <c r="N2004">
        <v>43825</v>
      </c>
      <c r="O2004">
        <v>0</v>
      </c>
      <c r="P2004">
        <v>-375296</v>
      </c>
      <c r="Q2004" t="s">
        <v>30</v>
      </c>
      <c r="R2004" t="s">
        <v>270</v>
      </c>
      <c r="S2004" t="str">
        <v>#N/A</v>
      </c>
      <c r="T2004" t="str">
        <v>#N/A</v>
      </c>
    </row>
    <row r="2005" spans="1:20" ht="13.7" customHeight="1" x14ac:dyDescent="0.25">
      <c r="A2005" t="s">
        <v>26</v>
      </c>
      <c r="B2005" t="s">
        <v>27</v>
      </c>
      <c r="C2005" t="s">
        <v>36</v>
      </c>
      <c r="D2005">
        <v>73</v>
      </c>
      <c r="E2005" s="5">
        <v>43642</v>
      </c>
      <c r="F2005">
        <v>23803002</v>
      </c>
      <c r="G2005" t="s">
        <v>691</v>
      </c>
      <c r="H2005" t="s">
        <v>1535</v>
      </c>
      <c r="I2005" t="s">
        <v>1536</v>
      </c>
      <c r="J2005">
        <v>1009</v>
      </c>
      <c r="K2005">
        <v>1005</v>
      </c>
      <c r="L2005" s="3">
        <v>-375296</v>
      </c>
      <c r="M2005" s="3">
        <v>0</v>
      </c>
      <c r="N2005">
        <v>43896</v>
      </c>
      <c r="O2005">
        <v>0</v>
      </c>
      <c r="P2005">
        <v>-419192</v>
      </c>
      <c r="Q2005" t="s">
        <v>30</v>
      </c>
      <c r="R2005" t="s">
        <v>274</v>
      </c>
      <c r="S2005" t="str">
        <v>#N/A</v>
      </c>
      <c r="T2005" t="str">
        <v>#N/A</v>
      </c>
    </row>
    <row r="2006" spans="1:20" ht="13.7" customHeight="1" x14ac:dyDescent="0.25">
      <c r="A2006" t="s">
        <v>26</v>
      </c>
      <c r="B2006" t="s">
        <v>27</v>
      </c>
      <c r="C2006" t="s">
        <v>37</v>
      </c>
      <c r="D2006">
        <v>66</v>
      </c>
      <c r="E2006" s="5">
        <v>43659</v>
      </c>
      <c r="F2006">
        <v>23803002</v>
      </c>
      <c r="G2006" t="s">
        <v>691</v>
      </c>
      <c r="H2006" t="s">
        <v>1535</v>
      </c>
      <c r="I2006" t="s">
        <v>1536</v>
      </c>
      <c r="J2006">
        <v>1009</v>
      </c>
      <c r="K2006">
        <v>1005</v>
      </c>
      <c r="L2006" s="3">
        <v>-419192</v>
      </c>
      <c r="M2006" s="3">
        <v>0</v>
      </c>
      <c r="N2006">
        <v>45529</v>
      </c>
      <c r="O2006">
        <v>0</v>
      </c>
      <c r="P2006">
        <v>-464721</v>
      </c>
      <c r="Q2006" t="s">
        <v>30</v>
      </c>
      <c r="R2006" t="s">
        <v>279</v>
      </c>
      <c r="S2006" t="str">
        <v>#N/A</v>
      </c>
      <c r="T2006" t="str">
        <v>#N/A</v>
      </c>
    </row>
    <row r="2007" spans="1:20" ht="13.7" customHeight="1" x14ac:dyDescent="0.25">
      <c r="A2007" t="s">
        <v>26</v>
      </c>
      <c r="B2007" t="s">
        <v>27</v>
      </c>
      <c r="C2007" t="s">
        <v>37</v>
      </c>
      <c r="D2007">
        <v>67</v>
      </c>
      <c r="E2007" s="5">
        <v>43673</v>
      </c>
      <c r="F2007">
        <v>23803002</v>
      </c>
      <c r="G2007" t="s">
        <v>691</v>
      </c>
      <c r="H2007" t="s">
        <v>1535</v>
      </c>
      <c r="I2007" t="s">
        <v>1536</v>
      </c>
      <c r="J2007">
        <v>1009</v>
      </c>
      <c r="K2007">
        <v>1005</v>
      </c>
      <c r="L2007" s="3">
        <v>-464721</v>
      </c>
      <c r="M2007" s="3">
        <v>0</v>
      </c>
      <c r="N2007">
        <v>40760</v>
      </c>
      <c r="O2007">
        <v>0</v>
      </c>
      <c r="P2007">
        <v>-505481</v>
      </c>
      <c r="Q2007" t="s">
        <v>30</v>
      </c>
      <c r="R2007" t="s">
        <v>282</v>
      </c>
      <c r="S2007" t="str">
        <v>#N/A</v>
      </c>
      <c r="T2007" t="str">
        <v>#N/A</v>
      </c>
    </row>
    <row r="2008" spans="1:20" ht="13.7" customHeight="1" x14ac:dyDescent="0.25">
      <c r="A2008" t="s">
        <v>26</v>
      </c>
      <c r="B2008" t="s">
        <v>27</v>
      </c>
      <c r="C2008" t="s">
        <v>38</v>
      </c>
      <c r="D2008">
        <v>56</v>
      </c>
      <c r="E2008" s="5">
        <v>43687</v>
      </c>
      <c r="F2008">
        <v>23803002</v>
      </c>
      <c r="G2008" t="s">
        <v>691</v>
      </c>
      <c r="H2008" t="s">
        <v>1535</v>
      </c>
      <c r="I2008" t="s">
        <v>1536</v>
      </c>
      <c r="J2008">
        <v>1009</v>
      </c>
      <c r="K2008">
        <v>1005</v>
      </c>
      <c r="L2008" s="3">
        <v>-505481</v>
      </c>
      <c r="M2008" s="3">
        <v>0</v>
      </c>
      <c r="N2008">
        <v>43387</v>
      </c>
      <c r="O2008">
        <v>0</v>
      </c>
      <c r="P2008">
        <v>-548868</v>
      </c>
      <c r="Q2008" t="s">
        <v>30</v>
      </c>
      <c r="R2008" t="s">
        <v>284</v>
      </c>
      <c r="S2008" t="str">
        <v>#N/A</v>
      </c>
      <c r="T2008" t="str">
        <v>#N/A</v>
      </c>
    </row>
    <row r="2009" spans="1:20" ht="13.7" customHeight="1" x14ac:dyDescent="0.25">
      <c r="A2009" t="s">
        <v>26</v>
      </c>
      <c r="B2009" t="s">
        <v>27</v>
      </c>
      <c r="C2009" t="s">
        <v>38</v>
      </c>
      <c r="D2009">
        <v>57</v>
      </c>
      <c r="E2009" s="5">
        <v>43701</v>
      </c>
      <c r="F2009">
        <v>23803002</v>
      </c>
      <c r="G2009" t="s">
        <v>691</v>
      </c>
      <c r="H2009" t="s">
        <v>1535</v>
      </c>
      <c r="I2009" t="s">
        <v>1536</v>
      </c>
      <c r="J2009">
        <v>1009</v>
      </c>
      <c r="K2009">
        <v>1005</v>
      </c>
      <c r="L2009" s="3">
        <v>-548868</v>
      </c>
      <c r="M2009" s="3">
        <v>0</v>
      </c>
      <c r="N2009">
        <v>45316</v>
      </c>
      <c r="O2009">
        <v>0</v>
      </c>
      <c r="P2009">
        <v>-594184</v>
      </c>
      <c r="Q2009" t="s">
        <v>30</v>
      </c>
      <c r="R2009" t="s">
        <v>287</v>
      </c>
      <c r="S2009" t="str">
        <v>#N/A</v>
      </c>
      <c r="T2009" t="str">
        <v>#N/A</v>
      </c>
    </row>
    <row r="2010" spans="1:20" ht="13.7" customHeight="1" x14ac:dyDescent="0.25">
      <c r="A2010" t="s">
        <v>26</v>
      </c>
      <c r="B2010" t="s">
        <v>27</v>
      </c>
      <c r="C2010" t="s">
        <v>39</v>
      </c>
      <c r="D2010">
        <v>68</v>
      </c>
      <c r="E2010" s="5">
        <v>43715</v>
      </c>
      <c r="F2010">
        <v>23803002</v>
      </c>
      <c r="G2010" t="s">
        <v>691</v>
      </c>
      <c r="H2010" t="s">
        <v>1535</v>
      </c>
      <c r="I2010" t="s">
        <v>1536</v>
      </c>
      <c r="J2010">
        <v>1009</v>
      </c>
      <c r="K2010">
        <v>1005</v>
      </c>
      <c r="L2010" s="3">
        <v>-594184</v>
      </c>
      <c r="M2010" s="3">
        <v>0</v>
      </c>
      <c r="N2010">
        <v>44951</v>
      </c>
      <c r="O2010">
        <v>0</v>
      </c>
      <c r="P2010">
        <v>-639135</v>
      </c>
      <c r="Q2010" t="s">
        <v>30</v>
      </c>
      <c r="R2010" t="s">
        <v>288</v>
      </c>
      <c r="S2010" t="str">
        <v>#N/A</v>
      </c>
      <c r="T2010" t="str">
        <v>#N/A</v>
      </c>
    </row>
    <row r="2011" spans="1:20" ht="13.7" customHeight="1" x14ac:dyDescent="0.25">
      <c r="A2011" t="s">
        <v>26</v>
      </c>
      <c r="B2011" t="s">
        <v>27</v>
      </c>
      <c r="C2011" t="s">
        <v>39</v>
      </c>
      <c r="D2011">
        <v>69</v>
      </c>
      <c r="E2011" s="5">
        <v>43729</v>
      </c>
      <c r="F2011">
        <v>23803002</v>
      </c>
      <c r="G2011" t="s">
        <v>691</v>
      </c>
      <c r="H2011" t="s">
        <v>1535</v>
      </c>
      <c r="I2011" t="s">
        <v>1536</v>
      </c>
      <c r="J2011">
        <v>1009</v>
      </c>
      <c r="K2011">
        <v>1005</v>
      </c>
      <c r="L2011" s="3">
        <v>-639135</v>
      </c>
      <c r="M2011" s="3">
        <v>0</v>
      </c>
      <c r="N2011">
        <v>29731</v>
      </c>
      <c r="O2011">
        <v>0</v>
      </c>
      <c r="P2011">
        <v>-668866</v>
      </c>
      <c r="Q2011" t="s">
        <v>30</v>
      </c>
      <c r="R2011" t="s">
        <v>291</v>
      </c>
      <c r="S2011" t="str">
        <v>#N/A</v>
      </c>
      <c r="T2011" t="str">
        <v>#N/A</v>
      </c>
    </row>
    <row r="2012" spans="1:20" ht="13.7" customHeight="1" x14ac:dyDescent="0.25">
      <c r="A2012" t="s">
        <v>26</v>
      </c>
      <c r="B2012" t="s">
        <v>27</v>
      </c>
      <c r="C2012" t="s">
        <v>40</v>
      </c>
      <c r="D2012">
        <v>61</v>
      </c>
      <c r="E2012" s="5">
        <v>43743</v>
      </c>
      <c r="F2012">
        <v>23803002</v>
      </c>
      <c r="G2012" t="s">
        <v>691</v>
      </c>
      <c r="H2012" t="s">
        <v>1535</v>
      </c>
      <c r="I2012" t="s">
        <v>1536</v>
      </c>
      <c r="J2012">
        <v>1009</v>
      </c>
      <c r="K2012">
        <v>1005</v>
      </c>
      <c r="L2012" s="3">
        <v>-668866</v>
      </c>
      <c r="M2012" s="3">
        <v>0</v>
      </c>
      <c r="N2012">
        <v>30088</v>
      </c>
      <c r="O2012">
        <v>0</v>
      </c>
      <c r="P2012">
        <v>-698954</v>
      </c>
      <c r="Q2012" t="s">
        <v>30</v>
      </c>
      <c r="R2012" t="s">
        <v>293</v>
      </c>
      <c r="S2012" t="str">
        <v>#N/A</v>
      </c>
      <c r="T2012" t="str">
        <v>#N/A</v>
      </c>
    </row>
    <row r="2013" spans="1:20" ht="13.7" customHeight="1" x14ac:dyDescent="0.25">
      <c r="A2013" t="s">
        <v>26</v>
      </c>
      <c r="B2013" t="s">
        <v>27</v>
      </c>
      <c r="C2013" t="s">
        <v>40</v>
      </c>
      <c r="D2013">
        <v>62</v>
      </c>
      <c r="E2013" s="5">
        <v>43757</v>
      </c>
      <c r="F2013">
        <v>23803002</v>
      </c>
      <c r="G2013" t="s">
        <v>691</v>
      </c>
      <c r="H2013" t="s">
        <v>1535</v>
      </c>
      <c r="I2013" t="s">
        <v>1536</v>
      </c>
      <c r="J2013">
        <v>1009</v>
      </c>
      <c r="K2013">
        <v>1005</v>
      </c>
      <c r="L2013" s="3">
        <v>-698954</v>
      </c>
      <c r="M2013" s="3">
        <v>0</v>
      </c>
      <c r="N2013">
        <v>30218</v>
      </c>
      <c r="O2013">
        <v>0</v>
      </c>
      <c r="P2013">
        <v>-729172</v>
      </c>
      <c r="Q2013" t="s">
        <v>30</v>
      </c>
      <c r="R2013" t="s">
        <v>299</v>
      </c>
      <c r="S2013" t="str">
        <v>#N/A</v>
      </c>
      <c r="T2013" t="str">
        <v>#N/A</v>
      </c>
    </row>
    <row r="2014" spans="1:20" ht="13.7" customHeight="1" x14ac:dyDescent="0.25">
      <c r="A2014" t="s">
        <v>26</v>
      </c>
      <c r="B2014" t="s">
        <v>27</v>
      </c>
      <c r="C2014" t="s">
        <v>41</v>
      </c>
      <c r="D2014">
        <v>76</v>
      </c>
      <c r="E2014" s="5">
        <v>43771</v>
      </c>
      <c r="F2014">
        <v>23803002</v>
      </c>
      <c r="G2014" t="s">
        <v>691</v>
      </c>
      <c r="H2014" t="s">
        <v>1535</v>
      </c>
      <c r="I2014" t="s">
        <v>1536</v>
      </c>
      <c r="J2014">
        <v>1009</v>
      </c>
      <c r="K2014">
        <v>1005</v>
      </c>
      <c r="L2014" s="3">
        <v>-729172</v>
      </c>
      <c r="M2014" s="3">
        <v>0</v>
      </c>
      <c r="N2014">
        <v>30608</v>
      </c>
      <c r="O2014">
        <v>0</v>
      </c>
      <c r="P2014">
        <v>-759780</v>
      </c>
      <c r="Q2014" t="s">
        <v>30</v>
      </c>
      <c r="R2014" t="s">
        <v>301</v>
      </c>
      <c r="S2014" t="str">
        <v>#N/A</v>
      </c>
      <c r="T2014" t="str">
        <v>#N/A</v>
      </c>
    </row>
    <row r="2015" spans="1:20" ht="13.7" customHeight="1" x14ac:dyDescent="0.25">
      <c r="A2015" t="s">
        <v>26</v>
      </c>
      <c r="B2015" t="s">
        <v>27</v>
      </c>
      <c r="C2015" t="s">
        <v>41</v>
      </c>
      <c r="D2015">
        <v>77</v>
      </c>
      <c r="E2015" s="5">
        <v>43785</v>
      </c>
      <c r="F2015">
        <v>23803002</v>
      </c>
      <c r="G2015" t="s">
        <v>691</v>
      </c>
      <c r="H2015" t="s">
        <v>1535</v>
      </c>
      <c r="I2015" t="s">
        <v>1536</v>
      </c>
      <c r="J2015">
        <v>1009</v>
      </c>
      <c r="K2015">
        <v>1005</v>
      </c>
      <c r="L2015" s="3">
        <v>-759780</v>
      </c>
      <c r="M2015" s="3">
        <v>0</v>
      </c>
      <c r="N2015">
        <v>31304</v>
      </c>
      <c r="O2015">
        <v>0</v>
      </c>
      <c r="P2015">
        <v>-791084</v>
      </c>
      <c r="Q2015" t="s">
        <v>30</v>
      </c>
      <c r="R2015" t="s">
        <v>305</v>
      </c>
      <c r="S2015" t="str">
        <v>#N/A</v>
      </c>
      <c r="T2015" t="str">
        <v>#N/A</v>
      </c>
    </row>
    <row r="2016" spans="1:20" ht="13.7" customHeight="1" x14ac:dyDescent="0.25">
      <c r="A2016" t="s">
        <v>26</v>
      </c>
      <c r="B2016" t="s">
        <v>27</v>
      </c>
      <c r="C2016" t="s">
        <v>41</v>
      </c>
      <c r="D2016">
        <v>78</v>
      </c>
      <c r="E2016" s="5">
        <v>43799</v>
      </c>
      <c r="F2016">
        <v>23803002</v>
      </c>
      <c r="G2016" t="s">
        <v>691</v>
      </c>
      <c r="H2016" t="s">
        <v>1535</v>
      </c>
      <c r="I2016" t="s">
        <v>1536</v>
      </c>
      <c r="J2016">
        <v>1009</v>
      </c>
      <c r="K2016">
        <v>1005</v>
      </c>
      <c r="L2016" s="3">
        <v>-791084</v>
      </c>
      <c r="M2016" s="3">
        <v>0</v>
      </c>
      <c r="N2016">
        <v>29301</v>
      </c>
      <c r="O2016">
        <v>0</v>
      </c>
      <c r="P2016">
        <v>-820385</v>
      </c>
      <c r="Q2016" t="s">
        <v>30</v>
      </c>
      <c r="R2016" t="s">
        <v>309</v>
      </c>
      <c r="S2016" t="str">
        <v>#N/A</v>
      </c>
      <c r="T2016" t="str">
        <v>#N/A</v>
      </c>
    </row>
    <row r="2017" spans="1:20" ht="13.7" customHeight="1" x14ac:dyDescent="0.25">
      <c r="A2017" t="s">
        <v>26</v>
      </c>
      <c r="B2017" t="s">
        <v>27</v>
      </c>
      <c r="C2017" t="s">
        <v>180</v>
      </c>
      <c r="D2017">
        <v>1</v>
      </c>
      <c r="E2017" s="5">
        <v>43813</v>
      </c>
      <c r="F2017">
        <v>23803002</v>
      </c>
      <c r="G2017" t="s">
        <v>691</v>
      </c>
      <c r="H2017" t="s">
        <v>1535</v>
      </c>
      <c r="I2017" t="s">
        <v>1536</v>
      </c>
      <c r="J2017">
        <v>1009</v>
      </c>
      <c r="K2017">
        <v>1005</v>
      </c>
      <c r="L2017" s="3">
        <v>-820385</v>
      </c>
      <c r="M2017" s="3">
        <v>0</v>
      </c>
      <c r="N2017">
        <v>29325</v>
      </c>
      <c r="O2017">
        <v>0</v>
      </c>
      <c r="P2017">
        <v>-849710</v>
      </c>
      <c r="Q2017" t="s">
        <v>30</v>
      </c>
      <c r="R2017" t="s">
        <v>316</v>
      </c>
      <c r="S2017" t="str">
        <v>#N/A</v>
      </c>
      <c r="T2017" t="str">
        <v>#N/A</v>
      </c>
    </row>
    <row r="2018" spans="1:20" ht="13.7" customHeight="1" x14ac:dyDescent="0.25">
      <c r="A2018" t="s">
        <v>26</v>
      </c>
      <c r="B2018" t="s">
        <v>27</v>
      </c>
      <c r="C2018" t="s">
        <v>180</v>
      </c>
      <c r="D2018">
        <v>90</v>
      </c>
      <c r="E2018" s="5">
        <v>43819</v>
      </c>
      <c r="F2018">
        <v>23803002</v>
      </c>
      <c r="G2018" t="s">
        <v>691</v>
      </c>
      <c r="H2018" t="s">
        <v>1535</v>
      </c>
      <c r="I2018" t="s">
        <v>1536</v>
      </c>
      <c r="J2018" t="e">
        <v>#N/A</v>
      </c>
      <c r="K2018" t="e">
        <v>#N/A</v>
      </c>
      <c r="L2018" s="3">
        <v>-849710</v>
      </c>
      <c r="M2018" s="3">
        <v>0</v>
      </c>
      <c r="N2018">
        <v>6052</v>
      </c>
      <c r="O2018">
        <v>0</v>
      </c>
      <c r="P2018">
        <v>-855762</v>
      </c>
      <c r="Q2018" t="s">
        <v>30</v>
      </c>
      <c r="R2018" t="s">
        <v>1503</v>
      </c>
      <c r="S2018" t="str">
        <v>#N/A</v>
      </c>
      <c r="T2018" t="str">
        <v>#N/A</v>
      </c>
    </row>
    <row r="2019" spans="1:20" ht="13.7" customHeight="1" x14ac:dyDescent="0.25">
      <c r="E2019" s="5">
        <v>43465</v>
      </c>
      <c r="F2019">
        <v>23803002</v>
      </c>
      <c r="G2019" t="s">
        <v>691</v>
      </c>
      <c r="H2019" t="s">
        <v>1537</v>
      </c>
      <c r="I2019" t="s">
        <v>1538</v>
      </c>
      <c r="J2019">
        <v>0</v>
      </c>
      <c r="K2019">
        <v>0</v>
      </c>
      <c r="L2019" s="3">
        <v>-50897.5</v>
      </c>
      <c r="M2019" s="3">
        <v>0</v>
      </c>
      <c r="N2019">
        <v>0</v>
      </c>
      <c r="O2019">
        <v>0</v>
      </c>
      <c r="P2019">
        <v>-50897.5</v>
      </c>
      <c r="R2019" t="s">
        <v>1100</v>
      </c>
      <c r="S2019" t="str">
        <v>#N/A</v>
      </c>
      <c r="T2019" t="str">
        <v>31</v>
      </c>
    </row>
    <row r="2020" spans="1:20" ht="13.7" customHeight="1" x14ac:dyDescent="0.25">
      <c r="A2020" t="s">
        <v>26</v>
      </c>
      <c r="B2020" t="s">
        <v>27</v>
      </c>
      <c r="C2020" t="s">
        <v>28</v>
      </c>
      <c r="D2020">
        <v>77</v>
      </c>
      <c r="E2020" s="5">
        <v>43491</v>
      </c>
      <c r="F2020">
        <v>23803002</v>
      </c>
      <c r="G2020" t="s">
        <v>691</v>
      </c>
      <c r="H2020" t="s">
        <v>1537</v>
      </c>
      <c r="I2020" t="s">
        <v>1538</v>
      </c>
      <c r="J2020">
        <v>1009</v>
      </c>
      <c r="K2020">
        <v>1005</v>
      </c>
      <c r="L2020" s="3">
        <v>-50897.5</v>
      </c>
      <c r="M2020" s="3">
        <v>0</v>
      </c>
      <c r="N2020">
        <v>19782</v>
      </c>
      <c r="O2020">
        <v>0</v>
      </c>
      <c r="P2020">
        <v>-70679.5</v>
      </c>
      <c r="Q2020" t="s">
        <v>30</v>
      </c>
      <c r="R2020" t="s">
        <v>202</v>
      </c>
      <c r="S2020" t="str">
        <v>#N/A</v>
      </c>
      <c r="T2020" t="str">
        <v>31</v>
      </c>
    </row>
    <row r="2021" spans="1:20" ht="13.7" customHeight="1" x14ac:dyDescent="0.25">
      <c r="A2021" t="s">
        <v>26</v>
      </c>
      <c r="B2021" t="s">
        <v>27</v>
      </c>
      <c r="C2021" t="s">
        <v>32</v>
      </c>
      <c r="D2021">
        <v>60</v>
      </c>
      <c r="E2021" s="5">
        <v>43505</v>
      </c>
      <c r="F2021">
        <v>23803002</v>
      </c>
      <c r="G2021" t="s">
        <v>691</v>
      </c>
      <c r="H2021" t="s">
        <v>1537</v>
      </c>
      <c r="I2021" t="s">
        <v>1538</v>
      </c>
      <c r="J2021">
        <v>1009</v>
      </c>
      <c r="K2021">
        <v>1005</v>
      </c>
      <c r="L2021" s="3">
        <v>-70679.5</v>
      </c>
      <c r="M2021" s="3">
        <v>0</v>
      </c>
      <c r="N2021">
        <v>19511</v>
      </c>
      <c r="O2021">
        <v>0</v>
      </c>
      <c r="P2021">
        <v>-90190.5</v>
      </c>
      <c r="Q2021" t="s">
        <v>30</v>
      </c>
      <c r="R2021" t="s">
        <v>215</v>
      </c>
      <c r="S2021" t="str">
        <v>#N/A</v>
      </c>
      <c r="T2021" t="str">
        <v>31</v>
      </c>
    </row>
    <row r="2022" spans="1:20" ht="13.7" customHeight="1" x14ac:dyDescent="0.25">
      <c r="A2022" t="s">
        <v>26</v>
      </c>
      <c r="B2022" t="s">
        <v>27</v>
      </c>
      <c r="C2022" t="s">
        <v>32</v>
      </c>
      <c r="D2022">
        <v>61</v>
      </c>
      <c r="E2022" s="5">
        <v>43519</v>
      </c>
      <c r="F2022">
        <v>23803002</v>
      </c>
      <c r="G2022" t="s">
        <v>691</v>
      </c>
      <c r="H2022" t="s">
        <v>1537</v>
      </c>
      <c r="I2022" t="s">
        <v>1538</v>
      </c>
      <c r="J2022">
        <v>1009</v>
      </c>
      <c r="K2022">
        <v>1005</v>
      </c>
      <c r="L2022" s="3">
        <v>-90190.5</v>
      </c>
      <c r="M2022" s="3">
        <v>0</v>
      </c>
      <c r="N2022">
        <v>19422</v>
      </c>
      <c r="O2022">
        <v>0</v>
      </c>
      <c r="P2022">
        <v>-109612.5</v>
      </c>
      <c r="Q2022" t="s">
        <v>30</v>
      </c>
      <c r="R2022" t="s">
        <v>226</v>
      </c>
      <c r="S2022" t="str">
        <v>#N/A</v>
      </c>
      <c r="T2022" t="str">
        <v>31</v>
      </c>
    </row>
    <row r="2023" spans="1:20" ht="13.7" customHeight="1" x14ac:dyDescent="0.25">
      <c r="A2023" t="s">
        <v>26</v>
      </c>
      <c r="B2023" t="s">
        <v>27</v>
      </c>
      <c r="C2023" t="s">
        <v>91</v>
      </c>
      <c r="D2023">
        <v>79</v>
      </c>
      <c r="E2023" s="5">
        <v>43533</v>
      </c>
      <c r="F2023">
        <v>23803002</v>
      </c>
      <c r="G2023" t="s">
        <v>691</v>
      </c>
      <c r="H2023" t="s">
        <v>1537</v>
      </c>
      <c r="I2023" t="s">
        <v>1538</v>
      </c>
      <c r="J2023">
        <v>1009</v>
      </c>
      <c r="K2023">
        <v>1005</v>
      </c>
      <c r="L2023" s="3">
        <v>-109612.5</v>
      </c>
      <c r="M2023" s="3">
        <v>0</v>
      </c>
      <c r="N2023">
        <v>19086</v>
      </c>
      <c r="O2023">
        <v>0</v>
      </c>
      <c r="P2023">
        <v>-128698.5</v>
      </c>
      <c r="Q2023" t="s">
        <v>30</v>
      </c>
      <c r="R2023" t="s">
        <v>236</v>
      </c>
      <c r="S2023" t="str">
        <v>#N/A</v>
      </c>
      <c r="T2023" t="str">
        <v>31</v>
      </c>
    </row>
    <row r="2024" spans="1:20" ht="13.7" customHeight="1" x14ac:dyDescent="0.25">
      <c r="A2024" t="s">
        <v>26</v>
      </c>
      <c r="B2024" t="s">
        <v>27</v>
      </c>
      <c r="C2024" t="s">
        <v>91</v>
      </c>
      <c r="D2024">
        <v>80</v>
      </c>
      <c r="E2024" s="5">
        <v>43547</v>
      </c>
      <c r="F2024">
        <v>23803002</v>
      </c>
      <c r="G2024" t="s">
        <v>691</v>
      </c>
      <c r="H2024" t="s">
        <v>1537</v>
      </c>
      <c r="I2024" t="s">
        <v>1538</v>
      </c>
      <c r="J2024">
        <v>1009</v>
      </c>
      <c r="K2024">
        <v>1005</v>
      </c>
      <c r="L2024" s="3">
        <v>-128698.5</v>
      </c>
      <c r="M2024" s="3">
        <v>0</v>
      </c>
      <c r="N2024">
        <v>18264</v>
      </c>
      <c r="O2024">
        <v>0</v>
      </c>
      <c r="P2024">
        <v>-146962.5</v>
      </c>
      <c r="Q2024" t="s">
        <v>30</v>
      </c>
      <c r="R2024" t="s">
        <v>244</v>
      </c>
      <c r="S2024" t="str">
        <v>#N/A</v>
      </c>
      <c r="T2024" t="str">
        <v>31</v>
      </c>
    </row>
    <row r="2025" spans="1:20" ht="13.7" customHeight="1" x14ac:dyDescent="0.25">
      <c r="A2025" t="s">
        <v>26</v>
      </c>
      <c r="B2025" t="s">
        <v>27</v>
      </c>
      <c r="C2025" t="s">
        <v>34</v>
      </c>
      <c r="D2025">
        <v>72</v>
      </c>
      <c r="E2025" s="5">
        <v>43575</v>
      </c>
      <c r="F2025">
        <v>23803002</v>
      </c>
      <c r="G2025" t="s">
        <v>691</v>
      </c>
      <c r="H2025" t="s">
        <v>1537</v>
      </c>
      <c r="I2025" t="s">
        <v>1538</v>
      </c>
      <c r="J2025">
        <v>1009</v>
      </c>
      <c r="K2025">
        <v>1005</v>
      </c>
      <c r="L2025" s="3">
        <v>-146962.5</v>
      </c>
      <c r="M2025" s="3">
        <v>0</v>
      </c>
      <c r="N2025">
        <v>11910</v>
      </c>
      <c r="O2025">
        <v>0</v>
      </c>
      <c r="P2025">
        <v>-158872.5</v>
      </c>
      <c r="Q2025" t="s">
        <v>30</v>
      </c>
      <c r="R2025" t="s">
        <v>254</v>
      </c>
      <c r="S2025" t="str">
        <v>#N/A</v>
      </c>
      <c r="T2025" t="str">
        <v>31</v>
      </c>
    </row>
    <row r="2026" spans="1:20" ht="13.7" customHeight="1" x14ac:dyDescent="0.25">
      <c r="A2026" t="s">
        <v>26</v>
      </c>
      <c r="B2026" t="s">
        <v>27</v>
      </c>
      <c r="C2026" t="s">
        <v>35</v>
      </c>
      <c r="D2026">
        <v>97</v>
      </c>
      <c r="E2026" s="5">
        <v>43589</v>
      </c>
      <c r="F2026">
        <v>23803002</v>
      </c>
      <c r="G2026" t="s">
        <v>691</v>
      </c>
      <c r="H2026" t="s">
        <v>1537</v>
      </c>
      <c r="I2026" t="s">
        <v>1538</v>
      </c>
      <c r="J2026">
        <v>1009</v>
      </c>
      <c r="K2026">
        <v>1005</v>
      </c>
      <c r="L2026" s="3">
        <v>-158872.5</v>
      </c>
      <c r="M2026" s="3">
        <v>0</v>
      </c>
      <c r="N2026">
        <v>17835</v>
      </c>
      <c r="O2026">
        <v>0</v>
      </c>
      <c r="P2026">
        <v>-176707.5</v>
      </c>
      <c r="Q2026" t="s">
        <v>30</v>
      </c>
      <c r="R2026" t="s">
        <v>256</v>
      </c>
      <c r="S2026" t="str">
        <v>#N/A</v>
      </c>
      <c r="T2026" t="str">
        <v>31</v>
      </c>
    </row>
    <row r="2027" spans="1:20" ht="13.7" customHeight="1" x14ac:dyDescent="0.25">
      <c r="A2027" t="s">
        <v>26</v>
      </c>
      <c r="B2027" t="s">
        <v>27</v>
      </c>
      <c r="C2027" t="s">
        <v>35</v>
      </c>
      <c r="D2027">
        <v>98</v>
      </c>
      <c r="E2027" s="5">
        <v>43603</v>
      </c>
      <c r="F2027">
        <v>23803002</v>
      </c>
      <c r="G2027" t="s">
        <v>691</v>
      </c>
      <c r="H2027" t="s">
        <v>1537</v>
      </c>
      <c r="I2027" t="s">
        <v>1538</v>
      </c>
      <c r="J2027">
        <v>1009</v>
      </c>
      <c r="K2027">
        <v>1005</v>
      </c>
      <c r="L2027" s="3">
        <v>-176707.5</v>
      </c>
      <c r="M2027" s="3">
        <v>0</v>
      </c>
      <c r="N2027">
        <v>19393</v>
      </c>
      <c r="O2027">
        <v>0</v>
      </c>
      <c r="P2027">
        <v>-196100.5</v>
      </c>
      <c r="Q2027" t="s">
        <v>30</v>
      </c>
      <c r="R2027" t="s">
        <v>261</v>
      </c>
      <c r="S2027" t="str">
        <v>#N/A</v>
      </c>
      <c r="T2027" t="str">
        <v>31</v>
      </c>
    </row>
    <row r="2028" spans="1:20" ht="13.7" customHeight="1" x14ac:dyDescent="0.25">
      <c r="A2028" t="s">
        <v>26</v>
      </c>
      <c r="B2028" t="s">
        <v>27</v>
      </c>
      <c r="C2028" t="s">
        <v>36</v>
      </c>
      <c r="D2028">
        <v>70</v>
      </c>
      <c r="E2028" s="5">
        <v>43617</v>
      </c>
      <c r="F2028">
        <v>23803002</v>
      </c>
      <c r="G2028" t="s">
        <v>691</v>
      </c>
      <c r="H2028" t="s">
        <v>1537</v>
      </c>
      <c r="I2028" t="s">
        <v>1538</v>
      </c>
      <c r="J2028">
        <v>1009</v>
      </c>
      <c r="K2028">
        <v>1005</v>
      </c>
      <c r="L2028" s="3">
        <v>-196100.5</v>
      </c>
      <c r="M2028" s="3">
        <v>0</v>
      </c>
      <c r="N2028">
        <v>18476</v>
      </c>
      <c r="O2028">
        <v>0</v>
      </c>
      <c r="P2028">
        <v>-214576.5</v>
      </c>
      <c r="Q2028" t="s">
        <v>30</v>
      </c>
      <c r="R2028" t="s">
        <v>264</v>
      </c>
      <c r="S2028" t="str">
        <v>#N/A</v>
      </c>
      <c r="T2028" t="str">
        <v>31</v>
      </c>
    </row>
    <row r="2029" spans="1:20" ht="13.7" customHeight="1" x14ac:dyDescent="0.25">
      <c r="A2029" t="s">
        <v>26</v>
      </c>
      <c r="B2029" t="s">
        <v>27</v>
      </c>
      <c r="C2029" t="s">
        <v>36</v>
      </c>
      <c r="D2029">
        <v>71</v>
      </c>
      <c r="E2029" s="5">
        <v>43631</v>
      </c>
      <c r="F2029">
        <v>23803002</v>
      </c>
      <c r="G2029" t="s">
        <v>691</v>
      </c>
      <c r="H2029" t="s">
        <v>1537</v>
      </c>
      <c r="I2029" t="s">
        <v>1538</v>
      </c>
      <c r="J2029">
        <v>1009</v>
      </c>
      <c r="K2029">
        <v>1005</v>
      </c>
      <c r="L2029" s="3">
        <v>-214576.5</v>
      </c>
      <c r="M2029" s="3">
        <v>0</v>
      </c>
      <c r="N2029">
        <v>15725</v>
      </c>
      <c r="O2029">
        <v>0</v>
      </c>
      <c r="P2029">
        <v>-230301.5</v>
      </c>
      <c r="Q2029" t="s">
        <v>30</v>
      </c>
      <c r="R2029" t="s">
        <v>270</v>
      </c>
      <c r="S2029" t="str">
        <v>#N/A</v>
      </c>
      <c r="T2029" t="str">
        <v>31</v>
      </c>
    </row>
    <row r="2030" spans="1:20" ht="13.7" customHeight="1" x14ac:dyDescent="0.25">
      <c r="A2030" t="s">
        <v>26</v>
      </c>
      <c r="B2030" t="s">
        <v>27</v>
      </c>
      <c r="C2030" t="s">
        <v>36</v>
      </c>
      <c r="D2030">
        <v>73</v>
      </c>
      <c r="E2030" s="5">
        <v>43642</v>
      </c>
      <c r="F2030">
        <v>23803002</v>
      </c>
      <c r="G2030" t="s">
        <v>691</v>
      </c>
      <c r="H2030" t="s">
        <v>1537</v>
      </c>
      <c r="I2030" t="s">
        <v>1538</v>
      </c>
      <c r="J2030">
        <v>1009</v>
      </c>
      <c r="K2030">
        <v>1005</v>
      </c>
      <c r="L2030" s="3">
        <v>-230301.5</v>
      </c>
      <c r="M2030" s="3">
        <v>0</v>
      </c>
      <c r="N2030">
        <v>15915</v>
      </c>
      <c r="O2030">
        <v>0</v>
      </c>
      <c r="P2030">
        <v>-246216.5</v>
      </c>
      <c r="Q2030" t="s">
        <v>30</v>
      </c>
      <c r="R2030" t="s">
        <v>274</v>
      </c>
      <c r="S2030" t="str">
        <v>#N/A</v>
      </c>
      <c r="T2030" t="str">
        <v>31</v>
      </c>
    </row>
    <row r="2031" spans="1:20" ht="13.7" customHeight="1" x14ac:dyDescent="0.25">
      <c r="A2031" t="s">
        <v>26</v>
      </c>
      <c r="B2031" t="s">
        <v>27</v>
      </c>
      <c r="C2031" t="s">
        <v>37</v>
      </c>
      <c r="D2031">
        <v>66</v>
      </c>
      <c r="E2031" s="5">
        <v>43659</v>
      </c>
      <c r="F2031">
        <v>23803002</v>
      </c>
      <c r="G2031" t="s">
        <v>691</v>
      </c>
      <c r="H2031" t="s">
        <v>1537</v>
      </c>
      <c r="I2031" t="s">
        <v>1538</v>
      </c>
      <c r="J2031">
        <v>1009</v>
      </c>
      <c r="K2031">
        <v>1005</v>
      </c>
      <c r="L2031" s="3">
        <v>-246216.5</v>
      </c>
      <c r="M2031" s="3">
        <v>0</v>
      </c>
      <c r="N2031">
        <v>18838</v>
      </c>
      <c r="O2031">
        <v>0</v>
      </c>
      <c r="P2031">
        <v>-265054.5</v>
      </c>
      <c r="Q2031" t="s">
        <v>30</v>
      </c>
      <c r="R2031" t="s">
        <v>279</v>
      </c>
      <c r="S2031" t="str">
        <v>#N/A</v>
      </c>
      <c r="T2031" t="str">
        <v>31</v>
      </c>
    </row>
    <row r="2032" spans="1:20" ht="13.7" customHeight="1" x14ac:dyDescent="0.25">
      <c r="A2032" t="s">
        <v>26</v>
      </c>
      <c r="B2032" t="s">
        <v>27</v>
      </c>
      <c r="C2032" t="s">
        <v>37</v>
      </c>
      <c r="D2032">
        <v>67</v>
      </c>
      <c r="E2032" s="5">
        <v>43673</v>
      </c>
      <c r="F2032">
        <v>23803002</v>
      </c>
      <c r="G2032" t="s">
        <v>691</v>
      </c>
      <c r="H2032" t="s">
        <v>1537</v>
      </c>
      <c r="I2032" t="s">
        <v>1538</v>
      </c>
      <c r="J2032">
        <v>1009</v>
      </c>
      <c r="K2032">
        <v>1005</v>
      </c>
      <c r="L2032" s="3">
        <v>-265054.5</v>
      </c>
      <c r="M2032" s="3">
        <v>0</v>
      </c>
      <c r="N2032">
        <v>17532</v>
      </c>
      <c r="O2032">
        <v>0</v>
      </c>
      <c r="P2032">
        <v>-282586.5</v>
      </c>
      <c r="Q2032" t="s">
        <v>30</v>
      </c>
      <c r="R2032" t="s">
        <v>282</v>
      </c>
      <c r="S2032" t="str">
        <v>#N/A</v>
      </c>
      <c r="T2032" t="str">
        <v>31</v>
      </c>
    </row>
    <row r="2033" spans="1:20" ht="13.7" customHeight="1" x14ac:dyDescent="0.25">
      <c r="A2033" t="s">
        <v>26</v>
      </c>
      <c r="B2033" t="s">
        <v>27</v>
      </c>
      <c r="C2033" t="s">
        <v>38</v>
      </c>
      <c r="D2033">
        <v>56</v>
      </c>
      <c r="E2033" s="5">
        <v>43687</v>
      </c>
      <c r="F2033">
        <v>23803002</v>
      </c>
      <c r="G2033" t="s">
        <v>691</v>
      </c>
      <c r="H2033" t="s">
        <v>1537</v>
      </c>
      <c r="I2033" t="s">
        <v>1538</v>
      </c>
      <c r="J2033">
        <v>1009</v>
      </c>
      <c r="K2033">
        <v>1005</v>
      </c>
      <c r="L2033" s="3">
        <v>-282586.5</v>
      </c>
      <c r="M2033" s="3">
        <v>0</v>
      </c>
      <c r="N2033">
        <v>18721</v>
      </c>
      <c r="O2033">
        <v>0</v>
      </c>
      <c r="P2033">
        <v>-301307.5</v>
      </c>
      <c r="Q2033" t="s">
        <v>30</v>
      </c>
      <c r="R2033" t="s">
        <v>284</v>
      </c>
      <c r="S2033" t="str">
        <v>#N/A</v>
      </c>
      <c r="T2033" t="str">
        <v>31</v>
      </c>
    </row>
    <row r="2034" spans="1:20" ht="13.7" customHeight="1" x14ac:dyDescent="0.25">
      <c r="A2034" t="s">
        <v>26</v>
      </c>
      <c r="B2034" t="s">
        <v>27</v>
      </c>
      <c r="C2034" t="s">
        <v>38</v>
      </c>
      <c r="D2034">
        <v>57</v>
      </c>
      <c r="E2034" s="5">
        <v>43701</v>
      </c>
      <c r="F2034">
        <v>23803002</v>
      </c>
      <c r="G2034" t="s">
        <v>691</v>
      </c>
      <c r="H2034" t="s">
        <v>1537</v>
      </c>
      <c r="I2034" t="s">
        <v>1538</v>
      </c>
      <c r="J2034">
        <v>1009</v>
      </c>
      <c r="K2034">
        <v>1005</v>
      </c>
      <c r="L2034" s="3">
        <v>-301307.5</v>
      </c>
      <c r="M2034" s="3">
        <v>0</v>
      </c>
      <c r="N2034">
        <v>18488</v>
      </c>
      <c r="O2034">
        <v>0</v>
      </c>
      <c r="P2034">
        <v>-319795.5</v>
      </c>
      <c r="Q2034" t="s">
        <v>30</v>
      </c>
      <c r="R2034" t="s">
        <v>287</v>
      </c>
      <c r="S2034" t="str">
        <v>#N/A</v>
      </c>
      <c r="T2034" t="str">
        <v>31</v>
      </c>
    </row>
    <row r="2035" spans="1:20" ht="13.7" customHeight="1" x14ac:dyDescent="0.25">
      <c r="A2035" t="s">
        <v>26</v>
      </c>
      <c r="B2035" t="s">
        <v>27</v>
      </c>
      <c r="C2035" t="s">
        <v>39</v>
      </c>
      <c r="D2035">
        <v>68</v>
      </c>
      <c r="E2035" s="5">
        <v>43715</v>
      </c>
      <c r="F2035">
        <v>23803002</v>
      </c>
      <c r="G2035" t="s">
        <v>691</v>
      </c>
      <c r="H2035" t="s">
        <v>1537</v>
      </c>
      <c r="I2035" t="s">
        <v>1538</v>
      </c>
      <c r="J2035">
        <v>1009</v>
      </c>
      <c r="K2035">
        <v>1005</v>
      </c>
      <c r="L2035" s="3">
        <v>-319795.5</v>
      </c>
      <c r="M2035" s="3">
        <v>0</v>
      </c>
      <c r="N2035">
        <v>14785</v>
      </c>
      <c r="O2035">
        <v>0</v>
      </c>
      <c r="P2035">
        <v>-334580.5</v>
      </c>
      <c r="Q2035" t="s">
        <v>30</v>
      </c>
      <c r="R2035" t="s">
        <v>288</v>
      </c>
      <c r="S2035" t="str">
        <v>#N/A</v>
      </c>
      <c r="T2035" t="str">
        <v>31</v>
      </c>
    </row>
    <row r="2036" spans="1:20" ht="13.7" customHeight="1" x14ac:dyDescent="0.25">
      <c r="A2036" t="s">
        <v>26</v>
      </c>
      <c r="B2036" t="s">
        <v>27</v>
      </c>
      <c r="C2036" t="s">
        <v>39</v>
      </c>
      <c r="D2036">
        <v>69</v>
      </c>
      <c r="E2036" s="5">
        <v>43729</v>
      </c>
      <c r="F2036">
        <v>23803002</v>
      </c>
      <c r="G2036" t="s">
        <v>691</v>
      </c>
      <c r="H2036" t="s">
        <v>1537</v>
      </c>
      <c r="I2036" t="s">
        <v>1538</v>
      </c>
      <c r="J2036">
        <v>1009</v>
      </c>
      <c r="K2036">
        <v>1005</v>
      </c>
      <c r="L2036" s="3">
        <v>-334580.5</v>
      </c>
      <c r="M2036" s="3">
        <v>0</v>
      </c>
      <c r="N2036">
        <v>17395</v>
      </c>
      <c r="O2036">
        <v>0</v>
      </c>
      <c r="P2036">
        <v>-351975.5</v>
      </c>
      <c r="Q2036" t="s">
        <v>30</v>
      </c>
      <c r="R2036" t="s">
        <v>291</v>
      </c>
      <c r="S2036" t="str">
        <v>#N/A</v>
      </c>
      <c r="T2036" t="str">
        <v>31</v>
      </c>
    </row>
    <row r="2037" spans="1:20" ht="13.7" customHeight="1" x14ac:dyDescent="0.25">
      <c r="A2037" t="s">
        <v>26</v>
      </c>
      <c r="B2037" t="s">
        <v>27</v>
      </c>
      <c r="C2037" t="s">
        <v>40</v>
      </c>
      <c r="D2037">
        <v>61</v>
      </c>
      <c r="E2037" s="5">
        <v>43743</v>
      </c>
      <c r="F2037">
        <v>23803002</v>
      </c>
      <c r="G2037" t="s">
        <v>691</v>
      </c>
      <c r="H2037" t="s">
        <v>1537</v>
      </c>
      <c r="I2037" t="s">
        <v>1538</v>
      </c>
      <c r="J2037">
        <v>1009</v>
      </c>
      <c r="K2037">
        <v>1005</v>
      </c>
      <c r="L2037" s="3">
        <v>-351975.5</v>
      </c>
      <c r="M2037" s="3">
        <v>0</v>
      </c>
      <c r="N2037">
        <v>15583</v>
      </c>
      <c r="O2037">
        <v>0</v>
      </c>
      <c r="P2037">
        <v>-367558.5</v>
      </c>
      <c r="Q2037" t="s">
        <v>30</v>
      </c>
      <c r="R2037" t="s">
        <v>293</v>
      </c>
      <c r="S2037" t="str">
        <v>#N/A</v>
      </c>
      <c r="T2037" t="str">
        <v>31</v>
      </c>
    </row>
    <row r="2038" spans="1:20" ht="13.7" customHeight="1" x14ac:dyDescent="0.25">
      <c r="A2038" t="s">
        <v>26</v>
      </c>
      <c r="B2038" t="s">
        <v>27</v>
      </c>
      <c r="C2038" t="s">
        <v>40</v>
      </c>
      <c r="D2038">
        <v>62</v>
      </c>
      <c r="E2038" s="5">
        <v>43757</v>
      </c>
      <c r="F2038">
        <v>23803002</v>
      </c>
      <c r="G2038" t="s">
        <v>691</v>
      </c>
      <c r="H2038" t="s">
        <v>1537</v>
      </c>
      <c r="I2038" t="s">
        <v>1538</v>
      </c>
      <c r="J2038">
        <v>1009</v>
      </c>
      <c r="K2038">
        <v>1005</v>
      </c>
      <c r="L2038" s="3">
        <v>-367558.5</v>
      </c>
      <c r="M2038" s="3">
        <v>0</v>
      </c>
      <c r="N2038">
        <v>18637</v>
      </c>
      <c r="O2038">
        <v>0</v>
      </c>
      <c r="P2038">
        <v>-386195.5</v>
      </c>
      <c r="Q2038" t="s">
        <v>30</v>
      </c>
      <c r="R2038" t="s">
        <v>299</v>
      </c>
      <c r="S2038" t="str">
        <v>#N/A</v>
      </c>
      <c r="T2038" t="str">
        <v>31</v>
      </c>
    </row>
    <row r="2039" spans="1:20" ht="13.7" customHeight="1" x14ac:dyDescent="0.25">
      <c r="A2039" t="s">
        <v>26</v>
      </c>
      <c r="B2039" t="s">
        <v>27</v>
      </c>
      <c r="C2039" t="s">
        <v>41</v>
      </c>
      <c r="D2039">
        <v>76</v>
      </c>
      <c r="E2039" s="5">
        <v>43771</v>
      </c>
      <c r="F2039">
        <v>23803002</v>
      </c>
      <c r="G2039" t="s">
        <v>691</v>
      </c>
      <c r="H2039" t="s">
        <v>1537</v>
      </c>
      <c r="I2039" t="s">
        <v>1538</v>
      </c>
      <c r="J2039">
        <v>1009</v>
      </c>
      <c r="K2039">
        <v>1005</v>
      </c>
      <c r="L2039" s="3">
        <v>-386195.5</v>
      </c>
      <c r="M2039" s="3">
        <v>0</v>
      </c>
      <c r="N2039">
        <v>17956</v>
      </c>
      <c r="O2039">
        <v>0</v>
      </c>
      <c r="P2039">
        <v>-404151.5</v>
      </c>
      <c r="Q2039" t="s">
        <v>30</v>
      </c>
      <c r="R2039" t="s">
        <v>301</v>
      </c>
      <c r="S2039" t="str">
        <v>#N/A</v>
      </c>
      <c r="T2039" t="str">
        <v>31</v>
      </c>
    </row>
    <row r="2040" spans="1:20" ht="13.7" customHeight="1" x14ac:dyDescent="0.25">
      <c r="A2040" t="s">
        <v>26</v>
      </c>
      <c r="B2040" t="s">
        <v>27</v>
      </c>
      <c r="C2040" t="s">
        <v>41</v>
      </c>
      <c r="D2040">
        <v>78</v>
      </c>
      <c r="E2040" s="5">
        <v>43799</v>
      </c>
      <c r="F2040">
        <v>23803002</v>
      </c>
      <c r="G2040" t="s">
        <v>691</v>
      </c>
      <c r="H2040" t="s">
        <v>1537</v>
      </c>
      <c r="I2040" t="s">
        <v>1538</v>
      </c>
      <c r="J2040">
        <v>1009</v>
      </c>
      <c r="K2040">
        <v>1005</v>
      </c>
      <c r="L2040" s="3">
        <v>-404151.5</v>
      </c>
      <c r="M2040" s="3">
        <v>0</v>
      </c>
      <c r="N2040">
        <v>16453</v>
      </c>
      <c r="O2040">
        <v>0</v>
      </c>
      <c r="P2040">
        <v>-420604.5</v>
      </c>
      <c r="Q2040" t="s">
        <v>30</v>
      </c>
      <c r="R2040" t="s">
        <v>309</v>
      </c>
      <c r="S2040" t="str">
        <v>#N/A</v>
      </c>
      <c r="T2040" t="str">
        <v>31</v>
      </c>
    </row>
    <row r="2041" spans="1:20" ht="13.7" customHeight="1" x14ac:dyDescent="0.25">
      <c r="A2041" t="s">
        <v>26</v>
      </c>
      <c r="B2041" t="s">
        <v>27</v>
      </c>
      <c r="C2041" t="s">
        <v>180</v>
      </c>
      <c r="D2041">
        <v>1</v>
      </c>
      <c r="E2041" s="5">
        <v>43813</v>
      </c>
      <c r="F2041">
        <v>23803002</v>
      </c>
      <c r="G2041" t="s">
        <v>691</v>
      </c>
      <c r="H2041" t="s">
        <v>1537</v>
      </c>
      <c r="I2041" t="s">
        <v>1538</v>
      </c>
      <c r="J2041">
        <v>1009</v>
      </c>
      <c r="K2041">
        <v>1005</v>
      </c>
      <c r="L2041" s="3">
        <v>-420604.5</v>
      </c>
      <c r="M2041" s="3">
        <v>0</v>
      </c>
      <c r="N2041">
        <v>16138</v>
      </c>
      <c r="O2041">
        <v>0</v>
      </c>
      <c r="P2041">
        <v>-436742.5</v>
      </c>
      <c r="Q2041" t="s">
        <v>30</v>
      </c>
      <c r="R2041" t="s">
        <v>316</v>
      </c>
      <c r="S2041" t="str">
        <v>#N/A</v>
      </c>
      <c r="T2041" t="str">
        <v>31</v>
      </c>
    </row>
    <row r="2042" spans="1:20" ht="13.7" customHeight="1" x14ac:dyDescent="0.25">
      <c r="A2042" t="s">
        <v>26</v>
      </c>
      <c r="B2042" t="s">
        <v>27</v>
      </c>
      <c r="C2042" t="s">
        <v>180</v>
      </c>
      <c r="D2042">
        <v>90</v>
      </c>
      <c r="E2042" s="5">
        <v>43819</v>
      </c>
      <c r="F2042">
        <v>23803002</v>
      </c>
      <c r="G2042" t="s">
        <v>691</v>
      </c>
      <c r="H2042" t="s">
        <v>1537</v>
      </c>
      <c r="I2042" t="s">
        <v>1538</v>
      </c>
      <c r="J2042" t="e">
        <v>#N/A</v>
      </c>
      <c r="K2042" t="e">
        <v>#N/A</v>
      </c>
      <c r="L2042" s="3">
        <v>-436742.5</v>
      </c>
      <c r="M2042" s="3">
        <v>0</v>
      </c>
      <c r="N2042">
        <v>7219</v>
      </c>
      <c r="O2042">
        <v>0</v>
      </c>
      <c r="P2042">
        <v>-443961.5</v>
      </c>
      <c r="Q2042" t="s">
        <v>30</v>
      </c>
      <c r="R2042" t="s">
        <v>1503</v>
      </c>
      <c r="S2042" t="str">
        <v>#N/A</v>
      </c>
      <c r="T2042" t="str">
        <v>31</v>
      </c>
    </row>
    <row r="2043" spans="1:20" ht="13.7" customHeight="1" x14ac:dyDescent="0.25">
      <c r="E2043" s="5">
        <v>43465</v>
      </c>
      <c r="F2043">
        <v>23803002</v>
      </c>
      <c r="G2043" t="s">
        <v>691</v>
      </c>
      <c r="H2043" t="s">
        <v>1539</v>
      </c>
      <c r="I2043" t="s">
        <v>1540</v>
      </c>
      <c r="J2043">
        <v>0</v>
      </c>
      <c r="K2043">
        <v>0</v>
      </c>
      <c r="L2043" s="3">
        <v>-10412</v>
      </c>
      <c r="M2043" s="3">
        <v>0</v>
      </c>
      <c r="N2043">
        <v>0</v>
      </c>
      <c r="O2043">
        <v>0</v>
      </c>
      <c r="P2043">
        <v>-10412</v>
      </c>
      <c r="R2043" t="s">
        <v>1100</v>
      </c>
      <c r="S2043" t="str">
        <v>#N/A</v>
      </c>
      <c r="T2043" t="str">
        <v>31</v>
      </c>
    </row>
    <row r="2044" spans="1:20" ht="13.7" customHeight="1" x14ac:dyDescent="0.25">
      <c r="A2044" t="s">
        <v>26</v>
      </c>
      <c r="B2044" t="s">
        <v>27</v>
      </c>
      <c r="C2044" t="s">
        <v>28</v>
      </c>
      <c r="D2044">
        <v>77</v>
      </c>
      <c r="E2044" s="5">
        <v>43491</v>
      </c>
      <c r="F2044">
        <v>23803002</v>
      </c>
      <c r="G2044" t="s">
        <v>691</v>
      </c>
      <c r="H2044" t="s">
        <v>1539</v>
      </c>
      <c r="I2044" t="s">
        <v>1540</v>
      </c>
      <c r="J2044">
        <v>1009</v>
      </c>
      <c r="K2044">
        <v>1005</v>
      </c>
      <c r="L2044" s="3">
        <v>-10412</v>
      </c>
      <c r="M2044" s="3">
        <v>0</v>
      </c>
      <c r="N2044">
        <v>19875</v>
      </c>
      <c r="O2044">
        <v>0</v>
      </c>
      <c r="P2044">
        <v>-30287</v>
      </c>
      <c r="Q2044" t="s">
        <v>30</v>
      </c>
      <c r="R2044" t="s">
        <v>202</v>
      </c>
      <c r="S2044" t="str">
        <v>#N/A</v>
      </c>
      <c r="T2044" t="str">
        <v>31</v>
      </c>
    </row>
    <row r="2045" spans="1:20" ht="13.7" customHeight="1" x14ac:dyDescent="0.25">
      <c r="A2045" t="s">
        <v>26</v>
      </c>
      <c r="B2045" t="s">
        <v>27</v>
      </c>
      <c r="C2045" t="s">
        <v>32</v>
      </c>
      <c r="D2045">
        <v>60</v>
      </c>
      <c r="E2045" s="5">
        <v>43505</v>
      </c>
      <c r="F2045">
        <v>23803002</v>
      </c>
      <c r="G2045" t="s">
        <v>691</v>
      </c>
      <c r="H2045" t="s">
        <v>1539</v>
      </c>
      <c r="I2045" t="s">
        <v>1540</v>
      </c>
      <c r="J2045">
        <v>1009</v>
      </c>
      <c r="K2045">
        <v>1005</v>
      </c>
      <c r="L2045" s="3">
        <v>-30287</v>
      </c>
      <c r="M2045" s="3">
        <v>0</v>
      </c>
      <c r="N2045">
        <v>15459</v>
      </c>
      <c r="O2045">
        <v>0</v>
      </c>
      <c r="P2045">
        <v>-45746</v>
      </c>
      <c r="Q2045" t="s">
        <v>30</v>
      </c>
      <c r="R2045" t="s">
        <v>215</v>
      </c>
      <c r="S2045" t="str">
        <v>#N/A</v>
      </c>
      <c r="T2045" t="str">
        <v>31</v>
      </c>
    </row>
    <row r="2046" spans="1:20" ht="13.7" customHeight="1" x14ac:dyDescent="0.25">
      <c r="A2046" t="s">
        <v>26</v>
      </c>
      <c r="B2046" t="s">
        <v>27</v>
      </c>
      <c r="C2046" t="s">
        <v>32</v>
      </c>
      <c r="D2046">
        <v>61</v>
      </c>
      <c r="E2046" s="5">
        <v>43519</v>
      </c>
      <c r="F2046">
        <v>23803002</v>
      </c>
      <c r="G2046" t="s">
        <v>691</v>
      </c>
      <c r="H2046" t="s">
        <v>1539</v>
      </c>
      <c r="I2046" t="s">
        <v>1540</v>
      </c>
      <c r="J2046">
        <v>1009</v>
      </c>
      <c r="K2046">
        <v>1005</v>
      </c>
      <c r="L2046" s="3">
        <v>-45746</v>
      </c>
      <c r="M2046" s="3">
        <v>0</v>
      </c>
      <c r="N2046">
        <v>15459</v>
      </c>
      <c r="O2046">
        <v>0</v>
      </c>
      <c r="P2046">
        <v>-61205</v>
      </c>
      <c r="Q2046" t="s">
        <v>30</v>
      </c>
      <c r="R2046" t="s">
        <v>226</v>
      </c>
      <c r="S2046" t="str">
        <v>#N/A</v>
      </c>
      <c r="T2046" t="str">
        <v>31</v>
      </c>
    </row>
    <row r="2047" spans="1:20" ht="13.7" customHeight="1" x14ac:dyDescent="0.25">
      <c r="A2047" t="s">
        <v>26</v>
      </c>
      <c r="B2047" t="s">
        <v>27</v>
      </c>
      <c r="C2047" t="s">
        <v>91</v>
      </c>
      <c r="D2047">
        <v>79</v>
      </c>
      <c r="E2047" s="5">
        <v>43533</v>
      </c>
      <c r="F2047">
        <v>23803002</v>
      </c>
      <c r="G2047" t="s">
        <v>691</v>
      </c>
      <c r="H2047" t="s">
        <v>1539</v>
      </c>
      <c r="I2047" t="s">
        <v>1540</v>
      </c>
      <c r="J2047">
        <v>1009</v>
      </c>
      <c r="K2047">
        <v>1005</v>
      </c>
      <c r="L2047" s="3">
        <v>-61205</v>
      </c>
      <c r="M2047" s="3">
        <v>0</v>
      </c>
      <c r="N2047">
        <v>15458</v>
      </c>
      <c r="O2047">
        <v>0</v>
      </c>
      <c r="P2047">
        <v>-76663</v>
      </c>
      <c r="Q2047" t="s">
        <v>30</v>
      </c>
      <c r="R2047" t="s">
        <v>236</v>
      </c>
      <c r="S2047" t="str">
        <v>#N/A</v>
      </c>
      <c r="T2047" t="str">
        <v>31</v>
      </c>
    </row>
    <row r="2048" spans="1:20" ht="13.7" customHeight="1" x14ac:dyDescent="0.25">
      <c r="A2048" t="s">
        <v>26</v>
      </c>
      <c r="B2048" t="s">
        <v>27</v>
      </c>
      <c r="C2048" t="s">
        <v>91</v>
      </c>
      <c r="D2048">
        <v>80</v>
      </c>
      <c r="E2048" s="5">
        <v>43547</v>
      </c>
      <c r="F2048">
        <v>23803002</v>
      </c>
      <c r="G2048" t="s">
        <v>691</v>
      </c>
      <c r="H2048" t="s">
        <v>1539</v>
      </c>
      <c r="I2048" t="s">
        <v>1540</v>
      </c>
      <c r="J2048">
        <v>1009</v>
      </c>
      <c r="K2048">
        <v>1005</v>
      </c>
      <c r="L2048" s="3">
        <v>-76663</v>
      </c>
      <c r="M2048" s="3">
        <v>0</v>
      </c>
      <c r="N2048">
        <v>15459</v>
      </c>
      <c r="O2048">
        <v>0</v>
      </c>
      <c r="P2048">
        <v>-92122</v>
      </c>
      <c r="Q2048" t="s">
        <v>30</v>
      </c>
      <c r="R2048" t="s">
        <v>244</v>
      </c>
      <c r="S2048" t="str">
        <v>#N/A</v>
      </c>
      <c r="T2048" t="str">
        <v>31</v>
      </c>
    </row>
    <row r="2049" spans="1:20" ht="13.7" customHeight="1" x14ac:dyDescent="0.25">
      <c r="A2049" t="s">
        <v>26</v>
      </c>
      <c r="B2049" t="s">
        <v>27</v>
      </c>
      <c r="C2049" t="s">
        <v>34</v>
      </c>
      <c r="D2049">
        <v>71</v>
      </c>
      <c r="E2049" s="5">
        <v>43561</v>
      </c>
      <c r="F2049">
        <v>23803002</v>
      </c>
      <c r="G2049" t="s">
        <v>691</v>
      </c>
      <c r="H2049" t="s">
        <v>1539</v>
      </c>
      <c r="I2049" t="s">
        <v>1540</v>
      </c>
      <c r="J2049">
        <v>1009</v>
      </c>
      <c r="K2049">
        <v>1005</v>
      </c>
      <c r="L2049" s="3">
        <v>-92122</v>
      </c>
      <c r="M2049" s="3">
        <v>0</v>
      </c>
      <c r="N2049">
        <v>19205</v>
      </c>
      <c r="O2049">
        <v>0</v>
      </c>
      <c r="P2049">
        <v>-111327</v>
      </c>
      <c r="Q2049" t="s">
        <v>30</v>
      </c>
      <c r="R2049" t="s">
        <v>244</v>
      </c>
      <c r="S2049" t="str">
        <v>#N/A</v>
      </c>
      <c r="T2049" t="str">
        <v>31</v>
      </c>
    </row>
    <row r="2050" spans="1:20" ht="13.7" customHeight="1" x14ac:dyDescent="0.25">
      <c r="A2050" t="s">
        <v>26</v>
      </c>
      <c r="B2050" t="s">
        <v>27</v>
      </c>
      <c r="C2050" t="s">
        <v>34</v>
      </c>
      <c r="D2050">
        <v>71</v>
      </c>
      <c r="E2050" s="5">
        <v>43561</v>
      </c>
      <c r="F2050">
        <v>23803002</v>
      </c>
      <c r="G2050" t="s">
        <v>691</v>
      </c>
      <c r="H2050" t="s">
        <v>1539</v>
      </c>
      <c r="I2050" t="s">
        <v>1540</v>
      </c>
      <c r="J2050">
        <v>1009</v>
      </c>
      <c r="K2050">
        <v>1005</v>
      </c>
      <c r="L2050" s="3">
        <v>-111327</v>
      </c>
      <c r="M2050" s="3">
        <v>0</v>
      </c>
      <c r="N2050">
        <v>15459</v>
      </c>
      <c r="O2050">
        <v>0</v>
      </c>
      <c r="P2050">
        <v>-126786</v>
      </c>
      <c r="Q2050" t="s">
        <v>30</v>
      </c>
      <c r="R2050" t="s">
        <v>244</v>
      </c>
      <c r="S2050" t="str">
        <v>#N/A</v>
      </c>
      <c r="T2050" t="str">
        <v>31</v>
      </c>
    </row>
    <row r="2051" spans="1:20" ht="13.7" customHeight="1" x14ac:dyDescent="0.25">
      <c r="A2051" t="s">
        <v>26</v>
      </c>
      <c r="B2051" t="s">
        <v>27</v>
      </c>
      <c r="C2051" t="s">
        <v>34</v>
      </c>
      <c r="D2051">
        <v>72</v>
      </c>
      <c r="E2051" s="5">
        <v>43575</v>
      </c>
      <c r="F2051">
        <v>23803002</v>
      </c>
      <c r="G2051" t="s">
        <v>691</v>
      </c>
      <c r="H2051" t="s">
        <v>1539</v>
      </c>
      <c r="I2051" t="s">
        <v>1540</v>
      </c>
      <c r="J2051">
        <v>1009</v>
      </c>
      <c r="K2051">
        <v>1005</v>
      </c>
      <c r="L2051" s="3">
        <v>-126786</v>
      </c>
      <c r="M2051" s="3">
        <v>0</v>
      </c>
      <c r="N2051">
        <v>15459</v>
      </c>
      <c r="O2051">
        <v>0</v>
      </c>
      <c r="P2051">
        <v>-142245</v>
      </c>
      <c r="Q2051" t="s">
        <v>30</v>
      </c>
      <c r="R2051" t="s">
        <v>254</v>
      </c>
      <c r="S2051" t="str">
        <v>#N/A</v>
      </c>
      <c r="T2051" t="str">
        <v>31</v>
      </c>
    </row>
    <row r="2052" spans="1:20" ht="13.7" customHeight="1" x14ac:dyDescent="0.25">
      <c r="A2052" t="s">
        <v>26</v>
      </c>
      <c r="B2052" t="s">
        <v>27</v>
      </c>
      <c r="C2052" t="s">
        <v>35</v>
      </c>
      <c r="D2052">
        <v>97</v>
      </c>
      <c r="E2052" s="5">
        <v>43589</v>
      </c>
      <c r="F2052">
        <v>23803002</v>
      </c>
      <c r="G2052" t="s">
        <v>691</v>
      </c>
      <c r="H2052" t="s">
        <v>1539</v>
      </c>
      <c r="I2052" t="s">
        <v>1540</v>
      </c>
      <c r="J2052">
        <v>1009</v>
      </c>
      <c r="K2052">
        <v>1005</v>
      </c>
      <c r="L2052" s="3">
        <v>-142245</v>
      </c>
      <c r="M2052" s="3">
        <v>0</v>
      </c>
      <c r="N2052">
        <v>15458</v>
      </c>
      <c r="O2052">
        <v>0</v>
      </c>
      <c r="P2052">
        <v>-157703</v>
      </c>
      <c r="Q2052" t="s">
        <v>30</v>
      </c>
      <c r="R2052" t="s">
        <v>256</v>
      </c>
      <c r="S2052" t="str">
        <v>#N/A</v>
      </c>
      <c r="T2052" t="str">
        <v>31</v>
      </c>
    </row>
    <row r="2053" spans="1:20" ht="13.7" customHeight="1" x14ac:dyDescent="0.25">
      <c r="A2053" t="s">
        <v>26</v>
      </c>
      <c r="B2053" t="s">
        <v>27</v>
      </c>
      <c r="C2053" t="s">
        <v>35</v>
      </c>
      <c r="D2053">
        <v>98</v>
      </c>
      <c r="E2053" s="5">
        <v>43603</v>
      </c>
      <c r="F2053">
        <v>23803002</v>
      </c>
      <c r="G2053" t="s">
        <v>691</v>
      </c>
      <c r="H2053" t="s">
        <v>1539</v>
      </c>
      <c r="I2053" t="s">
        <v>1540</v>
      </c>
      <c r="J2053">
        <v>1009</v>
      </c>
      <c r="K2053">
        <v>1005</v>
      </c>
      <c r="L2053" s="3">
        <v>-157703</v>
      </c>
      <c r="M2053" s="3">
        <v>0</v>
      </c>
      <c r="N2053">
        <v>15458</v>
      </c>
      <c r="O2053">
        <v>0</v>
      </c>
      <c r="P2053">
        <v>-173161</v>
      </c>
      <c r="Q2053" t="s">
        <v>30</v>
      </c>
      <c r="R2053" t="s">
        <v>261</v>
      </c>
      <c r="S2053" t="str">
        <v>#N/A</v>
      </c>
      <c r="T2053" t="str">
        <v>31</v>
      </c>
    </row>
    <row r="2054" spans="1:20" ht="13.7" customHeight="1" x14ac:dyDescent="0.25">
      <c r="A2054" t="s">
        <v>26</v>
      </c>
      <c r="B2054" t="s">
        <v>27</v>
      </c>
      <c r="C2054" t="s">
        <v>36</v>
      </c>
      <c r="D2054">
        <v>70</v>
      </c>
      <c r="E2054" s="5">
        <v>43617</v>
      </c>
      <c r="F2054">
        <v>23803002</v>
      </c>
      <c r="G2054" t="s">
        <v>691</v>
      </c>
      <c r="H2054" t="s">
        <v>1539</v>
      </c>
      <c r="I2054" t="s">
        <v>1540</v>
      </c>
      <c r="J2054">
        <v>1009</v>
      </c>
      <c r="K2054">
        <v>1005</v>
      </c>
      <c r="L2054" s="3">
        <v>-173161</v>
      </c>
      <c r="M2054" s="3">
        <v>0</v>
      </c>
      <c r="N2054">
        <v>15458</v>
      </c>
      <c r="O2054">
        <v>0</v>
      </c>
      <c r="P2054">
        <v>-188619</v>
      </c>
      <c r="Q2054" t="s">
        <v>30</v>
      </c>
      <c r="R2054" t="s">
        <v>264</v>
      </c>
      <c r="S2054" t="str">
        <v>#N/A</v>
      </c>
      <c r="T2054" t="str">
        <v>31</v>
      </c>
    </row>
    <row r="2055" spans="1:20" ht="13.7" customHeight="1" x14ac:dyDescent="0.25">
      <c r="A2055" t="s">
        <v>26</v>
      </c>
      <c r="B2055" t="s">
        <v>27</v>
      </c>
      <c r="C2055" t="s">
        <v>36</v>
      </c>
      <c r="D2055">
        <v>71</v>
      </c>
      <c r="E2055" s="5">
        <v>43631</v>
      </c>
      <c r="F2055">
        <v>23803002</v>
      </c>
      <c r="G2055" t="s">
        <v>691</v>
      </c>
      <c r="H2055" t="s">
        <v>1539</v>
      </c>
      <c r="I2055" t="s">
        <v>1540</v>
      </c>
      <c r="J2055">
        <v>1009</v>
      </c>
      <c r="K2055">
        <v>1005</v>
      </c>
      <c r="L2055" s="3">
        <v>-188619</v>
      </c>
      <c r="M2055" s="3">
        <v>0</v>
      </c>
      <c r="N2055">
        <v>15458</v>
      </c>
      <c r="O2055">
        <v>0</v>
      </c>
      <c r="P2055">
        <v>-204077</v>
      </c>
      <c r="Q2055" t="s">
        <v>30</v>
      </c>
      <c r="R2055" t="s">
        <v>270</v>
      </c>
      <c r="S2055" t="str">
        <v>#N/A</v>
      </c>
      <c r="T2055" t="str">
        <v>31</v>
      </c>
    </row>
    <row r="2056" spans="1:20" ht="13.7" customHeight="1" x14ac:dyDescent="0.25">
      <c r="A2056" t="s">
        <v>26</v>
      </c>
      <c r="B2056" t="s">
        <v>27</v>
      </c>
      <c r="C2056" t="s">
        <v>36</v>
      </c>
      <c r="D2056">
        <v>73</v>
      </c>
      <c r="E2056" s="5">
        <v>43642</v>
      </c>
      <c r="F2056">
        <v>23803002</v>
      </c>
      <c r="G2056" t="s">
        <v>691</v>
      </c>
      <c r="H2056" t="s">
        <v>1539</v>
      </c>
      <c r="I2056" t="s">
        <v>1540</v>
      </c>
      <c r="J2056">
        <v>1009</v>
      </c>
      <c r="K2056">
        <v>1005</v>
      </c>
      <c r="L2056" s="3">
        <v>-204077</v>
      </c>
      <c r="M2056" s="3">
        <v>0</v>
      </c>
      <c r="N2056">
        <v>15458</v>
      </c>
      <c r="O2056">
        <v>0</v>
      </c>
      <c r="P2056">
        <v>-219535</v>
      </c>
      <c r="Q2056" t="s">
        <v>30</v>
      </c>
      <c r="R2056" t="s">
        <v>274</v>
      </c>
      <c r="S2056" t="str">
        <v>#N/A</v>
      </c>
      <c r="T2056" t="str">
        <v>31</v>
      </c>
    </row>
    <row r="2057" spans="1:20" ht="13.7" customHeight="1" x14ac:dyDescent="0.25">
      <c r="A2057" t="s">
        <v>26</v>
      </c>
      <c r="B2057" t="s">
        <v>27</v>
      </c>
      <c r="C2057" t="s">
        <v>37</v>
      </c>
      <c r="D2057">
        <v>66</v>
      </c>
      <c r="E2057" s="5">
        <v>43659</v>
      </c>
      <c r="F2057">
        <v>23803002</v>
      </c>
      <c r="G2057" t="s">
        <v>691</v>
      </c>
      <c r="H2057" t="s">
        <v>1539</v>
      </c>
      <c r="I2057" t="s">
        <v>1540</v>
      </c>
      <c r="J2057">
        <v>1009</v>
      </c>
      <c r="K2057">
        <v>1005</v>
      </c>
      <c r="L2057" s="3">
        <v>-219535</v>
      </c>
      <c r="M2057" s="3">
        <v>0</v>
      </c>
      <c r="N2057">
        <v>15459</v>
      </c>
      <c r="O2057">
        <v>0</v>
      </c>
      <c r="P2057">
        <v>-234994</v>
      </c>
      <c r="Q2057" t="s">
        <v>30</v>
      </c>
      <c r="R2057" t="s">
        <v>279</v>
      </c>
      <c r="S2057" t="str">
        <v>#N/A</v>
      </c>
      <c r="T2057" t="str">
        <v>31</v>
      </c>
    </row>
    <row r="2058" spans="1:20" ht="13.7" customHeight="1" x14ac:dyDescent="0.25">
      <c r="A2058" t="s">
        <v>26</v>
      </c>
      <c r="B2058" t="s">
        <v>27</v>
      </c>
      <c r="C2058" t="s">
        <v>37</v>
      </c>
      <c r="D2058">
        <v>67</v>
      </c>
      <c r="E2058" s="5">
        <v>43673</v>
      </c>
      <c r="F2058">
        <v>23803002</v>
      </c>
      <c r="G2058" t="s">
        <v>691</v>
      </c>
      <c r="H2058" t="s">
        <v>1539</v>
      </c>
      <c r="I2058" t="s">
        <v>1540</v>
      </c>
      <c r="J2058">
        <v>1009</v>
      </c>
      <c r="K2058">
        <v>1005</v>
      </c>
      <c r="L2058" s="3">
        <v>-234994</v>
      </c>
      <c r="M2058" s="3">
        <v>0</v>
      </c>
      <c r="N2058">
        <v>15458</v>
      </c>
      <c r="O2058">
        <v>0</v>
      </c>
      <c r="P2058">
        <v>-250452</v>
      </c>
      <c r="Q2058" t="s">
        <v>30</v>
      </c>
      <c r="R2058" t="s">
        <v>282</v>
      </c>
      <c r="S2058" t="str">
        <v>#N/A</v>
      </c>
      <c r="T2058" t="str">
        <v>31</v>
      </c>
    </row>
    <row r="2059" spans="1:20" ht="13.7" customHeight="1" x14ac:dyDescent="0.25">
      <c r="A2059" t="s">
        <v>26</v>
      </c>
      <c r="B2059" t="s">
        <v>27</v>
      </c>
      <c r="C2059" t="s">
        <v>38</v>
      </c>
      <c r="D2059">
        <v>56</v>
      </c>
      <c r="E2059" s="5">
        <v>43687</v>
      </c>
      <c r="F2059">
        <v>23803002</v>
      </c>
      <c r="G2059" t="s">
        <v>691</v>
      </c>
      <c r="H2059" t="s">
        <v>1539</v>
      </c>
      <c r="I2059" t="s">
        <v>1540</v>
      </c>
      <c r="J2059">
        <v>1009</v>
      </c>
      <c r="K2059">
        <v>1005</v>
      </c>
      <c r="L2059" s="3">
        <v>-250452</v>
      </c>
      <c r="M2059" s="3">
        <v>0</v>
      </c>
      <c r="N2059">
        <v>15458</v>
      </c>
      <c r="O2059">
        <v>0</v>
      </c>
      <c r="P2059">
        <v>-265910</v>
      </c>
      <c r="Q2059" t="s">
        <v>30</v>
      </c>
      <c r="R2059" t="s">
        <v>284</v>
      </c>
      <c r="S2059" t="str">
        <v>#N/A</v>
      </c>
      <c r="T2059" t="str">
        <v>31</v>
      </c>
    </row>
    <row r="2060" spans="1:20" ht="13.7" customHeight="1" x14ac:dyDescent="0.25">
      <c r="A2060" t="s">
        <v>26</v>
      </c>
      <c r="B2060" t="s">
        <v>27</v>
      </c>
      <c r="C2060" t="s">
        <v>38</v>
      </c>
      <c r="D2060">
        <v>57</v>
      </c>
      <c r="E2060" s="5">
        <v>43701</v>
      </c>
      <c r="F2060">
        <v>23803002</v>
      </c>
      <c r="G2060" t="s">
        <v>691</v>
      </c>
      <c r="H2060" t="s">
        <v>1539</v>
      </c>
      <c r="I2060" t="s">
        <v>1540</v>
      </c>
      <c r="J2060">
        <v>1009</v>
      </c>
      <c r="K2060">
        <v>1005</v>
      </c>
      <c r="L2060" s="3">
        <v>-265910</v>
      </c>
      <c r="M2060" s="3">
        <v>0</v>
      </c>
      <c r="N2060">
        <v>15458</v>
      </c>
      <c r="O2060">
        <v>0</v>
      </c>
      <c r="P2060">
        <v>-281368</v>
      </c>
      <c r="Q2060" t="s">
        <v>30</v>
      </c>
      <c r="R2060" t="s">
        <v>287</v>
      </c>
      <c r="S2060" t="str">
        <v>#N/A</v>
      </c>
      <c r="T2060" t="str">
        <v>31</v>
      </c>
    </row>
    <row r="2061" spans="1:20" ht="13.7" customHeight="1" x14ac:dyDescent="0.25">
      <c r="A2061" t="s">
        <v>26</v>
      </c>
      <c r="B2061" t="s">
        <v>27</v>
      </c>
      <c r="C2061" t="s">
        <v>39</v>
      </c>
      <c r="D2061">
        <v>68</v>
      </c>
      <c r="E2061" s="5">
        <v>43715</v>
      </c>
      <c r="F2061">
        <v>23803002</v>
      </c>
      <c r="G2061" t="s">
        <v>691</v>
      </c>
      <c r="H2061" t="s">
        <v>1539</v>
      </c>
      <c r="I2061" t="s">
        <v>1540</v>
      </c>
      <c r="J2061">
        <v>1009</v>
      </c>
      <c r="K2061">
        <v>1005</v>
      </c>
      <c r="L2061" s="3">
        <v>-281368</v>
      </c>
      <c r="M2061" s="3">
        <v>0</v>
      </c>
      <c r="N2061">
        <v>15458</v>
      </c>
      <c r="O2061">
        <v>0</v>
      </c>
      <c r="P2061">
        <v>-296826</v>
      </c>
      <c r="Q2061" t="s">
        <v>30</v>
      </c>
      <c r="R2061" t="s">
        <v>288</v>
      </c>
      <c r="S2061" t="str">
        <v>#N/A</v>
      </c>
      <c r="T2061" t="str">
        <v>31</v>
      </c>
    </row>
    <row r="2062" spans="1:20" ht="13.7" customHeight="1" x14ac:dyDescent="0.25">
      <c r="A2062" t="s">
        <v>26</v>
      </c>
      <c r="B2062" t="s">
        <v>27</v>
      </c>
      <c r="C2062" t="s">
        <v>39</v>
      </c>
      <c r="D2062">
        <v>69</v>
      </c>
      <c r="E2062" s="5">
        <v>43729</v>
      </c>
      <c r="F2062">
        <v>23803002</v>
      </c>
      <c r="G2062" t="s">
        <v>691</v>
      </c>
      <c r="H2062" t="s">
        <v>1539</v>
      </c>
      <c r="I2062" t="s">
        <v>1540</v>
      </c>
      <c r="J2062">
        <v>1009</v>
      </c>
      <c r="K2062">
        <v>1005</v>
      </c>
      <c r="L2062" s="3">
        <v>-296826</v>
      </c>
      <c r="M2062" s="3">
        <v>0</v>
      </c>
      <c r="N2062">
        <v>15458</v>
      </c>
      <c r="O2062">
        <v>0</v>
      </c>
      <c r="P2062">
        <v>-312284</v>
      </c>
      <c r="Q2062" t="s">
        <v>30</v>
      </c>
      <c r="R2062" t="s">
        <v>291</v>
      </c>
      <c r="S2062" t="str">
        <v>#N/A</v>
      </c>
      <c r="T2062" t="str">
        <v>31</v>
      </c>
    </row>
    <row r="2063" spans="1:20" ht="13.7" customHeight="1" x14ac:dyDescent="0.25">
      <c r="A2063" t="s">
        <v>26</v>
      </c>
      <c r="B2063" t="s">
        <v>27</v>
      </c>
      <c r="C2063" t="s">
        <v>40</v>
      </c>
      <c r="D2063">
        <v>61</v>
      </c>
      <c r="E2063" s="5">
        <v>43743</v>
      </c>
      <c r="F2063">
        <v>23803002</v>
      </c>
      <c r="G2063" t="s">
        <v>691</v>
      </c>
      <c r="H2063" t="s">
        <v>1539</v>
      </c>
      <c r="I2063" t="s">
        <v>1540</v>
      </c>
      <c r="J2063">
        <v>1009</v>
      </c>
      <c r="K2063">
        <v>1005</v>
      </c>
      <c r="L2063" s="3">
        <v>-312284</v>
      </c>
      <c r="M2063" s="3">
        <v>0</v>
      </c>
      <c r="N2063">
        <v>15458</v>
      </c>
      <c r="O2063">
        <v>0</v>
      </c>
      <c r="P2063">
        <v>-327742</v>
      </c>
      <c r="Q2063" t="s">
        <v>30</v>
      </c>
      <c r="R2063" t="s">
        <v>293</v>
      </c>
      <c r="S2063" t="str">
        <v>#N/A</v>
      </c>
      <c r="T2063" t="str">
        <v>31</v>
      </c>
    </row>
    <row r="2064" spans="1:20" ht="13.7" customHeight="1" x14ac:dyDescent="0.25">
      <c r="A2064" t="s">
        <v>26</v>
      </c>
      <c r="B2064" t="s">
        <v>27</v>
      </c>
      <c r="C2064" t="s">
        <v>41</v>
      </c>
      <c r="D2064">
        <v>76</v>
      </c>
      <c r="E2064" s="5">
        <v>43771</v>
      </c>
      <c r="F2064">
        <v>23803002</v>
      </c>
      <c r="G2064" t="s">
        <v>691</v>
      </c>
      <c r="H2064" t="s">
        <v>1539</v>
      </c>
      <c r="I2064" t="s">
        <v>1540</v>
      </c>
      <c r="J2064">
        <v>1009</v>
      </c>
      <c r="K2064">
        <v>1005</v>
      </c>
      <c r="L2064" s="3">
        <v>-327742</v>
      </c>
      <c r="M2064" s="3">
        <v>0</v>
      </c>
      <c r="N2064">
        <v>15458</v>
      </c>
      <c r="O2064">
        <v>0</v>
      </c>
      <c r="P2064">
        <v>-343200</v>
      </c>
      <c r="Q2064" t="s">
        <v>30</v>
      </c>
      <c r="R2064" t="s">
        <v>301</v>
      </c>
      <c r="S2064" t="str">
        <v>#N/A</v>
      </c>
      <c r="T2064" t="str">
        <v>31</v>
      </c>
    </row>
    <row r="2065" spans="1:20" ht="13.7" customHeight="1" x14ac:dyDescent="0.25">
      <c r="A2065" t="s">
        <v>26</v>
      </c>
      <c r="B2065" t="s">
        <v>27</v>
      </c>
      <c r="C2065" t="s">
        <v>41</v>
      </c>
      <c r="D2065">
        <v>77</v>
      </c>
      <c r="E2065" s="5">
        <v>43785</v>
      </c>
      <c r="F2065">
        <v>23803002</v>
      </c>
      <c r="G2065" t="s">
        <v>691</v>
      </c>
      <c r="H2065" t="s">
        <v>1539</v>
      </c>
      <c r="I2065" t="s">
        <v>1540</v>
      </c>
      <c r="J2065">
        <v>1009</v>
      </c>
      <c r="K2065">
        <v>1005</v>
      </c>
      <c r="L2065" s="3">
        <v>-343200</v>
      </c>
      <c r="M2065" s="3">
        <v>0</v>
      </c>
      <c r="N2065">
        <v>15458</v>
      </c>
      <c r="O2065">
        <v>0</v>
      </c>
      <c r="P2065">
        <v>-358658</v>
      </c>
      <c r="Q2065" t="s">
        <v>30</v>
      </c>
      <c r="R2065" t="s">
        <v>305</v>
      </c>
      <c r="S2065" t="str">
        <v>#N/A</v>
      </c>
      <c r="T2065" t="str">
        <v>31</v>
      </c>
    </row>
    <row r="2066" spans="1:20" ht="13.7" customHeight="1" x14ac:dyDescent="0.25">
      <c r="A2066" t="s">
        <v>26</v>
      </c>
      <c r="B2066" t="s">
        <v>27</v>
      </c>
      <c r="C2066" t="s">
        <v>41</v>
      </c>
      <c r="D2066">
        <v>78</v>
      </c>
      <c r="E2066" s="5">
        <v>43799</v>
      </c>
      <c r="F2066">
        <v>23803002</v>
      </c>
      <c r="G2066" t="s">
        <v>691</v>
      </c>
      <c r="H2066" t="s">
        <v>1539</v>
      </c>
      <c r="I2066" t="s">
        <v>1540</v>
      </c>
      <c r="J2066">
        <v>1009</v>
      </c>
      <c r="K2066">
        <v>1005</v>
      </c>
      <c r="L2066" s="3">
        <v>-358658</v>
      </c>
      <c r="M2066" s="3">
        <v>0</v>
      </c>
      <c r="N2066">
        <v>15458</v>
      </c>
      <c r="O2066">
        <v>0</v>
      </c>
      <c r="P2066">
        <v>-374116</v>
      </c>
      <c r="Q2066" t="s">
        <v>30</v>
      </c>
      <c r="R2066" t="s">
        <v>309</v>
      </c>
      <c r="S2066" t="str">
        <v>#N/A</v>
      </c>
      <c r="T2066" t="str">
        <v>31</v>
      </c>
    </row>
    <row r="2067" spans="1:20" ht="13.7" customHeight="1" x14ac:dyDescent="0.25">
      <c r="A2067" t="s">
        <v>26</v>
      </c>
      <c r="B2067" t="s">
        <v>27</v>
      </c>
      <c r="C2067" t="s">
        <v>180</v>
      </c>
      <c r="D2067">
        <v>1</v>
      </c>
      <c r="E2067" s="5">
        <v>43813</v>
      </c>
      <c r="F2067">
        <v>23803002</v>
      </c>
      <c r="G2067" t="s">
        <v>691</v>
      </c>
      <c r="H2067" t="s">
        <v>1539</v>
      </c>
      <c r="I2067" t="s">
        <v>1540</v>
      </c>
      <c r="J2067">
        <v>1009</v>
      </c>
      <c r="K2067">
        <v>1005</v>
      </c>
      <c r="L2067" s="3">
        <v>-374116</v>
      </c>
      <c r="M2067" s="3">
        <v>0</v>
      </c>
      <c r="N2067">
        <v>15458</v>
      </c>
      <c r="O2067">
        <v>0</v>
      </c>
      <c r="P2067">
        <v>-389574</v>
      </c>
      <c r="Q2067" t="s">
        <v>30</v>
      </c>
      <c r="R2067" t="s">
        <v>316</v>
      </c>
      <c r="S2067" t="str">
        <v>#N/A</v>
      </c>
      <c r="T2067" t="str">
        <v>31</v>
      </c>
    </row>
    <row r="2068" spans="1:20" ht="13.7" customHeight="1" x14ac:dyDescent="0.25">
      <c r="A2068" t="s">
        <v>26</v>
      </c>
      <c r="B2068" t="s">
        <v>27</v>
      </c>
      <c r="C2068" t="s">
        <v>180</v>
      </c>
      <c r="D2068">
        <v>90</v>
      </c>
      <c r="E2068" s="5">
        <v>43819</v>
      </c>
      <c r="F2068">
        <v>23803002</v>
      </c>
      <c r="G2068" t="s">
        <v>691</v>
      </c>
      <c r="H2068" t="s">
        <v>1539</v>
      </c>
      <c r="I2068" t="s">
        <v>1540</v>
      </c>
      <c r="J2068" t="e">
        <v>#N/A</v>
      </c>
      <c r="K2068" t="e">
        <v>#N/A</v>
      </c>
      <c r="L2068" s="3">
        <v>-389574</v>
      </c>
      <c r="M2068" s="3">
        <v>0</v>
      </c>
      <c r="N2068">
        <v>7729</v>
      </c>
      <c r="O2068">
        <v>0</v>
      </c>
      <c r="P2068">
        <v>-397303</v>
      </c>
      <c r="Q2068" t="s">
        <v>30</v>
      </c>
      <c r="R2068" t="s">
        <v>1503</v>
      </c>
      <c r="S2068" t="str">
        <v>#N/A</v>
      </c>
      <c r="T2068" t="str">
        <v>31</v>
      </c>
    </row>
    <row r="2069" spans="1:20" ht="13.7" customHeight="1" x14ac:dyDescent="0.25">
      <c r="A2069" t="s">
        <v>26</v>
      </c>
      <c r="B2069" t="s">
        <v>27</v>
      </c>
      <c r="C2069" t="s">
        <v>180</v>
      </c>
      <c r="D2069">
        <v>90</v>
      </c>
      <c r="E2069" s="5">
        <v>43819</v>
      </c>
      <c r="F2069">
        <v>23803002</v>
      </c>
      <c r="G2069" t="s">
        <v>691</v>
      </c>
      <c r="H2069" t="s">
        <v>1539</v>
      </c>
      <c r="I2069" t="s">
        <v>1540</v>
      </c>
      <c r="J2069" t="e">
        <v>#N/A</v>
      </c>
      <c r="K2069" t="e">
        <v>#N/A</v>
      </c>
      <c r="L2069" s="3">
        <v>-397303</v>
      </c>
      <c r="M2069" s="3">
        <v>0</v>
      </c>
      <c r="N2069">
        <v>7729</v>
      </c>
      <c r="O2069">
        <v>0</v>
      </c>
      <c r="P2069">
        <v>-405032</v>
      </c>
      <c r="Q2069" t="s">
        <v>30</v>
      </c>
      <c r="R2069" t="s">
        <v>1503</v>
      </c>
      <c r="S2069" t="str">
        <v>#N/A</v>
      </c>
      <c r="T2069" t="str">
        <v>31</v>
      </c>
    </row>
    <row r="2070" spans="1:20" ht="13.7" customHeight="1" x14ac:dyDescent="0.25">
      <c r="E2070" s="5">
        <v>43465</v>
      </c>
      <c r="F2070">
        <v>24080505</v>
      </c>
      <c r="G2070" t="s">
        <v>692</v>
      </c>
      <c r="H2070" t="s">
        <v>1145</v>
      </c>
      <c r="I2070" t="s">
        <v>1146</v>
      </c>
      <c r="J2070">
        <v>0</v>
      </c>
      <c r="K2070">
        <v>0</v>
      </c>
      <c r="L2070" s="3">
        <v>-23750</v>
      </c>
      <c r="M2070" s="3">
        <v>0</v>
      </c>
      <c r="N2070">
        <v>0</v>
      </c>
      <c r="O2070">
        <v>-125000</v>
      </c>
      <c r="P2070">
        <v>-23750</v>
      </c>
      <c r="R2070" t="s">
        <v>1100</v>
      </c>
      <c r="S2070" t="str">
        <v>#N/A</v>
      </c>
      <c r="T2070" t="str">
        <v>#N/A</v>
      </c>
    </row>
    <row r="2071" spans="1:20" ht="13.7" customHeight="1" x14ac:dyDescent="0.25">
      <c r="E2071" s="5">
        <v>43465</v>
      </c>
      <c r="F2071">
        <v>24080505</v>
      </c>
      <c r="G2071" t="s">
        <v>692</v>
      </c>
      <c r="H2071" t="s">
        <v>1127</v>
      </c>
      <c r="I2071" t="s">
        <v>1128</v>
      </c>
      <c r="J2071">
        <v>0</v>
      </c>
      <c r="K2071">
        <v>0</v>
      </c>
      <c r="L2071" s="3">
        <v>-7431702.5599999996</v>
      </c>
      <c r="M2071" s="3">
        <v>0</v>
      </c>
      <c r="N2071">
        <v>0</v>
      </c>
      <c r="O2071">
        <v>-39114224</v>
      </c>
      <c r="P2071">
        <v>-7431702.5599999996</v>
      </c>
      <c r="R2071" t="s">
        <v>1100</v>
      </c>
      <c r="S2071" t="str">
        <v>#N/A</v>
      </c>
      <c r="T2071" t="str">
        <v>#N/A</v>
      </c>
    </row>
    <row r="2072" spans="1:20" ht="13.7" customHeight="1" x14ac:dyDescent="0.25">
      <c r="A2072" t="s">
        <v>320</v>
      </c>
      <c r="B2072" t="s">
        <v>321</v>
      </c>
      <c r="C2072" t="s">
        <v>142</v>
      </c>
      <c r="D2072">
        <v>335</v>
      </c>
      <c r="E2072" s="5">
        <v>43466</v>
      </c>
      <c r="F2072">
        <v>24080505</v>
      </c>
      <c r="G2072" t="s">
        <v>692</v>
      </c>
      <c r="H2072" t="s">
        <v>1127</v>
      </c>
      <c r="I2072" t="s">
        <v>1128</v>
      </c>
      <c r="J2072">
        <v>1006</v>
      </c>
      <c r="K2072" t="s">
        <v>693</v>
      </c>
      <c r="L2072" s="3">
        <v>-7431702.5599999996</v>
      </c>
      <c r="M2072" s="3">
        <v>0</v>
      </c>
      <c r="N2072">
        <v>47819.199999999997</v>
      </c>
      <c r="O2072">
        <v>-251680</v>
      </c>
      <c r="P2072">
        <v>-7479521.7599999998</v>
      </c>
      <c r="Q2072" t="s">
        <v>30</v>
      </c>
      <c r="R2072" t="s">
        <v>695</v>
      </c>
      <c r="S2072" t="str">
        <v>#N/A</v>
      </c>
      <c r="T2072" t="str">
        <v>#N/A</v>
      </c>
    </row>
    <row r="2073" spans="1:20" ht="13.7" customHeight="1" x14ac:dyDescent="0.25">
      <c r="A2073" t="s">
        <v>320</v>
      </c>
      <c r="B2073" t="s">
        <v>321</v>
      </c>
      <c r="C2073" t="s">
        <v>142</v>
      </c>
      <c r="D2073">
        <v>337</v>
      </c>
      <c r="E2073" s="5">
        <v>43481</v>
      </c>
      <c r="F2073">
        <v>24080505</v>
      </c>
      <c r="G2073" t="s">
        <v>692</v>
      </c>
      <c r="H2073" t="s">
        <v>1127</v>
      </c>
      <c r="I2073" t="s">
        <v>1128</v>
      </c>
      <c r="J2073">
        <v>1006</v>
      </c>
      <c r="K2073" t="s">
        <v>693</v>
      </c>
      <c r="L2073" s="3">
        <v>-7479521.7599999998</v>
      </c>
      <c r="M2073" s="3">
        <v>0</v>
      </c>
      <c r="N2073">
        <v>75641.279999999999</v>
      </c>
      <c r="O2073">
        <v>-398112</v>
      </c>
      <c r="P2073">
        <v>-7555163.04</v>
      </c>
      <c r="Q2073" t="s">
        <v>30</v>
      </c>
      <c r="R2073" t="s">
        <v>697</v>
      </c>
      <c r="S2073" t="str">
        <v>#N/A</v>
      </c>
      <c r="T2073" t="str">
        <v>#N/A</v>
      </c>
    </row>
    <row r="2074" spans="1:20" ht="13.7" customHeight="1" x14ac:dyDescent="0.25">
      <c r="A2074" t="s">
        <v>320</v>
      </c>
      <c r="B2074" t="s">
        <v>321</v>
      </c>
      <c r="C2074" t="s">
        <v>142</v>
      </c>
      <c r="D2074">
        <v>340</v>
      </c>
      <c r="E2074" s="5">
        <v>43482</v>
      </c>
      <c r="F2074">
        <v>24080505</v>
      </c>
      <c r="G2074" t="s">
        <v>692</v>
      </c>
      <c r="H2074" t="s">
        <v>1127</v>
      </c>
      <c r="I2074" t="s">
        <v>1128</v>
      </c>
      <c r="J2074">
        <v>1006</v>
      </c>
      <c r="K2074" t="s">
        <v>693</v>
      </c>
      <c r="L2074" s="3">
        <v>-7555163.04</v>
      </c>
      <c r="M2074" s="3">
        <v>0</v>
      </c>
      <c r="N2074">
        <v>51582.720000000001</v>
      </c>
      <c r="O2074">
        <v>-271488</v>
      </c>
      <c r="P2074">
        <v>-7606745.7599999998</v>
      </c>
      <c r="Q2074" t="s">
        <v>30</v>
      </c>
      <c r="R2074" t="s">
        <v>700</v>
      </c>
      <c r="S2074" t="str">
        <v>#N/A</v>
      </c>
      <c r="T2074" t="str">
        <v>#N/A</v>
      </c>
    </row>
    <row r="2075" spans="1:20" ht="13.7" customHeight="1" x14ac:dyDescent="0.25">
      <c r="A2075" t="s">
        <v>320</v>
      </c>
      <c r="B2075" t="s">
        <v>321</v>
      </c>
      <c r="C2075" t="s">
        <v>142</v>
      </c>
      <c r="D2075">
        <v>342</v>
      </c>
      <c r="E2075" s="5">
        <v>43484</v>
      </c>
      <c r="F2075">
        <v>24080505</v>
      </c>
      <c r="G2075" t="s">
        <v>692</v>
      </c>
      <c r="H2075" t="s">
        <v>1127</v>
      </c>
      <c r="I2075" t="s">
        <v>1128</v>
      </c>
      <c r="J2075">
        <v>1006</v>
      </c>
      <c r="K2075" t="s">
        <v>693</v>
      </c>
      <c r="L2075" s="3">
        <v>-7606745.7599999998</v>
      </c>
      <c r="M2075" s="3">
        <v>0</v>
      </c>
      <c r="N2075">
        <v>52668</v>
      </c>
      <c r="O2075">
        <v>-277200</v>
      </c>
      <c r="P2075">
        <v>-7659413.7599999998</v>
      </c>
      <c r="Q2075" t="s">
        <v>30</v>
      </c>
      <c r="R2075" t="s">
        <v>702</v>
      </c>
      <c r="S2075" t="str">
        <v>#N/A</v>
      </c>
      <c r="T2075" t="str">
        <v>#N/A</v>
      </c>
    </row>
    <row r="2076" spans="1:20" ht="13.7" customHeight="1" x14ac:dyDescent="0.25">
      <c r="A2076" t="s">
        <v>320</v>
      </c>
      <c r="B2076" t="s">
        <v>321</v>
      </c>
      <c r="C2076" t="s">
        <v>142</v>
      </c>
      <c r="D2076">
        <v>343</v>
      </c>
      <c r="E2076" s="5">
        <v>43486</v>
      </c>
      <c r="F2076">
        <v>24080505</v>
      </c>
      <c r="G2076" t="s">
        <v>692</v>
      </c>
      <c r="H2076" t="s">
        <v>1127</v>
      </c>
      <c r="I2076" t="s">
        <v>1128</v>
      </c>
      <c r="J2076">
        <v>1006</v>
      </c>
      <c r="K2076" t="s">
        <v>693</v>
      </c>
      <c r="L2076" s="3">
        <v>-7659413.7599999998</v>
      </c>
      <c r="M2076" s="3">
        <v>0</v>
      </c>
      <c r="N2076">
        <v>87286</v>
      </c>
      <c r="O2076">
        <v>-459400</v>
      </c>
      <c r="P2076">
        <v>-7746699.7599999998</v>
      </c>
      <c r="Q2076" t="s">
        <v>30</v>
      </c>
      <c r="R2076" t="s">
        <v>703</v>
      </c>
      <c r="S2076" t="str">
        <v>#N/A</v>
      </c>
      <c r="T2076" t="str">
        <v>#N/A</v>
      </c>
    </row>
    <row r="2077" spans="1:20" ht="13.7" customHeight="1" x14ac:dyDescent="0.25">
      <c r="A2077" t="s">
        <v>320</v>
      </c>
      <c r="B2077" t="s">
        <v>321</v>
      </c>
      <c r="C2077" t="s">
        <v>142</v>
      </c>
      <c r="D2077">
        <v>345</v>
      </c>
      <c r="E2077" s="5">
        <v>43487</v>
      </c>
      <c r="F2077">
        <v>24080505</v>
      </c>
      <c r="G2077" t="s">
        <v>692</v>
      </c>
      <c r="H2077" t="s">
        <v>1127</v>
      </c>
      <c r="I2077" t="s">
        <v>1128</v>
      </c>
      <c r="J2077">
        <v>1006</v>
      </c>
      <c r="K2077" t="s">
        <v>693</v>
      </c>
      <c r="L2077" s="3">
        <v>-7746699.7599999998</v>
      </c>
      <c r="M2077" s="3">
        <v>0</v>
      </c>
      <c r="N2077">
        <v>76152</v>
      </c>
      <c r="O2077">
        <v>-400800</v>
      </c>
      <c r="P2077">
        <v>-7822851.7599999998</v>
      </c>
      <c r="Q2077" t="s">
        <v>30</v>
      </c>
      <c r="R2077" t="s">
        <v>705</v>
      </c>
      <c r="S2077" t="str">
        <v>#N/A</v>
      </c>
      <c r="T2077" t="str">
        <v>#N/A</v>
      </c>
    </row>
    <row r="2078" spans="1:20" ht="13.7" customHeight="1" x14ac:dyDescent="0.25">
      <c r="A2078" t="s">
        <v>320</v>
      </c>
      <c r="B2078" t="s">
        <v>321</v>
      </c>
      <c r="C2078" t="s">
        <v>142</v>
      </c>
      <c r="D2078">
        <v>346</v>
      </c>
      <c r="E2078" s="5">
        <v>43489</v>
      </c>
      <c r="F2078">
        <v>24080505</v>
      </c>
      <c r="G2078" t="s">
        <v>692</v>
      </c>
      <c r="H2078" t="s">
        <v>1127</v>
      </c>
      <c r="I2078" t="s">
        <v>1128</v>
      </c>
      <c r="J2078">
        <v>1006</v>
      </c>
      <c r="K2078" t="s">
        <v>693</v>
      </c>
      <c r="L2078" s="3">
        <v>-7822851.7599999998</v>
      </c>
      <c r="M2078" s="3">
        <v>0</v>
      </c>
      <c r="N2078">
        <v>73697.2</v>
      </c>
      <c r="O2078">
        <v>-387880</v>
      </c>
      <c r="P2078">
        <v>-7896548.96</v>
      </c>
      <c r="Q2078" t="s">
        <v>30</v>
      </c>
      <c r="R2078" t="s">
        <v>706</v>
      </c>
      <c r="S2078" t="str">
        <v>#N/A</v>
      </c>
      <c r="T2078" t="str">
        <v>#N/A</v>
      </c>
    </row>
    <row r="2079" spans="1:20" ht="13.7" customHeight="1" x14ac:dyDescent="0.25">
      <c r="A2079" t="s">
        <v>320</v>
      </c>
      <c r="B2079" t="s">
        <v>321</v>
      </c>
      <c r="C2079" t="s">
        <v>142</v>
      </c>
      <c r="D2079">
        <v>347</v>
      </c>
      <c r="E2079" s="5">
        <v>43490</v>
      </c>
      <c r="F2079">
        <v>24080505</v>
      </c>
      <c r="G2079" t="s">
        <v>692</v>
      </c>
      <c r="H2079" t="s">
        <v>1127</v>
      </c>
      <c r="I2079" t="s">
        <v>1128</v>
      </c>
      <c r="J2079">
        <v>1006</v>
      </c>
      <c r="K2079" t="s">
        <v>693</v>
      </c>
      <c r="L2079" s="3">
        <v>-7896548.96</v>
      </c>
      <c r="M2079" s="3">
        <v>0</v>
      </c>
      <c r="N2079">
        <v>15473.6</v>
      </c>
      <c r="O2079">
        <v>-81440</v>
      </c>
      <c r="P2079">
        <v>-7912022.5599999996</v>
      </c>
      <c r="Q2079" t="s">
        <v>30</v>
      </c>
      <c r="R2079" t="s">
        <v>707</v>
      </c>
      <c r="S2079" t="str">
        <v>#N/A</v>
      </c>
      <c r="T2079" t="str">
        <v>#N/A</v>
      </c>
    </row>
    <row r="2080" spans="1:20" ht="13.7" customHeight="1" x14ac:dyDescent="0.25">
      <c r="A2080" t="s">
        <v>320</v>
      </c>
      <c r="B2080" t="s">
        <v>321</v>
      </c>
      <c r="C2080" t="s">
        <v>142</v>
      </c>
      <c r="D2080">
        <v>350</v>
      </c>
      <c r="E2080" s="5">
        <v>43495</v>
      </c>
      <c r="F2080">
        <v>24080505</v>
      </c>
      <c r="G2080" t="s">
        <v>692</v>
      </c>
      <c r="H2080" t="s">
        <v>1127</v>
      </c>
      <c r="I2080" t="s">
        <v>1128</v>
      </c>
      <c r="J2080">
        <v>1006</v>
      </c>
      <c r="K2080" t="s">
        <v>693</v>
      </c>
      <c r="L2080" s="3">
        <v>-7912022.5599999996</v>
      </c>
      <c r="M2080" s="3">
        <v>0</v>
      </c>
      <c r="N2080">
        <v>93191.2</v>
      </c>
      <c r="O2080">
        <v>-490480</v>
      </c>
      <c r="P2080">
        <v>-8005213.7599999998</v>
      </c>
      <c r="Q2080" t="s">
        <v>30</v>
      </c>
      <c r="R2080" t="s">
        <v>708</v>
      </c>
      <c r="S2080" t="str">
        <v>#N/A</v>
      </c>
      <c r="T2080" t="str">
        <v>#N/A</v>
      </c>
    </row>
    <row r="2081" spans="1:20" ht="13.7" customHeight="1" x14ac:dyDescent="0.25">
      <c r="A2081" t="s">
        <v>320</v>
      </c>
      <c r="B2081" t="s">
        <v>321</v>
      </c>
      <c r="C2081" t="s">
        <v>142</v>
      </c>
      <c r="D2081">
        <v>355</v>
      </c>
      <c r="E2081" s="5">
        <v>43501</v>
      </c>
      <c r="F2081">
        <v>24080505</v>
      </c>
      <c r="G2081" t="s">
        <v>692</v>
      </c>
      <c r="H2081" t="s">
        <v>1127</v>
      </c>
      <c r="I2081" t="s">
        <v>1128</v>
      </c>
      <c r="J2081">
        <v>1006</v>
      </c>
      <c r="K2081" t="s">
        <v>693</v>
      </c>
      <c r="L2081" s="3">
        <v>-8005213.7599999998</v>
      </c>
      <c r="M2081" s="3">
        <v>0</v>
      </c>
      <c r="N2081">
        <v>167580</v>
      </c>
      <c r="O2081">
        <v>-882000</v>
      </c>
      <c r="P2081">
        <v>-8172793.7599999998</v>
      </c>
      <c r="Q2081" t="s">
        <v>30</v>
      </c>
      <c r="R2081" t="s">
        <v>712</v>
      </c>
      <c r="S2081" t="str">
        <v>#N/A</v>
      </c>
      <c r="T2081" t="str">
        <v>#N/A</v>
      </c>
    </row>
    <row r="2082" spans="1:20" ht="13.7" customHeight="1" x14ac:dyDescent="0.25">
      <c r="A2082" t="s">
        <v>320</v>
      </c>
      <c r="B2082" t="s">
        <v>321</v>
      </c>
      <c r="C2082" t="s">
        <v>142</v>
      </c>
      <c r="D2082">
        <v>356</v>
      </c>
      <c r="E2082" s="5">
        <v>43504</v>
      </c>
      <c r="F2082">
        <v>24080505</v>
      </c>
      <c r="G2082" t="s">
        <v>692</v>
      </c>
      <c r="H2082" t="s">
        <v>1127</v>
      </c>
      <c r="I2082" t="s">
        <v>1128</v>
      </c>
      <c r="J2082">
        <v>1006</v>
      </c>
      <c r="K2082" t="s">
        <v>693</v>
      </c>
      <c r="L2082" s="3">
        <v>-8172793.7599999998</v>
      </c>
      <c r="M2082" s="3">
        <v>0</v>
      </c>
      <c r="N2082">
        <v>103664</v>
      </c>
      <c r="O2082">
        <v>-545600</v>
      </c>
      <c r="P2082">
        <v>-8276457.7599999998</v>
      </c>
      <c r="Q2082" t="s">
        <v>30</v>
      </c>
      <c r="R2082" t="s">
        <v>713</v>
      </c>
      <c r="S2082" t="str">
        <v>#N/A</v>
      </c>
      <c r="T2082" t="str">
        <v>#N/A</v>
      </c>
    </row>
    <row r="2083" spans="1:20" ht="13.7" customHeight="1" x14ac:dyDescent="0.25">
      <c r="A2083" t="s">
        <v>320</v>
      </c>
      <c r="B2083" t="s">
        <v>321</v>
      </c>
      <c r="C2083" t="s">
        <v>142</v>
      </c>
      <c r="D2083">
        <v>365</v>
      </c>
      <c r="E2083" s="5">
        <v>43511</v>
      </c>
      <c r="F2083">
        <v>24080505</v>
      </c>
      <c r="G2083" t="s">
        <v>692</v>
      </c>
      <c r="H2083" t="s">
        <v>1127</v>
      </c>
      <c r="I2083" t="s">
        <v>1128</v>
      </c>
      <c r="J2083">
        <v>1006</v>
      </c>
      <c r="K2083" t="s">
        <v>693</v>
      </c>
      <c r="L2083" s="3">
        <v>-8276457.7599999998</v>
      </c>
      <c r="M2083" s="3">
        <v>0</v>
      </c>
      <c r="N2083">
        <v>516085.6</v>
      </c>
      <c r="O2083">
        <v>-2716240</v>
      </c>
      <c r="P2083">
        <v>-8792543.3599999994</v>
      </c>
      <c r="Q2083" t="s">
        <v>30</v>
      </c>
      <c r="R2083" t="s">
        <v>721</v>
      </c>
      <c r="S2083" t="str">
        <v>#N/A</v>
      </c>
      <c r="T2083" t="str">
        <v>#N/A</v>
      </c>
    </row>
    <row r="2084" spans="1:20" ht="13.7" customHeight="1" x14ac:dyDescent="0.25">
      <c r="A2084" t="s">
        <v>320</v>
      </c>
      <c r="B2084" t="s">
        <v>321</v>
      </c>
      <c r="C2084" t="s">
        <v>142</v>
      </c>
      <c r="D2084">
        <v>366</v>
      </c>
      <c r="E2084" s="5">
        <v>43512</v>
      </c>
      <c r="F2084">
        <v>24080505</v>
      </c>
      <c r="G2084" t="s">
        <v>692</v>
      </c>
      <c r="H2084" t="s">
        <v>1127</v>
      </c>
      <c r="I2084" t="s">
        <v>1128</v>
      </c>
      <c r="J2084">
        <v>1006</v>
      </c>
      <c r="K2084" t="s">
        <v>693</v>
      </c>
      <c r="L2084" s="3">
        <v>-8792543.3599999994</v>
      </c>
      <c r="M2084" s="3">
        <v>0</v>
      </c>
      <c r="N2084">
        <v>76608</v>
      </c>
      <c r="O2084">
        <v>-403200</v>
      </c>
      <c r="P2084">
        <v>-8869151.3599999994</v>
      </c>
      <c r="Q2084" t="s">
        <v>30</v>
      </c>
      <c r="R2084" t="s">
        <v>722</v>
      </c>
      <c r="S2084" t="str">
        <v>#N/A</v>
      </c>
      <c r="T2084" t="str">
        <v>#N/A</v>
      </c>
    </row>
    <row r="2085" spans="1:20" ht="13.7" customHeight="1" x14ac:dyDescent="0.25">
      <c r="A2085" t="s">
        <v>320</v>
      </c>
      <c r="B2085" t="s">
        <v>321</v>
      </c>
      <c r="C2085" t="s">
        <v>142</v>
      </c>
      <c r="D2085">
        <v>372</v>
      </c>
      <c r="E2085" s="5">
        <v>43517</v>
      </c>
      <c r="F2085">
        <v>24080505</v>
      </c>
      <c r="G2085" t="s">
        <v>692</v>
      </c>
      <c r="H2085" t="s">
        <v>1127</v>
      </c>
      <c r="I2085" t="s">
        <v>1128</v>
      </c>
      <c r="J2085">
        <v>1006</v>
      </c>
      <c r="K2085" t="s">
        <v>693</v>
      </c>
      <c r="L2085" s="3">
        <v>-8869151.3599999994</v>
      </c>
      <c r="M2085" s="3">
        <v>0</v>
      </c>
      <c r="N2085">
        <v>27246</v>
      </c>
      <c r="O2085">
        <v>-143400</v>
      </c>
      <c r="P2085">
        <v>-8896397.3599999994</v>
      </c>
      <c r="Q2085" t="s">
        <v>30</v>
      </c>
      <c r="R2085" t="s">
        <v>363</v>
      </c>
      <c r="S2085" t="str">
        <v>#N/A</v>
      </c>
      <c r="T2085" t="str">
        <v>#N/A</v>
      </c>
    </row>
    <row r="2086" spans="1:20" ht="13.7" customHeight="1" x14ac:dyDescent="0.25">
      <c r="A2086" t="s">
        <v>320</v>
      </c>
      <c r="B2086" t="s">
        <v>321</v>
      </c>
      <c r="C2086" t="s">
        <v>142</v>
      </c>
      <c r="D2086">
        <v>378</v>
      </c>
      <c r="E2086" s="5">
        <v>43530</v>
      </c>
      <c r="F2086">
        <v>24080505</v>
      </c>
      <c r="G2086" t="s">
        <v>692</v>
      </c>
      <c r="H2086" t="s">
        <v>1127</v>
      </c>
      <c r="I2086" t="s">
        <v>1128</v>
      </c>
      <c r="J2086">
        <v>1006</v>
      </c>
      <c r="K2086" t="s">
        <v>693</v>
      </c>
      <c r="L2086" s="3">
        <v>-8896397.3599999994</v>
      </c>
      <c r="M2086" s="3">
        <v>0</v>
      </c>
      <c r="N2086">
        <v>253830.5</v>
      </c>
      <c r="O2086">
        <v>-1335950</v>
      </c>
      <c r="P2086">
        <v>-9150227.8599999994</v>
      </c>
      <c r="Q2086" t="s">
        <v>30</v>
      </c>
      <c r="R2086" t="s">
        <v>394</v>
      </c>
      <c r="S2086" t="str">
        <v>#N/A</v>
      </c>
      <c r="T2086" t="str">
        <v>#N/A</v>
      </c>
    </row>
    <row r="2087" spans="1:20" ht="13.7" customHeight="1" x14ac:dyDescent="0.25">
      <c r="A2087" t="s">
        <v>320</v>
      </c>
      <c r="B2087" t="s">
        <v>321</v>
      </c>
      <c r="C2087" t="s">
        <v>142</v>
      </c>
      <c r="D2087">
        <v>380</v>
      </c>
      <c r="E2087" s="5">
        <v>43533</v>
      </c>
      <c r="F2087">
        <v>24080505</v>
      </c>
      <c r="G2087" t="s">
        <v>692</v>
      </c>
      <c r="H2087" t="s">
        <v>1127</v>
      </c>
      <c r="I2087" t="s">
        <v>1128</v>
      </c>
      <c r="J2087">
        <v>1006</v>
      </c>
      <c r="K2087" t="s">
        <v>693</v>
      </c>
      <c r="L2087" s="3">
        <v>-9150227.8599999994</v>
      </c>
      <c r="M2087" s="3">
        <v>0</v>
      </c>
      <c r="N2087">
        <v>248216</v>
      </c>
      <c r="O2087">
        <v>-1306400</v>
      </c>
      <c r="P2087">
        <v>-9398443.8599999994</v>
      </c>
      <c r="Q2087" t="s">
        <v>30</v>
      </c>
      <c r="R2087" t="s">
        <v>398</v>
      </c>
      <c r="S2087" t="str">
        <v>#N/A</v>
      </c>
      <c r="T2087" t="str">
        <v>#N/A</v>
      </c>
    </row>
    <row r="2088" spans="1:20" ht="13.7" customHeight="1" x14ac:dyDescent="0.25">
      <c r="A2088" t="s">
        <v>320</v>
      </c>
      <c r="B2088" t="s">
        <v>321</v>
      </c>
      <c r="C2088" t="s">
        <v>142</v>
      </c>
      <c r="D2088">
        <v>382</v>
      </c>
      <c r="E2088" s="5">
        <v>43536</v>
      </c>
      <c r="F2088">
        <v>24080505</v>
      </c>
      <c r="G2088" t="s">
        <v>692</v>
      </c>
      <c r="H2088" t="s">
        <v>1127</v>
      </c>
      <c r="I2088" t="s">
        <v>1128</v>
      </c>
      <c r="J2088">
        <v>1006</v>
      </c>
      <c r="K2088" t="s">
        <v>693</v>
      </c>
      <c r="L2088" s="3">
        <v>-9398443.8599999994</v>
      </c>
      <c r="M2088" s="3">
        <v>0</v>
      </c>
      <c r="N2088">
        <v>94620</v>
      </c>
      <c r="O2088">
        <v>-498000</v>
      </c>
      <c r="P2088">
        <v>-9493063.8599999994</v>
      </c>
      <c r="Q2088" t="s">
        <v>30</v>
      </c>
      <c r="R2088" t="s">
        <v>400</v>
      </c>
      <c r="S2088" t="str">
        <v>#N/A</v>
      </c>
      <c r="T2088" t="str">
        <v>#N/A</v>
      </c>
    </row>
    <row r="2089" spans="1:20" ht="13.7" customHeight="1" x14ac:dyDescent="0.25">
      <c r="A2089" t="s">
        <v>320</v>
      </c>
      <c r="B2089" t="s">
        <v>321</v>
      </c>
      <c r="C2089" t="s">
        <v>142</v>
      </c>
      <c r="D2089">
        <v>384</v>
      </c>
      <c r="E2089" s="5">
        <v>43542</v>
      </c>
      <c r="F2089">
        <v>24080505</v>
      </c>
      <c r="G2089" t="s">
        <v>692</v>
      </c>
      <c r="H2089" t="s">
        <v>1127</v>
      </c>
      <c r="I2089" t="s">
        <v>1128</v>
      </c>
      <c r="J2089">
        <v>1006</v>
      </c>
      <c r="K2089" t="s">
        <v>693</v>
      </c>
      <c r="L2089" s="3">
        <v>-9493063.8599999994</v>
      </c>
      <c r="M2089" s="3">
        <v>0</v>
      </c>
      <c r="N2089">
        <v>12331</v>
      </c>
      <c r="O2089">
        <v>-64900</v>
      </c>
      <c r="P2089">
        <v>-9505394.8599999994</v>
      </c>
      <c r="Q2089" t="s">
        <v>30</v>
      </c>
      <c r="R2089" t="s">
        <v>406</v>
      </c>
      <c r="S2089" t="str">
        <v>#N/A</v>
      </c>
      <c r="T2089" t="str">
        <v>#N/A</v>
      </c>
    </row>
    <row r="2090" spans="1:20" ht="13.7" customHeight="1" x14ac:dyDescent="0.25">
      <c r="A2090" t="s">
        <v>320</v>
      </c>
      <c r="B2090" t="s">
        <v>321</v>
      </c>
      <c r="C2090" t="s">
        <v>142</v>
      </c>
      <c r="D2090">
        <v>392</v>
      </c>
      <c r="E2090" s="5">
        <v>43553</v>
      </c>
      <c r="F2090">
        <v>24080505</v>
      </c>
      <c r="G2090" t="s">
        <v>692</v>
      </c>
      <c r="H2090" t="s">
        <v>1127</v>
      </c>
      <c r="I2090" t="s">
        <v>1128</v>
      </c>
      <c r="J2090">
        <v>1006</v>
      </c>
      <c r="K2090" t="s">
        <v>693</v>
      </c>
      <c r="L2090" s="3">
        <v>-9505394.8599999994</v>
      </c>
      <c r="M2090" s="3">
        <v>0</v>
      </c>
      <c r="N2090">
        <v>23750</v>
      </c>
      <c r="O2090">
        <v>-125000</v>
      </c>
      <c r="P2090">
        <v>-9529144.8599999994</v>
      </c>
      <c r="Q2090" t="s">
        <v>30</v>
      </c>
      <c r="R2090" t="s">
        <v>418</v>
      </c>
      <c r="S2090" t="str">
        <v>#N/A</v>
      </c>
      <c r="T2090" t="str">
        <v>#N/A</v>
      </c>
    </row>
    <row r="2091" spans="1:20" ht="13.7" customHeight="1" x14ac:dyDescent="0.25">
      <c r="A2091" t="s">
        <v>320</v>
      </c>
      <c r="B2091" t="s">
        <v>321</v>
      </c>
      <c r="C2091" t="s">
        <v>142</v>
      </c>
      <c r="D2091">
        <v>394</v>
      </c>
      <c r="E2091" s="5">
        <v>43554</v>
      </c>
      <c r="F2091">
        <v>24080505</v>
      </c>
      <c r="G2091" t="s">
        <v>692</v>
      </c>
      <c r="H2091" t="s">
        <v>1127</v>
      </c>
      <c r="I2091" t="s">
        <v>1128</v>
      </c>
      <c r="J2091">
        <v>1006</v>
      </c>
      <c r="K2091" t="s">
        <v>693</v>
      </c>
      <c r="L2091" s="3">
        <v>-9529144.8599999994</v>
      </c>
      <c r="M2091" s="3">
        <v>0</v>
      </c>
      <c r="N2091">
        <v>83638</v>
      </c>
      <c r="O2091">
        <v>-440200</v>
      </c>
      <c r="P2091">
        <v>-9612782.8599999994</v>
      </c>
      <c r="Q2091" t="s">
        <v>30</v>
      </c>
      <c r="R2091" t="s">
        <v>420</v>
      </c>
      <c r="S2091" t="str">
        <v>#N/A</v>
      </c>
      <c r="T2091" t="str">
        <v>#N/A</v>
      </c>
    </row>
    <row r="2092" spans="1:20" ht="13.7" customHeight="1" x14ac:dyDescent="0.25">
      <c r="A2092" t="s">
        <v>320</v>
      </c>
      <c r="B2092" t="s">
        <v>321</v>
      </c>
      <c r="C2092" t="s">
        <v>142</v>
      </c>
      <c r="D2092">
        <v>408</v>
      </c>
      <c r="E2092" s="5">
        <v>43566</v>
      </c>
      <c r="F2092">
        <v>24080505</v>
      </c>
      <c r="G2092" t="s">
        <v>692</v>
      </c>
      <c r="H2092" t="s">
        <v>1127</v>
      </c>
      <c r="I2092" t="s">
        <v>1128</v>
      </c>
      <c r="J2092">
        <v>1006</v>
      </c>
      <c r="K2092" t="s">
        <v>693</v>
      </c>
      <c r="L2092" s="3">
        <v>-9612782.8599999994</v>
      </c>
      <c r="M2092" s="3">
        <v>0</v>
      </c>
      <c r="N2092">
        <v>48336</v>
      </c>
      <c r="O2092">
        <v>-254400</v>
      </c>
      <c r="P2092">
        <v>-9661118.8599999994</v>
      </c>
      <c r="Q2092" t="s">
        <v>30</v>
      </c>
      <c r="R2092" t="s">
        <v>428</v>
      </c>
      <c r="S2092" t="str">
        <v>#N/A</v>
      </c>
      <c r="T2092" t="str">
        <v>#N/A</v>
      </c>
    </row>
    <row r="2093" spans="1:20" ht="13.7" customHeight="1" x14ac:dyDescent="0.25">
      <c r="A2093" t="s">
        <v>320</v>
      </c>
      <c r="B2093" t="s">
        <v>321</v>
      </c>
      <c r="C2093" t="s">
        <v>142</v>
      </c>
      <c r="D2093">
        <v>413</v>
      </c>
      <c r="E2093" s="5">
        <v>43572</v>
      </c>
      <c r="F2093">
        <v>24080505</v>
      </c>
      <c r="G2093" t="s">
        <v>692</v>
      </c>
      <c r="H2093" t="s">
        <v>1127</v>
      </c>
      <c r="I2093" t="s">
        <v>1128</v>
      </c>
      <c r="J2093">
        <v>1006</v>
      </c>
      <c r="K2093" t="s">
        <v>693</v>
      </c>
      <c r="L2093" s="3">
        <v>-9661118.8599999994</v>
      </c>
      <c r="M2093" s="3">
        <v>0</v>
      </c>
      <c r="N2093">
        <v>285218.5</v>
      </c>
      <c r="O2093">
        <v>-1501150</v>
      </c>
      <c r="P2093">
        <v>-9946337.3599999994</v>
      </c>
      <c r="Q2093" t="s">
        <v>30</v>
      </c>
      <c r="R2093" t="s">
        <v>432</v>
      </c>
      <c r="S2093" t="str">
        <v>#N/A</v>
      </c>
      <c r="T2093" t="str">
        <v>#N/A</v>
      </c>
    </row>
    <row r="2094" spans="1:20" ht="13.7" customHeight="1" x14ac:dyDescent="0.25">
      <c r="A2094" t="s">
        <v>320</v>
      </c>
      <c r="B2094" t="s">
        <v>321</v>
      </c>
      <c r="C2094" t="s">
        <v>142</v>
      </c>
      <c r="D2094">
        <v>418</v>
      </c>
      <c r="E2094" s="5">
        <v>43581</v>
      </c>
      <c r="F2094">
        <v>24080505</v>
      </c>
      <c r="G2094" t="s">
        <v>692</v>
      </c>
      <c r="H2094" t="s">
        <v>1127</v>
      </c>
      <c r="I2094" t="s">
        <v>1128</v>
      </c>
      <c r="J2094">
        <v>1006</v>
      </c>
      <c r="K2094" t="s">
        <v>693</v>
      </c>
      <c r="L2094" s="3">
        <v>-9946337.3599999994</v>
      </c>
      <c r="M2094" s="3">
        <v>0</v>
      </c>
      <c r="N2094">
        <v>179922.4</v>
      </c>
      <c r="O2094">
        <v>-946960</v>
      </c>
      <c r="P2094">
        <v>-10126259.76</v>
      </c>
      <c r="Q2094" t="s">
        <v>30</v>
      </c>
      <c r="R2094" t="s">
        <v>437</v>
      </c>
      <c r="S2094" t="str">
        <v>#N/A</v>
      </c>
      <c r="T2094" t="str">
        <v>#N/A</v>
      </c>
    </row>
    <row r="2095" spans="1:20" ht="13.7" customHeight="1" x14ac:dyDescent="0.25">
      <c r="A2095" t="s">
        <v>320</v>
      </c>
      <c r="B2095" t="s">
        <v>321</v>
      </c>
      <c r="C2095" t="s">
        <v>142</v>
      </c>
      <c r="D2095">
        <v>421</v>
      </c>
      <c r="E2095" s="5">
        <v>43589</v>
      </c>
      <c r="F2095">
        <v>24080505</v>
      </c>
      <c r="G2095" t="s">
        <v>692</v>
      </c>
      <c r="H2095" t="s">
        <v>1127</v>
      </c>
      <c r="I2095" t="s">
        <v>1128</v>
      </c>
      <c r="J2095">
        <v>1006</v>
      </c>
      <c r="K2095" t="s">
        <v>693</v>
      </c>
      <c r="L2095" s="3">
        <v>-10126259.76</v>
      </c>
      <c r="M2095" s="3">
        <v>0</v>
      </c>
      <c r="N2095">
        <v>25308</v>
      </c>
      <c r="O2095">
        <v>-133200</v>
      </c>
      <c r="P2095">
        <v>-10151567.76</v>
      </c>
      <c r="Q2095" t="s">
        <v>30</v>
      </c>
      <c r="R2095" t="s">
        <v>440</v>
      </c>
      <c r="S2095" t="str">
        <v>#N/A</v>
      </c>
      <c r="T2095" t="str">
        <v>#N/A</v>
      </c>
    </row>
    <row r="2096" spans="1:20" ht="13.7" customHeight="1" x14ac:dyDescent="0.25">
      <c r="A2096" t="s">
        <v>320</v>
      </c>
      <c r="B2096" t="s">
        <v>321</v>
      </c>
      <c r="C2096" t="s">
        <v>142</v>
      </c>
      <c r="D2096">
        <v>424</v>
      </c>
      <c r="E2096" s="5">
        <v>43591</v>
      </c>
      <c r="F2096">
        <v>24080505</v>
      </c>
      <c r="G2096" t="s">
        <v>692</v>
      </c>
      <c r="H2096" t="s">
        <v>1127</v>
      </c>
      <c r="I2096" t="s">
        <v>1128</v>
      </c>
      <c r="J2096">
        <v>1006</v>
      </c>
      <c r="K2096" t="s">
        <v>693</v>
      </c>
      <c r="L2096" s="3">
        <v>-10151567.76</v>
      </c>
      <c r="M2096" s="3">
        <v>0</v>
      </c>
      <c r="N2096">
        <v>65892</v>
      </c>
      <c r="O2096">
        <v>-346800</v>
      </c>
      <c r="P2096">
        <v>-10217459.76</v>
      </c>
      <c r="Q2096" t="s">
        <v>30</v>
      </c>
      <c r="R2096" t="s">
        <v>441</v>
      </c>
      <c r="S2096" t="str">
        <v>#N/A</v>
      </c>
      <c r="T2096" t="str">
        <v>#N/A</v>
      </c>
    </row>
    <row r="2097" spans="1:20" ht="13.7" customHeight="1" x14ac:dyDescent="0.25">
      <c r="A2097" t="s">
        <v>320</v>
      </c>
      <c r="B2097" t="s">
        <v>321</v>
      </c>
      <c r="C2097" t="s">
        <v>142</v>
      </c>
      <c r="D2097">
        <v>426</v>
      </c>
      <c r="E2097" s="5">
        <v>43593</v>
      </c>
      <c r="F2097">
        <v>24080505</v>
      </c>
      <c r="G2097" t="s">
        <v>692</v>
      </c>
      <c r="H2097" t="s">
        <v>1127</v>
      </c>
      <c r="I2097" t="s">
        <v>1128</v>
      </c>
      <c r="J2097">
        <v>1006</v>
      </c>
      <c r="K2097" t="s">
        <v>693</v>
      </c>
      <c r="L2097" s="3">
        <v>-10217459.76</v>
      </c>
      <c r="M2097" s="3">
        <v>0</v>
      </c>
      <c r="N2097">
        <v>47538</v>
      </c>
      <c r="O2097">
        <v>-250200</v>
      </c>
      <c r="P2097">
        <v>-10264997.76</v>
      </c>
      <c r="Q2097" t="s">
        <v>30</v>
      </c>
      <c r="R2097" t="s">
        <v>443</v>
      </c>
      <c r="S2097" t="str">
        <v>#N/A</v>
      </c>
      <c r="T2097" t="str">
        <v>#N/A</v>
      </c>
    </row>
    <row r="2098" spans="1:20" ht="13.7" customHeight="1" x14ac:dyDescent="0.25">
      <c r="A2098" t="s">
        <v>320</v>
      </c>
      <c r="B2098" t="s">
        <v>321</v>
      </c>
      <c r="C2098" t="s">
        <v>142</v>
      </c>
      <c r="D2098">
        <v>431</v>
      </c>
      <c r="E2098" s="5">
        <v>43596</v>
      </c>
      <c r="F2098">
        <v>24080505</v>
      </c>
      <c r="G2098" t="s">
        <v>692</v>
      </c>
      <c r="H2098" t="s">
        <v>1127</v>
      </c>
      <c r="I2098" t="s">
        <v>1128</v>
      </c>
      <c r="J2098">
        <v>1006</v>
      </c>
      <c r="K2098" t="s">
        <v>693</v>
      </c>
      <c r="L2098" s="3">
        <v>-10264997.76</v>
      </c>
      <c r="M2098" s="3">
        <v>0</v>
      </c>
      <c r="N2098">
        <v>24966</v>
      </c>
      <c r="O2098">
        <v>-131400</v>
      </c>
      <c r="P2098">
        <v>-10289963.76</v>
      </c>
      <c r="Q2098" t="s">
        <v>30</v>
      </c>
      <c r="R2098" t="s">
        <v>448</v>
      </c>
      <c r="S2098" t="str">
        <v>#N/A</v>
      </c>
      <c r="T2098" t="str">
        <v>#N/A</v>
      </c>
    </row>
    <row r="2099" spans="1:20" ht="13.7" customHeight="1" x14ac:dyDescent="0.25">
      <c r="A2099" t="s">
        <v>320</v>
      </c>
      <c r="B2099" t="s">
        <v>321</v>
      </c>
      <c r="C2099" t="s">
        <v>142</v>
      </c>
      <c r="D2099">
        <v>432</v>
      </c>
      <c r="E2099" s="5">
        <v>43599</v>
      </c>
      <c r="F2099">
        <v>24080505</v>
      </c>
      <c r="G2099" t="s">
        <v>692</v>
      </c>
      <c r="H2099" t="s">
        <v>1127</v>
      </c>
      <c r="I2099" t="s">
        <v>1128</v>
      </c>
      <c r="J2099">
        <v>1006</v>
      </c>
      <c r="K2099" t="s">
        <v>693</v>
      </c>
      <c r="L2099" s="3">
        <v>-10289963.76</v>
      </c>
      <c r="M2099" s="3">
        <v>0</v>
      </c>
      <c r="N2099">
        <v>16758</v>
      </c>
      <c r="O2099">
        <v>-88200</v>
      </c>
      <c r="P2099">
        <v>-10306721.76</v>
      </c>
      <c r="Q2099" t="s">
        <v>30</v>
      </c>
      <c r="R2099" t="s">
        <v>449</v>
      </c>
      <c r="S2099" t="str">
        <v>#N/A</v>
      </c>
      <c r="T2099" t="str">
        <v>#N/A</v>
      </c>
    </row>
    <row r="2100" spans="1:20" ht="13.7" customHeight="1" x14ac:dyDescent="0.25">
      <c r="A2100" t="s">
        <v>320</v>
      </c>
      <c r="B2100" t="s">
        <v>321</v>
      </c>
      <c r="C2100" t="s">
        <v>142</v>
      </c>
      <c r="D2100">
        <v>433</v>
      </c>
      <c r="E2100" s="5">
        <v>43602</v>
      </c>
      <c r="F2100">
        <v>24080505</v>
      </c>
      <c r="G2100" t="s">
        <v>692</v>
      </c>
      <c r="H2100" t="s">
        <v>1127</v>
      </c>
      <c r="I2100" t="s">
        <v>1128</v>
      </c>
      <c r="J2100">
        <v>1006</v>
      </c>
      <c r="K2100" t="s">
        <v>693</v>
      </c>
      <c r="L2100" s="3">
        <v>-10306721.76</v>
      </c>
      <c r="M2100" s="3">
        <v>0</v>
      </c>
      <c r="N2100">
        <v>49704</v>
      </c>
      <c r="O2100">
        <v>-261600</v>
      </c>
      <c r="P2100">
        <v>-10356425.76</v>
      </c>
      <c r="Q2100" t="s">
        <v>30</v>
      </c>
      <c r="R2100" t="s">
        <v>450</v>
      </c>
      <c r="S2100" t="str">
        <v>#N/A</v>
      </c>
      <c r="T2100" t="str">
        <v>#N/A</v>
      </c>
    </row>
    <row r="2101" spans="1:20" ht="13.7" customHeight="1" x14ac:dyDescent="0.25">
      <c r="A2101" t="s">
        <v>320</v>
      </c>
      <c r="B2101" t="s">
        <v>321</v>
      </c>
      <c r="C2101" t="s">
        <v>142</v>
      </c>
      <c r="D2101">
        <v>438</v>
      </c>
      <c r="E2101" s="5">
        <v>43607</v>
      </c>
      <c r="F2101">
        <v>24080505</v>
      </c>
      <c r="G2101" t="s">
        <v>692</v>
      </c>
      <c r="H2101" t="s">
        <v>1127</v>
      </c>
      <c r="I2101" t="s">
        <v>1128</v>
      </c>
      <c r="J2101">
        <v>1006</v>
      </c>
      <c r="K2101" t="s">
        <v>693</v>
      </c>
      <c r="L2101" s="3">
        <v>-10356425.76</v>
      </c>
      <c r="M2101" s="3">
        <v>0</v>
      </c>
      <c r="N2101">
        <v>55176</v>
      </c>
      <c r="O2101">
        <v>-290400</v>
      </c>
      <c r="P2101">
        <v>-10411601.76</v>
      </c>
      <c r="Q2101" t="s">
        <v>30</v>
      </c>
      <c r="R2101" t="s">
        <v>452</v>
      </c>
      <c r="S2101" t="str">
        <v>#N/A</v>
      </c>
      <c r="T2101" t="str">
        <v>#N/A</v>
      </c>
    </row>
    <row r="2102" spans="1:20" ht="13.7" customHeight="1" x14ac:dyDescent="0.25">
      <c r="A2102" t="s">
        <v>320</v>
      </c>
      <c r="B2102" t="s">
        <v>321</v>
      </c>
      <c r="C2102" t="s">
        <v>142</v>
      </c>
      <c r="D2102">
        <v>460</v>
      </c>
      <c r="E2102" s="5">
        <v>43645</v>
      </c>
      <c r="F2102">
        <v>24080505</v>
      </c>
      <c r="G2102" t="s">
        <v>692</v>
      </c>
      <c r="H2102" t="s">
        <v>1127</v>
      </c>
      <c r="I2102" t="s">
        <v>1128</v>
      </c>
      <c r="J2102">
        <v>1006</v>
      </c>
      <c r="K2102" t="s">
        <v>693</v>
      </c>
      <c r="L2102" s="3">
        <v>-10411601.76</v>
      </c>
      <c r="M2102" s="3">
        <v>0</v>
      </c>
      <c r="N2102">
        <v>26562</v>
      </c>
      <c r="O2102">
        <v>-139800</v>
      </c>
      <c r="P2102">
        <v>-10438163.76</v>
      </c>
      <c r="Q2102" t="s">
        <v>30</v>
      </c>
      <c r="R2102" t="s">
        <v>466</v>
      </c>
      <c r="S2102" t="str">
        <v>#N/A</v>
      </c>
      <c r="T2102" t="str">
        <v>#N/A</v>
      </c>
    </row>
    <row r="2103" spans="1:20" ht="13.7" customHeight="1" x14ac:dyDescent="0.25">
      <c r="A2103" t="s">
        <v>320</v>
      </c>
      <c r="B2103" t="s">
        <v>321</v>
      </c>
      <c r="C2103" t="s">
        <v>142</v>
      </c>
      <c r="D2103">
        <v>472</v>
      </c>
      <c r="E2103" s="5">
        <v>43676</v>
      </c>
      <c r="F2103">
        <v>24080505</v>
      </c>
      <c r="G2103" t="s">
        <v>692</v>
      </c>
      <c r="H2103" t="s">
        <v>1127</v>
      </c>
      <c r="I2103" t="s">
        <v>1128</v>
      </c>
      <c r="J2103">
        <v>1006</v>
      </c>
      <c r="K2103" t="s">
        <v>693</v>
      </c>
      <c r="L2103" s="3">
        <v>-10438163.76</v>
      </c>
      <c r="M2103" s="3">
        <v>0</v>
      </c>
      <c r="N2103">
        <v>87894</v>
      </c>
      <c r="O2103">
        <v>-462600</v>
      </c>
      <c r="P2103">
        <v>-10526057.76</v>
      </c>
      <c r="Q2103" t="s">
        <v>30</v>
      </c>
      <c r="R2103" t="s">
        <v>727</v>
      </c>
      <c r="S2103" t="str">
        <v>#N/A</v>
      </c>
      <c r="T2103" t="str">
        <v>#N/A</v>
      </c>
    </row>
    <row r="2104" spans="1:20" ht="13.7" customHeight="1" x14ac:dyDescent="0.25">
      <c r="A2104" t="s">
        <v>320</v>
      </c>
      <c r="B2104" t="s">
        <v>321</v>
      </c>
      <c r="C2104" t="s">
        <v>142</v>
      </c>
      <c r="D2104">
        <v>494</v>
      </c>
      <c r="E2104" s="5">
        <v>43722</v>
      </c>
      <c r="F2104">
        <v>24080505</v>
      </c>
      <c r="G2104" t="s">
        <v>692</v>
      </c>
      <c r="H2104" t="s">
        <v>1127</v>
      </c>
      <c r="I2104" t="s">
        <v>1128</v>
      </c>
      <c r="J2104">
        <v>1006</v>
      </c>
      <c r="K2104" t="s">
        <v>693</v>
      </c>
      <c r="L2104" s="3">
        <v>-10526057.76</v>
      </c>
      <c r="M2104" s="3">
        <v>0</v>
      </c>
      <c r="N2104">
        <v>25650</v>
      </c>
      <c r="O2104">
        <v>-135000</v>
      </c>
      <c r="P2104">
        <v>-10551707.76</v>
      </c>
      <c r="Q2104" t="s">
        <v>30</v>
      </c>
      <c r="R2104" t="s">
        <v>479</v>
      </c>
      <c r="S2104" t="str">
        <v>#N/A</v>
      </c>
      <c r="T2104" t="str">
        <v>#N/A</v>
      </c>
    </row>
    <row r="2105" spans="1:20" ht="13.7" customHeight="1" x14ac:dyDescent="0.25">
      <c r="A2105" t="s">
        <v>320</v>
      </c>
      <c r="B2105" t="s">
        <v>321</v>
      </c>
      <c r="C2105" t="s">
        <v>142</v>
      </c>
      <c r="D2105">
        <v>499</v>
      </c>
      <c r="E2105" s="5">
        <v>43734</v>
      </c>
      <c r="F2105">
        <v>24080505</v>
      </c>
      <c r="G2105" t="s">
        <v>692</v>
      </c>
      <c r="H2105" t="s">
        <v>1127</v>
      </c>
      <c r="I2105" t="s">
        <v>1128</v>
      </c>
      <c r="J2105">
        <v>1006</v>
      </c>
      <c r="K2105" t="s">
        <v>693</v>
      </c>
      <c r="L2105" s="3">
        <v>-10551707.76</v>
      </c>
      <c r="M2105" s="3">
        <v>0</v>
      </c>
      <c r="N2105">
        <v>53010</v>
      </c>
      <c r="O2105">
        <v>-279000</v>
      </c>
      <c r="P2105">
        <v>-10604717.76</v>
      </c>
      <c r="Q2105" t="s">
        <v>30</v>
      </c>
      <c r="R2105" t="s">
        <v>484</v>
      </c>
      <c r="S2105" t="str">
        <v>#N/A</v>
      </c>
      <c r="T2105" t="str">
        <v>#N/A</v>
      </c>
    </row>
    <row r="2106" spans="1:20" ht="13.7" customHeight="1" x14ac:dyDescent="0.25">
      <c r="A2106" t="s">
        <v>320</v>
      </c>
      <c r="B2106" t="s">
        <v>321</v>
      </c>
      <c r="C2106" t="s">
        <v>142</v>
      </c>
      <c r="D2106">
        <v>503</v>
      </c>
      <c r="E2106" s="5">
        <v>43739</v>
      </c>
      <c r="F2106">
        <v>24080505</v>
      </c>
      <c r="G2106" t="s">
        <v>692</v>
      </c>
      <c r="H2106" t="s">
        <v>1127</v>
      </c>
      <c r="I2106" t="s">
        <v>1128</v>
      </c>
      <c r="J2106">
        <v>1006</v>
      </c>
      <c r="K2106" t="s">
        <v>693</v>
      </c>
      <c r="L2106" s="3">
        <v>-10604717.76</v>
      </c>
      <c r="M2106" s="3">
        <v>0</v>
      </c>
      <c r="N2106">
        <v>211356</v>
      </c>
      <c r="O2106">
        <v>-1112400</v>
      </c>
      <c r="P2106">
        <v>-10816073.76</v>
      </c>
      <c r="Q2106" t="s">
        <v>30</v>
      </c>
      <c r="R2106" t="s">
        <v>488</v>
      </c>
      <c r="S2106" t="str">
        <v>#N/A</v>
      </c>
      <c r="T2106" t="str">
        <v>#N/A</v>
      </c>
    </row>
    <row r="2107" spans="1:20" ht="13.7" customHeight="1" x14ac:dyDescent="0.25">
      <c r="A2107" t="s">
        <v>320</v>
      </c>
      <c r="B2107" t="s">
        <v>321</v>
      </c>
      <c r="C2107" t="s">
        <v>142</v>
      </c>
      <c r="D2107">
        <v>505</v>
      </c>
      <c r="E2107" s="5">
        <v>43742</v>
      </c>
      <c r="F2107">
        <v>24080505</v>
      </c>
      <c r="G2107" t="s">
        <v>692</v>
      </c>
      <c r="H2107" t="s">
        <v>1127</v>
      </c>
      <c r="I2107" t="s">
        <v>1128</v>
      </c>
      <c r="J2107">
        <v>1006</v>
      </c>
      <c r="K2107" t="s">
        <v>693</v>
      </c>
      <c r="L2107" s="3">
        <v>-10816073.76</v>
      </c>
      <c r="M2107" s="3">
        <v>0</v>
      </c>
      <c r="N2107">
        <v>76000</v>
      </c>
      <c r="O2107">
        <v>-400000</v>
      </c>
      <c r="P2107">
        <v>-10892073.76</v>
      </c>
      <c r="Q2107" t="s">
        <v>30</v>
      </c>
      <c r="R2107" t="s">
        <v>490</v>
      </c>
      <c r="S2107" t="str">
        <v>#N/A</v>
      </c>
      <c r="T2107" t="str">
        <v>#N/A</v>
      </c>
    </row>
    <row r="2108" spans="1:20" ht="13.7" customHeight="1" x14ac:dyDescent="0.25">
      <c r="A2108" t="s">
        <v>320</v>
      </c>
      <c r="B2108" t="s">
        <v>321</v>
      </c>
      <c r="C2108" t="s">
        <v>142</v>
      </c>
      <c r="D2108">
        <v>509</v>
      </c>
      <c r="E2108" s="5">
        <v>43749</v>
      </c>
      <c r="F2108">
        <v>24080505</v>
      </c>
      <c r="G2108" t="s">
        <v>692</v>
      </c>
      <c r="H2108" t="s">
        <v>1127</v>
      </c>
      <c r="I2108" t="s">
        <v>1128</v>
      </c>
      <c r="J2108">
        <v>1006</v>
      </c>
      <c r="K2108" t="s">
        <v>693</v>
      </c>
      <c r="L2108" s="3">
        <v>-10892073.76</v>
      </c>
      <c r="M2108" s="3">
        <v>0</v>
      </c>
      <c r="N2108">
        <v>48222</v>
      </c>
      <c r="O2108">
        <v>-253800</v>
      </c>
      <c r="P2108">
        <v>-10940295.76</v>
      </c>
      <c r="Q2108" t="s">
        <v>30</v>
      </c>
      <c r="R2108" t="s">
        <v>494</v>
      </c>
      <c r="S2108" t="str">
        <v>#N/A</v>
      </c>
      <c r="T2108" t="str">
        <v>#N/A</v>
      </c>
    </row>
    <row r="2109" spans="1:20" ht="13.7" customHeight="1" x14ac:dyDescent="0.25">
      <c r="A2109" t="s">
        <v>320</v>
      </c>
      <c r="B2109" t="s">
        <v>321</v>
      </c>
      <c r="C2109" t="s">
        <v>142</v>
      </c>
      <c r="D2109">
        <v>512</v>
      </c>
      <c r="E2109" s="5">
        <v>43755</v>
      </c>
      <c r="F2109">
        <v>24080505</v>
      </c>
      <c r="G2109" t="s">
        <v>692</v>
      </c>
      <c r="H2109" t="s">
        <v>1127</v>
      </c>
      <c r="I2109" t="s">
        <v>1128</v>
      </c>
      <c r="J2109">
        <v>1006</v>
      </c>
      <c r="K2109" t="s">
        <v>693</v>
      </c>
      <c r="L2109" s="3">
        <v>-10940295.76</v>
      </c>
      <c r="M2109" s="3">
        <v>0</v>
      </c>
      <c r="N2109">
        <v>25080</v>
      </c>
      <c r="O2109">
        <v>-132000</v>
      </c>
      <c r="P2109">
        <v>-10965375.76</v>
      </c>
      <c r="Q2109" t="s">
        <v>30</v>
      </c>
      <c r="R2109" t="s">
        <v>497</v>
      </c>
      <c r="S2109" t="str">
        <v>#N/A</v>
      </c>
      <c r="T2109" t="str">
        <v>#N/A</v>
      </c>
    </row>
    <row r="2110" spans="1:20" ht="13.7" customHeight="1" x14ac:dyDescent="0.25">
      <c r="A2110" t="s">
        <v>320</v>
      </c>
      <c r="B2110" t="s">
        <v>321</v>
      </c>
      <c r="C2110" t="s">
        <v>142</v>
      </c>
      <c r="D2110">
        <v>519</v>
      </c>
      <c r="E2110" s="5">
        <v>43766</v>
      </c>
      <c r="F2110">
        <v>24080505</v>
      </c>
      <c r="G2110" t="s">
        <v>692</v>
      </c>
      <c r="H2110" t="s">
        <v>1127</v>
      </c>
      <c r="I2110" t="s">
        <v>1128</v>
      </c>
      <c r="J2110">
        <v>1006</v>
      </c>
      <c r="K2110" t="s">
        <v>693</v>
      </c>
      <c r="L2110" s="3">
        <v>-10965375.76</v>
      </c>
      <c r="M2110" s="3">
        <v>0</v>
      </c>
      <c r="N2110">
        <v>201400</v>
      </c>
      <c r="O2110">
        <v>-1060000</v>
      </c>
      <c r="P2110">
        <v>-11166775.76</v>
      </c>
      <c r="Q2110" t="s">
        <v>30</v>
      </c>
      <c r="R2110" t="s">
        <v>503</v>
      </c>
      <c r="S2110" t="str">
        <v>#N/A</v>
      </c>
      <c r="T2110" t="str">
        <v>#N/A</v>
      </c>
    </row>
    <row r="2111" spans="1:20" ht="13.7" customHeight="1" x14ac:dyDescent="0.25">
      <c r="A2111" t="s">
        <v>320</v>
      </c>
      <c r="B2111" t="s">
        <v>321</v>
      </c>
      <c r="C2111" t="s">
        <v>142</v>
      </c>
      <c r="D2111">
        <v>526</v>
      </c>
      <c r="E2111" s="5">
        <v>43774</v>
      </c>
      <c r="F2111">
        <v>24080505</v>
      </c>
      <c r="G2111" t="s">
        <v>692</v>
      </c>
      <c r="H2111" t="s">
        <v>1127</v>
      </c>
      <c r="I2111" t="s">
        <v>1128</v>
      </c>
      <c r="J2111">
        <v>1006</v>
      </c>
      <c r="K2111" t="s">
        <v>693</v>
      </c>
      <c r="L2111" s="3">
        <v>-11166775.76</v>
      </c>
      <c r="M2111" s="3">
        <v>0</v>
      </c>
      <c r="N2111">
        <v>99750</v>
      </c>
      <c r="O2111">
        <v>-525000</v>
      </c>
      <c r="P2111">
        <v>-11266525.76</v>
      </c>
      <c r="Q2111" t="s">
        <v>30</v>
      </c>
      <c r="R2111" t="s">
        <v>508</v>
      </c>
      <c r="S2111" t="str">
        <v>#N/A</v>
      </c>
      <c r="T2111" t="str">
        <v>#N/A</v>
      </c>
    </row>
    <row r="2112" spans="1:20" ht="13.7" customHeight="1" x14ac:dyDescent="0.25">
      <c r="A2112" t="s">
        <v>320</v>
      </c>
      <c r="B2112" t="s">
        <v>321</v>
      </c>
      <c r="C2112" t="s">
        <v>142</v>
      </c>
      <c r="D2112">
        <v>528</v>
      </c>
      <c r="E2112" s="5">
        <v>43783</v>
      </c>
      <c r="F2112">
        <v>24080505</v>
      </c>
      <c r="G2112" t="s">
        <v>692</v>
      </c>
      <c r="H2112" t="s">
        <v>1127</v>
      </c>
      <c r="I2112" t="s">
        <v>1128</v>
      </c>
      <c r="J2112">
        <v>1006</v>
      </c>
      <c r="K2112" t="s">
        <v>693</v>
      </c>
      <c r="L2112" s="3">
        <v>-11266525.76</v>
      </c>
      <c r="M2112" s="3">
        <v>0</v>
      </c>
      <c r="N2112">
        <v>24738</v>
      </c>
      <c r="O2112">
        <v>-130200</v>
      </c>
      <c r="P2112">
        <v>-11291263.76</v>
      </c>
      <c r="Q2112" t="s">
        <v>30</v>
      </c>
      <c r="R2112" t="s">
        <v>510</v>
      </c>
      <c r="S2112" t="str">
        <v>#N/A</v>
      </c>
      <c r="T2112" t="str">
        <v>#N/A</v>
      </c>
    </row>
    <row r="2113" spans="1:20" ht="13.7" customHeight="1" x14ac:dyDescent="0.25">
      <c r="A2113" t="s">
        <v>518</v>
      </c>
      <c r="B2113" t="s">
        <v>519</v>
      </c>
      <c r="C2113" t="s">
        <v>520</v>
      </c>
      <c r="D2113">
        <v>2</v>
      </c>
      <c r="E2113" s="5">
        <v>43804</v>
      </c>
      <c r="F2113">
        <v>24080505</v>
      </c>
      <c r="G2113" t="s">
        <v>692</v>
      </c>
      <c r="H2113" t="s">
        <v>1127</v>
      </c>
      <c r="I2113" t="s">
        <v>1128</v>
      </c>
      <c r="J2113">
        <v>1006</v>
      </c>
      <c r="K2113" t="s">
        <v>693</v>
      </c>
      <c r="L2113" s="3">
        <v>-11291263.76</v>
      </c>
      <c r="M2113" s="3">
        <v>0</v>
      </c>
      <c r="N2113">
        <v>142966</v>
      </c>
      <c r="O2113">
        <v>-752450</v>
      </c>
      <c r="P2113">
        <v>-11434229.76</v>
      </c>
      <c r="Q2113" t="s">
        <v>30</v>
      </c>
      <c r="R2113" t="s">
        <v>728</v>
      </c>
      <c r="S2113" t="str">
        <v>#N/A</v>
      </c>
      <c r="T2113" t="str">
        <v>#N/A</v>
      </c>
    </row>
    <row r="2114" spans="1:20" ht="13.7" customHeight="1" x14ac:dyDescent="0.25">
      <c r="A2114" t="s">
        <v>518</v>
      </c>
      <c r="B2114" t="s">
        <v>519</v>
      </c>
      <c r="C2114" t="s">
        <v>520</v>
      </c>
      <c r="D2114">
        <v>3</v>
      </c>
      <c r="E2114" s="5">
        <v>43806</v>
      </c>
      <c r="F2114">
        <v>24080505</v>
      </c>
      <c r="G2114" t="s">
        <v>692</v>
      </c>
      <c r="H2114" t="s">
        <v>1127</v>
      </c>
      <c r="I2114" t="s">
        <v>1128</v>
      </c>
      <c r="J2114">
        <v>1006</v>
      </c>
      <c r="K2114" t="s">
        <v>693</v>
      </c>
      <c r="L2114" s="3">
        <v>-11434229.76</v>
      </c>
      <c r="M2114" s="3">
        <v>0</v>
      </c>
      <c r="N2114">
        <v>31208</v>
      </c>
      <c r="O2114">
        <v>-164250</v>
      </c>
      <c r="P2114">
        <v>-11465437.76</v>
      </c>
      <c r="Q2114" t="s">
        <v>30</v>
      </c>
      <c r="R2114" t="s">
        <v>728</v>
      </c>
      <c r="S2114" t="str">
        <v>#N/A</v>
      </c>
      <c r="T2114" t="str">
        <v>#N/A</v>
      </c>
    </row>
    <row r="2115" spans="1:20" ht="13.7" customHeight="1" x14ac:dyDescent="0.25">
      <c r="A2115" t="s">
        <v>518</v>
      </c>
      <c r="B2115" t="s">
        <v>519</v>
      </c>
      <c r="C2115" t="s">
        <v>520</v>
      </c>
      <c r="D2115">
        <v>5</v>
      </c>
      <c r="E2115" s="5">
        <v>43812</v>
      </c>
      <c r="F2115">
        <v>24080505</v>
      </c>
      <c r="G2115" t="s">
        <v>692</v>
      </c>
      <c r="H2115" t="s">
        <v>1127</v>
      </c>
      <c r="I2115" t="s">
        <v>1128</v>
      </c>
      <c r="J2115">
        <v>1006</v>
      </c>
      <c r="K2115" t="s">
        <v>693</v>
      </c>
      <c r="L2115" s="3">
        <v>-11465437.76</v>
      </c>
      <c r="M2115" s="3">
        <v>0</v>
      </c>
      <c r="N2115">
        <v>29013</v>
      </c>
      <c r="O2115">
        <v>-152700</v>
      </c>
      <c r="P2115">
        <v>-11494450.76</v>
      </c>
      <c r="Q2115" t="s">
        <v>30</v>
      </c>
      <c r="R2115" t="s">
        <v>728</v>
      </c>
      <c r="S2115" t="str">
        <v>#N/A</v>
      </c>
      <c r="T2115" t="str">
        <v>#N/A</v>
      </c>
    </row>
    <row r="2116" spans="1:20" ht="13.7" customHeight="1" x14ac:dyDescent="0.25">
      <c r="A2116" t="s">
        <v>518</v>
      </c>
      <c r="B2116" t="s">
        <v>519</v>
      </c>
      <c r="C2116" t="s">
        <v>520</v>
      </c>
      <c r="D2116">
        <v>6</v>
      </c>
      <c r="E2116" s="5">
        <v>43813</v>
      </c>
      <c r="F2116">
        <v>24080505</v>
      </c>
      <c r="G2116" t="s">
        <v>692</v>
      </c>
      <c r="H2116" t="s">
        <v>1127</v>
      </c>
      <c r="I2116" t="s">
        <v>1128</v>
      </c>
      <c r="J2116">
        <v>1006</v>
      </c>
      <c r="K2116" t="s">
        <v>693</v>
      </c>
      <c r="L2116" s="3">
        <v>-11494450.76</v>
      </c>
      <c r="M2116" s="3">
        <v>0</v>
      </c>
      <c r="N2116">
        <v>13680</v>
      </c>
      <c r="O2116">
        <v>-72000</v>
      </c>
      <c r="P2116">
        <v>-11508130.76</v>
      </c>
      <c r="Q2116" t="s">
        <v>30</v>
      </c>
      <c r="R2116" t="s">
        <v>728</v>
      </c>
      <c r="S2116" t="str">
        <v>#N/A</v>
      </c>
      <c r="T2116" t="str">
        <v>#N/A</v>
      </c>
    </row>
    <row r="2117" spans="1:20" ht="13.7" customHeight="1" x14ac:dyDescent="0.25">
      <c r="A2117" t="s">
        <v>518</v>
      </c>
      <c r="B2117" t="s">
        <v>519</v>
      </c>
      <c r="C2117" t="s">
        <v>520</v>
      </c>
      <c r="D2117">
        <v>9</v>
      </c>
      <c r="E2117" s="5">
        <v>43819</v>
      </c>
      <c r="F2117">
        <v>24080505</v>
      </c>
      <c r="G2117" t="s">
        <v>692</v>
      </c>
      <c r="H2117" t="s">
        <v>1127</v>
      </c>
      <c r="I2117" t="s">
        <v>1128</v>
      </c>
      <c r="J2117">
        <v>1006</v>
      </c>
      <c r="K2117" t="s">
        <v>693</v>
      </c>
      <c r="L2117" s="3">
        <v>-11508130.76</v>
      </c>
      <c r="M2117" s="3">
        <v>0</v>
      </c>
      <c r="N2117">
        <v>35055</v>
      </c>
      <c r="O2117">
        <v>-184500</v>
      </c>
      <c r="P2117">
        <v>-11543185.76</v>
      </c>
      <c r="Q2117" t="s">
        <v>30</v>
      </c>
      <c r="R2117" t="s">
        <v>728</v>
      </c>
      <c r="S2117" t="str">
        <v>#N/A</v>
      </c>
      <c r="T2117" t="str">
        <v>#N/A</v>
      </c>
    </row>
    <row r="2118" spans="1:20" ht="13.7" customHeight="1" x14ac:dyDescent="0.25">
      <c r="E2118" s="5">
        <v>43465</v>
      </c>
      <c r="F2118">
        <v>24080505</v>
      </c>
      <c r="G2118" t="s">
        <v>692</v>
      </c>
      <c r="H2118" t="s">
        <v>1135</v>
      </c>
      <c r="I2118" t="s">
        <v>1136</v>
      </c>
      <c r="J2118">
        <v>0</v>
      </c>
      <c r="K2118">
        <v>0</v>
      </c>
      <c r="L2118" s="3">
        <v>-639948.5</v>
      </c>
      <c r="M2118" s="3">
        <v>0</v>
      </c>
      <c r="N2118">
        <v>0</v>
      </c>
      <c r="O2118">
        <v>-3368150</v>
      </c>
      <c r="P2118">
        <v>-639948.5</v>
      </c>
      <c r="R2118" t="s">
        <v>1100</v>
      </c>
      <c r="S2118" t="str">
        <v>#N/A</v>
      </c>
      <c r="T2118" t="str">
        <v>#N/A</v>
      </c>
    </row>
    <row r="2119" spans="1:20" ht="13.7" customHeight="1" x14ac:dyDescent="0.25">
      <c r="A2119" t="s">
        <v>320</v>
      </c>
      <c r="B2119" t="s">
        <v>321</v>
      </c>
      <c r="C2119" t="s">
        <v>142</v>
      </c>
      <c r="D2119">
        <v>385</v>
      </c>
      <c r="E2119" s="5">
        <v>43543</v>
      </c>
      <c r="F2119">
        <v>24080505</v>
      </c>
      <c r="G2119" t="s">
        <v>692</v>
      </c>
      <c r="H2119" t="s">
        <v>1135</v>
      </c>
      <c r="I2119" t="s">
        <v>1136</v>
      </c>
      <c r="J2119">
        <v>1006</v>
      </c>
      <c r="K2119" t="s">
        <v>693</v>
      </c>
      <c r="L2119" s="3">
        <v>-639948.5</v>
      </c>
      <c r="M2119" s="3">
        <v>0</v>
      </c>
      <c r="N2119">
        <v>414692.67</v>
      </c>
      <c r="O2119">
        <v>-2182593</v>
      </c>
      <c r="P2119">
        <v>-1054641.17</v>
      </c>
      <c r="Q2119" t="s">
        <v>30</v>
      </c>
      <c r="R2119" t="s">
        <v>407</v>
      </c>
      <c r="S2119" t="str">
        <v>#N/A</v>
      </c>
      <c r="T2119" t="str">
        <v>#N/A</v>
      </c>
    </row>
    <row r="2120" spans="1:20" ht="13.7" customHeight="1" x14ac:dyDescent="0.25">
      <c r="A2120" t="s">
        <v>320</v>
      </c>
      <c r="B2120" t="s">
        <v>321</v>
      </c>
      <c r="C2120" t="s">
        <v>142</v>
      </c>
      <c r="D2120">
        <v>398</v>
      </c>
      <c r="E2120" s="5">
        <v>43556</v>
      </c>
      <c r="F2120">
        <v>24080505</v>
      </c>
      <c r="G2120" t="s">
        <v>692</v>
      </c>
      <c r="H2120" t="s">
        <v>1135</v>
      </c>
      <c r="I2120" t="s">
        <v>1136</v>
      </c>
      <c r="J2120">
        <v>1006</v>
      </c>
      <c r="K2120" t="s">
        <v>693</v>
      </c>
      <c r="L2120" s="3">
        <v>-1054641.17</v>
      </c>
      <c r="M2120" s="3">
        <v>0</v>
      </c>
      <c r="N2120">
        <v>408288.15</v>
      </c>
      <c r="O2120">
        <v>-2148885</v>
      </c>
      <c r="P2120">
        <v>-1462929.32</v>
      </c>
      <c r="Q2120" t="s">
        <v>30</v>
      </c>
      <c r="R2120" t="s">
        <v>422</v>
      </c>
      <c r="S2120" t="str">
        <v>#N/A</v>
      </c>
      <c r="T2120" t="str">
        <v>#N/A</v>
      </c>
    </row>
    <row r="2121" spans="1:20" ht="13.7" customHeight="1" x14ac:dyDescent="0.25">
      <c r="E2121" s="5">
        <v>43465</v>
      </c>
      <c r="F2121">
        <v>24080505</v>
      </c>
      <c r="G2121" t="s">
        <v>692</v>
      </c>
      <c r="H2121" t="s">
        <v>1103</v>
      </c>
      <c r="I2121" t="s">
        <v>1104</v>
      </c>
      <c r="J2121">
        <v>0</v>
      </c>
      <c r="K2121">
        <v>0</v>
      </c>
      <c r="L2121" s="3">
        <v>0</v>
      </c>
      <c r="M2121" s="3">
        <v>0</v>
      </c>
      <c r="N2121">
        <v>0</v>
      </c>
      <c r="O2121">
        <v>0</v>
      </c>
      <c r="P2121">
        <v>0</v>
      </c>
      <c r="R2121" t="s">
        <v>1100</v>
      </c>
      <c r="S2121" t="str">
        <v>#N/A</v>
      </c>
      <c r="T2121" t="str">
        <v>31</v>
      </c>
    </row>
    <row r="2122" spans="1:20" ht="13.7" customHeight="1" x14ac:dyDescent="0.25">
      <c r="A2122" t="s">
        <v>320</v>
      </c>
      <c r="B2122" t="s">
        <v>321</v>
      </c>
      <c r="C2122" t="s">
        <v>142</v>
      </c>
      <c r="D2122">
        <v>491</v>
      </c>
      <c r="E2122" s="5">
        <v>43720</v>
      </c>
      <c r="F2122">
        <v>24080505</v>
      </c>
      <c r="G2122" t="s">
        <v>692</v>
      </c>
      <c r="H2122" t="s">
        <v>1103</v>
      </c>
      <c r="I2122" t="s">
        <v>1104</v>
      </c>
      <c r="J2122">
        <v>1006</v>
      </c>
      <c r="K2122" t="s">
        <v>693</v>
      </c>
      <c r="L2122" s="3">
        <v>0</v>
      </c>
      <c r="M2122" s="3">
        <v>0</v>
      </c>
      <c r="N2122">
        <v>390272.73</v>
      </c>
      <c r="O2122">
        <v>-2054067</v>
      </c>
      <c r="P2122">
        <v>-390272.73</v>
      </c>
      <c r="Q2122" t="s">
        <v>30</v>
      </c>
      <c r="R2122" t="s">
        <v>477</v>
      </c>
      <c r="S2122" t="str">
        <v>#N/A</v>
      </c>
      <c r="T2122" t="str">
        <v>31</v>
      </c>
    </row>
    <row r="2123" spans="1:20" ht="13.7" customHeight="1" x14ac:dyDescent="0.25">
      <c r="E2123" s="5">
        <v>43465</v>
      </c>
      <c r="F2123">
        <v>24080505</v>
      </c>
      <c r="G2123" t="s">
        <v>692</v>
      </c>
      <c r="H2123" t="s">
        <v>1129</v>
      </c>
      <c r="I2123" t="s">
        <v>1130</v>
      </c>
      <c r="J2123">
        <v>0</v>
      </c>
      <c r="K2123">
        <v>0</v>
      </c>
      <c r="L2123" s="3">
        <v>-15580570</v>
      </c>
      <c r="M2123" s="3">
        <v>0</v>
      </c>
      <c r="N2123">
        <v>0</v>
      </c>
      <c r="O2123">
        <v>-82003000</v>
      </c>
      <c r="P2123">
        <v>-15580570</v>
      </c>
      <c r="R2123" t="s">
        <v>1100</v>
      </c>
      <c r="S2123" t="str">
        <v>#N/A</v>
      </c>
      <c r="T2123" t="str">
        <v>#N/A</v>
      </c>
    </row>
    <row r="2124" spans="1:20" ht="13.7" customHeight="1" x14ac:dyDescent="0.25">
      <c r="A2124" t="s">
        <v>320</v>
      </c>
      <c r="B2124" t="s">
        <v>321</v>
      </c>
      <c r="C2124" t="s">
        <v>142</v>
      </c>
      <c r="D2124">
        <v>336</v>
      </c>
      <c r="E2124" s="5">
        <v>43466</v>
      </c>
      <c r="F2124">
        <v>24080505</v>
      </c>
      <c r="G2124" t="s">
        <v>692</v>
      </c>
      <c r="H2124" t="s">
        <v>1129</v>
      </c>
      <c r="I2124" t="s">
        <v>1130</v>
      </c>
      <c r="J2124">
        <v>1006</v>
      </c>
      <c r="K2124" t="s">
        <v>693</v>
      </c>
      <c r="L2124" s="3">
        <v>-15580570</v>
      </c>
      <c r="M2124" s="3">
        <v>0</v>
      </c>
      <c r="N2124">
        <v>1330000</v>
      </c>
      <c r="O2124">
        <v>-7000000</v>
      </c>
      <c r="P2124">
        <v>-16910570</v>
      </c>
      <c r="Q2124" t="s">
        <v>30</v>
      </c>
      <c r="R2124" t="s">
        <v>696</v>
      </c>
      <c r="S2124" t="str">
        <v>#N/A</v>
      </c>
      <c r="T2124" t="str">
        <v>#N/A</v>
      </c>
    </row>
    <row r="2125" spans="1:20" ht="13.7" customHeight="1" x14ac:dyDescent="0.25">
      <c r="A2125" t="s">
        <v>320</v>
      </c>
      <c r="B2125" t="s">
        <v>321</v>
      </c>
      <c r="C2125" t="s">
        <v>142</v>
      </c>
      <c r="D2125">
        <v>338</v>
      </c>
      <c r="E2125" s="5">
        <v>43482</v>
      </c>
      <c r="F2125">
        <v>24080505</v>
      </c>
      <c r="G2125" t="s">
        <v>692</v>
      </c>
      <c r="H2125" t="s">
        <v>1129</v>
      </c>
      <c r="I2125" t="s">
        <v>1130</v>
      </c>
      <c r="J2125">
        <v>1006</v>
      </c>
      <c r="K2125" t="s">
        <v>693</v>
      </c>
      <c r="L2125" s="3">
        <v>-16910570</v>
      </c>
      <c r="M2125" s="3">
        <v>0</v>
      </c>
      <c r="N2125">
        <v>750644.4</v>
      </c>
      <c r="O2125">
        <v>-3950760</v>
      </c>
      <c r="P2125">
        <v>-17661214.399999999</v>
      </c>
      <c r="Q2125" t="s">
        <v>30</v>
      </c>
      <c r="R2125" t="s">
        <v>698</v>
      </c>
      <c r="S2125" t="str">
        <v>#N/A</v>
      </c>
      <c r="T2125" t="str">
        <v>#N/A</v>
      </c>
    </row>
    <row r="2126" spans="1:20" ht="13.7" customHeight="1" x14ac:dyDescent="0.25">
      <c r="A2126" t="s">
        <v>320</v>
      </c>
      <c r="B2126" t="s">
        <v>321</v>
      </c>
      <c r="C2126" t="s">
        <v>142</v>
      </c>
      <c r="D2126">
        <v>344</v>
      </c>
      <c r="E2126" s="5">
        <v>43487</v>
      </c>
      <c r="F2126">
        <v>24080505</v>
      </c>
      <c r="G2126" t="s">
        <v>692</v>
      </c>
      <c r="H2126" t="s">
        <v>1129</v>
      </c>
      <c r="I2126" t="s">
        <v>1130</v>
      </c>
      <c r="J2126">
        <v>1006</v>
      </c>
      <c r="K2126" t="s">
        <v>693</v>
      </c>
      <c r="L2126" s="3">
        <v>-17661214.399999999</v>
      </c>
      <c r="M2126" s="3">
        <v>0</v>
      </c>
      <c r="N2126">
        <v>141595.6</v>
      </c>
      <c r="O2126">
        <v>-745240</v>
      </c>
      <c r="P2126">
        <v>-17802810</v>
      </c>
      <c r="Q2126" t="s">
        <v>30</v>
      </c>
      <c r="R2126" t="s">
        <v>704</v>
      </c>
      <c r="S2126" t="str">
        <v>#N/A</v>
      </c>
      <c r="T2126" t="str">
        <v>#N/A</v>
      </c>
    </row>
    <row r="2127" spans="1:20" ht="13.7" customHeight="1" x14ac:dyDescent="0.25">
      <c r="A2127" t="s">
        <v>320</v>
      </c>
      <c r="B2127" t="s">
        <v>321</v>
      </c>
      <c r="C2127" t="s">
        <v>142</v>
      </c>
      <c r="D2127">
        <v>360</v>
      </c>
      <c r="E2127" s="5">
        <v>43507</v>
      </c>
      <c r="F2127">
        <v>24080505</v>
      </c>
      <c r="G2127" t="s">
        <v>692</v>
      </c>
      <c r="H2127" t="s">
        <v>1129</v>
      </c>
      <c r="I2127" t="s">
        <v>1130</v>
      </c>
      <c r="J2127">
        <v>1006</v>
      </c>
      <c r="K2127" t="s">
        <v>693</v>
      </c>
      <c r="L2127" s="3">
        <v>-17802810</v>
      </c>
      <c r="M2127" s="3">
        <v>0</v>
      </c>
      <c r="N2127">
        <v>2164100</v>
      </c>
      <c r="O2127">
        <v>-11390000</v>
      </c>
      <c r="P2127">
        <v>-19966910</v>
      </c>
      <c r="Q2127" t="s">
        <v>30</v>
      </c>
      <c r="R2127" t="s">
        <v>716</v>
      </c>
      <c r="S2127" t="str">
        <v>#N/A</v>
      </c>
      <c r="T2127" t="str">
        <v>#N/A</v>
      </c>
    </row>
    <row r="2128" spans="1:20" ht="13.7" customHeight="1" x14ac:dyDescent="0.25">
      <c r="A2128" t="s">
        <v>320</v>
      </c>
      <c r="B2128" t="s">
        <v>321</v>
      </c>
      <c r="C2128" t="s">
        <v>142</v>
      </c>
      <c r="D2128">
        <v>363</v>
      </c>
      <c r="E2128" s="5">
        <v>43508</v>
      </c>
      <c r="F2128">
        <v>24080505</v>
      </c>
      <c r="G2128" t="s">
        <v>692</v>
      </c>
      <c r="H2128" t="s">
        <v>1129</v>
      </c>
      <c r="I2128" t="s">
        <v>1130</v>
      </c>
      <c r="J2128">
        <v>1006</v>
      </c>
      <c r="K2128" t="s">
        <v>693</v>
      </c>
      <c r="L2128" s="3">
        <v>-19966910</v>
      </c>
      <c r="M2128" s="3">
        <v>0</v>
      </c>
      <c r="N2128">
        <v>191907.6</v>
      </c>
      <c r="O2128">
        <v>-1010040</v>
      </c>
      <c r="P2128">
        <v>-20158817.600000001</v>
      </c>
      <c r="Q2128" t="s">
        <v>30</v>
      </c>
      <c r="R2128" t="s">
        <v>719</v>
      </c>
      <c r="S2128" t="str">
        <v>#N/A</v>
      </c>
      <c r="T2128" t="str">
        <v>#N/A</v>
      </c>
    </row>
    <row r="2129" spans="1:20" ht="13.7" customHeight="1" x14ac:dyDescent="0.25">
      <c r="A2129" t="s">
        <v>320</v>
      </c>
      <c r="B2129" t="s">
        <v>321</v>
      </c>
      <c r="C2129" t="s">
        <v>142</v>
      </c>
      <c r="D2129">
        <v>364</v>
      </c>
      <c r="E2129" s="5">
        <v>43511</v>
      </c>
      <c r="F2129">
        <v>24080505</v>
      </c>
      <c r="G2129" t="s">
        <v>692</v>
      </c>
      <c r="H2129" t="s">
        <v>1129</v>
      </c>
      <c r="I2129" t="s">
        <v>1130</v>
      </c>
      <c r="J2129">
        <v>1006</v>
      </c>
      <c r="K2129" t="s">
        <v>693</v>
      </c>
      <c r="L2129" s="3">
        <v>-20158817.600000001</v>
      </c>
      <c r="M2129" s="3">
        <v>0</v>
      </c>
      <c r="N2129">
        <v>281200</v>
      </c>
      <c r="O2129">
        <v>-1480000</v>
      </c>
      <c r="P2129">
        <v>-20440017.600000001</v>
      </c>
      <c r="Q2129" t="s">
        <v>30</v>
      </c>
      <c r="R2129" t="s">
        <v>720</v>
      </c>
      <c r="S2129" t="str">
        <v>#N/A</v>
      </c>
      <c r="T2129" t="str">
        <v>#N/A</v>
      </c>
    </row>
    <row r="2130" spans="1:20" ht="13.7" customHeight="1" x14ac:dyDescent="0.25">
      <c r="A2130" t="s">
        <v>320</v>
      </c>
      <c r="B2130" t="s">
        <v>321</v>
      </c>
      <c r="C2130" t="s">
        <v>142</v>
      </c>
      <c r="D2130">
        <v>401</v>
      </c>
      <c r="E2130" s="5">
        <v>43559</v>
      </c>
      <c r="F2130">
        <v>24080505</v>
      </c>
      <c r="G2130" t="s">
        <v>692</v>
      </c>
      <c r="H2130" t="s">
        <v>1129</v>
      </c>
      <c r="I2130" t="s">
        <v>1130</v>
      </c>
      <c r="J2130">
        <v>1006</v>
      </c>
      <c r="K2130" t="s">
        <v>693</v>
      </c>
      <c r="L2130" s="3">
        <v>-20440017.600000001</v>
      </c>
      <c r="M2130" s="3">
        <v>0</v>
      </c>
      <c r="N2130">
        <v>47120</v>
      </c>
      <c r="O2130">
        <v>-248000</v>
      </c>
      <c r="P2130">
        <v>-20487137.600000001</v>
      </c>
      <c r="Q2130" t="s">
        <v>30</v>
      </c>
      <c r="R2130" t="s">
        <v>424</v>
      </c>
      <c r="S2130" t="str">
        <v>#N/A</v>
      </c>
      <c r="T2130" t="str">
        <v>#N/A</v>
      </c>
    </row>
    <row r="2131" spans="1:20" ht="13.7" customHeight="1" x14ac:dyDescent="0.25">
      <c r="A2131" t="s">
        <v>320</v>
      </c>
      <c r="B2131" t="s">
        <v>321</v>
      </c>
      <c r="C2131" t="s">
        <v>142</v>
      </c>
      <c r="D2131">
        <v>406</v>
      </c>
      <c r="E2131" s="5">
        <v>43565</v>
      </c>
      <c r="F2131">
        <v>24080505</v>
      </c>
      <c r="G2131" t="s">
        <v>692</v>
      </c>
      <c r="H2131" t="s">
        <v>1129</v>
      </c>
      <c r="I2131" t="s">
        <v>1130</v>
      </c>
      <c r="J2131">
        <v>1006</v>
      </c>
      <c r="K2131" t="s">
        <v>693</v>
      </c>
      <c r="L2131" s="3">
        <v>-20487137.600000001</v>
      </c>
      <c r="M2131" s="3">
        <v>0</v>
      </c>
      <c r="N2131">
        <v>2204190</v>
      </c>
      <c r="O2131">
        <v>-11601000</v>
      </c>
      <c r="P2131">
        <v>-22691327.600000001</v>
      </c>
      <c r="Q2131" t="s">
        <v>30</v>
      </c>
      <c r="R2131" t="s">
        <v>427</v>
      </c>
      <c r="S2131" t="str">
        <v>#N/A</v>
      </c>
      <c r="T2131" t="str">
        <v>#N/A</v>
      </c>
    </row>
    <row r="2132" spans="1:20" ht="13.7" customHeight="1" x14ac:dyDescent="0.25">
      <c r="A2132" t="s">
        <v>320</v>
      </c>
      <c r="B2132" t="s">
        <v>321</v>
      </c>
      <c r="C2132" t="s">
        <v>142</v>
      </c>
      <c r="D2132">
        <v>414</v>
      </c>
      <c r="E2132" s="5">
        <v>43577</v>
      </c>
      <c r="F2132">
        <v>24080505</v>
      </c>
      <c r="G2132" t="s">
        <v>692</v>
      </c>
      <c r="H2132" t="s">
        <v>1129</v>
      </c>
      <c r="I2132" t="s">
        <v>1130</v>
      </c>
      <c r="J2132">
        <v>1006</v>
      </c>
      <c r="K2132" t="s">
        <v>693</v>
      </c>
      <c r="L2132" s="3">
        <v>-22691327.600000001</v>
      </c>
      <c r="M2132" s="3">
        <v>0</v>
      </c>
      <c r="N2132">
        <v>63840</v>
      </c>
      <c r="O2132">
        <v>-336000</v>
      </c>
      <c r="P2132">
        <v>-22755167.600000001</v>
      </c>
      <c r="Q2132" t="s">
        <v>30</v>
      </c>
      <c r="R2132" t="s">
        <v>433</v>
      </c>
      <c r="S2132" t="str">
        <v>#N/A</v>
      </c>
      <c r="T2132" t="str">
        <v>#N/A</v>
      </c>
    </row>
    <row r="2133" spans="1:20" ht="13.7" customHeight="1" x14ac:dyDescent="0.25">
      <c r="A2133" t="s">
        <v>320</v>
      </c>
      <c r="B2133" t="s">
        <v>321</v>
      </c>
      <c r="C2133" t="s">
        <v>142</v>
      </c>
      <c r="D2133">
        <v>415</v>
      </c>
      <c r="E2133" s="5">
        <v>43577</v>
      </c>
      <c r="F2133">
        <v>24080505</v>
      </c>
      <c r="G2133" t="s">
        <v>692</v>
      </c>
      <c r="H2133" t="s">
        <v>1129</v>
      </c>
      <c r="I2133" t="s">
        <v>1130</v>
      </c>
      <c r="J2133">
        <v>1006</v>
      </c>
      <c r="K2133" t="s">
        <v>693</v>
      </c>
      <c r="L2133" s="3">
        <v>-22755167.600000001</v>
      </c>
      <c r="M2133" s="3">
        <v>0</v>
      </c>
      <c r="N2133">
        <v>28006</v>
      </c>
      <c r="O2133">
        <v>-147400</v>
      </c>
      <c r="P2133">
        <v>-22783173.600000001</v>
      </c>
      <c r="Q2133" t="s">
        <v>30</v>
      </c>
      <c r="R2133" t="s">
        <v>434</v>
      </c>
      <c r="S2133" t="str">
        <v>#N/A</v>
      </c>
      <c r="T2133" t="str">
        <v>#N/A</v>
      </c>
    </row>
    <row r="2134" spans="1:20" ht="13.7" customHeight="1" x14ac:dyDescent="0.25">
      <c r="A2134" t="s">
        <v>320</v>
      </c>
      <c r="B2134" t="s">
        <v>321</v>
      </c>
      <c r="C2134" t="s">
        <v>142</v>
      </c>
      <c r="D2134">
        <v>416</v>
      </c>
      <c r="E2134" s="5">
        <v>43577</v>
      </c>
      <c r="F2134">
        <v>24080505</v>
      </c>
      <c r="G2134" t="s">
        <v>692</v>
      </c>
      <c r="H2134" t="s">
        <v>1129</v>
      </c>
      <c r="I2134" t="s">
        <v>1130</v>
      </c>
      <c r="J2134">
        <v>1006</v>
      </c>
      <c r="K2134" t="s">
        <v>693</v>
      </c>
      <c r="L2134" s="3">
        <v>-22783173.600000001</v>
      </c>
      <c r="M2134" s="3">
        <v>0</v>
      </c>
      <c r="N2134">
        <v>316350</v>
      </c>
      <c r="O2134">
        <v>-1665000</v>
      </c>
      <c r="P2134">
        <v>-23099523.600000001</v>
      </c>
      <c r="Q2134" t="s">
        <v>30</v>
      </c>
      <c r="R2134" t="s">
        <v>435</v>
      </c>
      <c r="S2134" t="str">
        <v>#N/A</v>
      </c>
      <c r="T2134" t="str">
        <v>#N/A</v>
      </c>
    </row>
    <row r="2135" spans="1:20" ht="13.7" customHeight="1" x14ac:dyDescent="0.25">
      <c r="A2135" t="s">
        <v>320</v>
      </c>
      <c r="B2135" t="s">
        <v>321</v>
      </c>
      <c r="C2135" t="s">
        <v>142</v>
      </c>
      <c r="D2135">
        <v>417</v>
      </c>
      <c r="E2135" s="5">
        <v>43577</v>
      </c>
      <c r="F2135">
        <v>24080505</v>
      </c>
      <c r="G2135" t="s">
        <v>692</v>
      </c>
      <c r="H2135" t="s">
        <v>1129</v>
      </c>
      <c r="I2135" t="s">
        <v>1130</v>
      </c>
      <c r="J2135">
        <v>1006</v>
      </c>
      <c r="K2135" t="s">
        <v>693</v>
      </c>
      <c r="L2135" s="3">
        <v>-23099523.600000001</v>
      </c>
      <c r="M2135" s="3">
        <v>0</v>
      </c>
      <c r="N2135">
        <v>133570</v>
      </c>
      <c r="O2135">
        <v>-703000</v>
      </c>
      <c r="P2135">
        <v>-23233093.600000001</v>
      </c>
      <c r="Q2135" t="s">
        <v>30</v>
      </c>
      <c r="R2135" t="s">
        <v>436</v>
      </c>
      <c r="S2135" t="str">
        <v>#N/A</v>
      </c>
      <c r="T2135" t="str">
        <v>#N/A</v>
      </c>
    </row>
    <row r="2136" spans="1:20" ht="13.7" customHeight="1" x14ac:dyDescent="0.25">
      <c r="A2136" t="s">
        <v>320</v>
      </c>
      <c r="B2136" t="s">
        <v>321</v>
      </c>
      <c r="C2136" t="s">
        <v>142</v>
      </c>
      <c r="D2136">
        <v>434</v>
      </c>
      <c r="E2136" s="5">
        <v>43593</v>
      </c>
      <c r="F2136">
        <v>24080505</v>
      </c>
      <c r="G2136" t="s">
        <v>692</v>
      </c>
      <c r="H2136" t="s">
        <v>1129</v>
      </c>
      <c r="I2136" t="s">
        <v>1130</v>
      </c>
      <c r="J2136">
        <v>1006</v>
      </c>
      <c r="K2136" t="s">
        <v>693</v>
      </c>
      <c r="L2136" s="3">
        <v>-23233093.600000001</v>
      </c>
      <c r="M2136" s="3">
        <v>0</v>
      </c>
      <c r="N2136">
        <v>2166000</v>
      </c>
      <c r="O2136">
        <v>-11400000</v>
      </c>
      <c r="P2136">
        <v>-25399093.600000001</v>
      </c>
      <c r="Q2136" t="s">
        <v>30</v>
      </c>
      <c r="R2136" t="s">
        <v>445</v>
      </c>
      <c r="S2136" t="str">
        <v>#N/A</v>
      </c>
      <c r="T2136" t="str">
        <v>#N/A</v>
      </c>
    </row>
    <row r="2137" spans="1:20" ht="13.7" customHeight="1" x14ac:dyDescent="0.25">
      <c r="A2137" t="s">
        <v>320</v>
      </c>
      <c r="B2137" t="s">
        <v>321</v>
      </c>
      <c r="C2137" t="s">
        <v>142</v>
      </c>
      <c r="D2137">
        <v>441</v>
      </c>
      <c r="E2137" s="5">
        <v>43612</v>
      </c>
      <c r="F2137">
        <v>24080505</v>
      </c>
      <c r="G2137" t="s">
        <v>692</v>
      </c>
      <c r="H2137" t="s">
        <v>1129</v>
      </c>
      <c r="I2137" t="s">
        <v>1130</v>
      </c>
      <c r="J2137">
        <v>1006</v>
      </c>
      <c r="K2137" t="s">
        <v>693</v>
      </c>
      <c r="L2137" s="3">
        <v>-25399093.600000001</v>
      </c>
      <c r="M2137" s="3">
        <v>0</v>
      </c>
      <c r="N2137">
        <v>281200</v>
      </c>
      <c r="O2137">
        <v>-1480000</v>
      </c>
      <c r="P2137">
        <v>-25680293.600000001</v>
      </c>
      <c r="Q2137" t="s">
        <v>30</v>
      </c>
      <c r="R2137" t="s">
        <v>454</v>
      </c>
      <c r="S2137" t="str">
        <v>#N/A</v>
      </c>
      <c r="T2137" t="str">
        <v>#N/A</v>
      </c>
    </row>
    <row r="2138" spans="1:20" ht="13.7" customHeight="1" x14ac:dyDescent="0.25">
      <c r="A2138" t="s">
        <v>320</v>
      </c>
      <c r="B2138" t="s">
        <v>321</v>
      </c>
      <c r="C2138" t="s">
        <v>142</v>
      </c>
      <c r="D2138">
        <v>445</v>
      </c>
      <c r="E2138" s="5">
        <v>43617</v>
      </c>
      <c r="F2138">
        <v>24080505</v>
      </c>
      <c r="G2138" t="s">
        <v>692</v>
      </c>
      <c r="H2138" t="s">
        <v>1129</v>
      </c>
      <c r="I2138" t="s">
        <v>1130</v>
      </c>
      <c r="J2138">
        <v>1006</v>
      </c>
      <c r="K2138" t="s">
        <v>693</v>
      </c>
      <c r="L2138" s="3">
        <v>-25680293.600000001</v>
      </c>
      <c r="M2138" s="3">
        <v>0</v>
      </c>
      <c r="N2138">
        <v>562400</v>
      </c>
      <c r="O2138">
        <v>-2960000</v>
      </c>
      <c r="P2138">
        <v>-26242693.600000001</v>
      </c>
      <c r="Q2138" t="s">
        <v>30</v>
      </c>
      <c r="R2138" t="s">
        <v>456</v>
      </c>
      <c r="S2138" t="str">
        <v>#N/A</v>
      </c>
      <c r="T2138" t="str">
        <v>#N/A</v>
      </c>
    </row>
    <row r="2139" spans="1:20" ht="13.7" customHeight="1" x14ac:dyDescent="0.25">
      <c r="A2139" t="s">
        <v>320</v>
      </c>
      <c r="B2139" t="s">
        <v>321</v>
      </c>
      <c r="C2139" t="s">
        <v>142</v>
      </c>
      <c r="D2139">
        <v>446</v>
      </c>
      <c r="E2139" s="5">
        <v>43617</v>
      </c>
      <c r="F2139">
        <v>24080505</v>
      </c>
      <c r="G2139" t="s">
        <v>692</v>
      </c>
      <c r="H2139" t="s">
        <v>1129</v>
      </c>
      <c r="I2139" t="s">
        <v>1130</v>
      </c>
      <c r="J2139">
        <v>1006</v>
      </c>
      <c r="K2139" t="s">
        <v>693</v>
      </c>
      <c r="L2139" s="3">
        <v>-26242693.600000001</v>
      </c>
      <c r="M2139" s="3">
        <v>0</v>
      </c>
      <c r="N2139">
        <v>521930</v>
      </c>
      <c r="O2139">
        <v>-2747000</v>
      </c>
      <c r="P2139">
        <v>-26764623.600000001</v>
      </c>
      <c r="Q2139" t="s">
        <v>30</v>
      </c>
      <c r="R2139" t="s">
        <v>457</v>
      </c>
      <c r="S2139" t="str">
        <v>#N/A</v>
      </c>
      <c r="T2139" t="str">
        <v>#N/A</v>
      </c>
    </row>
    <row r="2140" spans="1:20" ht="13.7" customHeight="1" x14ac:dyDescent="0.25">
      <c r="A2140" t="s">
        <v>320</v>
      </c>
      <c r="B2140" t="s">
        <v>321</v>
      </c>
      <c r="C2140" t="s">
        <v>142</v>
      </c>
      <c r="D2140">
        <v>489</v>
      </c>
      <c r="E2140" s="5">
        <v>43710</v>
      </c>
      <c r="F2140">
        <v>24080505</v>
      </c>
      <c r="G2140" t="s">
        <v>692</v>
      </c>
      <c r="H2140" t="s">
        <v>1129</v>
      </c>
      <c r="I2140" t="s">
        <v>1130</v>
      </c>
      <c r="J2140">
        <v>1006</v>
      </c>
      <c r="K2140" t="s">
        <v>693</v>
      </c>
      <c r="L2140" s="3">
        <v>-26764623.600000001</v>
      </c>
      <c r="M2140" s="3">
        <v>0</v>
      </c>
      <c r="N2140">
        <v>2166000</v>
      </c>
      <c r="O2140">
        <v>-11400000</v>
      </c>
      <c r="P2140">
        <v>-28930623.600000001</v>
      </c>
      <c r="Q2140" t="s">
        <v>30</v>
      </c>
      <c r="R2140" t="s">
        <v>475</v>
      </c>
      <c r="S2140" t="str">
        <v>#N/A</v>
      </c>
      <c r="T2140" t="str">
        <v>#N/A</v>
      </c>
    </row>
    <row r="2141" spans="1:20" ht="13.7" customHeight="1" x14ac:dyDescent="0.25">
      <c r="A2141" t="s">
        <v>320</v>
      </c>
      <c r="B2141" t="s">
        <v>321</v>
      </c>
      <c r="C2141" t="s">
        <v>142</v>
      </c>
      <c r="D2141">
        <v>506</v>
      </c>
      <c r="E2141" s="5">
        <v>43743</v>
      </c>
      <c r="F2141">
        <v>24080505</v>
      </c>
      <c r="G2141" t="s">
        <v>692</v>
      </c>
      <c r="H2141" t="s">
        <v>1129</v>
      </c>
      <c r="I2141" t="s">
        <v>1130</v>
      </c>
      <c r="J2141">
        <v>1006</v>
      </c>
      <c r="K2141" t="s">
        <v>693</v>
      </c>
      <c r="L2141" s="3">
        <v>-28930623.600000001</v>
      </c>
      <c r="M2141" s="3">
        <v>0</v>
      </c>
      <c r="N2141">
        <v>2166000</v>
      </c>
      <c r="O2141">
        <v>-11400000</v>
      </c>
      <c r="P2141">
        <v>-31096623.600000001</v>
      </c>
      <c r="Q2141" t="s">
        <v>30</v>
      </c>
      <c r="R2141" t="s">
        <v>491</v>
      </c>
      <c r="S2141" t="str">
        <v>#N/A</v>
      </c>
      <c r="T2141" t="str">
        <v>#N/A</v>
      </c>
    </row>
    <row r="2142" spans="1:20" ht="13.7" customHeight="1" x14ac:dyDescent="0.25">
      <c r="A2142" t="s">
        <v>320</v>
      </c>
      <c r="B2142" t="s">
        <v>321</v>
      </c>
      <c r="C2142" t="s">
        <v>142</v>
      </c>
      <c r="D2142">
        <v>525</v>
      </c>
      <c r="E2142" s="5">
        <v>43771</v>
      </c>
      <c r="F2142">
        <v>24080505</v>
      </c>
      <c r="G2142" t="s">
        <v>692</v>
      </c>
      <c r="H2142" t="s">
        <v>1129</v>
      </c>
      <c r="I2142" t="s">
        <v>1130</v>
      </c>
      <c r="J2142">
        <v>1006</v>
      </c>
      <c r="K2142" t="s">
        <v>693</v>
      </c>
      <c r="L2142" s="3">
        <v>-31096623.600000001</v>
      </c>
      <c r="M2142" s="3">
        <v>0</v>
      </c>
      <c r="N2142">
        <v>1478200</v>
      </c>
      <c r="O2142">
        <v>-7780000</v>
      </c>
      <c r="P2142">
        <v>-32574823.600000001</v>
      </c>
      <c r="Q2142" t="s">
        <v>30</v>
      </c>
      <c r="R2142" t="s">
        <v>507</v>
      </c>
      <c r="S2142" t="str">
        <v>#N/A</v>
      </c>
      <c r="T2142" t="str">
        <v>#N/A</v>
      </c>
    </row>
    <row r="2143" spans="1:20" ht="13.7" customHeight="1" x14ac:dyDescent="0.25">
      <c r="A2143" t="s">
        <v>320</v>
      </c>
      <c r="B2143" t="s">
        <v>321</v>
      </c>
      <c r="C2143" t="s">
        <v>142</v>
      </c>
      <c r="D2143">
        <v>534</v>
      </c>
      <c r="E2143" s="5">
        <v>43795</v>
      </c>
      <c r="F2143">
        <v>24080505</v>
      </c>
      <c r="G2143" t="s">
        <v>692</v>
      </c>
      <c r="H2143" t="s">
        <v>1129</v>
      </c>
      <c r="I2143" t="s">
        <v>1130</v>
      </c>
      <c r="J2143">
        <v>1006</v>
      </c>
      <c r="K2143" t="s">
        <v>693</v>
      </c>
      <c r="L2143" s="3">
        <v>-32574823.600000001</v>
      </c>
      <c r="M2143" s="3">
        <v>0</v>
      </c>
      <c r="N2143">
        <v>2166000</v>
      </c>
      <c r="O2143">
        <v>-11400000</v>
      </c>
      <c r="P2143">
        <v>-34740823.600000001</v>
      </c>
      <c r="Q2143" t="s">
        <v>30</v>
      </c>
      <c r="R2143" t="s">
        <v>516</v>
      </c>
      <c r="S2143" t="str">
        <v>#N/A</v>
      </c>
      <c r="T2143" t="str">
        <v>#N/A</v>
      </c>
    </row>
    <row r="2144" spans="1:20" ht="13.7" customHeight="1" x14ac:dyDescent="0.25">
      <c r="A2144" t="s">
        <v>219</v>
      </c>
      <c r="B2144" t="s">
        <v>220</v>
      </c>
      <c r="C2144" t="s">
        <v>180</v>
      </c>
      <c r="D2144">
        <v>1</v>
      </c>
      <c r="E2144" s="5">
        <v>43829</v>
      </c>
      <c r="F2144">
        <v>24080505</v>
      </c>
      <c r="G2144" t="s">
        <v>692</v>
      </c>
      <c r="H2144" t="s">
        <v>1129</v>
      </c>
      <c r="I2144" t="s">
        <v>1130</v>
      </c>
      <c r="J2144">
        <v>1006</v>
      </c>
      <c r="K2144" t="s">
        <v>693</v>
      </c>
      <c r="L2144" s="3">
        <v>-34740823.600000001</v>
      </c>
      <c r="M2144" s="3">
        <v>1330000</v>
      </c>
      <c r="N2144">
        <v>0</v>
      </c>
      <c r="O2144">
        <v>7000000</v>
      </c>
      <c r="P2144">
        <v>-33410823.600000001</v>
      </c>
      <c r="Q2144" t="s">
        <v>30</v>
      </c>
      <c r="R2144" t="s">
        <v>528</v>
      </c>
      <c r="S2144" t="str">
        <v>#N/A</v>
      </c>
      <c r="T2144" t="str">
        <v>#N/A</v>
      </c>
    </row>
    <row r="2145" spans="1:20" ht="13.7" customHeight="1" x14ac:dyDescent="0.25">
      <c r="E2145" s="5">
        <v>43465</v>
      </c>
      <c r="F2145">
        <v>24080505</v>
      </c>
      <c r="G2145" t="s">
        <v>692</v>
      </c>
      <c r="H2145" t="s">
        <v>1139</v>
      </c>
      <c r="I2145" t="s">
        <v>1140</v>
      </c>
      <c r="J2145">
        <v>0</v>
      </c>
      <c r="K2145">
        <v>0</v>
      </c>
      <c r="L2145" s="3">
        <v>-5359257.8</v>
      </c>
      <c r="M2145" s="3">
        <v>0</v>
      </c>
      <c r="N2145">
        <v>0</v>
      </c>
      <c r="O2145">
        <v>-28206620</v>
      </c>
      <c r="P2145">
        <v>-5359257.8</v>
      </c>
      <c r="R2145" t="s">
        <v>1100</v>
      </c>
      <c r="S2145" t="str">
        <v>#N/A</v>
      </c>
      <c r="T2145" t="str">
        <v>#N/A</v>
      </c>
    </row>
    <row r="2146" spans="1:20" ht="13.7" customHeight="1" x14ac:dyDescent="0.25">
      <c r="A2146" t="s">
        <v>320</v>
      </c>
      <c r="B2146" t="s">
        <v>321</v>
      </c>
      <c r="C2146" t="s">
        <v>142</v>
      </c>
      <c r="D2146">
        <v>465</v>
      </c>
      <c r="E2146" s="5">
        <v>43653</v>
      </c>
      <c r="F2146">
        <v>24080505</v>
      </c>
      <c r="G2146" t="s">
        <v>692</v>
      </c>
      <c r="H2146" t="s">
        <v>1139</v>
      </c>
      <c r="I2146" t="s">
        <v>1140</v>
      </c>
      <c r="J2146">
        <v>1006</v>
      </c>
      <c r="K2146" t="s">
        <v>693</v>
      </c>
      <c r="L2146" s="3">
        <v>-5359257.8</v>
      </c>
      <c r="M2146" s="3">
        <v>0</v>
      </c>
      <c r="N2146">
        <v>120931.2</v>
      </c>
      <c r="O2146">
        <v>-636480</v>
      </c>
      <c r="P2146">
        <v>-5480189</v>
      </c>
      <c r="Q2146" t="s">
        <v>30</v>
      </c>
      <c r="R2146" t="s">
        <v>468</v>
      </c>
      <c r="S2146" t="str">
        <v>#N/A</v>
      </c>
      <c r="T2146" t="str">
        <v>#N/A</v>
      </c>
    </row>
    <row r="2147" spans="1:20" ht="13.7" customHeight="1" x14ac:dyDescent="0.25">
      <c r="E2147" s="5">
        <v>43465</v>
      </c>
      <c r="F2147">
        <v>24080505</v>
      </c>
      <c r="G2147" t="s">
        <v>692</v>
      </c>
      <c r="H2147" t="s">
        <v>1125</v>
      </c>
      <c r="I2147" t="s">
        <v>1126</v>
      </c>
      <c r="J2147">
        <v>0</v>
      </c>
      <c r="K2147">
        <v>0</v>
      </c>
      <c r="L2147" s="3">
        <v>-27791661.57</v>
      </c>
      <c r="M2147" s="3">
        <v>0</v>
      </c>
      <c r="N2147">
        <v>0</v>
      </c>
      <c r="O2147">
        <v>-146796903</v>
      </c>
      <c r="P2147">
        <v>-27791661.57</v>
      </c>
      <c r="R2147" t="s">
        <v>1100</v>
      </c>
      <c r="S2147" t="str">
        <v>#N/A</v>
      </c>
      <c r="T2147" t="str">
        <v>31</v>
      </c>
    </row>
    <row r="2148" spans="1:20" ht="13.7" customHeight="1" x14ac:dyDescent="0.25">
      <c r="A2148" t="s">
        <v>320</v>
      </c>
      <c r="B2148" t="s">
        <v>321</v>
      </c>
      <c r="C2148" t="s">
        <v>142</v>
      </c>
      <c r="D2148">
        <v>334</v>
      </c>
      <c r="E2148" s="5">
        <v>43466</v>
      </c>
      <c r="F2148">
        <v>24080505</v>
      </c>
      <c r="G2148" t="s">
        <v>692</v>
      </c>
      <c r="H2148" t="s">
        <v>1125</v>
      </c>
      <c r="I2148" t="s">
        <v>1126</v>
      </c>
      <c r="J2148">
        <v>1006</v>
      </c>
      <c r="K2148" t="s">
        <v>693</v>
      </c>
      <c r="L2148" s="3">
        <v>-27791661.57</v>
      </c>
      <c r="M2148" s="3">
        <v>0</v>
      </c>
      <c r="N2148">
        <v>2441545.6</v>
      </c>
      <c r="O2148">
        <v>-12850240</v>
      </c>
      <c r="P2148">
        <v>-30233207.170000002</v>
      </c>
      <c r="Q2148" t="s">
        <v>30</v>
      </c>
      <c r="R2148" t="s">
        <v>694</v>
      </c>
      <c r="S2148" t="str">
        <v>#N/A</v>
      </c>
      <c r="T2148" t="str">
        <v>31</v>
      </c>
    </row>
    <row r="2149" spans="1:20" ht="13.7" customHeight="1" x14ac:dyDescent="0.25">
      <c r="A2149" t="s">
        <v>320</v>
      </c>
      <c r="B2149" t="s">
        <v>321</v>
      </c>
      <c r="C2149" t="s">
        <v>142</v>
      </c>
      <c r="D2149">
        <v>339</v>
      </c>
      <c r="E2149" s="5">
        <v>43482</v>
      </c>
      <c r="F2149">
        <v>24080505</v>
      </c>
      <c r="G2149" t="s">
        <v>692</v>
      </c>
      <c r="H2149" t="s">
        <v>1125</v>
      </c>
      <c r="I2149" t="s">
        <v>1126</v>
      </c>
      <c r="J2149">
        <v>1006</v>
      </c>
      <c r="K2149" t="s">
        <v>693</v>
      </c>
      <c r="L2149" s="3">
        <v>-30233207.170000002</v>
      </c>
      <c r="M2149" s="3">
        <v>0</v>
      </c>
      <c r="N2149">
        <v>88817.4</v>
      </c>
      <c r="O2149">
        <v>-467460</v>
      </c>
      <c r="P2149">
        <v>-30322024.57</v>
      </c>
      <c r="Q2149" t="s">
        <v>30</v>
      </c>
      <c r="R2149" t="s">
        <v>699</v>
      </c>
      <c r="S2149" t="str">
        <v>#N/A</v>
      </c>
      <c r="T2149" t="str">
        <v>31</v>
      </c>
    </row>
    <row r="2150" spans="1:20" ht="13.7" customHeight="1" x14ac:dyDescent="0.25">
      <c r="A2150" t="s">
        <v>320</v>
      </c>
      <c r="B2150" t="s">
        <v>321</v>
      </c>
      <c r="C2150" t="s">
        <v>142</v>
      </c>
      <c r="D2150">
        <v>341</v>
      </c>
      <c r="E2150" s="5">
        <v>43484</v>
      </c>
      <c r="F2150">
        <v>24080505</v>
      </c>
      <c r="G2150" t="s">
        <v>692</v>
      </c>
      <c r="H2150" t="s">
        <v>1125</v>
      </c>
      <c r="I2150" t="s">
        <v>1126</v>
      </c>
      <c r="J2150">
        <v>1006</v>
      </c>
      <c r="K2150" t="s">
        <v>693</v>
      </c>
      <c r="L2150" s="3">
        <v>-30322024.57</v>
      </c>
      <c r="M2150" s="3">
        <v>0</v>
      </c>
      <c r="N2150">
        <v>39520</v>
      </c>
      <c r="O2150">
        <v>-208000</v>
      </c>
      <c r="P2150">
        <v>-30361544.57</v>
      </c>
      <c r="Q2150" t="s">
        <v>30</v>
      </c>
      <c r="R2150" t="s">
        <v>701</v>
      </c>
      <c r="S2150" t="str">
        <v>#N/A</v>
      </c>
      <c r="T2150" t="str">
        <v>31</v>
      </c>
    </row>
    <row r="2151" spans="1:20" ht="13.7" customHeight="1" x14ac:dyDescent="0.25">
      <c r="A2151" t="s">
        <v>320</v>
      </c>
      <c r="B2151" t="s">
        <v>321</v>
      </c>
      <c r="C2151" t="s">
        <v>142</v>
      </c>
      <c r="D2151">
        <v>351</v>
      </c>
      <c r="E2151" s="5">
        <v>43497</v>
      </c>
      <c r="F2151">
        <v>24080505</v>
      </c>
      <c r="G2151" t="s">
        <v>692</v>
      </c>
      <c r="H2151" t="s">
        <v>1125</v>
      </c>
      <c r="I2151" t="s">
        <v>1126</v>
      </c>
      <c r="J2151">
        <v>1006</v>
      </c>
      <c r="K2151" t="s">
        <v>693</v>
      </c>
      <c r="L2151" s="3">
        <v>-30361544.57</v>
      </c>
      <c r="M2151" s="3">
        <v>0</v>
      </c>
      <c r="N2151">
        <v>21660</v>
      </c>
      <c r="O2151">
        <v>-114000</v>
      </c>
      <c r="P2151">
        <v>-30383204.57</v>
      </c>
      <c r="Q2151" t="s">
        <v>30</v>
      </c>
      <c r="R2151" t="s">
        <v>709</v>
      </c>
      <c r="S2151" t="str">
        <v>#N/A</v>
      </c>
      <c r="T2151" t="str">
        <v>31</v>
      </c>
    </row>
    <row r="2152" spans="1:20" ht="13.7" customHeight="1" x14ac:dyDescent="0.25">
      <c r="A2152" t="s">
        <v>320</v>
      </c>
      <c r="B2152" t="s">
        <v>321</v>
      </c>
      <c r="C2152" t="s">
        <v>142</v>
      </c>
      <c r="D2152">
        <v>353</v>
      </c>
      <c r="E2152" s="5">
        <v>43500</v>
      </c>
      <c r="F2152">
        <v>24080505</v>
      </c>
      <c r="G2152" t="s">
        <v>692</v>
      </c>
      <c r="H2152" t="s">
        <v>1125</v>
      </c>
      <c r="I2152" t="s">
        <v>1126</v>
      </c>
      <c r="J2152">
        <v>1006</v>
      </c>
      <c r="K2152" t="s">
        <v>693</v>
      </c>
      <c r="L2152" s="3">
        <v>-30383204.57</v>
      </c>
      <c r="M2152" s="3">
        <v>0</v>
      </c>
      <c r="N2152">
        <v>1589919.24</v>
      </c>
      <c r="O2152">
        <v>-8367996</v>
      </c>
      <c r="P2152">
        <v>-31973123.809999999</v>
      </c>
      <c r="Q2152" t="s">
        <v>30</v>
      </c>
      <c r="R2152" t="s">
        <v>710</v>
      </c>
      <c r="S2152" t="str">
        <v>#N/A</v>
      </c>
      <c r="T2152" t="str">
        <v>31</v>
      </c>
    </row>
    <row r="2153" spans="1:20" ht="13.7" customHeight="1" x14ac:dyDescent="0.25">
      <c r="A2153" t="s">
        <v>320</v>
      </c>
      <c r="B2153" t="s">
        <v>321</v>
      </c>
      <c r="C2153" t="s">
        <v>142</v>
      </c>
      <c r="D2153">
        <v>357</v>
      </c>
      <c r="E2153" s="5">
        <v>43504</v>
      </c>
      <c r="F2153">
        <v>24080505</v>
      </c>
      <c r="G2153" t="s">
        <v>692</v>
      </c>
      <c r="H2153" t="s">
        <v>1125</v>
      </c>
      <c r="I2153" t="s">
        <v>1126</v>
      </c>
      <c r="J2153">
        <v>1006</v>
      </c>
      <c r="K2153" t="s">
        <v>693</v>
      </c>
      <c r="L2153" s="3">
        <v>-31973123.809999999</v>
      </c>
      <c r="M2153" s="3">
        <v>0</v>
      </c>
      <c r="N2153">
        <v>3800</v>
      </c>
      <c r="O2153">
        <v>-20000</v>
      </c>
      <c r="P2153">
        <v>-31976923.809999999</v>
      </c>
      <c r="Q2153" t="s">
        <v>30</v>
      </c>
      <c r="R2153" t="s">
        <v>714</v>
      </c>
      <c r="S2153" t="str">
        <v>#N/A</v>
      </c>
      <c r="T2153" t="str">
        <v>31</v>
      </c>
    </row>
    <row r="2154" spans="1:20" ht="13.7" customHeight="1" x14ac:dyDescent="0.25">
      <c r="A2154" t="s">
        <v>320</v>
      </c>
      <c r="B2154" t="s">
        <v>321</v>
      </c>
      <c r="C2154" t="s">
        <v>142</v>
      </c>
      <c r="D2154">
        <v>358</v>
      </c>
      <c r="E2154" s="5">
        <v>43507</v>
      </c>
      <c r="F2154">
        <v>24080505</v>
      </c>
      <c r="G2154" t="s">
        <v>692</v>
      </c>
      <c r="H2154" t="s">
        <v>1125</v>
      </c>
      <c r="I2154" t="s">
        <v>1126</v>
      </c>
      <c r="J2154">
        <v>1006</v>
      </c>
      <c r="K2154" t="s">
        <v>693</v>
      </c>
      <c r="L2154" s="3">
        <v>-31976923.809999999</v>
      </c>
      <c r="M2154" s="3">
        <v>0</v>
      </c>
      <c r="N2154">
        <v>337440</v>
      </c>
      <c r="O2154">
        <v>-1776000</v>
      </c>
      <c r="P2154">
        <v>-32314363.809999999</v>
      </c>
      <c r="Q2154" t="s">
        <v>30</v>
      </c>
      <c r="R2154" t="s">
        <v>715</v>
      </c>
      <c r="S2154" t="str">
        <v>#N/A</v>
      </c>
      <c r="T2154" t="str">
        <v>31</v>
      </c>
    </row>
    <row r="2155" spans="1:20" ht="13.7" customHeight="1" x14ac:dyDescent="0.25">
      <c r="A2155" t="s">
        <v>320</v>
      </c>
      <c r="B2155" t="s">
        <v>321</v>
      </c>
      <c r="C2155" t="s">
        <v>142</v>
      </c>
      <c r="D2155">
        <v>361</v>
      </c>
      <c r="E2155" s="5">
        <v>43507</v>
      </c>
      <c r="F2155">
        <v>24080505</v>
      </c>
      <c r="G2155" t="s">
        <v>692</v>
      </c>
      <c r="H2155" t="s">
        <v>1125</v>
      </c>
      <c r="I2155" t="s">
        <v>1126</v>
      </c>
      <c r="J2155">
        <v>1006</v>
      </c>
      <c r="K2155" t="s">
        <v>693</v>
      </c>
      <c r="L2155" s="3">
        <v>-32314363.809999999</v>
      </c>
      <c r="M2155" s="3">
        <v>0</v>
      </c>
      <c r="N2155">
        <v>210900</v>
      </c>
      <c r="O2155">
        <v>-1110000</v>
      </c>
      <c r="P2155">
        <v>-32525263.809999999</v>
      </c>
      <c r="Q2155" t="s">
        <v>30</v>
      </c>
      <c r="R2155" t="s">
        <v>717</v>
      </c>
      <c r="S2155" t="str">
        <v>#N/A</v>
      </c>
      <c r="T2155" t="str">
        <v>31</v>
      </c>
    </row>
    <row r="2156" spans="1:20" ht="13.7" customHeight="1" x14ac:dyDescent="0.25">
      <c r="A2156" t="s">
        <v>320</v>
      </c>
      <c r="B2156" t="s">
        <v>321</v>
      </c>
      <c r="C2156" t="s">
        <v>142</v>
      </c>
      <c r="D2156">
        <v>362</v>
      </c>
      <c r="E2156" s="5">
        <v>43508</v>
      </c>
      <c r="F2156">
        <v>24080505</v>
      </c>
      <c r="G2156" t="s">
        <v>692</v>
      </c>
      <c r="H2156" t="s">
        <v>1125</v>
      </c>
      <c r="I2156" t="s">
        <v>1126</v>
      </c>
      <c r="J2156">
        <v>1006</v>
      </c>
      <c r="K2156" t="s">
        <v>693</v>
      </c>
      <c r="L2156" s="3">
        <v>-32525263.809999999</v>
      </c>
      <c r="M2156" s="3">
        <v>0</v>
      </c>
      <c r="N2156">
        <v>96974.1</v>
      </c>
      <c r="O2156">
        <v>-510390</v>
      </c>
      <c r="P2156">
        <v>-32622237.91</v>
      </c>
      <c r="Q2156" t="s">
        <v>30</v>
      </c>
      <c r="R2156" t="s">
        <v>718</v>
      </c>
      <c r="S2156" t="str">
        <v>#N/A</v>
      </c>
      <c r="T2156" t="str">
        <v>31</v>
      </c>
    </row>
    <row r="2157" spans="1:20" ht="13.7" customHeight="1" x14ac:dyDescent="0.25">
      <c r="A2157" t="s">
        <v>320</v>
      </c>
      <c r="B2157" t="s">
        <v>321</v>
      </c>
      <c r="C2157" t="s">
        <v>142</v>
      </c>
      <c r="D2157">
        <v>374</v>
      </c>
      <c r="E2157" s="5">
        <v>43519</v>
      </c>
      <c r="F2157">
        <v>24080505</v>
      </c>
      <c r="G2157" t="s">
        <v>692</v>
      </c>
      <c r="H2157" t="s">
        <v>1125</v>
      </c>
      <c r="I2157" t="s">
        <v>1126</v>
      </c>
      <c r="J2157">
        <v>1006</v>
      </c>
      <c r="K2157" t="s">
        <v>693</v>
      </c>
      <c r="L2157" s="3">
        <v>-32622237.91</v>
      </c>
      <c r="M2157" s="3">
        <v>0</v>
      </c>
      <c r="N2157">
        <v>591356</v>
      </c>
      <c r="O2157">
        <v>-3112400</v>
      </c>
      <c r="P2157">
        <v>-33213593.91</v>
      </c>
      <c r="Q2157" t="s">
        <v>30</v>
      </c>
      <c r="R2157" t="s">
        <v>368</v>
      </c>
      <c r="S2157" t="str">
        <v>#N/A</v>
      </c>
      <c r="T2157" t="str">
        <v>31</v>
      </c>
    </row>
    <row r="2158" spans="1:20" ht="13.7" customHeight="1" x14ac:dyDescent="0.25">
      <c r="A2158" t="s">
        <v>320</v>
      </c>
      <c r="B2158" t="s">
        <v>321</v>
      </c>
      <c r="C2158" t="s">
        <v>142</v>
      </c>
      <c r="D2158">
        <v>377</v>
      </c>
      <c r="E2158" s="5">
        <v>43528</v>
      </c>
      <c r="F2158">
        <v>24080505</v>
      </c>
      <c r="G2158" t="s">
        <v>692</v>
      </c>
      <c r="H2158" t="s">
        <v>1125</v>
      </c>
      <c r="I2158" t="s">
        <v>1126</v>
      </c>
      <c r="J2158">
        <v>1006</v>
      </c>
      <c r="K2158" t="s">
        <v>693</v>
      </c>
      <c r="L2158" s="3">
        <v>-33213593.91</v>
      </c>
      <c r="M2158" s="3">
        <v>0</v>
      </c>
      <c r="N2158">
        <v>54150</v>
      </c>
      <c r="O2158">
        <v>-285000</v>
      </c>
      <c r="P2158">
        <v>-33267743.91</v>
      </c>
      <c r="Q2158" t="s">
        <v>30</v>
      </c>
      <c r="R2158" t="s">
        <v>392</v>
      </c>
      <c r="S2158" t="str">
        <v>#N/A</v>
      </c>
      <c r="T2158" t="str">
        <v>31</v>
      </c>
    </row>
    <row r="2159" spans="1:20" ht="13.7" customHeight="1" x14ac:dyDescent="0.25">
      <c r="A2159" t="s">
        <v>320</v>
      </c>
      <c r="B2159" t="s">
        <v>321</v>
      </c>
      <c r="C2159" t="s">
        <v>142</v>
      </c>
      <c r="D2159">
        <v>379</v>
      </c>
      <c r="E2159" s="5">
        <v>43531</v>
      </c>
      <c r="F2159">
        <v>24080505</v>
      </c>
      <c r="G2159" t="s">
        <v>692</v>
      </c>
      <c r="H2159" t="s">
        <v>1125</v>
      </c>
      <c r="I2159" t="s">
        <v>1126</v>
      </c>
      <c r="J2159">
        <v>1006</v>
      </c>
      <c r="K2159" t="s">
        <v>693</v>
      </c>
      <c r="L2159" s="3">
        <v>-33267743.91</v>
      </c>
      <c r="M2159" s="3">
        <v>0</v>
      </c>
      <c r="N2159">
        <v>438387</v>
      </c>
      <c r="O2159">
        <v>-2307300</v>
      </c>
      <c r="P2159">
        <v>-33706130.909999996</v>
      </c>
      <c r="Q2159" t="s">
        <v>30</v>
      </c>
      <c r="R2159" t="s">
        <v>395</v>
      </c>
      <c r="S2159" t="str">
        <v>#N/A</v>
      </c>
      <c r="T2159" t="str">
        <v>31</v>
      </c>
    </row>
    <row r="2160" spans="1:20" ht="13.7" customHeight="1" x14ac:dyDescent="0.25">
      <c r="A2160" t="s">
        <v>320</v>
      </c>
      <c r="B2160" t="s">
        <v>321</v>
      </c>
      <c r="C2160" t="s">
        <v>142</v>
      </c>
      <c r="D2160">
        <v>381</v>
      </c>
      <c r="E2160" s="5">
        <v>43535</v>
      </c>
      <c r="F2160">
        <v>24080505</v>
      </c>
      <c r="G2160" t="s">
        <v>692</v>
      </c>
      <c r="H2160" t="s">
        <v>1125</v>
      </c>
      <c r="I2160" t="s">
        <v>1126</v>
      </c>
      <c r="J2160">
        <v>1006</v>
      </c>
      <c r="K2160" t="s">
        <v>693</v>
      </c>
      <c r="L2160" s="3">
        <v>-33706130.909999996</v>
      </c>
      <c r="M2160" s="3">
        <v>0</v>
      </c>
      <c r="N2160">
        <v>24168</v>
      </c>
      <c r="O2160">
        <v>-127200</v>
      </c>
      <c r="P2160">
        <v>-33730298.909999996</v>
      </c>
      <c r="Q2160" t="s">
        <v>30</v>
      </c>
      <c r="R2160" t="s">
        <v>399</v>
      </c>
      <c r="S2160" t="str">
        <v>#N/A</v>
      </c>
      <c r="T2160" t="str">
        <v>31</v>
      </c>
    </row>
    <row r="2161" spans="1:20" ht="13.7" customHeight="1" x14ac:dyDescent="0.25">
      <c r="A2161" t="s">
        <v>320</v>
      </c>
      <c r="B2161" t="s">
        <v>321</v>
      </c>
      <c r="C2161" t="s">
        <v>142</v>
      </c>
      <c r="D2161">
        <v>383</v>
      </c>
      <c r="E2161" s="5">
        <v>43542</v>
      </c>
      <c r="F2161">
        <v>24080505</v>
      </c>
      <c r="G2161" t="s">
        <v>692</v>
      </c>
      <c r="H2161" t="s">
        <v>1125</v>
      </c>
      <c r="I2161" t="s">
        <v>1126</v>
      </c>
      <c r="J2161">
        <v>1006</v>
      </c>
      <c r="K2161" t="s">
        <v>693</v>
      </c>
      <c r="L2161" s="3">
        <v>-33730298.909999996</v>
      </c>
      <c r="M2161" s="3">
        <v>0</v>
      </c>
      <c r="N2161">
        <v>79800</v>
      </c>
      <c r="O2161">
        <v>-420000</v>
      </c>
      <c r="P2161">
        <v>-33810098.909999996</v>
      </c>
      <c r="Q2161" t="s">
        <v>30</v>
      </c>
      <c r="R2161" t="s">
        <v>405</v>
      </c>
      <c r="S2161" t="str">
        <v>#N/A</v>
      </c>
      <c r="T2161" t="str">
        <v>31</v>
      </c>
    </row>
    <row r="2162" spans="1:20" ht="13.7" customHeight="1" x14ac:dyDescent="0.25">
      <c r="A2162" t="s">
        <v>320</v>
      </c>
      <c r="B2162" t="s">
        <v>321</v>
      </c>
      <c r="C2162" t="s">
        <v>142</v>
      </c>
      <c r="D2162">
        <v>388</v>
      </c>
      <c r="E2162" s="5">
        <v>43545</v>
      </c>
      <c r="F2162">
        <v>24080505</v>
      </c>
      <c r="G2162" t="s">
        <v>692</v>
      </c>
      <c r="H2162" t="s">
        <v>1125</v>
      </c>
      <c r="I2162" t="s">
        <v>1126</v>
      </c>
      <c r="J2162">
        <v>1006</v>
      </c>
      <c r="K2162" t="s">
        <v>693</v>
      </c>
      <c r="L2162" s="3">
        <v>-33810098.909999996</v>
      </c>
      <c r="M2162" s="3">
        <v>0</v>
      </c>
      <c r="N2162">
        <v>82080</v>
      </c>
      <c r="O2162">
        <v>-432000</v>
      </c>
      <c r="P2162">
        <v>-33892178.909999996</v>
      </c>
      <c r="Q2162" t="s">
        <v>30</v>
      </c>
      <c r="R2162" t="s">
        <v>408</v>
      </c>
      <c r="S2162" t="str">
        <v>#N/A</v>
      </c>
      <c r="T2162" t="str">
        <v>31</v>
      </c>
    </row>
    <row r="2163" spans="1:20" ht="13.7" customHeight="1" x14ac:dyDescent="0.25">
      <c r="A2163" t="s">
        <v>320</v>
      </c>
      <c r="B2163" t="s">
        <v>321</v>
      </c>
      <c r="C2163" t="s">
        <v>142</v>
      </c>
      <c r="D2163">
        <v>389</v>
      </c>
      <c r="E2163" s="5">
        <v>43546</v>
      </c>
      <c r="F2163">
        <v>24080505</v>
      </c>
      <c r="G2163" t="s">
        <v>692</v>
      </c>
      <c r="H2163" t="s">
        <v>1125</v>
      </c>
      <c r="I2163" t="s">
        <v>1126</v>
      </c>
      <c r="J2163">
        <v>1006</v>
      </c>
      <c r="K2163" t="s">
        <v>693</v>
      </c>
      <c r="L2163" s="3">
        <v>-33892178.909999996</v>
      </c>
      <c r="M2163" s="3">
        <v>0</v>
      </c>
      <c r="N2163">
        <v>2568800</v>
      </c>
      <c r="O2163">
        <v>-13520000</v>
      </c>
      <c r="P2163">
        <v>-36460978.909999996</v>
      </c>
      <c r="Q2163" t="s">
        <v>30</v>
      </c>
      <c r="R2163" t="s">
        <v>409</v>
      </c>
      <c r="S2163" t="str">
        <v>#N/A</v>
      </c>
      <c r="T2163" t="str">
        <v>31</v>
      </c>
    </row>
    <row r="2164" spans="1:20" ht="13.7" customHeight="1" x14ac:dyDescent="0.25">
      <c r="A2164" t="s">
        <v>320</v>
      </c>
      <c r="B2164" t="s">
        <v>321</v>
      </c>
      <c r="C2164" t="s">
        <v>142</v>
      </c>
      <c r="D2164">
        <v>390</v>
      </c>
      <c r="E2164" s="5">
        <v>43550</v>
      </c>
      <c r="F2164">
        <v>24080505</v>
      </c>
      <c r="G2164" t="s">
        <v>692</v>
      </c>
      <c r="H2164" t="s">
        <v>1125</v>
      </c>
      <c r="I2164" t="s">
        <v>1126</v>
      </c>
      <c r="J2164">
        <v>1006</v>
      </c>
      <c r="K2164" t="s">
        <v>693</v>
      </c>
      <c r="L2164" s="3">
        <v>-36460978.909999996</v>
      </c>
      <c r="M2164" s="3">
        <v>0</v>
      </c>
      <c r="N2164">
        <v>3800</v>
      </c>
      <c r="O2164">
        <v>-20000</v>
      </c>
      <c r="P2164">
        <v>-36464778.909999996</v>
      </c>
      <c r="Q2164" t="s">
        <v>30</v>
      </c>
      <c r="R2164" t="s">
        <v>410</v>
      </c>
      <c r="S2164" t="str">
        <v>#N/A</v>
      </c>
      <c r="T2164" t="str">
        <v>31</v>
      </c>
    </row>
    <row r="2165" spans="1:20" ht="13.7" customHeight="1" x14ac:dyDescent="0.25">
      <c r="A2165" t="s">
        <v>320</v>
      </c>
      <c r="B2165" t="s">
        <v>321</v>
      </c>
      <c r="C2165" t="s">
        <v>142</v>
      </c>
      <c r="D2165">
        <v>393</v>
      </c>
      <c r="E2165" s="5">
        <v>43553</v>
      </c>
      <c r="F2165">
        <v>24080505</v>
      </c>
      <c r="G2165" t="s">
        <v>692</v>
      </c>
      <c r="H2165" t="s">
        <v>1125</v>
      </c>
      <c r="I2165" t="s">
        <v>1126</v>
      </c>
      <c r="J2165">
        <v>1006</v>
      </c>
      <c r="K2165" t="s">
        <v>693</v>
      </c>
      <c r="L2165" s="3">
        <v>-36464778.909999996</v>
      </c>
      <c r="M2165" s="3">
        <v>0</v>
      </c>
      <c r="N2165">
        <v>283860</v>
      </c>
      <c r="O2165">
        <v>-1494000</v>
      </c>
      <c r="P2165">
        <v>-36748638.909999996</v>
      </c>
      <c r="Q2165" t="s">
        <v>30</v>
      </c>
      <c r="R2165" t="s">
        <v>419</v>
      </c>
      <c r="S2165" t="str">
        <v>#N/A</v>
      </c>
      <c r="T2165" t="str">
        <v>31</v>
      </c>
    </row>
    <row r="2166" spans="1:20" ht="13.7" customHeight="1" x14ac:dyDescent="0.25">
      <c r="A2166" t="s">
        <v>320</v>
      </c>
      <c r="B2166" t="s">
        <v>321</v>
      </c>
      <c r="C2166" t="s">
        <v>142</v>
      </c>
      <c r="D2166">
        <v>396</v>
      </c>
      <c r="E2166" s="5">
        <v>43556</v>
      </c>
      <c r="F2166">
        <v>24080505</v>
      </c>
      <c r="G2166" t="s">
        <v>692</v>
      </c>
      <c r="H2166" t="s">
        <v>1125</v>
      </c>
      <c r="I2166" t="s">
        <v>1126</v>
      </c>
      <c r="J2166">
        <v>1006</v>
      </c>
      <c r="K2166" t="s">
        <v>693</v>
      </c>
      <c r="L2166" s="3">
        <v>-36748638.909999996</v>
      </c>
      <c r="M2166" s="3">
        <v>0</v>
      </c>
      <c r="N2166">
        <v>8550</v>
      </c>
      <c r="O2166">
        <v>-45000</v>
      </c>
      <c r="P2166">
        <v>-36757188.909999996</v>
      </c>
      <c r="Q2166" t="s">
        <v>30</v>
      </c>
      <c r="R2166" t="s">
        <v>421</v>
      </c>
      <c r="S2166" t="str">
        <v>#N/A</v>
      </c>
      <c r="T2166" t="str">
        <v>31</v>
      </c>
    </row>
    <row r="2167" spans="1:20" ht="13.7" customHeight="1" x14ac:dyDescent="0.25">
      <c r="A2167" t="s">
        <v>320</v>
      </c>
      <c r="B2167" t="s">
        <v>321</v>
      </c>
      <c r="C2167" t="s">
        <v>142</v>
      </c>
      <c r="D2167">
        <v>399</v>
      </c>
      <c r="E2167" s="5">
        <v>43559</v>
      </c>
      <c r="F2167">
        <v>24080505</v>
      </c>
      <c r="G2167" t="s">
        <v>692</v>
      </c>
      <c r="H2167" t="s">
        <v>1125</v>
      </c>
      <c r="I2167" t="s">
        <v>1126</v>
      </c>
      <c r="J2167">
        <v>1006</v>
      </c>
      <c r="K2167" t="s">
        <v>693</v>
      </c>
      <c r="L2167" s="3">
        <v>-36757188.909999996</v>
      </c>
      <c r="M2167" s="3">
        <v>0</v>
      </c>
      <c r="N2167">
        <v>130245</v>
      </c>
      <c r="O2167">
        <v>-685500</v>
      </c>
      <c r="P2167">
        <v>-36887433.909999996</v>
      </c>
      <c r="Q2167" t="s">
        <v>30</v>
      </c>
      <c r="R2167" t="s">
        <v>423</v>
      </c>
      <c r="S2167" t="str">
        <v>#N/A</v>
      </c>
      <c r="T2167" t="str">
        <v>31</v>
      </c>
    </row>
    <row r="2168" spans="1:20" ht="13.7" customHeight="1" x14ac:dyDescent="0.25">
      <c r="A2168" t="s">
        <v>320</v>
      </c>
      <c r="B2168" t="s">
        <v>321</v>
      </c>
      <c r="C2168" t="s">
        <v>142</v>
      </c>
      <c r="D2168">
        <v>402</v>
      </c>
      <c r="E2168" s="5">
        <v>43560</v>
      </c>
      <c r="F2168">
        <v>24080505</v>
      </c>
      <c r="G2168" t="s">
        <v>692</v>
      </c>
      <c r="H2168" t="s">
        <v>1125</v>
      </c>
      <c r="I2168" t="s">
        <v>1126</v>
      </c>
      <c r="J2168">
        <v>1006</v>
      </c>
      <c r="K2168" t="s">
        <v>693</v>
      </c>
      <c r="L2168" s="3">
        <v>-36887433.909999996</v>
      </c>
      <c r="M2168" s="3">
        <v>0</v>
      </c>
      <c r="N2168">
        <v>769500</v>
      </c>
      <c r="O2168">
        <v>-4050000</v>
      </c>
      <c r="P2168">
        <v>-37656933.909999996</v>
      </c>
      <c r="Q2168" t="s">
        <v>30</v>
      </c>
      <c r="R2168" t="s">
        <v>425</v>
      </c>
      <c r="S2168" t="str">
        <v>#N/A</v>
      </c>
      <c r="T2168" t="str">
        <v>31</v>
      </c>
    </row>
    <row r="2169" spans="1:20" ht="13.7" customHeight="1" x14ac:dyDescent="0.25">
      <c r="A2169" t="s">
        <v>320</v>
      </c>
      <c r="B2169" t="s">
        <v>321</v>
      </c>
      <c r="C2169" t="s">
        <v>142</v>
      </c>
      <c r="D2169">
        <v>404</v>
      </c>
      <c r="E2169" s="5">
        <v>43560</v>
      </c>
      <c r="F2169">
        <v>24080505</v>
      </c>
      <c r="G2169" t="s">
        <v>692</v>
      </c>
      <c r="H2169" t="s">
        <v>1125</v>
      </c>
      <c r="I2169" t="s">
        <v>1126</v>
      </c>
      <c r="J2169">
        <v>1006</v>
      </c>
      <c r="K2169" t="s">
        <v>693</v>
      </c>
      <c r="L2169" s="3">
        <v>-37656933.909999996</v>
      </c>
      <c r="M2169" s="3">
        <v>0</v>
      </c>
      <c r="N2169">
        <v>174116</v>
      </c>
      <c r="O2169">
        <v>-916400</v>
      </c>
      <c r="P2169">
        <v>-37831049.909999996</v>
      </c>
      <c r="Q2169" t="s">
        <v>30</v>
      </c>
      <c r="R2169" t="s">
        <v>426</v>
      </c>
      <c r="S2169" t="str">
        <v>#N/A</v>
      </c>
      <c r="T2169" t="str">
        <v>31</v>
      </c>
    </row>
    <row r="2170" spans="1:20" ht="13.7" customHeight="1" x14ac:dyDescent="0.25">
      <c r="A2170" t="s">
        <v>320</v>
      </c>
      <c r="B2170" t="s">
        <v>321</v>
      </c>
      <c r="C2170" t="s">
        <v>142</v>
      </c>
      <c r="D2170">
        <v>409</v>
      </c>
      <c r="E2170" s="5">
        <v>43567</v>
      </c>
      <c r="F2170">
        <v>24080505</v>
      </c>
      <c r="G2170" t="s">
        <v>692</v>
      </c>
      <c r="H2170" t="s">
        <v>1125</v>
      </c>
      <c r="I2170" t="s">
        <v>1126</v>
      </c>
      <c r="J2170">
        <v>1006</v>
      </c>
      <c r="K2170" t="s">
        <v>693</v>
      </c>
      <c r="L2170" s="3">
        <v>-37831049.909999996</v>
      </c>
      <c r="M2170" s="3">
        <v>0</v>
      </c>
      <c r="N2170">
        <v>389139</v>
      </c>
      <c r="O2170">
        <v>-2048100</v>
      </c>
      <c r="P2170">
        <v>-38220188.909999996</v>
      </c>
      <c r="Q2170" t="s">
        <v>30</v>
      </c>
      <c r="R2170" t="s">
        <v>429</v>
      </c>
      <c r="S2170" t="str">
        <v>#N/A</v>
      </c>
      <c r="T2170" t="str">
        <v>31</v>
      </c>
    </row>
    <row r="2171" spans="1:20" ht="13.7" customHeight="1" x14ac:dyDescent="0.25">
      <c r="A2171" t="s">
        <v>320</v>
      </c>
      <c r="B2171" t="s">
        <v>321</v>
      </c>
      <c r="C2171" t="s">
        <v>142</v>
      </c>
      <c r="D2171">
        <v>410</v>
      </c>
      <c r="E2171" s="5">
        <v>43570</v>
      </c>
      <c r="F2171">
        <v>24080505</v>
      </c>
      <c r="G2171" t="s">
        <v>692</v>
      </c>
      <c r="H2171" t="s">
        <v>1125</v>
      </c>
      <c r="I2171" t="s">
        <v>1126</v>
      </c>
      <c r="J2171">
        <v>1006</v>
      </c>
      <c r="K2171" t="s">
        <v>693</v>
      </c>
      <c r="L2171" s="3">
        <v>-38220188.909999996</v>
      </c>
      <c r="M2171" s="3">
        <v>0</v>
      </c>
      <c r="N2171">
        <v>77347.100000000006</v>
      </c>
      <c r="O2171">
        <v>-407090</v>
      </c>
      <c r="P2171">
        <v>-38297536.009999998</v>
      </c>
      <c r="Q2171" t="s">
        <v>30</v>
      </c>
      <c r="R2171" t="s">
        <v>430</v>
      </c>
      <c r="S2171" t="str">
        <v>#N/A</v>
      </c>
      <c r="T2171" t="str">
        <v>31</v>
      </c>
    </row>
    <row r="2172" spans="1:20" ht="13.7" customHeight="1" x14ac:dyDescent="0.25">
      <c r="A2172" t="s">
        <v>320</v>
      </c>
      <c r="B2172" t="s">
        <v>321</v>
      </c>
      <c r="C2172" t="s">
        <v>142</v>
      </c>
      <c r="D2172">
        <v>411</v>
      </c>
      <c r="E2172" s="5">
        <v>43570</v>
      </c>
      <c r="F2172">
        <v>24080505</v>
      </c>
      <c r="G2172" t="s">
        <v>692</v>
      </c>
      <c r="H2172" t="s">
        <v>1125</v>
      </c>
      <c r="I2172" t="s">
        <v>1126</v>
      </c>
      <c r="J2172">
        <v>1006</v>
      </c>
      <c r="K2172" t="s">
        <v>693</v>
      </c>
      <c r="L2172" s="3">
        <v>-38297536.009999998</v>
      </c>
      <c r="M2172" s="3">
        <v>0</v>
      </c>
      <c r="N2172">
        <v>56430</v>
      </c>
      <c r="O2172">
        <v>-297000</v>
      </c>
      <c r="P2172">
        <v>-38353966.009999998</v>
      </c>
      <c r="Q2172" t="s">
        <v>30</v>
      </c>
      <c r="R2172" t="s">
        <v>431</v>
      </c>
      <c r="S2172" t="str">
        <v>#N/A</v>
      </c>
      <c r="T2172" t="str">
        <v>31</v>
      </c>
    </row>
    <row r="2173" spans="1:20" ht="13.7" customHeight="1" x14ac:dyDescent="0.25">
      <c r="A2173" t="s">
        <v>320</v>
      </c>
      <c r="B2173" t="s">
        <v>321</v>
      </c>
      <c r="C2173" t="s">
        <v>142</v>
      </c>
      <c r="D2173">
        <v>419</v>
      </c>
      <c r="E2173" s="5">
        <v>43584</v>
      </c>
      <c r="F2173">
        <v>24080505</v>
      </c>
      <c r="G2173" t="s">
        <v>692</v>
      </c>
      <c r="H2173" t="s">
        <v>1125</v>
      </c>
      <c r="I2173" t="s">
        <v>1126</v>
      </c>
      <c r="J2173">
        <v>1006</v>
      </c>
      <c r="K2173" t="s">
        <v>693</v>
      </c>
      <c r="L2173" s="3">
        <v>-38353966.009999998</v>
      </c>
      <c r="M2173" s="3">
        <v>0</v>
      </c>
      <c r="N2173">
        <v>205466</v>
      </c>
      <c r="O2173">
        <v>-1081400</v>
      </c>
      <c r="P2173">
        <v>-38559432.009999998</v>
      </c>
      <c r="Q2173" t="s">
        <v>30</v>
      </c>
      <c r="R2173" t="s">
        <v>438</v>
      </c>
      <c r="S2173" t="str">
        <v>#N/A</v>
      </c>
      <c r="T2173" t="str">
        <v>31</v>
      </c>
    </row>
    <row r="2174" spans="1:20" ht="13.7" customHeight="1" x14ac:dyDescent="0.25">
      <c r="A2174" t="s">
        <v>320</v>
      </c>
      <c r="B2174" t="s">
        <v>321</v>
      </c>
      <c r="C2174" t="s">
        <v>142</v>
      </c>
      <c r="D2174">
        <v>420</v>
      </c>
      <c r="E2174" s="5">
        <v>43587</v>
      </c>
      <c r="F2174">
        <v>24080505</v>
      </c>
      <c r="G2174" t="s">
        <v>692</v>
      </c>
      <c r="H2174" t="s">
        <v>1125</v>
      </c>
      <c r="I2174" t="s">
        <v>1126</v>
      </c>
      <c r="J2174">
        <v>1006</v>
      </c>
      <c r="K2174" t="s">
        <v>693</v>
      </c>
      <c r="L2174" s="3">
        <v>-38559432.009999998</v>
      </c>
      <c r="M2174" s="3">
        <v>0</v>
      </c>
      <c r="N2174">
        <v>11400</v>
      </c>
      <c r="O2174">
        <v>-60000</v>
      </c>
      <c r="P2174">
        <v>-38570832.009999998</v>
      </c>
      <c r="Q2174" t="s">
        <v>30</v>
      </c>
      <c r="R2174" t="s">
        <v>439</v>
      </c>
      <c r="S2174" t="str">
        <v>#N/A</v>
      </c>
      <c r="T2174" t="str">
        <v>31</v>
      </c>
    </row>
    <row r="2175" spans="1:20" ht="13.7" customHeight="1" x14ac:dyDescent="0.25">
      <c r="A2175" t="s">
        <v>320</v>
      </c>
      <c r="B2175" t="s">
        <v>321</v>
      </c>
      <c r="C2175" t="s">
        <v>142</v>
      </c>
      <c r="D2175">
        <v>425</v>
      </c>
      <c r="E2175" s="5">
        <v>43592</v>
      </c>
      <c r="F2175">
        <v>24080505</v>
      </c>
      <c r="G2175" t="s">
        <v>692</v>
      </c>
      <c r="H2175" t="s">
        <v>1125</v>
      </c>
      <c r="I2175" t="s">
        <v>1126</v>
      </c>
      <c r="J2175">
        <v>1006</v>
      </c>
      <c r="K2175" t="s">
        <v>693</v>
      </c>
      <c r="L2175" s="3">
        <v>-38570832.009999998</v>
      </c>
      <c r="M2175" s="3">
        <v>0</v>
      </c>
      <c r="N2175">
        <v>169227.3</v>
      </c>
      <c r="O2175">
        <v>-890670</v>
      </c>
      <c r="P2175">
        <v>-38740059.310000002</v>
      </c>
      <c r="Q2175" t="s">
        <v>30</v>
      </c>
      <c r="R2175" t="s">
        <v>442</v>
      </c>
      <c r="S2175" t="str">
        <v>#N/A</v>
      </c>
      <c r="T2175" t="str">
        <v>31</v>
      </c>
    </row>
    <row r="2176" spans="1:20" ht="13.7" customHeight="1" x14ac:dyDescent="0.25">
      <c r="A2176" t="s">
        <v>320</v>
      </c>
      <c r="B2176" t="s">
        <v>321</v>
      </c>
      <c r="C2176" t="s">
        <v>142</v>
      </c>
      <c r="D2176">
        <v>428</v>
      </c>
      <c r="E2176" s="5">
        <v>43593</v>
      </c>
      <c r="F2176">
        <v>24080505</v>
      </c>
      <c r="G2176" t="s">
        <v>692</v>
      </c>
      <c r="H2176" t="s">
        <v>1125</v>
      </c>
      <c r="I2176" t="s">
        <v>1126</v>
      </c>
      <c r="J2176">
        <v>1006</v>
      </c>
      <c r="K2176" t="s">
        <v>693</v>
      </c>
      <c r="L2176" s="3">
        <v>-38740059.310000002</v>
      </c>
      <c r="M2176" s="3">
        <v>0</v>
      </c>
      <c r="N2176">
        <v>9500</v>
      </c>
      <c r="O2176">
        <v>-50000</v>
      </c>
      <c r="P2176">
        <v>-38749559.310000002</v>
      </c>
      <c r="Q2176" t="s">
        <v>30</v>
      </c>
      <c r="R2176" t="s">
        <v>444</v>
      </c>
      <c r="S2176" t="str">
        <v>#N/A</v>
      </c>
      <c r="T2176" t="str">
        <v>31</v>
      </c>
    </row>
    <row r="2177" spans="1:20" ht="13.7" customHeight="1" x14ac:dyDescent="0.25">
      <c r="A2177" t="s">
        <v>320</v>
      </c>
      <c r="B2177" t="s">
        <v>321</v>
      </c>
      <c r="C2177" t="s">
        <v>142</v>
      </c>
      <c r="D2177">
        <v>429</v>
      </c>
      <c r="E2177" s="5">
        <v>43594</v>
      </c>
      <c r="F2177">
        <v>24080505</v>
      </c>
      <c r="G2177" t="s">
        <v>692</v>
      </c>
      <c r="H2177" t="s">
        <v>1125</v>
      </c>
      <c r="I2177" t="s">
        <v>1126</v>
      </c>
      <c r="J2177">
        <v>1006</v>
      </c>
      <c r="K2177" t="s">
        <v>693</v>
      </c>
      <c r="L2177" s="3">
        <v>-38749559.310000002</v>
      </c>
      <c r="M2177" s="3">
        <v>0</v>
      </c>
      <c r="N2177">
        <v>250262.3</v>
      </c>
      <c r="O2177">
        <v>-1317170</v>
      </c>
      <c r="P2177">
        <v>-38999821.609999999</v>
      </c>
      <c r="Q2177" t="s">
        <v>30</v>
      </c>
      <c r="R2177" t="s">
        <v>446</v>
      </c>
      <c r="S2177" t="str">
        <v>#N/A</v>
      </c>
      <c r="T2177" t="str">
        <v>31</v>
      </c>
    </row>
    <row r="2178" spans="1:20" ht="13.7" customHeight="1" x14ac:dyDescent="0.25">
      <c r="A2178" t="s">
        <v>320</v>
      </c>
      <c r="B2178" t="s">
        <v>321</v>
      </c>
      <c r="C2178" t="s">
        <v>142</v>
      </c>
      <c r="D2178">
        <v>430</v>
      </c>
      <c r="E2178" s="5">
        <v>43595</v>
      </c>
      <c r="F2178">
        <v>24080505</v>
      </c>
      <c r="G2178" t="s">
        <v>692</v>
      </c>
      <c r="H2178" t="s">
        <v>1125</v>
      </c>
      <c r="I2178" t="s">
        <v>1126</v>
      </c>
      <c r="J2178">
        <v>1006</v>
      </c>
      <c r="K2178" t="s">
        <v>693</v>
      </c>
      <c r="L2178" s="3">
        <v>-38999821.609999999</v>
      </c>
      <c r="M2178" s="3">
        <v>0</v>
      </c>
      <c r="N2178">
        <v>49248</v>
      </c>
      <c r="O2178">
        <v>-259200</v>
      </c>
      <c r="P2178">
        <v>-39049069.609999999</v>
      </c>
      <c r="Q2178" t="s">
        <v>30</v>
      </c>
      <c r="R2178" t="s">
        <v>447</v>
      </c>
      <c r="S2178" t="str">
        <v>#N/A</v>
      </c>
      <c r="T2178" t="str">
        <v>31</v>
      </c>
    </row>
    <row r="2179" spans="1:20" ht="13.7" customHeight="1" x14ac:dyDescent="0.25">
      <c r="A2179" t="s">
        <v>320</v>
      </c>
      <c r="B2179" t="s">
        <v>321</v>
      </c>
      <c r="C2179" t="s">
        <v>142</v>
      </c>
      <c r="D2179">
        <v>437</v>
      </c>
      <c r="E2179" s="5">
        <v>43606</v>
      </c>
      <c r="F2179">
        <v>24080505</v>
      </c>
      <c r="G2179" t="s">
        <v>692</v>
      </c>
      <c r="H2179" t="s">
        <v>1125</v>
      </c>
      <c r="I2179" t="s">
        <v>1126</v>
      </c>
      <c r="J2179">
        <v>1006</v>
      </c>
      <c r="K2179" t="s">
        <v>693</v>
      </c>
      <c r="L2179" s="3">
        <v>-39049069.609999999</v>
      </c>
      <c r="M2179" s="3">
        <v>0</v>
      </c>
      <c r="N2179">
        <v>253745</v>
      </c>
      <c r="O2179">
        <v>-1335500</v>
      </c>
      <c r="P2179">
        <v>-39302814.609999999</v>
      </c>
      <c r="Q2179" t="s">
        <v>30</v>
      </c>
      <c r="R2179" t="s">
        <v>451</v>
      </c>
      <c r="S2179" t="str">
        <v>#N/A</v>
      </c>
      <c r="T2179" t="str">
        <v>31</v>
      </c>
    </row>
    <row r="2180" spans="1:20" ht="13.7" customHeight="1" x14ac:dyDescent="0.25">
      <c r="A2180" t="s">
        <v>320</v>
      </c>
      <c r="B2180" t="s">
        <v>321</v>
      </c>
      <c r="C2180" t="s">
        <v>142</v>
      </c>
      <c r="D2180">
        <v>442</v>
      </c>
      <c r="E2180" s="5">
        <v>43613</v>
      </c>
      <c r="F2180">
        <v>24080505</v>
      </c>
      <c r="G2180" t="s">
        <v>692</v>
      </c>
      <c r="H2180" t="s">
        <v>1125</v>
      </c>
      <c r="I2180" t="s">
        <v>1126</v>
      </c>
      <c r="J2180">
        <v>1006</v>
      </c>
      <c r="K2180" t="s">
        <v>693</v>
      </c>
      <c r="L2180" s="3">
        <v>-39302814.609999999</v>
      </c>
      <c r="M2180" s="3">
        <v>0</v>
      </c>
      <c r="N2180">
        <v>24700</v>
      </c>
      <c r="O2180">
        <v>-130000</v>
      </c>
      <c r="P2180">
        <v>-39327514.609999999</v>
      </c>
      <c r="Q2180" t="s">
        <v>30</v>
      </c>
      <c r="R2180" t="s">
        <v>455</v>
      </c>
      <c r="S2180" t="str">
        <v>#N/A</v>
      </c>
      <c r="T2180" t="str">
        <v>31</v>
      </c>
    </row>
    <row r="2181" spans="1:20" ht="13.7" customHeight="1" x14ac:dyDescent="0.25">
      <c r="A2181" t="s">
        <v>320</v>
      </c>
      <c r="B2181" t="s">
        <v>321</v>
      </c>
      <c r="C2181" t="s">
        <v>142</v>
      </c>
      <c r="D2181">
        <v>447</v>
      </c>
      <c r="E2181" s="5">
        <v>43620</v>
      </c>
      <c r="F2181">
        <v>24080505</v>
      </c>
      <c r="G2181" t="s">
        <v>692</v>
      </c>
      <c r="H2181" t="s">
        <v>1125</v>
      </c>
      <c r="I2181" t="s">
        <v>1126</v>
      </c>
      <c r="J2181">
        <v>1006</v>
      </c>
      <c r="K2181" t="s">
        <v>693</v>
      </c>
      <c r="L2181" s="3">
        <v>-39327514.609999999</v>
      </c>
      <c r="M2181" s="3">
        <v>0</v>
      </c>
      <c r="N2181">
        <v>9500</v>
      </c>
      <c r="O2181">
        <v>-50000</v>
      </c>
      <c r="P2181">
        <v>-39337014.609999999</v>
      </c>
      <c r="Q2181" t="s">
        <v>30</v>
      </c>
      <c r="R2181" t="s">
        <v>458</v>
      </c>
      <c r="S2181" t="str">
        <v>#N/A</v>
      </c>
      <c r="T2181" t="str">
        <v>31</v>
      </c>
    </row>
    <row r="2182" spans="1:20" ht="13.7" customHeight="1" x14ac:dyDescent="0.25">
      <c r="A2182" t="s">
        <v>320</v>
      </c>
      <c r="B2182" t="s">
        <v>321</v>
      </c>
      <c r="C2182" t="s">
        <v>142</v>
      </c>
      <c r="D2182">
        <v>455</v>
      </c>
      <c r="E2182" s="5">
        <v>43629</v>
      </c>
      <c r="F2182">
        <v>24080505</v>
      </c>
      <c r="G2182" t="s">
        <v>692</v>
      </c>
      <c r="H2182" t="s">
        <v>1125</v>
      </c>
      <c r="I2182" t="s">
        <v>1126</v>
      </c>
      <c r="J2182">
        <v>1006</v>
      </c>
      <c r="K2182" t="s">
        <v>693</v>
      </c>
      <c r="L2182" s="3">
        <v>-39337014.609999999</v>
      </c>
      <c r="M2182" s="3">
        <v>0</v>
      </c>
      <c r="N2182">
        <v>603060</v>
      </c>
      <c r="O2182">
        <v>-3174000</v>
      </c>
      <c r="P2182">
        <v>-39940074.609999999</v>
      </c>
      <c r="Q2182" t="s">
        <v>30</v>
      </c>
      <c r="R2182" t="s">
        <v>460</v>
      </c>
      <c r="S2182" t="str">
        <v>#N/A</v>
      </c>
      <c r="T2182" t="str">
        <v>31</v>
      </c>
    </row>
    <row r="2183" spans="1:20" ht="13.7" customHeight="1" x14ac:dyDescent="0.25">
      <c r="A2183" t="s">
        <v>320</v>
      </c>
      <c r="B2183" t="s">
        <v>321</v>
      </c>
      <c r="C2183" t="s">
        <v>142</v>
      </c>
      <c r="D2183">
        <v>458</v>
      </c>
      <c r="E2183" s="5">
        <v>43633</v>
      </c>
      <c r="F2183">
        <v>24080505</v>
      </c>
      <c r="G2183" t="s">
        <v>692</v>
      </c>
      <c r="H2183" t="s">
        <v>1125</v>
      </c>
      <c r="I2183" t="s">
        <v>1126</v>
      </c>
      <c r="J2183">
        <v>1006</v>
      </c>
      <c r="K2183" t="s">
        <v>693</v>
      </c>
      <c r="L2183" s="3">
        <v>-39940074.609999999</v>
      </c>
      <c r="M2183" s="3">
        <v>0</v>
      </c>
      <c r="N2183">
        <v>103740</v>
      </c>
      <c r="O2183">
        <v>-546000</v>
      </c>
      <c r="P2183">
        <v>-40043814.609999999</v>
      </c>
      <c r="Q2183" t="s">
        <v>30</v>
      </c>
      <c r="R2183" t="s">
        <v>463</v>
      </c>
      <c r="S2183" t="str">
        <v>#N/A</v>
      </c>
      <c r="T2183" t="str">
        <v>31</v>
      </c>
    </row>
    <row r="2184" spans="1:20" ht="13.7" customHeight="1" x14ac:dyDescent="0.25">
      <c r="A2184" t="s">
        <v>320</v>
      </c>
      <c r="B2184" t="s">
        <v>321</v>
      </c>
      <c r="C2184" t="s">
        <v>142</v>
      </c>
      <c r="D2184">
        <v>459</v>
      </c>
      <c r="E2184" s="5">
        <v>43635</v>
      </c>
      <c r="F2184">
        <v>24080505</v>
      </c>
      <c r="G2184" t="s">
        <v>692</v>
      </c>
      <c r="H2184" t="s">
        <v>1125</v>
      </c>
      <c r="I2184" t="s">
        <v>1126</v>
      </c>
      <c r="J2184">
        <v>1006</v>
      </c>
      <c r="K2184" t="s">
        <v>693</v>
      </c>
      <c r="L2184" s="3">
        <v>-40043814.609999999</v>
      </c>
      <c r="M2184" s="3">
        <v>0</v>
      </c>
      <c r="N2184">
        <v>26600</v>
      </c>
      <c r="O2184">
        <v>-140000</v>
      </c>
      <c r="P2184">
        <v>-40070414.609999999</v>
      </c>
      <c r="Q2184" t="s">
        <v>30</v>
      </c>
      <c r="R2184" t="s">
        <v>464</v>
      </c>
      <c r="S2184" t="str">
        <v>#N/A</v>
      </c>
      <c r="T2184" t="str">
        <v>31</v>
      </c>
    </row>
    <row r="2185" spans="1:20" ht="13.7" customHeight="1" x14ac:dyDescent="0.25">
      <c r="A2185" t="s">
        <v>320</v>
      </c>
      <c r="B2185" t="s">
        <v>321</v>
      </c>
      <c r="C2185" t="s">
        <v>142</v>
      </c>
      <c r="D2185">
        <v>461</v>
      </c>
      <c r="E2185" s="5">
        <v>43642</v>
      </c>
      <c r="F2185">
        <v>24080505</v>
      </c>
      <c r="G2185" t="s">
        <v>692</v>
      </c>
      <c r="H2185" t="s">
        <v>1125</v>
      </c>
      <c r="I2185" t="s">
        <v>1126</v>
      </c>
      <c r="J2185">
        <v>1006</v>
      </c>
      <c r="K2185" t="s">
        <v>693</v>
      </c>
      <c r="L2185" s="3">
        <v>-40070414.609999999</v>
      </c>
      <c r="M2185" s="3">
        <v>0</v>
      </c>
      <c r="N2185">
        <v>22192</v>
      </c>
      <c r="O2185">
        <v>-116800</v>
      </c>
      <c r="P2185">
        <v>-40092606.609999999</v>
      </c>
      <c r="Q2185" t="s">
        <v>30</v>
      </c>
      <c r="R2185" t="s">
        <v>465</v>
      </c>
      <c r="S2185" t="str">
        <v>#N/A</v>
      </c>
      <c r="T2185" t="str">
        <v>31</v>
      </c>
    </row>
    <row r="2186" spans="1:20" ht="13.7" customHeight="1" x14ac:dyDescent="0.25">
      <c r="A2186" t="s">
        <v>320</v>
      </c>
      <c r="B2186" t="s">
        <v>321</v>
      </c>
      <c r="C2186" t="s">
        <v>142</v>
      </c>
      <c r="D2186">
        <v>464</v>
      </c>
      <c r="E2186" s="5">
        <v>43653</v>
      </c>
      <c r="F2186">
        <v>24080505</v>
      </c>
      <c r="G2186" t="s">
        <v>692</v>
      </c>
      <c r="H2186" t="s">
        <v>1125</v>
      </c>
      <c r="I2186" t="s">
        <v>1126</v>
      </c>
      <c r="J2186">
        <v>1006</v>
      </c>
      <c r="K2186" t="s">
        <v>693</v>
      </c>
      <c r="L2186" s="3">
        <v>-40092606.609999999</v>
      </c>
      <c r="M2186" s="3">
        <v>0</v>
      </c>
      <c r="N2186">
        <v>823049.6</v>
      </c>
      <c r="O2186">
        <v>-4331840</v>
      </c>
      <c r="P2186">
        <v>-40915656.210000001</v>
      </c>
      <c r="Q2186" t="s">
        <v>30</v>
      </c>
      <c r="R2186" t="s">
        <v>467</v>
      </c>
      <c r="S2186" t="str">
        <v>#N/A</v>
      </c>
      <c r="T2186" t="str">
        <v>31</v>
      </c>
    </row>
    <row r="2187" spans="1:20" ht="13.7" customHeight="1" x14ac:dyDescent="0.25">
      <c r="A2187" t="s">
        <v>320</v>
      </c>
      <c r="B2187" t="s">
        <v>321</v>
      </c>
      <c r="C2187" t="s">
        <v>142</v>
      </c>
      <c r="D2187">
        <v>467</v>
      </c>
      <c r="E2187" s="5">
        <v>43656</v>
      </c>
      <c r="F2187">
        <v>24080505</v>
      </c>
      <c r="G2187" t="s">
        <v>692</v>
      </c>
      <c r="H2187" t="s">
        <v>1125</v>
      </c>
      <c r="I2187" t="s">
        <v>1126</v>
      </c>
      <c r="J2187">
        <v>1006</v>
      </c>
      <c r="K2187" t="s">
        <v>693</v>
      </c>
      <c r="L2187" s="3">
        <v>-40915656.210000001</v>
      </c>
      <c r="M2187" s="3">
        <v>0</v>
      </c>
      <c r="N2187">
        <v>68685</v>
      </c>
      <c r="O2187">
        <v>-361500</v>
      </c>
      <c r="P2187">
        <v>-40984341.210000001</v>
      </c>
      <c r="Q2187" t="s">
        <v>30</v>
      </c>
      <c r="R2187" t="s">
        <v>469</v>
      </c>
      <c r="S2187" t="str">
        <v>#N/A</v>
      </c>
      <c r="T2187" t="str">
        <v>31</v>
      </c>
    </row>
    <row r="2188" spans="1:20" ht="13.7" customHeight="1" x14ac:dyDescent="0.25">
      <c r="A2188" t="s">
        <v>320</v>
      </c>
      <c r="B2188" t="s">
        <v>321</v>
      </c>
      <c r="C2188" t="s">
        <v>142</v>
      </c>
      <c r="D2188">
        <v>468</v>
      </c>
      <c r="E2188" s="5">
        <v>43665</v>
      </c>
      <c r="F2188">
        <v>24080505</v>
      </c>
      <c r="G2188" t="s">
        <v>692</v>
      </c>
      <c r="H2188" t="s">
        <v>1125</v>
      </c>
      <c r="I2188" t="s">
        <v>1126</v>
      </c>
      <c r="J2188">
        <v>1006</v>
      </c>
      <c r="K2188" t="s">
        <v>693</v>
      </c>
      <c r="L2188" s="3">
        <v>-40984341.210000001</v>
      </c>
      <c r="M2188" s="3">
        <v>0</v>
      </c>
      <c r="N2188">
        <v>29070</v>
      </c>
      <c r="O2188">
        <v>-153000</v>
      </c>
      <c r="P2188">
        <v>-41013411.210000001</v>
      </c>
      <c r="Q2188" t="s">
        <v>30</v>
      </c>
      <c r="R2188" t="s">
        <v>470</v>
      </c>
      <c r="S2188" t="str">
        <v>#N/A</v>
      </c>
      <c r="T2188" t="str">
        <v>31</v>
      </c>
    </row>
    <row r="2189" spans="1:20" ht="13.7" customHeight="1" x14ac:dyDescent="0.25">
      <c r="A2189" t="s">
        <v>320</v>
      </c>
      <c r="B2189" t="s">
        <v>321</v>
      </c>
      <c r="C2189" t="s">
        <v>142</v>
      </c>
      <c r="D2189">
        <v>469</v>
      </c>
      <c r="E2189" s="5">
        <v>43670</v>
      </c>
      <c r="F2189">
        <v>24080505</v>
      </c>
      <c r="G2189" t="s">
        <v>692</v>
      </c>
      <c r="H2189" t="s">
        <v>1125</v>
      </c>
      <c r="I2189" t="s">
        <v>1126</v>
      </c>
      <c r="J2189">
        <v>1006</v>
      </c>
      <c r="K2189" t="s">
        <v>693</v>
      </c>
      <c r="L2189" s="3">
        <v>-41013411.210000001</v>
      </c>
      <c r="M2189" s="3">
        <v>0</v>
      </c>
      <c r="N2189">
        <v>1670295.7</v>
      </c>
      <c r="O2189">
        <v>-8791030</v>
      </c>
      <c r="P2189">
        <v>-42683706.909999996</v>
      </c>
      <c r="Q2189" t="s">
        <v>30</v>
      </c>
      <c r="R2189" t="s">
        <v>471</v>
      </c>
      <c r="S2189" t="str">
        <v>#N/A</v>
      </c>
      <c r="T2189" t="str">
        <v>31</v>
      </c>
    </row>
    <row r="2190" spans="1:20" ht="13.7" customHeight="1" x14ac:dyDescent="0.25">
      <c r="A2190" t="s">
        <v>320</v>
      </c>
      <c r="B2190" t="s">
        <v>321</v>
      </c>
      <c r="C2190" t="s">
        <v>142</v>
      </c>
      <c r="D2190">
        <v>473</v>
      </c>
      <c r="E2190" s="5">
        <v>43676</v>
      </c>
      <c r="F2190">
        <v>24080505</v>
      </c>
      <c r="G2190" t="s">
        <v>692</v>
      </c>
      <c r="H2190" t="s">
        <v>1125</v>
      </c>
      <c r="I2190" t="s">
        <v>1126</v>
      </c>
      <c r="J2190">
        <v>1006</v>
      </c>
      <c r="K2190" t="s">
        <v>693</v>
      </c>
      <c r="L2190" s="3">
        <v>-42683706.909999996</v>
      </c>
      <c r="M2190" s="3">
        <v>0</v>
      </c>
      <c r="N2190">
        <v>10450</v>
      </c>
      <c r="O2190">
        <v>-55000</v>
      </c>
      <c r="P2190">
        <v>-42694156.909999996</v>
      </c>
      <c r="Q2190" t="s">
        <v>30</v>
      </c>
      <c r="R2190" t="s">
        <v>473</v>
      </c>
      <c r="S2190" t="str">
        <v>#N/A</v>
      </c>
      <c r="T2190" t="str">
        <v>31</v>
      </c>
    </row>
    <row r="2191" spans="1:20" ht="13.7" customHeight="1" x14ac:dyDescent="0.25">
      <c r="A2191" t="s">
        <v>320</v>
      </c>
      <c r="B2191" t="s">
        <v>321</v>
      </c>
      <c r="C2191" t="s">
        <v>142</v>
      </c>
      <c r="D2191">
        <v>490</v>
      </c>
      <c r="E2191" s="5">
        <v>43710</v>
      </c>
      <c r="F2191">
        <v>24080505</v>
      </c>
      <c r="G2191" t="s">
        <v>692</v>
      </c>
      <c r="H2191" t="s">
        <v>1125</v>
      </c>
      <c r="I2191" t="s">
        <v>1126</v>
      </c>
      <c r="J2191">
        <v>1006</v>
      </c>
      <c r="K2191" t="s">
        <v>693</v>
      </c>
      <c r="L2191" s="3">
        <v>-42694156.909999996</v>
      </c>
      <c r="M2191" s="3">
        <v>0</v>
      </c>
      <c r="N2191">
        <v>204453.3</v>
      </c>
      <c r="O2191">
        <v>-1076070</v>
      </c>
      <c r="P2191">
        <v>-42898610.210000001</v>
      </c>
      <c r="Q2191" t="s">
        <v>30</v>
      </c>
      <c r="R2191" t="s">
        <v>476</v>
      </c>
      <c r="S2191" t="str">
        <v>#N/A</v>
      </c>
      <c r="T2191" t="str">
        <v>31</v>
      </c>
    </row>
    <row r="2192" spans="1:20" ht="13.7" customHeight="1" x14ac:dyDescent="0.25">
      <c r="A2192" t="s">
        <v>320</v>
      </c>
      <c r="B2192" t="s">
        <v>321</v>
      </c>
      <c r="C2192" t="s">
        <v>142</v>
      </c>
      <c r="D2192">
        <v>492</v>
      </c>
      <c r="E2192" s="5">
        <v>43721</v>
      </c>
      <c r="F2192">
        <v>24080505</v>
      </c>
      <c r="G2192" t="s">
        <v>692</v>
      </c>
      <c r="H2192" t="s">
        <v>1125</v>
      </c>
      <c r="I2192" t="s">
        <v>1126</v>
      </c>
      <c r="J2192">
        <v>1006</v>
      </c>
      <c r="K2192" t="s">
        <v>693</v>
      </c>
      <c r="L2192" s="3">
        <v>-42898610.210000001</v>
      </c>
      <c r="M2192" s="3">
        <v>0</v>
      </c>
      <c r="N2192">
        <v>614076.19999999995</v>
      </c>
      <c r="O2192">
        <v>-3231980</v>
      </c>
      <c r="P2192">
        <v>-43512686.409999996</v>
      </c>
      <c r="Q2192" t="s">
        <v>30</v>
      </c>
      <c r="R2192" t="s">
        <v>478</v>
      </c>
      <c r="S2192" t="str">
        <v>#N/A</v>
      </c>
      <c r="T2192" t="str">
        <v>31</v>
      </c>
    </row>
    <row r="2193" spans="1:20" ht="13.7" customHeight="1" x14ac:dyDescent="0.25">
      <c r="A2193" t="s">
        <v>320</v>
      </c>
      <c r="B2193" t="s">
        <v>321</v>
      </c>
      <c r="C2193" t="s">
        <v>142</v>
      </c>
      <c r="D2193">
        <v>495</v>
      </c>
      <c r="E2193" s="5">
        <v>43727</v>
      </c>
      <c r="F2193">
        <v>24080505</v>
      </c>
      <c r="G2193" t="s">
        <v>692</v>
      </c>
      <c r="H2193" t="s">
        <v>1125</v>
      </c>
      <c r="I2193" t="s">
        <v>1126</v>
      </c>
      <c r="J2193">
        <v>1006</v>
      </c>
      <c r="K2193" t="s">
        <v>693</v>
      </c>
      <c r="L2193" s="3">
        <v>-43512686.409999996</v>
      </c>
      <c r="M2193" s="3">
        <v>0</v>
      </c>
      <c r="N2193">
        <v>123500</v>
      </c>
      <c r="O2193">
        <v>-650000</v>
      </c>
      <c r="P2193">
        <v>-43636186.409999996</v>
      </c>
      <c r="Q2193" t="s">
        <v>30</v>
      </c>
      <c r="R2193" t="s">
        <v>480</v>
      </c>
      <c r="S2193" t="str">
        <v>#N/A</v>
      </c>
      <c r="T2193" t="str">
        <v>31</v>
      </c>
    </row>
    <row r="2194" spans="1:20" ht="13.7" customHeight="1" x14ac:dyDescent="0.25">
      <c r="A2194" t="s">
        <v>320</v>
      </c>
      <c r="B2194" t="s">
        <v>321</v>
      </c>
      <c r="C2194" t="s">
        <v>142</v>
      </c>
      <c r="D2194">
        <v>497</v>
      </c>
      <c r="E2194" s="5">
        <v>43728</v>
      </c>
      <c r="F2194">
        <v>24080505</v>
      </c>
      <c r="G2194" t="s">
        <v>692</v>
      </c>
      <c r="H2194" t="s">
        <v>1125</v>
      </c>
      <c r="I2194" t="s">
        <v>1126</v>
      </c>
      <c r="J2194">
        <v>1006</v>
      </c>
      <c r="K2194" t="s">
        <v>693</v>
      </c>
      <c r="L2194" s="3">
        <v>-43636186.409999996</v>
      </c>
      <c r="M2194" s="3">
        <v>0</v>
      </c>
      <c r="N2194">
        <v>1140000</v>
      </c>
      <c r="O2194">
        <v>-6000000</v>
      </c>
      <c r="P2194">
        <v>-44776186.409999996</v>
      </c>
      <c r="Q2194" t="s">
        <v>30</v>
      </c>
      <c r="R2194" t="s">
        <v>482</v>
      </c>
      <c r="S2194" t="str">
        <v>#N/A</v>
      </c>
      <c r="T2194" t="str">
        <v>31</v>
      </c>
    </row>
    <row r="2195" spans="1:20" ht="13.7" customHeight="1" x14ac:dyDescent="0.25">
      <c r="A2195" t="s">
        <v>320</v>
      </c>
      <c r="B2195" t="s">
        <v>321</v>
      </c>
      <c r="C2195" t="s">
        <v>142</v>
      </c>
      <c r="D2195">
        <v>501</v>
      </c>
      <c r="E2195" s="5">
        <v>43738</v>
      </c>
      <c r="F2195">
        <v>24080505</v>
      </c>
      <c r="G2195" t="s">
        <v>692</v>
      </c>
      <c r="H2195" t="s">
        <v>1125</v>
      </c>
      <c r="I2195" t="s">
        <v>1126</v>
      </c>
      <c r="J2195">
        <v>1006</v>
      </c>
      <c r="K2195" t="s">
        <v>693</v>
      </c>
      <c r="L2195" s="3">
        <v>-44776186.409999996</v>
      </c>
      <c r="M2195" s="3">
        <v>0</v>
      </c>
      <c r="N2195">
        <v>398233.35</v>
      </c>
      <c r="O2195">
        <v>-2095965</v>
      </c>
      <c r="P2195">
        <v>-45174419.759999998</v>
      </c>
      <c r="Q2195" t="s">
        <v>30</v>
      </c>
      <c r="R2195" t="s">
        <v>486</v>
      </c>
      <c r="S2195" t="str">
        <v>#N/A</v>
      </c>
      <c r="T2195" t="str">
        <v>31</v>
      </c>
    </row>
    <row r="2196" spans="1:20" ht="13.7" customHeight="1" x14ac:dyDescent="0.25">
      <c r="A2196" t="s">
        <v>320</v>
      </c>
      <c r="B2196" t="s">
        <v>321</v>
      </c>
      <c r="C2196" t="s">
        <v>142</v>
      </c>
      <c r="D2196">
        <v>502</v>
      </c>
      <c r="E2196" s="5">
        <v>43738</v>
      </c>
      <c r="F2196">
        <v>24080505</v>
      </c>
      <c r="G2196" t="s">
        <v>692</v>
      </c>
      <c r="H2196" t="s">
        <v>1125</v>
      </c>
      <c r="I2196" t="s">
        <v>1126</v>
      </c>
      <c r="J2196">
        <v>1006</v>
      </c>
      <c r="K2196" t="s">
        <v>693</v>
      </c>
      <c r="L2196" s="3">
        <v>-45174419.759999998</v>
      </c>
      <c r="M2196" s="3">
        <v>0</v>
      </c>
      <c r="N2196">
        <v>28120</v>
      </c>
      <c r="O2196">
        <v>-148000</v>
      </c>
      <c r="P2196">
        <v>-45202539.759999998</v>
      </c>
      <c r="Q2196" t="s">
        <v>30</v>
      </c>
      <c r="R2196" t="s">
        <v>487</v>
      </c>
      <c r="S2196" t="str">
        <v>#N/A</v>
      </c>
      <c r="T2196" t="str">
        <v>31</v>
      </c>
    </row>
    <row r="2197" spans="1:20" ht="13.7" customHeight="1" x14ac:dyDescent="0.25">
      <c r="A2197" t="s">
        <v>320</v>
      </c>
      <c r="B2197" t="s">
        <v>321</v>
      </c>
      <c r="C2197" t="s">
        <v>142</v>
      </c>
      <c r="D2197">
        <v>504</v>
      </c>
      <c r="E2197" s="5">
        <v>43741</v>
      </c>
      <c r="F2197">
        <v>24080505</v>
      </c>
      <c r="G2197" t="s">
        <v>692</v>
      </c>
      <c r="H2197" t="s">
        <v>1125</v>
      </c>
      <c r="I2197" t="s">
        <v>1126</v>
      </c>
      <c r="J2197">
        <v>1006</v>
      </c>
      <c r="K2197" t="s">
        <v>693</v>
      </c>
      <c r="L2197" s="3">
        <v>-45202539.759999998</v>
      </c>
      <c r="M2197" s="3">
        <v>0</v>
      </c>
      <c r="N2197">
        <v>548340</v>
      </c>
      <c r="O2197">
        <v>-2886000</v>
      </c>
      <c r="P2197">
        <v>-45750879.759999998</v>
      </c>
      <c r="Q2197" t="s">
        <v>30</v>
      </c>
      <c r="R2197" t="s">
        <v>489</v>
      </c>
      <c r="S2197" t="str">
        <v>#N/A</v>
      </c>
      <c r="T2197" t="str">
        <v>31</v>
      </c>
    </row>
    <row r="2198" spans="1:20" ht="13.7" customHeight="1" x14ac:dyDescent="0.25">
      <c r="A2198" t="s">
        <v>320</v>
      </c>
      <c r="B2198" t="s">
        <v>321</v>
      </c>
      <c r="C2198" t="s">
        <v>142</v>
      </c>
      <c r="D2198">
        <v>508</v>
      </c>
      <c r="E2198" s="5">
        <v>43748</v>
      </c>
      <c r="F2198">
        <v>24080505</v>
      </c>
      <c r="G2198" t="s">
        <v>692</v>
      </c>
      <c r="H2198" t="s">
        <v>1125</v>
      </c>
      <c r="I2198" t="s">
        <v>1126</v>
      </c>
      <c r="J2198">
        <v>1006</v>
      </c>
      <c r="K2198" t="s">
        <v>693</v>
      </c>
      <c r="L2198" s="3">
        <v>-45750879.759999998</v>
      </c>
      <c r="M2198" s="3">
        <v>0</v>
      </c>
      <c r="N2198">
        <v>762583.43</v>
      </c>
      <c r="O2198">
        <v>-4013597</v>
      </c>
      <c r="P2198">
        <v>-46513463.189999998</v>
      </c>
      <c r="Q2198" t="s">
        <v>30</v>
      </c>
      <c r="R2198" t="s">
        <v>493</v>
      </c>
      <c r="S2198" t="str">
        <v>#N/A</v>
      </c>
      <c r="T2198" t="str">
        <v>31</v>
      </c>
    </row>
    <row r="2199" spans="1:20" ht="13.7" customHeight="1" x14ac:dyDescent="0.25">
      <c r="A2199" t="s">
        <v>320</v>
      </c>
      <c r="B2199" t="s">
        <v>321</v>
      </c>
      <c r="C2199" t="s">
        <v>142</v>
      </c>
      <c r="D2199">
        <v>510</v>
      </c>
      <c r="E2199" s="5">
        <v>43749</v>
      </c>
      <c r="F2199">
        <v>24080505</v>
      </c>
      <c r="G2199" t="s">
        <v>692</v>
      </c>
      <c r="H2199" t="s">
        <v>1125</v>
      </c>
      <c r="I2199" t="s">
        <v>1126</v>
      </c>
      <c r="J2199">
        <v>1006</v>
      </c>
      <c r="K2199" t="s">
        <v>693</v>
      </c>
      <c r="L2199" s="3">
        <v>-46513463.189999998</v>
      </c>
      <c r="M2199" s="3">
        <v>0</v>
      </c>
      <c r="N2199">
        <v>39520</v>
      </c>
      <c r="O2199">
        <v>-208000</v>
      </c>
      <c r="P2199">
        <v>-46552983.189999998</v>
      </c>
      <c r="Q2199" t="s">
        <v>30</v>
      </c>
      <c r="R2199" t="s">
        <v>495</v>
      </c>
      <c r="S2199" t="str">
        <v>#N/A</v>
      </c>
      <c r="T2199" t="str">
        <v>31</v>
      </c>
    </row>
    <row r="2200" spans="1:20" ht="13.7" customHeight="1" x14ac:dyDescent="0.25">
      <c r="A2200" t="s">
        <v>320</v>
      </c>
      <c r="B2200" t="s">
        <v>321</v>
      </c>
      <c r="C2200" t="s">
        <v>142</v>
      </c>
      <c r="D2200">
        <v>511</v>
      </c>
      <c r="E2200" s="5">
        <v>43754</v>
      </c>
      <c r="F2200">
        <v>24080505</v>
      </c>
      <c r="G2200" t="s">
        <v>692</v>
      </c>
      <c r="H2200" t="s">
        <v>1125</v>
      </c>
      <c r="I2200" t="s">
        <v>1126</v>
      </c>
      <c r="J2200">
        <v>1006</v>
      </c>
      <c r="K2200" t="s">
        <v>693</v>
      </c>
      <c r="L2200" s="3">
        <v>-46552983.189999998</v>
      </c>
      <c r="M2200" s="3">
        <v>0</v>
      </c>
      <c r="N2200">
        <v>136648</v>
      </c>
      <c r="O2200">
        <v>-719200</v>
      </c>
      <c r="P2200">
        <v>-46689631.189999998</v>
      </c>
      <c r="Q2200" t="s">
        <v>30</v>
      </c>
      <c r="R2200" t="s">
        <v>496</v>
      </c>
      <c r="S2200" t="str">
        <v>#N/A</v>
      </c>
      <c r="T2200" t="str">
        <v>31</v>
      </c>
    </row>
    <row r="2201" spans="1:20" ht="13.7" customHeight="1" x14ac:dyDescent="0.25">
      <c r="A2201" t="s">
        <v>320</v>
      </c>
      <c r="B2201" t="s">
        <v>321</v>
      </c>
      <c r="C2201" t="s">
        <v>142</v>
      </c>
      <c r="D2201">
        <v>514</v>
      </c>
      <c r="E2201" s="5">
        <v>43759</v>
      </c>
      <c r="F2201">
        <v>24080505</v>
      </c>
      <c r="G2201" t="s">
        <v>692</v>
      </c>
      <c r="H2201" t="s">
        <v>1125</v>
      </c>
      <c r="I2201" t="s">
        <v>1126</v>
      </c>
      <c r="J2201">
        <v>1006</v>
      </c>
      <c r="K2201" t="s">
        <v>693</v>
      </c>
      <c r="L2201" s="3">
        <v>-46689631.189999998</v>
      </c>
      <c r="M2201" s="3">
        <v>0</v>
      </c>
      <c r="N2201">
        <v>13300</v>
      </c>
      <c r="O2201">
        <v>-70000</v>
      </c>
      <c r="P2201">
        <v>-46702931.189999998</v>
      </c>
      <c r="Q2201" t="s">
        <v>30</v>
      </c>
      <c r="R2201" t="s">
        <v>499</v>
      </c>
      <c r="S2201" t="str">
        <v>#N/A</v>
      </c>
      <c r="T2201" t="str">
        <v>31</v>
      </c>
    </row>
    <row r="2202" spans="1:20" ht="13.7" customHeight="1" x14ac:dyDescent="0.25">
      <c r="A2202" t="s">
        <v>320</v>
      </c>
      <c r="B2202" t="s">
        <v>321</v>
      </c>
      <c r="C2202" t="s">
        <v>142</v>
      </c>
      <c r="D2202">
        <v>522</v>
      </c>
      <c r="E2202" s="5">
        <v>43768</v>
      </c>
      <c r="F2202">
        <v>24080505</v>
      </c>
      <c r="G2202" t="s">
        <v>692</v>
      </c>
      <c r="H2202" t="s">
        <v>1125</v>
      </c>
      <c r="I2202" t="s">
        <v>1126</v>
      </c>
      <c r="J2202">
        <v>1006</v>
      </c>
      <c r="K2202" t="s">
        <v>693</v>
      </c>
      <c r="L2202" s="3">
        <v>-46702931.189999998</v>
      </c>
      <c r="M2202" s="3">
        <v>0</v>
      </c>
      <c r="N2202">
        <v>140754.66</v>
      </c>
      <c r="O2202">
        <v>-740814</v>
      </c>
      <c r="P2202">
        <v>-46843685.850000001</v>
      </c>
      <c r="Q2202" t="s">
        <v>30</v>
      </c>
      <c r="R2202" t="s">
        <v>504</v>
      </c>
      <c r="S2202" t="str">
        <v>#N/A</v>
      </c>
      <c r="T2202" t="str">
        <v>31</v>
      </c>
    </row>
    <row r="2203" spans="1:20" ht="13.7" customHeight="1" x14ac:dyDescent="0.25">
      <c r="A2203" t="s">
        <v>320</v>
      </c>
      <c r="B2203" t="s">
        <v>321</v>
      </c>
      <c r="C2203" t="s">
        <v>142</v>
      </c>
      <c r="D2203">
        <v>523</v>
      </c>
      <c r="E2203" s="5">
        <v>43770</v>
      </c>
      <c r="F2203">
        <v>24080505</v>
      </c>
      <c r="G2203" t="s">
        <v>692</v>
      </c>
      <c r="H2203" t="s">
        <v>1125</v>
      </c>
      <c r="I2203" t="s">
        <v>1126</v>
      </c>
      <c r="J2203">
        <v>1006</v>
      </c>
      <c r="K2203" t="s">
        <v>693</v>
      </c>
      <c r="L2203" s="3">
        <v>-46843685.850000001</v>
      </c>
      <c r="M2203" s="3">
        <v>0</v>
      </c>
      <c r="N2203">
        <v>155800</v>
      </c>
      <c r="O2203">
        <v>-820000</v>
      </c>
      <c r="P2203">
        <v>-46999485.850000001</v>
      </c>
      <c r="Q2203" t="s">
        <v>30</v>
      </c>
      <c r="R2203" t="s">
        <v>505</v>
      </c>
      <c r="S2203" t="str">
        <v>#N/A</v>
      </c>
      <c r="T2203" t="str">
        <v>31</v>
      </c>
    </row>
    <row r="2204" spans="1:20" ht="13.7" customHeight="1" x14ac:dyDescent="0.25">
      <c r="A2204" t="s">
        <v>320</v>
      </c>
      <c r="B2204" t="s">
        <v>321</v>
      </c>
      <c r="C2204" t="s">
        <v>142</v>
      </c>
      <c r="D2204">
        <v>524</v>
      </c>
      <c r="E2204" s="5">
        <v>43770</v>
      </c>
      <c r="F2204">
        <v>24080505</v>
      </c>
      <c r="G2204" t="s">
        <v>692</v>
      </c>
      <c r="H2204" t="s">
        <v>1125</v>
      </c>
      <c r="I2204" t="s">
        <v>1126</v>
      </c>
      <c r="J2204">
        <v>1006</v>
      </c>
      <c r="K2204" t="s">
        <v>693</v>
      </c>
      <c r="L2204" s="3">
        <v>-46999485.850000001</v>
      </c>
      <c r="M2204" s="3">
        <v>0</v>
      </c>
      <c r="N2204">
        <v>191330</v>
      </c>
      <c r="O2204">
        <v>-1007000</v>
      </c>
      <c r="P2204">
        <v>-47190815.850000001</v>
      </c>
      <c r="Q2204" t="s">
        <v>30</v>
      </c>
      <c r="R2204" t="s">
        <v>506</v>
      </c>
      <c r="S2204" t="str">
        <v>#N/A</v>
      </c>
      <c r="T2204" t="str">
        <v>31</v>
      </c>
    </row>
    <row r="2205" spans="1:20" ht="13.7" customHeight="1" x14ac:dyDescent="0.25">
      <c r="A2205" t="s">
        <v>320</v>
      </c>
      <c r="B2205" t="s">
        <v>321</v>
      </c>
      <c r="C2205" t="s">
        <v>142</v>
      </c>
      <c r="D2205">
        <v>527</v>
      </c>
      <c r="E2205" s="5">
        <v>43778</v>
      </c>
      <c r="F2205">
        <v>24080505</v>
      </c>
      <c r="G2205" t="s">
        <v>692</v>
      </c>
      <c r="H2205" t="s">
        <v>1125</v>
      </c>
      <c r="I2205" t="s">
        <v>1126</v>
      </c>
      <c r="J2205">
        <v>1006</v>
      </c>
      <c r="K2205" t="s">
        <v>693</v>
      </c>
      <c r="L2205" s="3">
        <v>-47190815.850000001</v>
      </c>
      <c r="M2205" s="3">
        <v>0</v>
      </c>
      <c r="N2205">
        <v>83980</v>
      </c>
      <c r="O2205">
        <v>-442000</v>
      </c>
      <c r="P2205">
        <v>-47274795.850000001</v>
      </c>
      <c r="Q2205" t="s">
        <v>30</v>
      </c>
      <c r="R2205" t="s">
        <v>509</v>
      </c>
      <c r="S2205" t="str">
        <v>#N/A</v>
      </c>
      <c r="T2205" t="str">
        <v>31</v>
      </c>
    </row>
    <row r="2206" spans="1:20" ht="13.7" customHeight="1" x14ac:dyDescent="0.25">
      <c r="A2206" t="s">
        <v>320</v>
      </c>
      <c r="B2206" t="s">
        <v>321</v>
      </c>
      <c r="C2206" t="s">
        <v>142</v>
      </c>
      <c r="D2206">
        <v>529</v>
      </c>
      <c r="E2206" s="5">
        <v>43784</v>
      </c>
      <c r="F2206">
        <v>24080505</v>
      </c>
      <c r="G2206" t="s">
        <v>692</v>
      </c>
      <c r="H2206" t="s">
        <v>1125</v>
      </c>
      <c r="I2206" t="s">
        <v>1126</v>
      </c>
      <c r="J2206">
        <v>1006</v>
      </c>
      <c r="K2206" t="s">
        <v>693</v>
      </c>
      <c r="L2206" s="3">
        <v>-47274795.850000001</v>
      </c>
      <c r="M2206" s="3">
        <v>0</v>
      </c>
      <c r="N2206">
        <v>14915</v>
      </c>
      <c r="O2206">
        <v>-78500</v>
      </c>
      <c r="P2206">
        <v>-47289710.850000001</v>
      </c>
      <c r="Q2206" t="s">
        <v>30</v>
      </c>
      <c r="R2206" t="s">
        <v>511</v>
      </c>
      <c r="S2206" t="str">
        <v>#N/A</v>
      </c>
      <c r="T2206" t="str">
        <v>31</v>
      </c>
    </row>
    <row r="2207" spans="1:20" ht="13.7" customHeight="1" x14ac:dyDescent="0.25">
      <c r="A2207" t="s">
        <v>320</v>
      </c>
      <c r="B2207" t="s">
        <v>321</v>
      </c>
      <c r="C2207" t="s">
        <v>142</v>
      </c>
      <c r="D2207">
        <v>531</v>
      </c>
      <c r="E2207" s="5">
        <v>43787</v>
      </c>
      <c r="F2207">
        <v>24080505</v>
      </c>
      <c r="G2207" t="s">
        <v>692</v>
      </c>
      <c r="H2207" t="s">
        <v>1125</v>
      </c>
      <c r="I2207" t="s">
        <v>1126</v>
      </c>
      <c r="J2207">
        <v>1006</v>
      </c>
      <c r="K2207" t="s">
        <v>693</v>
      </c>
      <c r="L2207" s="3">
        <v>-47289710.850000001</v>
      </c>
      <c r="M2207" s="3">
        <v>0</v>
      </c>
      <c r="N2207">
        <v>48535.5</v>
      </c>
      <c r="O2207">
        <v>-255450</v>
      </c>
      <c r="P2207">
        <v>-47338246.350000001</v>
      </c>
      <c r="Q2207" t="s">
        <v>30</v>
      </c>
      <c r="R2207" t="s">
        <v>513</v>
      </c>
      <c r="S2207" t="str">
        <v>#N/A</v>
      </c>
      <c r="T2207" t="str">
        <v>31</v>
      </c>
    </row>
    <row r="2208" spans="1:20" ht="13.7" customHeight="1" x14ac:dyDescent="0.25">
      <c r="A2208" t="s">
        <v>320</v>
      </c>
      <c r="B2208" t="s">
        <v>321</v>
      </c>
      <c r="C2208" t="s">
        <v>142</v>
      </c>
      <c r="D2208">
        <v>532</v>
      </c>
      <c r="E2208" s="5">
        <v>43789</v>
      </c>
      <c r="F2208">
        <v>24080505</v>
      </c>
      <c r="G2208" t="s">
        <v>692</v>
      </c>
      <c r="H2208" t="s">
        <v>1125</v>
      </c>
      <c r="I2208" t="s">
        <v>1126</v>
      </c>
      <c r="J2208">
        <v>1006</v>
      </c>
      <c r="K2208" t="s">
        <v>693</v>
      </c>
      <c r="L2208" s="3">
        <v>-47338246.350000001</v>
      </c>
      <c r="M2208" s="3">
        <v>0</v>
      </c>
      <c r="N2208">
        <v>38000</v>
      </c>
      <c r="O2208">
        <v>-200000</v>
      </c>
      <c r="P2208">
        <v>-47376246.350000001</v>
      </c>
      <c r="Q2208" t="s">
        <v>30</v>
      </c>
      <c r="R2208" t="s">
        <v>514</v>
      </c>
      <c r="S2208" t="str">
        <v>#N/A</v>
      </c>
      <c r="T2208" t="str">
        <v>31</v>
      </c>
    </row>
    <row r="2209" spans="1:20" ht="13.7" customHeight="1" x14ac:dyDescent="0.25">
      <c r="A2209" t="s">
        <v>320</v>
      </c>
      <c r="B2209" t="s">
        <v>321</v>
      </c>
      <c r="C2209" t="s">
        <v>142</v>
      </c>
      <c r="D2209">
        <v>533</v>
      </c>
      <c r="E2209" s="5">
        <v>43794</v>
      </c>
      <c r="F2209">
        <v>24080505</v>
      </c>
      <c r="G2209" t="s">
        <v>692</v>
      </c>
      <c r="H2209" t="s">
        <v>1125</v>
      </c>
      <c r="I2209" t="s">
        <v>1126</v>
      </c>
      <c r="J2209">
        <v>1006</v>
      </c>
      <c r="K2209" t="s">
        <v>693</v>
      </c>
      <c r="L2209" s="3">
        <v>-47376246.350000001</v>
      </c>
      <c r="M2209" s="3">
        <v>0</v>
      </c>
      <c r="N2209">
        <v>63840</v>
      </c>
      <c r="O2209">
        <v>-336000</v>
      </c>
      <c r="P2209">
        <v>-47440086.350000001</v>
      </c>
      <c r="Q2209" t="s">
        <v>30</v>
      </c>
      <c r="R2209" t="s">
        <v>515</v>
      </c>
      <c r="S2209" t="str">
        <v>#N/A</v>
      </c>
      <c r="T2209" t="str">
        <v>31</v>
      </c>
    </row>
    <row r="2210" spans="1:20" ht="13.7" customHeight="1" x14ac:dyDescent="0.25">
      <c r="A2210" t="s">
        <v>320</v>
      </c>
      <c r="B2210" t="s">
        <v>321</v>
      </c>
      <c r="C2210" t="s">
        <v>142</v>
      </c>
      <c r="D2210">
        <v>535</v>
      </c>
      <c r="E2210" s="5">
        <v>43796</v>
      </c>
      <c r="F2210">
        <v>24080505</v>
      </c>
      <c r="G2210" t="s">
        <v>692</v>
      </c>
      <c r="H2210" t="s">
        <v>1125</v>
      </c>
      <c r="I2210" t="s">
        <v>1126</v>
      </c>
      <c r="J2210">
        <v>1006</v>
      </c>
      <c r="K2210" t="s">
        <v>693</v>
      </c>
      <c r="L2210" s="3">
        <v>-47440086.350000001</v>
      </c>
      <c r="M2210" s="3">
        <v>0</v>
      </c>
      <c r="N2210">
        <v>428759.7</v>
      </c>
      <c r="O2210">
        <v>-2256630</v>
      </c>
      <c r="P2210">
        <v>-47868846.049999997</v>
      </c>
      <c r="Q2210" t="s">
        <v>30</v>
      </c>
      <c r="R2210" t="s">
        <v>517</v>
      </c>
      <c r="S2210" t="str">
        <v>#N/A</v>
      </c>
      <c r="T2210" t="str">
        <v>31</v>
      </c>
    </row>
    <row r="2211" spans="1:20" ht="13.7" customHeight="1" x14ac:dyDescent="0.25">
      <c r="A2211" t="s">
        <v>518</v>
      </c>
      <c r="B2211" t="s">
        <v>519</v>
      </c>
      <c r="C2211" t="s">
        <v>520</v>
      </c>
      <c r="D2211">
        <v>1</v>
      </c>
      <c r="E2211" s="5">
        <v>43801</v>
      </c>
      <c r="F2211">
        <v>24080505</v>
      </c>
      <c r="G2211" t="s">
        <v>692</v>
      </c>
      <c r="H2211" t="s">
        <v>1125</v>
      </c>
      <c r="I2211" t="s">
        <v>1126</v>
      </c>
      <c r="J2211">
        <v>1006</v>
      </c>
      <c r="K2211" t="s">
        <v>693</v>
      </c>
      <c r="L2211" s="3">
        <v>-47868846.049999997</v>
      </c>
      <c r="M2211" s="3">
        <v>0</v>
      </c>
      <c r="N2211">
        <v>247760</v>
      </c>
      <c r="O2211">
        <v>-1304000</v>
      </c>
      <c r="P2211">
        <v>-48116606.049999997</v>
      </c>
      <c r="Q2211" t="s">
        <v>30</v>
      </c>
      <c r="R2211" t="s">
        <v>728</v>
      </c>
      <c r="S2211" t="str">
        <v>#N/A</v>
      </c>
      <c r="T2211" t="str">
        <v>31</v>
      </c>
    </row>
    <row r="2212" spans="1:20" ht="13.7" customHeight="1" x14ac:dyDescent="0.25">
      <c r="A2212" t="s">
        <v>518</v>
      </c>
      <c r="B2212" t="s">
        <v>519</v>
      </c>
      <c r="C2212" t="s">
        <v>520</v>
      </c>
      <c r="D2212">
        <v>4</v>
      </c>
      <c r="E2212" s="5">
        <v>43810</v>
      </c>
      <c r="F2212">
        <v>24080505</v>
      </c>
      <c r="G2212" t="s">
        <v>692</v>
      </c>
      <c r="H2212" t="s">
        <v>1125</v>
      </c>
      <c r="I2212" t="s">
        <v>1126</v>
      </c>
      <c r="J2212">
        <v>1006</v>
      </c>
      <c r="K2212" t="s">
        <v>693</v>
      </c>
      <c r="L2212" s="3">
        <v>-48116606.049999997</v>
      </c>
      <c r="M2212" s="3">
        <v>0</v>
      </c>
      <c r="N2212">
        <v>322050</v>
      </c>
      <c r="O2212">
        <v>-1695000</v>
      </c>
      <c r="P2212">
        <v>-48438656.049999997</v>
      </c>
      <c r="Q2212" t="s">
        <v>30</v>
      </c>
      <c r="R2212" t="s">
        <v>728</v>
      </c>
      <c r="S2212" t="str">
        <v>#N/A</v>
      </c>
      <c r="T2212" t="str">
        <v>31</v>
      </c>
    </row>
    <row r="2213" spans="1:20" ht="13.7" customHeight="1" x14ac:dyDescent="0.25">
      <c r="A2213" t="s">
        <v>518</v>
      </c>
      <c r="B2213" t="s">
        <v>519</v>
      </c>
      <c r="C2213" t="s">
        <v>520</v>
      </c>
      <c r="D2213">
        <v>7</v>
      </c>
      <c r="E2213" s="5">
        <v>43815</v>
      </c>
      <c r="F2213">
        <v>24080505</v>
      </c>
      <c r="G2213" t="s">
        <v>692</v>
      </c>
      <c r="H2213" t="s">
        <v>1125</v>
      </c>
      <c r="I2213" t="s">
        <v>1126</v>
      </c>
      <c r="J2213">
        <v>1006</v>
      </c>
      <c r="K2213" t="s">
        <v>693</v>
      </c>
      <c r="L2213" s="3">
        <v>-48438656.049999997</v>
      </c>
      <c r="M2213" s="3">
        <v>0</v>
      </c>
      <c r="N2213">
        <v>292648</v>
      </c>
      <c r="O2213">
        <v>-1540250</v>
      </c>
      <c r="P2213">
        <v>-48731304.049999997</v>
      </c>
      <c r="Q2213" t="s">
        <v>30</v>
      </c>
      <c r="R2213" t="s">
        <v>728</v>
      </c>
      <c r="S2213" t="str">
        <v>#N/A</v>
      </c>
      <c r="T2213" t="str">
        <v>31</v>
      </c>
    </row>
    <row r="2214" spans="1:20" ht="13.7" customHeight="1" x14ac:dyDescent="0.25">
      <c r="A2214" t="s">
        <v>518</v>
      </c>
      <c r="B2214" t="s">
        <v>519</v>
      </c>
      <c r="C2214" t="s">
        <v>520</v>
      </c>
      <c r="D2214">
        <v>8</v>
      </c>
      <c r="E2214" s="5">
        <v>43819</v>
      </c>
      <c r="F2214">
        <v>24080505</v>
      </c>
      <c r="G2214" t="s">
        <v>692</v>
      </c>
      <c r="H2214" t="s">
        <v>1125</v>
      </c>
      <c r="I2214" t="s">
        <v>1126</v>
      </c>
      <c r="J2214">
        <v>1006</v>
      </c>
      <c r="K2214" t="s">
        <v>693</v>
      </c>
      <c r="L2214" s="3">
        <v>-48731304.049999997</v>
      </c>
      <c r="M2214" s="3">
        <v>0</v>
      </c>
      <c r="N2214">
        <v>74613</v>
      </c>
      <c r="O2214">
        <v>-392700</v>
      </c>
      <c r="P2214">
        <v>-48805917.049999997</v>
      </c>
      <c r="Q2214" t="s">
        <v>30</v>
      </c>
      <c r="R2214" t="s">
        <v>728</v>
      </c>
      <c r="S2214" t="str">
        <v>#N/A</v>
      </c>
      <c r="T2214" t="str">
        <v>31</v>
      </c>
    </row>
    <row r="2215" spans="1:20" ht="13.7" customHeight="1" x14ac:dyDescent="0.25">
      <c r="E2215" s="5">
        <v>43465</v>
      </c>
      <c r="F2215">
        <v>24080505</v>
      </c>
      <c r="G2215" t="s">
        <v>692</v>
      </c>
      <c r="H2215" t="s">
        <v>1131</v>
      </c>
      <c r="I2215" t="s">
        <v>1132</v>
      </c>
      <c r="J2215">
        <v>0</v>
      </c>
      <c r="K2215">
        <v>0</v>
      </c>
      <c r="L2215" s="3">
        <v>-4780875</v>
      </c>
      <c r="M2215" s="3">
        <v>0</v>
      </c>
      <c r="N2215">
        <v>0</v>
      </c>
      <c r="O2215">
        <v>-25162500</v>
      </c>
      <c r="P2215">
        <v>-4780875</v>
      </c>
      <c r="R2215" t="s">
        <v>1100</v>
      </c>
      <c r="S2215" t="str">
        <v>#N/A</v>
      </c>
      <c r="T2215" t="str">
        <v>#N/A</v>
      </c>
    </row>
    <row r="2216" spans="1:20" ht="13.7" customHeight="1" x14ac:dyDescent="0.25">
      <c r="A2216" t="s">
        <v>320</v>
      </c>
      <c r="B2216" t="s">
        <v>321</v>
      </c>
      <c r="C2216" t="s">
        <v>142</v>
      </c>
      <c r="D2216">
        <v>354</v>
      </c>
      <c r="E2216" s="5">
        <v>43501</v>
      </c>
      <c r="F2216">
        <v>24080505</v>
      </c>
      <c r="G2216" t="s">
        <v>692</v>
      </c>
      <c r="H2216" t="s">
        <v>1131</v>
      </c>
      <c r="I2216" t="s">
        <v>1132</v>
      </c>
      <c r="J2216">
        <v>1006</v>
      </c>
      <c r="K2216" t="s">
        <v>693</v>
      </c>
      <c r="L2216" s="3">
        <v>-4780875</v>
      </c>
      <c r="M2216" s="3">
        <v>0</v>
      </c>
      <c r="N2216">
        <v>473100</v>
      </c>
      <c r="O2216">
        <v>-2490000</v>
      </c>
      <c r="P2216">
        <v>-5253975</v>
      </c>
      <c r="Q2216" t="s">
        <v>30</v>
      </c>
      <c r="R2216" t="s">
        <v>711</v>
      </c>
      <c r="S2216" t="str">
        <v>#N/A</v>
      </c>
      <c r="T2216" t="str">
        <v>#N/A</v>
      </c>
    </row>
    <row r="2217" spans="1:20" ht="13.7" customHeight="1" x14ac:dyDescent="0.25">
      <c r="A2217" t="s">
        <v>320</v>
      </c>
      <c r="B2217" t="s">
        <v>321</v>
      </c>
      <c r="C2217" t="s">
        <v>142</v>
      </c>
      <c r="D2217">
        <v>376</v>
      </c>
      <c r="E2217" s="5">
        <v>43525</v>
      </c>
      <c r="F2217">
        <v>24080505</v>
      </c>
      <c r="G2217" t="s">
        <v>692</v>
      </c>
      <c r="H2217" t="s">
        <v>1131</v>
      </c>
      <c r="I2217" t="s">
        <v>1132</v>
      </c>
      <c r="J2217">
        <v>1006</v>
      </c>
      <c r="K2217" t="s">
        <v>693</v>
      </c>
      <c r="L2217" s="3">
        <v>-5253975</v>
      </c>
      <c r="M2217" s="3">
        <v>0</v>
      </c>
      <c r="N2217">
        <v>1216475</v>
      </c>
      <c r="O2217">
        <v>-6402500</v>
      </c>
      <c r="P2217">
        <v>-6470450</v>
      </c>
      <c r="Q2217" t="s">
        <v>30</v>
      </c>
      <c r="R2217" t="s">
        <v>726</v>
      </c>
      <c r="S2217" t="str">
        <v>#N/A</v>
      </c>
      <c r="T2217" t="str">
        <v>#N/A</v>
      </c>
    </row>
    <row r="2218" spans="1:20" ht="13.7" customHeight="1" x14ac:dyDescent="0.25">
      <c r="A2218" t="s">
        <v>320</v>
      </c>
      <c r="B2218" t="s">
        <v>321</v>
      </c>
      <c r="C2218" t="s">
        <v>142</v>
      </c>
      <c r="D2218">
        <v>457</v>
      </c>
      <c r="E2218" s="5">
        <v>43630</v>
      </c>
      <c r="F2218">
        <v>24080505</v>
      </c>
      <c r="G2218" t="s">
        <v>692</v>
      </c>
      <c r="H2218" t="s">
        <v>1131</v>
      </c>
      <c r="I2218" t="s">
        <v>1132</v>
      </c>
      <c r="J2218">
        <v>1006</v>
      </c>
      <c r="K2218" t="s">
        <v>693</v>
      </c>
      <c r="L2218" s="3">
        <v>-6470450</v>
      </c>
      <c r="M2218" s="3">
        <v>0</v>
      </c>
      <c r="N2218">
        <v>326952</v>
      </c>
      <c r="O2218">
        <v>-1720800</v>
      </c>
      <c r="P2218">
        <v>-6797402</v>
      </c>
      <c r="Q2218" t="s">
        <v>30</v>
      </c>
      <c r="R2218" t="s">
        <v>462</v>
      </c>
      <c r="S2218" t="str">
        <v>#N/A</v>
      </c>
      <c r="T2218" t="str">
        <v>#N/A</v>
      </c>
    </row>
    <row r="2219" spans="1:20" ht="13.7" customHeight="1" x14ac:dyDescent="0.25">
      <c r="A2219" t="s">
        <v>320</v>
      </c>
      <c r="B2219" t="s">
        <v>321</v>
      </c>
      <c r="C2219" t="s">
        <v>142</v>
      </c>
      <c r="D2219">
        <v>498</v>
      </c>
      <c r="E2219" s="5">
        <v>43732</v>
      </c>
      <c r="F2219">
        <v>24080505</v>
      </c>
      <c r="G2219" t="s">
        <v>692</v>
      </c>
      <c r="H2219" t="s">
        <v>1131</v>
      </c>
      <c r="I2219" t="s">
        <v>1132</v>
      </c>
      <c r="J2219">
        <v>1006</v>
      </c>
      <c r="K2219" t="s">
        <v>693</v>
      </c>
      <c r="L2219" s="3">
        <v>-6797402</v>
      </c>
      <c r="M2219" s="3">
        <v>0</v>
      </c>
      <c r="N2219">
        <v>411635</v>
      </c>
      <c r="O2219">
        <v>-2166500</v>
      </c>
      <c r="P2219">
        <v>-7209037</v>
      </c>
      <c r="Q2219" t="s">
        <v>30</v>
      </c>
      <c r="R2219" t="s">
        <v>483</v>
      </c>
      <c r="S2219" t="str">
        <v>#N/A</v>
      </c>
      <c r="T2219" t="str">
        <v>#N/A</v>
      </c>
    </row>
    <row r="2220" spans="1:20" ht="13.7" customHeight="1" x14ac:dyDescent="0.25">
      <c r="A2220" t="s">
        <v>320</v>
      </c>
      <c r="B2220" t="s">
        <v>321</v>
      </c>
      <c r="C2220" t="s">
        <v>142</v>
      </c>
      <c r="D2220">
        <v>513</v>
      </c>
      <c r="E2220" s="5">
        <v>43756</v>
      </c>
      <c r="F2220">
        <v>24080505</v>
      </c>
      <c r="G2220" t="s">
        <v>692</v>
      </c>
      <c r="H2220" t="s">
        <v>1131</v>
      </c>
      <c r="I2220" t="s">
        <v>1132</v>
      </c>
      <c r="J2220">
        <v>1006</v>
      </c>
      <c r="K2220" t="s">
        <v>693</v>
      </c>
      <c r="L2220" s="3">
        <v>-7209037</v>
      </c>
      <c r="M2220" s="3">
        <v>0</v>
      </c>
      <c r="N2220">
        <v>153520</v>
      </c>
      <c r="O2220">
        <v>-808000</v>
      </c>
      <c r="P2220">
        <v>-7362557</v>
      </c>
      <c r="Q2220" t="s">
        <v>30</v>
      </c>
      <c r="R2220" t="s">
        <v>728</v>
      </c>
      <c r="S2220" t="str">
        <v>#N/A</v>
      </c>
      <c r="T2220" t="str">
        <v>#N/A</v>
      </c>
    </row>
    <row r="2221" spans="1:20" ht="13.7" customHeight="1" x14ac:dyDescent="0.25">
      <c r="E2221" s="5">
        <v>43465</v>
      </c>
      <c r="F2221">
        <v>24080505</v>
      </c>
      <c r="G2221" t="s">
        <v>692</v>
      </c>
      <c r="H2221" t="s">
        <v>1133</v>
      </c>
      <c r="I2221" t="s">
        <v>1134</v>
      </c>
      <c r="J2221">
        <v>0</v>
      </c>
      <c r="K2221">
        <v>0</v>
      </c>
      <c r="L2221" s="3">
        <v>-162271.01999999999</v>
      </c>
      <c r="M2221" s="3">
        <v>0</v>
      </c>
      <c r="N2221">
        <v>0</v>
      </c>
      <c r="O2221">
        <v>-854058</v>
      </c>
      <c r="P2221">
        <v>-162271.01999999999</v>
      </c>
      <c r="R2221" t="s">
        <v>1100</v>
      </c>
      <c r="S2221" t="str">
        <v>#N/A</v>
      </c>
      <c r="T2221" t="str">
        <v>#N/A</v>
      </c>
    </row>
    <row r="2222" spans="1:20" ht="13.7" customHeight="1" x14ac:dyDescent="0.25">
      <c r="A2222" t="s">
        <v>320</v>
      </c>
      <c r="B2222" t="s">
        <v>321</v>
      </c>
      <c r="C2222" t="s">
        <v>142</v>
      </c>
      <c r="D2222">
        <v>367</v>
      </c>
      <c r="E2222" s="5">
        <v>43512</v>
      </c>
      <c r="F2222">
        <v>24080505</v>
      </c>
      <c r="G2222" t="s">
        <v>692</v>
      </c>
      <c r="H2222" t="s">
        <v>1133</v>
      </c>
      <c r="I2222" t="s">
        <v>1134</v>
      </c>
      <c r="J2222">
        <v>1006</v>
      </c>
      <c r="K2222" t="s">
        <v>693</v>
      </c>
      <c r="L2222" s="3">
        <v>-162271.01999999999</v>
      </c>
      <c r="M2222" s="3">
        <v>0</v>
      </c>
      <c r="N2222">
        <v>81142.92</v>
      </c>
      <c r="O2222">
        <v>-427068</v>
      </c>
      <c r="P2222">
        <v>-243413.94</v>
      </c>
      <c r="Q2222" t="s">
        <v>30</v>
      </c>
      <c r="R2222" t="s">
        <v>723</v>
      </c>
      <c r="S2222" t="str">
        <v>#N/A</v>
      </c>
      <c r="T2222" t="str">
        <v>#N/A</v>
      </c>
    </row>
    <row r="2223" spans="1:20" ht="13.7" customHeight="1" x14ac:dyDescent="0.25">
      <c r="A2223" t="s">
        <v>320</v>
      </c>
      <c r="B2223" t="s">
        <v>321</v>
      </c>
      <c r="C2223" t="s">
        <v>142</v>
      </c>
      <c r="D2223">
        <v>368</v>
      </c>
      <c r="E2223" s="5">
        <v>43513</v>
      </c>
      <c r="F2223">
        <v>24080505</v>
      </c>
      <c r="G2223" t="s">
        <v>692</v>
      </c>
      <c r="H2223" t="s">
        <v>1133</v>
      </c>
      <c r="I2223" t="s">
        <v>1134</v>
      </c>
      <c r="J2223">
        <v>1006</v>
      </c>
      <c r="K2223" t="s">
        <v>693</v>
      </c>
      <c r="L2223" s="3">
        <v>-243413.94</v>
      </c>
      <c r="M2223" s="3">
        <v>0</v>
      </c>
      <c r="N2223">
        <v>89681.52</v>
      </c>
      <c r="O2223">
        <v>-472008</v>
      </c>
      <c r="P2223">
        <v>-333095.46000000002</v>
      </c>
      <c r="Q2223" t="s">
        <v>30</v>
      </c>
      <c r="R2223" t="s">
        <v>724</v>
      </c>
      <c r="S2223" t="str">
        <v>#N/A</v>
      </c>
      <c r="T2223" t="str">
        <v>#N/A</v>
      </c>
    </row>
    <row r="2224" spans="1:20" ht="13.7" customHeight="1" x14ac:dyDescent="0.25">
      <c r="A2224" t="s">
        <v>320</v>
      </c>
      <c r="B2224" t="s">
        <v>321</v>
      </c>
      <c r="C2224" t="s">
        <v>142</v>
      </c>
      <c r="D2224">
        <v>369</v>
      </c>
      <c r="E2224" s="5">
        <v>43514</v>
      </c>
      <c r="F2224">
        <v>24080505</v>
      </c>
      <c r="G2224" t="s">
        <v>692</v>
      </c>
      <c r="H2224" t="s">
        <v>1133</v>
      </c>
      <c r="I2224" t="s">
        <v>1134</v>
      </c>
      <c r="J2224">
        <v>1006</v>
      </c>
      <c r="K2224" t="s">
        <v>693</v>
      </c>
      <c r="L2224" s="3">
        <v>-333095.46000000002</v>
      </c>
      <c r="M2224" s="3">
        <v>0</v>
      </c>
      <c r="N2224">
        <v>73784.600000000006</v>
      </c>
      <c r="O2224">
        <v>-388340</v>
      </c>
      <c r="P2224">
        <v>-406880.06</v>
      </c>
      <c r="Q2224" t="s">
        <v>30</v>
      </c>
      <c r="R2224" t="s">
        <v>725</v>
      </c>
      <c r="S2224" t="str">
        <v>#N/A</v>
      </c>
      <c r="T2224" t="str">
        <v>#N/A</v>
      </c>
    </row>
    <row r="2225" spans="1:20" ht="13.7" customHeight="1" x14ac:dyDescent="0.25">
      <c r="A2225" t="s">
        <v>320</v>
      </c>
      <c r="B2225" t="s">
        <v>321</v>
      </c>
      <c r="C2225" t="s">
        <v>142</v>
      </c>
      <c r="D2225">
        <v>371</v>
      </c>
      <c r="E2225" s="5">
        <v>43516</v>
      </c>
      <c r="F2225">
        <v>24080505</v>
      </c>
      <c r="G2225" t="s">
        <v>692</v>
      </c>
      <c r="H2225" t="s">
        <v>1133</v>
      </c>
      <c r="I2225" t="s">
        <v>1134</v>
      </c>
      <c r="J2225">
        <v>1006</v>
      </c>
      <c r="K2225" t="s">
        <v>693</v>
      </c>
      <c r="L2225" s="3">
        <v>-406880.06</v>
      </c>
      <c r="M2225" s="3">
        <v>0</v>
      </c>
      <c r="N2225">
        <v>50992.2</v>
      </c>
      <c r="O2225">
        <v>-268380</v>
      </c>
      <c r="P2225">
        <v>-457872.26</v>
      </c>
      <c r="Q2225" t="s">
        <v>30</v>
      </c>
      <c r="R2225" t="s">
        <v>362</v>
      </c>
      <c r="S2225" t="str">
        <v>#N/A</v>
      </c>
      <c r="T2225" t="str">
        <v>#N/A</v>
      </c>
    </row>
    <row r="2226" spans="1:20" ht="13.7" customHeight="1" x14ac:dyDescent="0.25">
      <c r="A2226" t="s">
        <v>320</v>
      </c>
      <c r="B2226" t="s">
        <v>321</v>
      </c>
      <c r="C2226" t="s">
        <v>142</v>
      </c>
      <c r="D2226">
        <v>375</v>
      </c>
      <c r="E2226" s="5">
        <v>43524</v>
      </c>
      <c r="F2226">
        <v>24080505</v>
      </c>
      <c r="G2226" t="s">
        <v>692</v>
      </c>
      <c r="H2226" t="s">
        <v>1133</v>
      </c>
      <c r="I2226" t="s">
        <v>1134</v>
      </c>
      <c r="J2226">
        <v>1006</v>
      </c>
      <c r="K2226" t="s">
        <v>693</v>
      </c>
      <c r="L2226" s="3">
        <v>-457872.26</v>
      </c>
      <c r="M2226" s="3">
        <v>0</v>
      </c>
      <c r="N2226">
        <v>21988.7</v>
      </c>
      <c r="O2226">
        <v>-115730</v>
      </c>
      <c r="P2226">
        <v>-479860.96</v>
      </c>
      <c r="Q2226" t="s">
        <v>30</v>
      </c>
      <c r="R2226" t="s">
        <v>390</v>
      </c>
      <c r="S2226" t="str">
        <v>#N/A</v>
      </c>
      <c r="T2226" t="str">
        <v>#N/A</v>
      </c>
    </row>
    <row r="2227" spans="1:20" ht="13.7" customHeight="1" x14ac:dyDescent="0.25">
      <c r="A2227" t="s">
        <v>320</v>
      </c>
      <c r="B2227" t="s">
        <v>321</v>
      </c>
      <c r="C2227" t="s">
        <v>142</v>
      </c>
      <c r="D2227">
        <v>456</v>
      </c>
      <c r="E2227" s="5">
        <v>43630</v>
      </c>
      <c r="F2227">
        <v>24080505</v>
      </c>
      <c r="G2227" t="s">
        <v>692</v>
      </c>
      <c r="H2227" t="s">
        <v>1133</v>
      </c>
      <c r="I2227" t="s">
        <v>1134</v>
      </c>
      <c r="J2227">
        <v>1006</v>
      </c>
      <c r="K2227" t="s">
        <v>693</v>
      </c>
      <c r="L2227" s="3">
        <v>-479860.96</v>
      </c>
      <c r="M2227" s="3">
        <v>0</v>
      </c>
      <c r="N2227">
        <v>88333</v>
      </c>
      <c r="O2227">
        <v>-464908</v>
      </c>
      <c r="P2227">
        <v>-568193.96</v>
      </c>
      <c r="Q2227" t="s">
        <v>30</v>
      </c>
      <c r="R2227" t="s">
        <v>461</v>
      </c>
      <c r="S2227" t="str">
        <v>#N/A</v>
      </c>
      <c r="T2227" t="str">
        <v>#N/A</v>
      </c>
    </row>
    <row r="2228" spans="1:20" ht="13.7" customHeight="1" x14ac:dyDescent="0.25">
      <c r="A2228" t="s">
        <v>320</v>
      </c>
      <c r="B2228" t="s">
        <v>321</v>
      </c>
      <c r="C2228" t="s">
        <v>142</v>
      </c>
      <c r="D2228">
        <v>487</v>
      </c>
      <c r="E2228" s="5">
        <v>43708</v>
      </c>
      <c r="F2228">
        <v>24080505</v>
      </c>
      <c r="G2228" t="s">
        <v>692</v>
      </c>
      <c r="H2228" t="s">
        <v>1133</v>
      </c>
      <c r="I2228" t="s">
        <v>1134</v>
      </c>
      <c r="J2228">
        <v>1006</v>
      </c>
      <c r="K2228" t="s">
        <v>693</v>
      </c>
      <c r="L2228" s="3">
        <v>-568193.96</v>
      </c>
      <c r="M2228" s="3">
        <v>0</v>
      </c>
      <c r="N2228">
        <v>32175.360000000001</v>
      </c>
      <c r="O2228">
        <v>-169344</v>
      </c>
      <c r="P2228">
        <v>-600369.31999999995</v>
      </c>
      <c r="Q2228" t="s">
        <v>30</v>
      </c>
      <c r="R2228" t="s">
        <v>474</v>
      </c>
      <c r="S2228" t="str">
        <v>#N/A</v>
      </c>
      <c r="T2228" t="str">
        <v>#N/A</v>
      </c>
    </row>
    <row r="2229" spans="1:20" ht="13.7" customHeight="1" x14ac:dyDescent="0.25">
      <c r="A2229" t="s">
        <v>320</v>
      </c>
      <c r="B2229" t="s">
        <v>321</v>
      </c>
      <c r="C2229" t="s">
        <v>142</v>
      </c>
      <c r="D2229">
        <v>496</v>
      </c>
      <c r="E2229" s="5">
        <v>43727</v>
      </c>
      <c r="F2229">
        <v>24080505</v>
      </c>
      <c r="G2229" t="s">
        <v>692</v>
      </c>
      <c r="H2229" t="s">
        <v>1133</v>
      </c>
      <c r="I2229" t="s">
        <v>1134</v>
      </c>
      <c r="J2229">
        <v>1006</v>
      </c>
      <c r="K2229" t="s">
        <v>693</v>
      </c>
      <c r="L2229" s="3">
        <v>-600369.31999999995</v>
      </c>
      <c r="M2229" s="3">
        <v>0</v>
      </c>
      <c r="N2229">
        <v>29237.200000000001</v>
      </c>
      <c r="O2229">
        <v>-153880</v>
      </c>
      <c r="P2229">
        <v>-629606.52</v>
      </c>
      <c r="Q2229" t="s">
        <v>30</v>
      </c>
      <c r="R2229" t="s">
        <v>481</v>
      </c>
      <c r="S2229" t="str">
        <v>#N/A</v>
      </c>
      <c r="T2229" t="str">
        <v>#N/A</v>
      </c>
    </row>
    <row r="2230" spans="1:20" ht="13.7" customHeight="1" x14ac:dyDescent="0.25">
      <c r="A2230" t="s">
        <v>320</v>
      </c>
      <c r="B2230" t="s">
        <v>321</v>
      </c>
      <c r="C2230" t="s">
        <v>142</v>
      </c>
      <c r="D2230">
        <v>507</v>
      </c>
      <c r="E2230" s="5">
        <v>43747</v>
      </c>
      <c r="F2230">
        <v>24080505</v>
      </c>
      <c r="G2230" t="s">
        <v>692</v>
      </c>
      <c r="H2230" t="s">
        <v>1133</v>
      </c>
      <c r="I2230" t="s">
        <v>1134</v>
      </c>
      <c r="J2230">
        <v>1006</v>
      </c>
      <c r="K2230" t="s">
        <v>693</v>
      </c>
      <c r="L2230" s="3">
        <v>-629606.52</v>
      </c>
      <c r="M2230" s="3">
        <v>0</v>
      </c>
      <c r="N2230">
        <v>33254</v>
      </c>
      <c r="O2230">
        <v>-175020</v>
      </c>
      <c r="P2230">
        <v>-662860.52</v>
      </c>
      <c r="Q2230" t="s">
        <v>30</v>
      </c>
      <c r="R2230" t="s">
        <v>728</v>
      </c>
      <c r="S2230" t="str">
        <v>#N/A</v>
      </c>
      <c r="T2230" t="str">
        <v>#N/A</v>
      </c>
    </row>
    <row r="2231" spans="1:20" ht="13.7" customHeight="1" x14ac:dyDescent="0.25">
      <c r="A2231" t="s">
        <v>320</v>
      </c>
      <c r="B2231" t="s">
        <v>321</v>
      </c>
      <c r="C2231" t="s">
        <v>142</v>
      </c>
      <c r="D2231">
        <v>516</v>
      </c>
      <c r="E2231" s="5">
        <v>43760</v>
      </c>
      <c r="F2231">
        <v>24080505</v>
      </c>
      <c r="G2231" t="s">
        <v>692</v>
      </c>
      <c r="H2231" t="s">
        <v>1133</v>
      </c>
      <c r="I2231" t="s">
        <v>1134</v>
      </c>
      <c r="J2231">
        <v>1006</v>
      </c>
      <c r="K2231" t="s">
        <v>693</v>
      </c>
      <c r="L2231" s="3">
        <v>-662860.52</v>
      </c>
      <c r="M2231" s="3">
        <v>0</v>
      </c>
      <c r="N2231">
        <v>81768.399999999994</v>
      </c>
      <c r="O2231">
        <v>-430360</v>
      </c>
      <c r="P2231">
        <v>-744628.92</v>
      </c>
      <c r="Q2231" t="s">
        <v>30</v>
      </c>
      <c r="R2231" t="s">
        <v>500</v>
      </c>
      <c r="S2231" t="str">
        <v>#N/A</v>
      </c>
      <c r="T2231" t="str">
        <v>#N/A</v>
      </c>
    </row>
    <row r="2232" spans="1:20" ht="13.7" customHeight="1" x14ac:dyDescent="0.25">
      <c r="A2232" t="s">
        <v>320</v>
      </c>
      <c r="B2232" t="s">
        <v>321</v>
      </c>
      <c r="C2232" t="s">
        <v>142</v>
      </c>
      <c r="D2232">
        <v>517</v>
      </c>
      <c r="E2232" s="5">
        <v>43762</v>
      </c>
      <c r="F2232">
        <v>24080505</v>
      </c>
      <c r="G2232" t="s">
        <v>692</v>
      </c>
      <c r="H2232" t="s">
        <v>1133</v>
      </c>
      <c r="I2232" t="s">
        <v>1134</v>
      </c>
      <c r="J2232">
        <v>1006</v>
      </c>
      <c r="K2232" t="s">
        <v>693</v>
      </c>
      <c r="L2232" s="3">
        <v>-744628.92</v>
      </c>
      <c r="M2232" s="3">
        <v>0</v>
      </c>
      <c r="N2232">
        <v>76038</v>
      </c>
      <c r="O2232">
        <v>-400200</v>
      </c>
      <c r="P2232">
        <v>-820666.92</v>
      </c>
      <c r="Q2232" t="s">
        <v>30</v>
      </c>
      <c r="R2232" t="s">
        <v>501</v>
      </c>
      <c r="S2232" t="str">
        <v>#N/A</v>
      </c>
      <c r="T2232" t="str">
        <v>#N/A</v>
      </c>
    </row>
    <row r="2233" spans="1:20" ht="13.7" customHeight="1" x14ac:dyDescent="0.25">
      <c r="A2233" t="s">
        <v>320</v>
      </c>
      <c r="B2233" t="s">
        <v>321</v>
      </c>
      <c r="C2233" t="s">
        <v>142</v>
      </c>
      <c r="D2233">
        <v>518</v>
      </c>
      <c r="E2233" s="5">
        <v>43766</v>
      </c>
      <c r="F2233">
        <v>24080505</v>
      </c>
      <c r="G2233" t="s">
        <v>692</v>
      </c>
      <c r="H2233" t="s">
        <v>1133</v>
      </c>
      <c r="I2233" t="s">
        <v>1134</v>
      </c>
      <c r="J2233">
        <v>1006</v>
      </c>
      <c r="K2233" t="s">
        <v>693</v>
      </c>
      <c r="L2233" s="3">
        <v>-820666.92</v>
      </c>
      <c r="M2233" s="3">
        <v>0</v>
      </c>
      <c r="N2233">
        <v>76919.600000000006</v>
      </c>
      <c r="O2233">
        <v>-404840</v>
      </c>
      <c r="P2233">
        <v>-897586.52</v>
      </c>
      <c r="Q2233" t="s">
        <v>30</v>
      </c>
      <c r="R2233" t="s">
        <v>502</v>
      </c>
      <c r="S2233" t="str">
        <v>#N/A</v>
      </c>
      <c r="T2233" t="str">
        <v>#N/A</v>
      </c>
    </row>
    <row r="2234" spans="1:20" ht="13.7" customHeight="1" x14ac:dyDescent="0.25">
      <c r="E2234" s="5">
        <v>43465</v>
      </c>
      <c r="F2234">
        <v>24080505</v>
      </c>
      <c r="G2234" t="s">
        <v>692</v>
      </c>
      <c r="H2234" t="s">
        <v>1137</v>
      </c>
      <c r="I2234" t="s">
        <v>1138</v>
      </c>
      <c r="J2234">
        <v>0</v>
      </c>
      <c r="K2234">
        <v>0</v>
      </c>
      <c r="L2234" s="3">
        <v>0</v>
      </c>
      <c r="M2234" s="3">
        <v>0</v>
      </c>
      <c r="N2234">
        <v>0</v>
      </c>
      <c r="O2234">
        <v>0</v>
      </c>
      <c r="P2234">
        <v>0</v>
      </c>
      <c r="R2234" t="s">
        <v>1100</v>
      </c>
      <c r="S2234" t="str">
        <v>#N/A</v>
      </c>
      <c r="T2234" t="str">
        <v>#N/A</v>
      </c>
    </row>
    <row r="2235" spans="1:20" ht="13.7" customHeight="1" x14ac:dyDescent="0.25">
      <c r="A2235" t="s">
        <v>320</v>
      </c>
      <c r="B2235" t="s">
        <v>321</v>
      </c>
      <c r="C2235" t="s">
        <v>142</v>
      </c>
      <c r="D2235">
        <v>439</v>
      </c>
      <c r="E2235" s="5">
        <v>43608</v>
      </c>
      <c r="F2235">
        <v>24080505</v>
      </c>
      <c r="G2235" t="s">
        <v>692</v>
      </c>
      <c r="H2235" t="s">
        <v>1137</v>
      </c>
      <c r="I2235" t="s">
        <v>1138</v>
      </c>
      <c r="J2235">
        <v>1006</v>
      </c>
      <c r="K2235" t="s">
        <v>693</v>
      </c>
      <c r="L2235" s="3">
        <v>0</v>
      </c>
      <c r="M2235" s="3">
        <v>0</v>
      </c>
      <c r="N2235">
        <v>63840</v>
      </c>
      <c r="O2235">
        <v>-336000</v>
      </c>
      <c r="P2235">
        <v>-63840</v>
      </c>
      <c r="Q2235" t="s">
        <v>30</v>
      </c>
      <c r="R2235" t="s">
        <v>453</v>
      </c>
      <c r="S2235" t="str">
        <v>#N/A</v>
      </c>
      <c r="T2235" t="str">
        <v>#N/A</v>
      </c>
    </row>
    <row r="2236" spans="1:20" ht="13.7" customHeight="1" x14ac:dyDescent="0.25">
      <c r="A2236" t="s">
        <v>320</v>
      </c>
      <c r="B2236" t="s">
        <v>321</v>
      </c>
      <c r="C2236" t="s">
        <v>142</v>
      </c>
      <c r="D2236">
        <v>450</v>
      </c>
      <c r="E2236" s="5">
        <v>43628</v>
      </c>
      <c r="F2236">
        <v>24080505</v>
      </c>
      <c r="G2236" t="s">
        <v>692</v>
      </c>
      <c r="H2236" t="s">
        <v>1137</v>
      </c>
      <c r="I2236" t="s">
        <v>1138</v>
      </c>
      <c r="J2236">
        <v>1006</v>
      </c>
      <c r="K2236" t="s">
        <v>693</v>
      </c>
      <c r="L2236" s="3">
        <v>-63840</v>
      </c>
      <c r="M2236" s="3">
        <v>0</v>
      </c>
      <c r="N2236">
        <v>365750</v>
      </c>
      <c r="O2236">
        <v>-1925000</v>
      </c>
      <c r="P2236">
        <v>-429590</v>
      </c>
      <c r="Q2236" t="s">
        <v>30</v>
      </c>
      <c r="R2236" t="s">
        <v>459</v>
      </c>
      <c r="S2236" t="str">
        <v>#N/A</v>
      </c>
      <c r="T2236" t="str">
        <v>#N/A</v>
      </c>
    </row>
    <row r="2237" spans="1:20" ht="13.7" customHeight="1" x14ac:dyDescent="0.25">
      <c r="A2237" t="s">
        <v>320</v>
      </c>
      <c r="B2237" t="s">
        <v>321</v>
      </c>
      <c r="C2237" t="s">
        <v>142</v>
      </c>
      <c r="D2237">
        <v>500</v>
      </c>
      <c r="E2237" s="5">
        <v>43734</v>
      </c>
      <c r="F2237">
        <v>24080505</v>
      </c>
      <c r="G2237" t="s">
        <v>692</v>
      </c>
      <c r="H2237" t="s">
        <v>1137</v>
      </c>
      <c r="I2237" t="s">
        <v>1138</v>
      </c>
      <c r="J2237">
        <v>1006</v>
      </c>
      <c r="K2237" t="s">
        <v>693</v>
      </c>
      <c r="L2237" s="3">
        <v>-429590</v>
      </c>
      <c r="M2237" s="3">
        <v>0</v>
      </c>
      <c r="N2237">
        <v>365750</v>
      </c>
      <c r="O2237">
        <v>-1925000</v>
      </c>
      <c r="P2237">
        <v>-795340</v>
      </c>
      <c r="Q2237" t="s">
        <v>30</v>
      </c>
      <c r="R2237" t="s">
        <v>485</v>
      </c>
      <c r="S2237" t="str">
        <v>#N/A</v>
      </c>
      <c r="T2237" t="str">
        <v>#N/A</v>
      </c>
    </row>
    <row r="2238" spans="1:20" ht="13.7" customHeight="1" x14ac:dyDescent="0.25">
      <c r="A2238" t="s">
        <v>320</v>
      </c>
      <c r="B2238" t="s">
        <v>321</v>
      </c>
      <c r="C2238" t="s">
        <v>142</v>
      </c>
      <c r="D2238">
        <v>530</v>
      </c>
      <c r="E2238" s="5">
        <v>43785</v>
      </c>
      <c r="F2238">
        <v>24080505</v>
      </c>
      <c r="G2238" t="s">
        <v>692</v>
      </c>
      <c r="H2238" t="s">
        <v>1137</v>
      </c>
      <c r="I2238" t="s">
        <v>1138</v>
      </c>
      <c r="J2238">
        <v>1006</v>
      </c>
      <c r="K2238" t="s">
        <v>693</v>
      </c>
      <c r="L2238" s="3">
        <v>-795340</v>
      </c>
      <c r="M2238" s="3">
        <v>0</v>
      </c>
      <c r="N2238">
        <v>731500</v>
      </c>
      <c r="O2238">
        <v>-3850000</v>
      </c>
      <c r="P2238">
        <v>-1526840</v>
      </c>
      <c r="Q2238" t="s">
        <v>30</v>
      </c>
      <c r="R2238" t="s">
        <v>728</v>
      </c>
      <c r="S2238" t="str">
        <v>#N/A</v>
      </c>
      <c r="T2238" t="str">
        <v>#N/A</v>
      </c>
    </row>
    <row r="2239" spans="1:20" ht="13.7" customHeight="1" x14ac:dyDescent="0.25">
      <c r="E2239" s="5">
        <v>43465</v>
      </c>
      <c r="F2239">
        <v>24081005</v>
      </c>
      <c r="G2239" t="s">
        <v>729</v>
      </c>
      <c r="H2239" t="s">
        <v>1203</v>
      </c>
      <c r="I2239" t="s">
        <v>1204</v>
      </c>
      <c r="J2239">
        <v>0</v>
      </c>
      <c r="K2239">
        <v>0</v>
      </c>
      <c r="L2239" s="3">
        <v>47898</v>
      </c>
      <c r="M2239" s="3">
        <v>0</v>
      </c>
      <c r="N2239">
        <v>0</v>
      </c>
      <c r="O2239">
        <v>252096</v>
      </c>
      <c r="P2239">
        <v>47898</v>
      </c>
      <c r="R2239" t="s">
        <v>1100</v>
      </c>
      <c r="S2239" t="str">
        <v>#N/A</v>
      </c>
      <c r="T2239" t="str">
        <v>13</v>
      </c>
    </row>
    <row r="2240" spans="1:20" ht="13.7" customHeight="1" x14ac:dyDescent="0.25">
      <c r="A2240" t="s">
        <v>26</v>
      </c>
      <c r="B2240" t="s">
        <v>27</v>
      </c>
      <c r="C2240" t="s">
        <v>28</v>
      </c>
      <c r="D2240">
        <v>37</v>
      </c>
      <c r="E2240" s="5">
        <v>43480</v>
      </c>
      <c r="F2240">
        <v>24081005</v>
      </c>
      <c r="G2240" t="s">
        <v>729</v>
      </c>
      <c r="H2240" t="s">
        <v>1203</v>
      </c>
      <c r="I2240" t="s">
        <v>1204</v>
      </c>
      <c r="J2240">
        <v>1005</v>
      </c>
      <c r="K2240" t="s">
        <v>693</v>
      </c>
      <c r="L2240" s="3">
        <v>47898</v>
      </c>
      <c r="M2240" s="3">
        <v>11176</v>
      </c>
      <c r="N2240">
        <v>0</v>
      </c>
      <c r="O2240">
        <v>58821</v>
      </c>
      <c r="P2240">
        <v>59074</v>
      </c>
      <c r="Q2240" t="s">
        <v>30</v>
      </c>
      <c r="R2240" t="s">
        <v>534</v>
      </c>
      <c r="S2240" t="str">
        <v>#N/A</v>
      </c>
      <c r="T2240" t="str">
        <v>13</v>
      </c>
    </row>
    <row r="2241" spans="1:20" ht="13.7" customHeight="1" x14ac:dyDescent="0.25">
      <c r="E2241" s="5">
        <v>43465</v>
      </c>
      <c r="F2241">
        <v>24081005</v>
      </c>
      <c r="G2241" t="s">
        <v>729</v>
      </c>
      <c r="H2241" t="s">
        <v>1541</v>
      </c>
      <c r="I2241" t="s">
        <v>1542</v>
      </c>
      <c r="J2241">
        <v>0</v>
      </c>
      <c r="K2241">
        <v>0</v>
      </c>
      <c r="L2241" s="3">
        <v>479</v>
      </c>
      <c r="M2241" s="3">
        <v>0</v>
      </c>
      <c r="N2241">
        <v>0</v>
      </c>
      <c r="O2241">
        <v>2521</v>
      </c>
      <c r="P2241">
        <v>479</v>
      </c>
      <c r="R2241" t="s">
        <v>1100</v>
      </c>
      <c r="S2241" t="str">
        <v>#N/A</v>
      </c>
      <c r="T2241" t="str">
        <v>#N/A</v>
      </c>
    </row>
    <row r="2242" spans="1:20" ht="13.7" customHeight="1" x14ac:dyDescent="0.25">
      <c r="E2242" s="5">
        <v>43465</v>
      </c>
      <c r="F2242">
        <v>24081005</v>
      </c>
      <c r="G2242" t="s">
        <v>729</v>
      </c>
      <c r="H2242" t="s">
        <v>1205</v>
      </c>
      <c r="I2242" t="s">
        <v>1206</v>
      </c>
      <c r="J2242">
        <v>0</v>
      </c>
      <c r="K2242">
        <v>0</v>
      </c>
      <c r="L2242" s="3">
        <v>12997</v>
      </c>
      <c r="M2242" s="3">
        <v>0</v>
      </c>
      <c r="N2242">
        <v>0</v>
      </c>
      <c r="O2242">
        <v>68401</v>
      </c>
      <c r="P2242">
        <v>12997</v>
      </c>
      <c r="R2242" t="s">
        <v>1100</v>
      </c>
      <c r="S2242" t="str">
        <v>#N/A</v>
      </c>
      <c r="T2242" t="str">
        <v>#N/A</v>
      </c>
    </row>
    <row r="2243" spans="1:20" ht="13.7" customHeight="1" x14ac:dyDescent="0.25">
      <c r="A2243" t="s">
        <v>26</v>
      </c>
      <c r="B2243" t="s">
        <v>27</v>
      </c>
      <c r="C2243" t="s">
        <v>28</v>
      </c>
      <c r="D2243">
        <v>23</v>
      </c>
      <c r="E2243" s="5">
        <v>43476</v>
      </c>
      <c r="F2243">
        <v>24081005</v>
      </c>
      <c r="G2243" t="s">
        <v>729</v>
      </c>
      <c r="H2243" t="s">
        <v>1205</v>
      </c>
      <c r="I2243" t="s">
        <v>1206</v>
      </c>
      <c r="J2243">
        <v>1005</v>
      </c>
      <c r="K2243" t="s">
        <v>693</v>
      </c>
      <c r="L2243" s="3">
        <v>12997</v>
      </c>
      <c r="M2243" s="3">
        <v>287</v>
      </c>
      <c r="N2243">
        <v>0</v>
      </c>
      <c r="O2243">
        <v>1512</v>
      </c>
      <c r="P2243">
        <v>13284</v>
      </c>
      <c r="Q2243" t="s">
        <v>30</v>
      </c>
      <c r="R2243" t="s">
        <v>50</v>
      </c>
      <c r="S2243" t="str">
        <v>#N/A</v>
      </c>
      <c r="T2243" t="str">
        <v>#N/A</v>
      </c>
    </row>
    <row r="2244" spans="1:20" ht="13.7" customHeight="1" x14ac:dyDescent="0.25">
      <c r="A2244" t="s">
        <v>26</v>
      </c>
      <c r="B2244" t="s">
        <v>27</v>
      </c>
      <c r="C2244" t="s">
        <v>28</v>
      </c>
      <c r="D2244">
        <v>24</v>
      </c>
      <c r="E2244" s="5">
        <v>43476</v>
      </c>
      <c r="F2244">
        <v>24081005</v>
      </c>
      <c r="G2244" t="s">
        <v>729</v>
      </c>
      <c r="H2244" t="s">
        <v>1205</v>
      </c>
      <c r="I2244" t="s">
        <v>1206</v>
      </c>
      <c r="J2244">
        <v>1005</v>
      </c>
      <c r="K2244" t="s">
        <v>693</v>
      </c>
      <c r="L2244" s="3">
        <v>13284</v>
      </c>
      <c r="M2244" s="3">
        <v>1037</v>
      </c>
      <c r="N2244">
        <v>0</v>
      </c>
      <c r="O2244">
        <v>5460</v>
      </c>
      <c r="P2244">
        <v>14321</v>
      </c>
      <c r="Q2244" t="s">
        <v>30</v>
      </c>
      <c r="R2244" t="s">
        <v>50</v>
      </c>
      <c r="S2244" t="str">
        <v>#N/A</v>
      </c>
      <c r="T2244" t="str">
        <v>#N/A</v>
      </c>
    </row>
    <row r="2245" spans="1:20" ht="13.7" customHeight="1" x14ac:dyDescent="0.25">
      <c r="A2245" t="s">
        <v>26</v>
      </c>
      <c r="B2245" t="s">
        <v>27</v>
      </c>
      <c r="C2245" t="s">
        <v>91</v>
      </c>
      <c r="D2245">
        <v>22</v>
      </c>
      <c r="E2245" s="5">
        <v>43530</v>
      </c>
      <c r="F2245">
        <v>24081005</v>
      </c>
      <c r="G2245" t="s">
        <v>729</v>
      </c>
      <c r="H2245" t="s">
        <v>1205</v>
      </c>
      <c r="I2245" t="s">
        <v>1206</v>
      </c>
      <c r="J2245">
        <v>1005</v>
      </c>
      <c r="K2245" t="s">
        <v>693</v>
      </c>
      <c r="L2245" s="3">
        <v>14321</v>
      </c>
      <c r="M2245" s="3">
        <v>2171</v>
      </c>
      <c r="N2245">
        <v>0</v>
      </c>
      <c r="O2245">
        <v>11428</v>
      </c>
      <c r="P2245">
        <v>16492</v>
      </c>
      <c r="Q2245" t="s">
        <v>30</v>
      </c>
      <c r="R2245" t="s">
        <v>94</v>
      </c>
      <c r="S2245" t="str">
        <v>#N/A</v>
      </c>
      <c r="T2245" t="str">
        <v>#N/A</v>
      </c>
    </row>
    <row r="2246" spans="1:20" ht="13.7" customHeight="1" x14ac:dyDescent="0.25">
      <c r="A2246" t="s">
        <v>26</v>
      </c>
      <c r="B2246" t="s">
        <v>27</v>
      </c>
      <c r="C2246" t="s">
        <v>35</v>
      </c>
      <c r="D2246">
        <v>13</v>
      </c>
      <c r="E2246" s="5">
        <v>43588</v>
      </c>
      <c r="F2246">
        <v>24081005</v>
      </c>
      <c r="G2246" t="s">
        <v>729</v>
      </c>
      <c r="H2246" t="s">
        <v>1205</v>
      </c>
      <c r="I2246" t="s">
        <v>1206</v>
      </c>
      <c r="J2246">
        <v>1005</v>
      </c>
      <c r="K2246" t="s">
        <v>693</v>
      </c>
      <c r="L2246" s="3">
        <v>16492</v>
      </c>
      <c r="M2246" s="3">
        <v>1676</v>
      </c>
      <c r="N2246">
        <v>0</v>
      </c>
      <c r="O2246">
        <v>8823</v>
      </c>
      <c r="P2246">
        <v>18168</v>
      </c>
      <c r="Q2246" t="s">
        <v>30</v>
      </c>
      <c r="R2246" t="s">
        <v>127</v>
      </c>
      <c r="S2246" t="str">
        <v>#N/A</v>
      </c>
      <c r="T2246" t="str">
        <v>#N/A</v>
      </c>
    </row>
    <row r="2247" spans="1:20" ht="13.7" customHeight="1" x14ac:dyDescent="0.25">
      <c r="A2247" t="s">
        <v>26</v>
      </c>
      <c r="B2247" t="s">
        <v>27</v>
      </c>
      <c r="C2247" t="s">
        <v>41</v>
      </c>
      <c r="D2247">
        <v>52</v>
      </c>
      <c r="E2247" s="5">
        <v>43788</v>
      </c>
      <c r="F2247">
        <v>24081005</v>
      </c>
      <c r="G2247" t="s">
        <v>729</v>
      </c>
      <c r="H2247" t="s">
        <v>1205</v>
      </c>
      <c r="I2247" t="s">
        <v>1206</v>
      </c>
      <c r="J2247">
        <v>1005</v>
      </c>
      <c r="K2247" t="s">
        <v>693</v>
      </c>
      <c r="L2247" s="3">
        <v>18168</v>
      </c>
      <c r="M2247" s="3">
        <v>6800</v>
      </c>
      <c r="N2247">
        <v>0</v>
      </c>
      <c r="O2247">
        <v>35791</v>
      </c>
      <c r="P2247">
        <v>24968</v>
      </c>
      <c r="Q2247" t="s">
        <v>30</v>
      </c>
      <c r="R2247" t="s">
        <v>176</v>
      </c>
      <c r="S2247" t="str">
        <v>#N/A</v>
      </c>
      <c r="T2247" t="str">
        <v>#N/A</v>
      </c>
    </row>
    <row r="2248" spans="1:20" ht="13.7" customHeight="1" x14ac:dyDescent="0.25">
      <c r="E2248" s="5">
        <v>43465</v>
      </c>
      <c r="F2248">
        <v>24081005</v>
      </c>
      <c r="G2248" t="s">
        <v>729</v>
      </c>
      <c r="H2248" t="s">
        <v>1341</v>
      </c>
      <c r="I2248" t="s">
        <v>1342</v>
      </c>
      <c r="J2248">
        <v>0</v>
      </c>
      <c r="K2248">
        <v>0</v>
      </c>
      <c r="L2248" s="3">
        <v>3352.93</v>
      </c>
      <c r="M2248" s="3">
        <v>0</v>
      </c>
      <c r="N2248">
        <v>0</v>
      </c>
      <c r="O2248">
        <v>17647</v>
      </c>
      <c r="P2248">
        <v>3352.93</v>
      </c>
      <c r="R2248" t="s">
        <v>1100</v>
      </c>
      <c r="S2248" t="str">
        <v>#N/A</v>
      </c>
      <c r="T2248" t="str">
        <v>#N/A</v>
      </c>
    </row>
    <row r="2249" spans="1:20" ht="13.7" customHeight="1" x14ac:dyDescent="0.25">
      <c r="E2249" s="5">
        <v>43465</v>
      </c>
      <c r="F2249">
        <v>24081005</v>
      </c>
      <c r="G2249" t="s">
        <v>729</v>
      </c>
      <c r="H2249" t="s">
        <v>1543</v>
      </c>
      <c r="I2249" t="s">
        <v>1544</v>
      </c>
      <c r="J2249">
        <v>0</v>
      </c>
      <c r="K2249">
        <v>0</v>
      </c>
      <c r="L2249" s="3">
        <v>575</v>
      </c>
      <c r="M2249" s="3">
        <v>0</v>
      </c>
      <c r="N2249">
        <v>0</v>
      </c>
      <c r="O2249">
        <v>3025</v>
      </c>
      <c r="P2249">
        <v>575</v>
      </c>
      <c r="R2249" t="s">
        <v>1100</v>
      </c>
      <c r="S2249" t="str">
        <v>#N/A</v>
      </c>
      <c r="T2249" t="str">
        <v>#N/A</v>
      </c>
    </row>
    <row r="2250" spans="1:20" ht="13.7" customHeight="1" x14ac:dyDescent="0.25">
      <c r="E2250" s="5">
        <v>43465</v>
      </c>
      <c r="F2250">
        <v>24081005</v>
      </c>
      <c r="G2250" t="s">
        <v>729</v>
      </c>
      <c r="H2250" t="s">
        <v>1545</v>
      </c>
      <c r="I2250" t="s">
        <v>1546</v>
      </c>
      <c r="J2250">
        <v>0</v>
      </c>
      <c r="K2250">
        <v>0</v>
      </c>
      <c r="L2250" s="3">
        <v>760</v>
      </c>
      <c r="M2250" s="3">
        <v>0</v>
      </c>
      <c r="N2250">
        <v>0</v>
      </c>
      <c r="O2250">
        <v>4000</v>
      </c>
      <c r="P2250">
        <v>760</v>
      </c>
      <c r="R2250" t="s">
        <v>1100</v>
      </c>
      <c r="S2250" t="str">
        <v>#N/A</v>
      </c>
      <c r="T2250" t="str">
        <v>#N/A</v>
      </c>
    </row>
    <row r="2251" spans="1:20" ht="13.7" customHeight="1" x14ac:dyDescent="0.25">
      <c r="E2251" s="5">
        <v>43465</v>
      </c>
      <c r="F2251">
        <v>24081005</v>
      </c>
      <c r="G2251" t="s">
        <v>729</v>
      </c>
      <c r="H2251" t="s">
        <v>1505</v>
      </c>
      <c r="I2251" t="s">
        <v>1506</v>
      </c>
      <c r="J2251">
        <v>0</v>
      </c>
      <c r="K2251">
        <v>0</v>
      </c>
      <c r="L2251" s="3">
        <v>11400</v>
      </c>
      <c r="M2251" s="3">
        <v>0</v>
      </c>
      <c r="N2251">
        <v>0</v>
      </c>
      <c r="O2251">
        <v>60000</v>
      </c>
      <c r="P2251">
        <v>11400</v>
      </c>
      <c r="R2251" t="s">
        <v>1100</v>
      </c>
      <c r="S2251" t="str">
        <v>#N/A</v>
      </c>
      <c r="T2251" t="str">
        <v>#N/A</v>
      </c>
    </row>
    <row r="2252" spans="1:20" ht="13.7" customHeight="1" x14ac:dyDescent="0.25">
      <c r="E2252" s="5">
        <v>43465</v>
      </c>
      <c r="F2252">
        <v>24081005</v>
      </c>
      <c r="G2252" t="s">
        <v>729</v>
      </c>
      <c r="H2252" t="s">
        <v>1219</v>
      </c>
      <c r="I2252" t="s">
        <v>1220</v>
      </c>
      <c r="J2252">
        <v>0</v>
      </c>
      <c r="K2252">
        <v>0</v>
      </c>
      <c r="L2252" s="3">
        <v>0</v>
      </c>
      <c r="M2252" s="3">
        <v>0</v>
      </c>
      <c r="N2252">
        <v>0</v>
      </c>
      <c r="O2252">
        <v>0</v>
      </c>
      <c r="P2252">
        <v>0</v>
      </c>
      <c r="R2252" t="s">
        <v>1100</v>
      </c>
      <c r="S2252" t="str">
        <v>#N/A</v>
      </c>
      <c r="T2252" t="str">
        <v>#N/A</v>
      </c>
    </row>
    <row r="2253" spans="1:20" ht="13.7" customHeight="1" x14ac:dyDescent="0.25">
      <c r="A2253" t="s">
        <v>26</v>
      </c>
      <c r="B2253" t="s">
        <v>27</v>
      </c>
      <c r="C2253" t="s">
        <v>36</v>
      </c>
      <c r="D2253">
        <v>57</v>
      </c>
      <c r="E2253" s="5">
        <v>43642</v>
      </c>
      <c r="F2253">
        <v>24081005</v>
      </c>
      <c r="G2253" t="s">
        <v>729</v>
      </c>
      <c r="H2253" t="s">
        <v>1219</v>
      </c>
      <c r="I2253" t="s">
        <v>1220</v>
      </c>
      <c r="J2253">
        <v>1005</v>
      </c>
      <c r="K2253" t="s">
        <v>693</v>
      </c>
      <c r="L2253" s="3">
        <v>0</v>
      </c>
      <c r="M2253" s="3">
        <v>319</v>
      </c>
      <c r="N2253">
        <v>0</v>
      </c>
      <c r="O2253">
        <v>1681</v>
      </c>
      <c r="P2253">
        <v>319</v>
      </c>
      <c r="Q2253" t="s">
        <v>30</v>
      </c>
      <c r="R2253" t="s">
        <v>46</v>
      </c>
      <c r="S2253" t="str">
        <v>#N/A</v>
      </c>
      <c r="T2253" t="str">
        <v>#N/A</v>
      </c>
    </row>
    <row r="2254" spans="1:20" ht="13.7" customHeight="1" x14ac:dyDescent="0.25">
      <c r="E2254" s="5">
        <v>43465</v>
      </c>
      <c r="F2254">
        <v>24081005</v>
      </c>
      <c r="G2254" t="s">
        <v>729</v>
      </c>
      <c r="H2254" t="s">
        <v>1547</v>
      </c>
      <c r="I2254" t="s">
        <v>1548</v>
      </c>
      <c r="J2254">
        <v>0</v>
      </c>
      <c r="K2254">
        <v>0</v>
      </c>
      <c r="L2254" s="3">
        <v>18776</v>
      </c>
      <c r="M2254" s="3">
        <v>0</v>
      </c>
      <c r="N2254">
        <v>0</v>
      </c>
      <c r="O2254">
        <v>98824</v>
      </c>
      <c r="P2254">
        <v>18776</v>
      </c>
      <c r="R2254" t="s">
        <v>1100</v>
      </c>
      <c r="S2254" t="str">
        <v>#N/A</v>
      </c>
      <c r="T2254" t="str">
        <v>#N/A</v>
      </c>
    </row>
    <row r="2255" spans="1:20" ht="13.7" customHeight="1" x14ac:dyDescent="0.25">
      <c r="E2255" s="5">
        <v>43465</v>
      </c>
      <c r="F2255">
        <v>24081005</v>
      </c>
      <c r="G2255" t="s">
        <v>729</v>
      </c>
      <c r="H2255" t="s">
        <v>1209</v>
      </c>
      <c r="I2255" t="s">
        <v>1210</v>
      </c>
      <c r="J2255">
        <v>0</v>
      </c>
      <c r="K2255">
        <v>0</v>
      </c>
      <c r="L2255" s="3">
        <v>0</v>
      </c>
      <c r="M2255" s="3">
        <v>0</v>
      </c>
      <c r="N2255">
        <v>0</v>
      </c>
      <c r="O2255">
        <v>0</v>
      </c>
      <c r="P2255">
        <v>0</v>
      </c>
      <c r="R2255" t="s">
        <v>1100</v>
      </c>
      <c r="S2255" t="str">
        <v>#N/A</v>
      </c>
      <c r="T2255" t="str">
        <v>#N/A</v>
      </c>
    </row>
    <row r="2256" spans="1:20" ht="13.7" customHeight="1" x14ac:dyDescent="0.25">
      <c r="A2256" t="s">
        <v>26</v>
      </c>
      <c r="B2256" t="s">
        <v>27</v>
      </c>
      <c r="C2256" t="s">
        <v>37</v>
      </c>
      <c r="D2256">
        <v>51</v>
      </c>
      <c r="E2256" s="5">
        <v>43670</v>
      </c>
      <c r="F2256">
        <v>24081005</v>
      </c>
      <c r="G2256" t="s">
        <v>729</v>
      </c>
      <c r="H2256" t="s">
        <v>1209</v>
      </c>
      <c r="I2256" t="s">
        <v>1210</v>
      </c>
      <c r="J2256">
        <v>1005</v>
      </c>
      <c r="K2256" t="s">
        <v>693</v>
      </c>
      <c r="L2256" s="3">
        <v>0</v>
      </c>
      <c r="M2256" s="3">
        <v>4438</v>
      </c>
      <c r="N2256">
        <v>0</v>
      </c>
      <c r="O2256">
        <v>23358</v>
      </c>
      <c r="P2256">
        <v>4438</v>
      </c>
      <c r="Q2256" t="s">
        <v>30</v>
      </c>
      <c r="R2256" t="s">
        <v>155</v>
      </c>
      <c r="S2256" t="str">
        <v>#N/A</v>
      </c>
      <c r="T2256" t="str">
        <v>#N/A</v>
      </c>
    </row>
    <row r="2257" spans="1:20" ht="13.7" customHeight="1" x14ac:dyDescent="0.25">
      <c r="E2257" s="5">
        <v>43465</v>
      </c>
      <c r="F2257">
        <v>24081005</v>
      </c>
      <c r="G2257" t="s">
        <v>729</v>
      </c>
      <c r="H2257" t="s">
        <v>1549</v>
      </c>
      <c r="I2257" t="s">
        <v>1550</v>
      </c>
      <c r="J2257">
        <v>0</v>
      </c>
      <c r="K2257">
        <v>0</v>
      </c>
      <c r="L2257" s="3">
        <v>13870</v>
      </c>
      <c r="M2257" s="3">
        <v>0</v>
      </c>
      <c r="N2257">
        <v>0</v>
      </c>
      <c r="O2257">
        <v>73000</v>
      </c>
      <c r="P2257">
        <v>13870</v>
      </c>
      <c r="R2257" t="s">
        <v>1100</v>
      </c>
      <c r="S2257" t="str">
        <v>#N/A</v>
      </c>
      <c r="T2257" t="str">
        <v>#N/A</v>
      </c>
    </row>
    <row r="2258" spans="1:20" ht="13.7" customHeight="1" x14ac:dyDescent="0.25">
      <c r="E2258" s="5">
        <v>43465</v>
      </c>
      <c r="F2258">
        <v>24081005</v>
      </c>
      <c r="G2258" t="s">
        <v>729</v>
      </c>
      <c r="H2258" t="s">
        <v>1115</v>
      </c>
      <c r="I2258" t="s">
        <v>1116</v>
      </c>
      <c r="J2258">
        <v>0</v>
      </c>
      <c r="K2258">
        <v>0</v>
      </c>
      <c r="L2258" s="3">
        <v>17563</v>
      </c>
      <c r="M2258" s="3">
        <v>0</v>
      </c>
      <c r="N2258">
        <v>0</v>
      </c>
      <c r="O2258">
        <v>92437</v>
      </c>
      <c r="P2258">
        <v>17563</v>
      </c>
      <c r="R2258" t="s">
        <v>1100</v>
      </c>
      <c r="S2258" t="str">
        <v>#N/A</v>
      </c>
      <c r="T2258" t="str">
        <v>13</v>
      </c>
    </row>
    <row r="2259" spans="1:20" ht="13.7" customHeight="1" x14ac:dyDescent="0.25">
      <c r="E2259" s="5">
        <v>43465</v>
      </c>
      <c r="F2259">
        <v>24081005</v>
      </c>
      <c r="G2259" t="s">
        <v>729</v>
      </c>
      <c r="H2259" t="s">
        <v>1551</v>
      </c>
      <c r="I2259" t="s">
        <v>1552</v>
      </c>
      <c r="J2259">
        <v>0</v>
      </c>
      <c r="K2259">
        <v>0</v>
      </c>
      <c r="L2259" s="3">
        <v>1918</v>
      </c>
      <c r="M2259" s="3">
        <v>0</v>
      </c>
      <c r="N2259">
        <v>0</v>
      </c>
      <c r="O2259">
        <v>10082</v>
      </c>
      <c r="P2259">
        <v>1918</v>
      </c>
      <c r="R2259" t="s">
        <v>1100</v>
      </c>
      <c r="S2259" t="str">
        <v>#N/A</v>
      </c>
      <c r="T2259" t="str">
        <v>#N/A</v>
      </c>
    </row>
    <row r="2260" spans="1:20" ht="13.7" customHeight="1" x14ac:dyDescent="0.25">
      <c r="E2260" s="5">
        <v>43465</v>
      </c>
      <c r="F2260">
        <v>24081005</v>
      </c>
      <c r="G2260" t="s">
        <v>729</v>
      </c>
      <c r="H2260" t="s">
        <v>1553</v>
      </c>
      <c r="I2260" t="s">
        <v>1554</v>
      </c>
      <c r="J2260">
        <v>0</v>
      </c>
      <c r="K2260">
        <v>0</v>
      </c>
      <c r="L2260" s="3">
        <v>2555</v>
      </c>
      <c r="M2260" s="3">
        <v>0</v>
      </c>
      <c r="N2260">
        <v>0</v>
      </c>
      <c r="O2260">
        <v>13445</v>
      </c>
      <c r="P2260">
        <v>2555</v>
      </c>
      <c r="R2260" t="s">
        <v>1100</v>
      </c>
      <c r="S2260" t="str">
        <v>#N/A</v>
      </c>
      <c r="T2260" t="str">
        <v>#N/A</v>
      </c>
    </row>
    <row r="2261" spans="1:20" ht="13.7" customHeight="1" x14ac:dyDescent="0.25">
      <c r="E2261" s="5">
        <v>43465</v>
      </c>
      <c r="F2261">
        <v>24081005</v>
      </c>
      <c r="G2261" t="s">
        <v>729</v>
      </c>
      <c r="H2261" t="s">
        <v>1213</v>
      </c>
      <c r="I2261" t="s">
        <v>1214</v>
      </c>
      <c r="J2261">
        <v>0</v>
      </c>
      <c r="K2261">
        <v>0</v>
      </c>
      <c r="L2261" s="3">
        <v>5205</v>
      </c>
      <c r="M2261" s="3">
        <v>0</v>
      </c>
      <c r="N2261">
        <v>0</v>
      </c>
      <c r="O2261">
        <v>27395</v>
      </c>
      <c r="P2261">
        <v>5205</v>
      </c>
      <c r="R2261" t="s">
        <v>1100</v>
      </c>
      <c r="S2261" t="str">
        <v>#N/A</v>
      </c>
      <c r="T2261" t="str">
        <v>#N/A</v>
      </c>
    </row>
    <row r="2262" spans="1:20" ht="13.7" customHeight="1" x14ac:dyDescent="0.25">
      <c r="A2262" t="s">
        <v>26</v>
      </c>
      <c r="B2262" t="s">
        <v>27</v>
      </c>
      <c r="C2262" t="s">
        <v>35</v>
      </c>
      <c r="D2262">
        <v>15</v>
      </c>
      <c r="E2262" s="5">
        <v>43588</v>
      </c>
      <c r="F2262">
        <v>24081005</v>
      </c>
      <c r="G2262" t="s">
        <v>729</v>
      </c>
      <c r="H2262" t="s">
        <v>1213</v>
      </c>
      <c r="I2262" t="s">
        <v>1214</v>
      </c>
      <c r="J2262">
        <v>1005</v>
      </c>
      <c r="K2262" t="s">
        <v>693</v>
      </c>
      <c r="L2262" s="3">
        <v>5205</v>
      </c>
      <c r="M2262" s="3">
        <v>5740</v>
      </c>
      <c r="N2262">
        <v>0</v>
      </c>
      <c r="O2262">
        <v>30213</v>
      </c>
      <c r="P2262">
        <v>10945</v>
      </c>
      <c r="Q2262" t="s">
        <v>30</v>
      </c>
      <c r="R2262" t="s">
        <v>543</v>
      </c>
      <c r="S2262" t="str">
        <v>#N/A</v>
      </c>
      <c r="T2262" t="str">
        <v>#N/A</v>
      </c>
    </row>
    <row r="2263" spans="1:20" ht="13.7" customHeight="1" x14ac:dyDescent="0.25">
      <c r="E2263" s="5">
        <v>43465</v>
      </c>
      <c r="F2263">
        <v>24081005</v>
      </c>
      <c r="G2263" t="s">
        <v>729</v>
      </c>
      <c r="H2263" t="s">
        <v>1523</v>
      </c>
      <c r="I2263" t="s">
        <v>1524</v>
      </c>
      <c r="J2263">
        <v>0</v>
      </c>
      <c r="K2263">
        <v>0</v>
      </c>
      <c r="L2263" s="3">
        <v>0</v>
      </c>
      <c r="M2263" s="3">
        <v>0</v>
      </c>
      <c r="N2263">
        <v>0</v>
      </c>
      <c r="O2263">
        <v>0</v>
      </c>
      <c r="P2263">
        <v>0</v>
      </c>
      <c r="R2263" t="s">
        <v>1100</v>
      </c>
      <c r="S2263" t="str">
        <v>#N/A</v>
      </c>
      <c r="T2263" t="str">
        <v>#N/A</v>
      </c>
    </row>
    <row r="2264" spans="1:20" ht="13.7" customHeight="1" x14ac:dyDescent="0.25">
      <c r="A2264" t="s">
        <v>26</v>
      </c>
      <c r="B2264" t="s">
        <v>27</v>
      </c>
      <c r="C2264" t="s">
        <v>180</v>
      </c>
      <c r="D2264">
        <v>9</v>
      </c>
      <c r="E2264" s="5">
        <v>43805</v>
      </c>
      <c r="F2264">
        <v>24081005</v>
      </c>
      <c r="G2264" t="s">
        <v>729</v>
      </c>
      <c r="H2264" t="s">
        <v>1523</v>
      </c>
      <c r="I2264" t="s">
        <v>1524</v>
      </c>
      <c r="J2264">
        <v>1005</v>
      </c>
      <c r="K2264" t="s">
        <v>693</v>
      </c>
      <c r="L2264" s="3">
        <v>0</v>
      </c>
      <c r="M2264" s="3">
        <v>114000</v>
      </c>
      <c r="N2264">
        <v>0</v>
      </c>
      <c r="O2264">
        <v>600000</v>
      </c>
      <c r="P2264">
        <v>114000</v>
      </c>
      <c r="Q2264" t="s">
        <v>30</v>
      </c>
      <c r="R2264" t="s">
        <v>312</v>
      </c>
      <c r="S2264" t="str">
        <v>#N/A</v>
      </c>
      <c r="T2264" t="str">
        <v>#N/A</v>
      </c>
    </row>
    <row r="2265" spans="1:20" ht="13.7" customHeight="1" x14ac:dyDescent="0.25">
      <c r="E2265" s="5">
        <v>43465</v>
      </c>
      <c r="F2265">
        <v>24081005</v>
      </c>
      <c r="G2265" t="s">
        <v>729</v>
      </c>
      <c r="H2265" t="s">
        <v>1555</v>
      </c>
      <c r="I2265" t="s">
        <v>1556</v>
      </c>
      <c r="J2265">
        <v>0</v>
      </c>
      <c r="K2265">
        <v>0</v>
      </c>
      <c r="L2265" s="3">
        <v>798</v>
      </c>
      <c r="M2265" s="3">
        <v>0</v>
      </c>
      <c r="N2265">
        <v>0</v>
      </c>
      <c r="O2265">
        <v>4202</v>
      </c>
      <c r="P2265">
        <v>798</v>
      </c>
      <c r="R2265" t="s">
        <v>1100</v>
      </c>
      <c r="S2265" t="str">
        <v>#N/A</v>
      </c>
      <c r="T2265" t="str">
        <v>#N/A</v>
      </c>
    </row>
    <row r="2266" spans="1:20" ht="13.7" customHeight="1" x14ac:dyDescent="0.25">
      <c r="E2266" s="5">
        <v>43465</v>
      </c>
      <c r="F2266">
        <v>24081005</v>
      </c>
      <c r="G2266" t="s">
        <v>729</v>
      </c>
      <c r="H2266" t="s">
        <v>1197</v>
      </c>
      <c r="I2266" t="s">
        <v>1198</v>
      </c>
      <c r="J2266">
        <v>0</v>
      </c>
      <c r="K2266">
        <v>0</v>
      </c>
      <c r="L2266" s="3">
        <v>0</v>
      </c>
      <c r="M2266" s="3">
        <v>0</v>
      </c>
      <c r="N2266">
        <v>0</v>
      </c>
      <c r="O2266">
        <v>0</v>
      </c>
      <c r="P2266">
        <v>0</v>
      </c>
      <c r="R2266" t="s">
        <v>1100</v>
      </c>
      <c r="S2266" t="str">
        <v>#N/A</v>
      </c>
      <c r="T2266" t="str">
        <v>13</v>
      </c>
    </row>
    <row r="2267" spans="1:20" ht="13.7" customHeight="1" x14ac:dyDescent="0.25">
      <c r="A2267" t="s">
        <v>26</v>
      </c>
      <c r="B2267" t="s">
        <v>27</v>
      </c>
      <c r="C2267" t="s">
        <v>91</v>
      </c>
      <c r="D2267">
        <v>25</v>
      </c>
      <c r="E2267" s="5">
        <v>43532</v>
      </c>
      <c r="F2267">
        <v>24081005</v>
      </c>
      <c r="G2267" t="s">
        <v>729</v>
      </c>
      <c r="H2267" t="s">
        <v>1197</v>
      </c>
      <c r="I2267" t="s">
        <v>1198</v>
      </c>
      <c r="J2267">
        <v>1005</v>
      </c>
      <c r="K2267" t="s">
        <v>693</v>
      </c>
      <c r="L2267" s="3">
        <v>0</v>
      </c>
      <c r="M2267" s="3">
        <v>543</v>
      </c>
      <c r="N2267">
        <v>0</v>
      </c>
      <c r="O2267">
        <v>2858</v>
      </c>
      <c r="P2267">
        <v>543</v>
      </c>
      <c r="Q2267" t="s">
        <v>30</v>
      </c>
      <c r="R2267" t="s">
        <v>59</v>
      </c>
      <c r="S2267" t="str">
        <v>#N/A</v>
      </c>
      <c r="T2267" t="str">
        <v>13</v>
      </c>
    </row>
    <row r="2268" spans="1:20" ht="13.7" customHeight="1" x14ac:dyDescent="0.25">
      <c r="A2268" t="s">
        <v>26</v>
      </c>
      <c r="B2268" t="s">
        <v>27</v>
      </c>
      <c r="C2268" t="s">
        <v>34</v>
      </c>
      <c r="D2268">
        <v>1</v>
      </c>
      <c r="E2268" s="5">
        <v>43557</v>
      </c>
      <c r="F2268">
        <v>24081005</v>
      </c>
      <c r="G2268" t="s">
        <v>729</v>
      </c>
      <c r="H2268" t="s">
        <v>1197</v>
      </c>
      <c r="I2268" t="s">
        <v>1198</v>
      </c>
      <c r="J2268">
        <v>1005</v>
      </c>
      <c r="K2268" t="s">
        <v>693</v>
      </c>
      <c r="L2268" s="3">
        <v>543</v>
      </c>
      <c r="M2268" s="3">
        <v>80</v>
      </c>
      <c r="N2268">
        <v>0</v>
      </c>
      <c r="O2268">
        <v>421</v>
      </c>
      <c r="P2268">
        <v>623</v>
      </c>
      <c r="Q2268" t="s">
        <v>30</v>
      </c>
      <c r="R2268" t="s">
        <v>59</v>
      </c>
      <c r="S2268" t="str">
        <v>#N/A</v>
      </c>
      <c r="T2268" t="str">
        <v>13</v>
      </c>
    </row>
    <row r="2269" spans="1:20" ht="13.7" customHeight="1" x14ac:dyDescent="0.25">
      <c r="A2269" t="s">
        <v>26</v>
      </c>
      <c r="B2269" t="s">
        <v>27</v>
      </c>
      <c r="C2269" t="s">
        <v>34</v>
      </c>
      <c r="D2269">
        <v>10</v>
      </c>
      <c r="E2269" s="5">
        <v>43559</v>
      </c>
      <c r="F2269">
        <v>24081005</v>
      </c>
      <c r="G2269" t="s">
        <v>729</v>
      </c>
      <c r="H2269" t="s">
        <v>1197</v>
      </c>
      <c r="I2269" t="s">
        <v>1198</v>
      </c>
      <c r="J2269">
        <v>1005</v>
      </c>
      <c r="K2269" t="s">
        <v>693</v>
      </c>
      <c r="L2269" s="3">
        <v>623</v>
      </c>
      <c r="M2269" s="3">
        <v>351</v>
      </c>
      <c r="N2269">
        <v>0</v>
      </c>
      <c r="O2269">
        <v>1847</v>
      </c>
      <c r="P2269">
        <v>974</v>
      </c>
      <c r="Q2269" t="s">
        <v>30</v>
      </c>
      <c r="R2269" t="s">
        <v>59</v>
      </c>
      <c r="S2269" t="str">
        <v>#N/A</v>
      </c>
      <c r="T2269" t="str">
        <v>13</v>
      </c>
    </row>
    <row r="2270" spans="1:20" ht="13.7" customHeight="1" x14ac:dyDescent="0.25">
      <c r="A2270" t="s">
        <v>26</v>
      </c>
      <c r="B2270" t="s">
        <v>27</v>
      </c>
      <c r="C2270" t="s">
        <v>34</v>
      </c>
      <c r="D2270">
        <v>36</v>
      </c>
      <c r="E2270" s="5">
        <v>43570</v>
      </c>
      <c r="F2270">
        <v>24081005</v>
      </c>
      <c r="G2270" t="s">
        <v>729</v>
      </c>
      <c r="H2270" t="s">
        <v>1197</v>
      </c>
      <c r="I2270" t="s">
        <v>1198</v>
      </c>
      <c r="J2270">
        <v>1005</v>
      </c>
      <c r="K2270" t="s">
        <v>693</v>
      </c>
      <c r="L2270" s="3">
        <v>974</v>
      </c>
      <c r="M2270" s="3">
        <v>543</v>
      </c>
      <c r="N2270">
        <v>0</v>
      </c>
      <c r="O2270">
        <v>2857</v>
      </c>
      <c r="P2270">
        <v>1517</v>
      </c>
      <c r="Q2270" t="s">
        <v>30</v>
      </c>
      <c r="R2270" t="s">
        <v>59</v>
      </c>
      <c r="S2270" t="str">
        <v>#N/A</v>
      </c>
      <c r="T2270" t="str">
        <v>13</v>
      </c>
    </row>
    <row r="2271" spans="1:20" ht="13.7" customHeight="1" x14ac:dyDescent="0.25">
      <c r="A2271" t="s">
        <v>26</v>
      </c>
      <c r="B2271" t="s">
        <v>27</v>
      </c>
      <c r="C2271" t="s">
        <v>34</v>
      </c>
      <c r="D2271">
        <v>47</v>
      </c>
      <c r="E2271" s="5">
        <v>43575</v>
      </c>
      <c r="F2271">
        <v>24081005</v>
      </c>
      <c r="G2271" t="s">
        <v>729</v>
      </c>
      <c r="H2271" t="s">
        <v>1197</v>
      </c>
      <c r="I2271" t="s">
        <v>1198</v>
      </c>
      <c r="J2271">
        <v>1005</v>
      </c>
      <c r="K2271" t="s">
        <v>693</v>
      </c>
      <c r="L2271" s="3">
        <v>1517</v>
      </c>
      <c r="M2271" s="3">
        <v>351</v>
      </c>
      <c r="N2271">
        <v>0</v>
      </c>
      <c r="O2271">
        <v>1847</v>
      </c>
      <c r="P2271">
        <v>1868</v>
      </c>
      <c r="Q2271" t="s">
        <v>30</v>
      </c>
      <c r="R2271" t="s">
        <v>59</v>
      </c>
      <c r="S2271" t="str">
        <v>#N/A</v>
      </c>
      <c r="T2271" t="str">
        <v>13</v>
      </c>
    </row>
    <row r="2272" spans="1:20" ht="13.7" customHeight="1" x14ac:dyDescent="0.25">
      <c r="A2272" t="s">
        <v>26</v>
      </c>
      <c r="B2272" t="s">
        <v>27</v>
      </c>
      <c r="C2272" t="s">
        <v>34</v>
      </c>
      <c r="D2272">
        <v>55</v>
      </c>
      <c r="E2272" s="5">
        <v>43578</v>
      </c>
      <c r="F2272">
        <v>24081005</v>
      </c>
      <c r="G2272" t="s">
        <v>729</v>
      </c>
      <c r="H2272" t="s">
        <v>1197</v>
      </c>
      <c r="I2272" t="s">
        <v>1198</v>
      </c>
      <c r="J2272">
        <v>1005</v>
      </c>
      <c r="K2272" t="s">
        <v>693</v>
      </c>
      <c r="L2272" s="3">
        <v>1868</v>
      </c>
      <c r="M2272" s="3">
        <v>431</v>
      </c>
      <c r="N2272">
        <v>0</v>
      </c>
      <c r="O2272">
        <v>2268</v>
      </c>
      <c r="P2272">
        <v>2299</v>
      </c>
      <c r="Q2272" t="s">
        <v>30</v>
      </c>
      <c r="R2272" t="s">
        <v>59</v>
      </c>
      <c r="S2272" t="str">
        <v>#N/A</v>
      </c>
      <c r="T2272" t="str">
        <v>13</v>
      </c>
    </row>
    <row r="2273" spans="1:20" ht="13.7" customHeight="1" x14ac:dyDescent="0.25">
      <c r="A2273" t="s">
        <v>26</v>
      </c>
      <c r="B2273" t="s">
        <v>27</v>
      </c>
      <c r="C2273" t="s">
        <v>34</v>
      </c>
      <c r="D2273">
        <v>56</v>
      </c>
      <c r="E2273" s="5">
        <v>43579</v>
      </c>
      <c r="F2273">
        <v>24081005</v>
      </c>
      <c r="G2273" t="s">
        <v>729</v>
      </c>
      <c r="H2273" t="s">
        <v>1197</v>
      </c>
      <c r="I2273" t="s">
        <v>1198</v>
      </c>
      <c r="J2273">
        <v>1005</v>
      </c>
      <c r="K2273" t="s">
        <v>693</v>
      </c>
      <c r="L2273" s="3">
        <v>2299</v>
      </c>
      <c r="M2273" s="3">
        <v>543</v>
      </c>
      <c r="N2273">
        <v>0</v>
      </c>
      <c r="O2273">
        <v>2857</v>
      </c>
      <c r="P2273">
        <v>2842</v>
      </c>
      <c r="Q2273" t="s">
        <v>30</v>
      </c>
      <c r="R2273" t="s">
        <v>59</v>
      </c>
      <c r="S2273" t="str">
        <v>#N/A</v>
      </c>
      <c r="T2273" t="str">
        <v>13</v>
      </c>
    </row>
    <row r="2274" spans="1:20" ht="13.7" customHeight="1" x14ac:dyDescent="0.25">
      <c r="A2274" t="s">
        <v>26</v>
      </c>
      <c r="B2274" t="s">
        <v>27</v>
      </c>
      <c r="C2274" t="s">
        <v>34</v>
      </c>
      <c r="D2274">
        <v>59</v>
      </c>
      <c r="E2274" s="5">
        <v>43581</v>
      </c>
      <c r="F2274">
        <v>24081005</v>
      </c>
      <c r="G2274" t="s">
        <v>729</v>
      </c>
      <c r="H2274" t="s">
        <v>1197</v>
      </c>
      <c r="I2274" t="s">
        <v>1198</v>
      </c>
      <c r="J2274">
        <v>1005</v>
      </c>
      <c r="K2274" t="s">
        <v>693</v>
      </c>
      <c r="L2274" s="3">
        <v>2842</v>
      </c>
      <c r="M2274" s="3">
        <v>351</v>
      </c>
      <c r="N2274">
        <v>0</v>
      </c>
      <c r="O2274">
        <v>1847</v>
      </c>
      <c r="P2274">
        <v>3193</v>
      </c>
      <c r="Q2274" t="s">
        <v>30</v>
      </c>
      <c r="R2274" t="s">
        <v>59</v>
      </c>
      <c r="S2274" t="str">
        <v>#N/A</v>
      </c>
      <c r="T2274" t="str">
        <v>13</v>
      </c>
    </row>
    <row r="2275" spans="1:20" ht="13.7" customHeight="1" x14ac:dyDescent="0.25">
      <c r="A2275" t="s">
        <v>26</v>
      </c>
      <c r="B2275" t="s">
        <v>27</v>
      </c>
      <c r="C2275" t="s">
        <v>34</v>
      </c>
      <c r="D2275">
        <v>67</v>
      </c>
      <c r="E2275" s="5">
        <v>43585</v>
      </c>
      <c r="F2275">
        <v>24081005</v>
      </c>
      <c r="G2275" t="s">
        <v>729</v>
      </c>
      <c r="H2275" t="s">
        <v>1197</v>
      </c>
      <c r="I2275" t="s">
        <v>1198</v>
      </c>
      <c r="J2275">
        <v>1005</v>
      </c>
      <c r="K2275" t="s">
        <v>693</v>
      </c>
      <c r="L2275" s="3">
        <v>3193</v>
      </c>
      <c r="M2275" s="3">
        <v>511</v>
      </c>
      <c r="N2275">
        <v>0</v>
      </c>
      <c r="O2275">
        <v>2689</v>
      </c>
      <c r="P2275">
        <v>3704</v>
      </c>
      <c r="Q2275" t="s">
        <v>30</v>
      </c>
      <c r="R2275" t="s">
        <v>59</v>
      </c>
      <c r="S2275" t="str">
        <v>#N/A</v>
      </c>
      <c r="T2275" t="str">
        <v>13</v>
      </c>
    </row>
    <row r="2276" spans="1:20" ht="13.7" customHeight="1" x14ac:dyDescent="0.25">
      <c r="A2276" t="s">
        <v>26</v>
      </c>
      <c r="B2276" t="s">
        <v>27</v>
      </c>
      <c r="C2276" t="s">
        <v>35</v>
      </c>
      <c r="D2276">
        <v>11</v>
      </c>
      <c r="E2276" s="5">
        <v>43588</v>
      </c>
      <c r="F2276">
        <v>24081005</v>
      </c>
      <c r="G2276" t="s">
        <v>729</v>
      </c>
      <c r="H2276" t="s">
        <v>1197</v>
      </c>
      <c r="I2276" t="s">
        <v>1198</v>
      </c>
      <c r="J2276">
        <v>1005</v>
      </c>
      <c r="K2276" t="s">
        <v>693</v>
      </c>
      <c r="L2276" s="3">
        <v>3704</v>
      </c>
      <c r="M2276" s="3">
        <v>958</v>
      </c>
      <c r="N2276">
        <v>0</v>
      </c>
      <c r="O2276">
        <v>5042</v>
      </c>
      <c r="P2276">
        <v>4662</v>
      </c>
      <c r="Q2276" t="s">
        <v>30</v>
      </c>
      <c r="R2276" t="s">
        <v>125</v>
      </c>
      <c r="S2276" t="str">
        <v>#N/A</v>
      </c>
      <c r="T2276" t="str">
        <v>13</v>
      </c>
    </row>
    <row r="2277" spans="1:20" ht="13.7" customHeight="1" x14ac:dyDescent="0.25">
      <c r="A2277" t="s">
        <v>26</v>
      </c>
      <c r="B2277" t="s">
        <v>27</v>
      </c>
      <c r="C2277" t="s">
        <v>35</v>
      </c>
      <c r="D2277">
        <v>12</v>
      </c>
      <c r="E2277" s="5">
        <v>43588</v>
      </c>
      <c r="F2277">
        <v>24081005</v>
      </c>
      <c r="G2277" t="s">
        <v>729</v>
      </c>
      <c r="H2277" t="s">
        <v>1197</v>
      </c>
      <c r="I2277" t="s">
        <v>1198</v>
      </c>
      <c r="J2277">
        <v>1005</v>
      </c>
      <c r="K2277" t="s">
        <v>693</v>
      </c>
      <c r="L2277" s="3">
        <v>4662</v>
      </c>
      <c r="M2277" s="3">
        <v>351</v>
      </c>
      <c r="N2277">
        <v>0</v>
      </c>
      <c r="O2277">
        <v>1847</v>
      </c>
      <c r="P2277">
        <v>5013</v>
      </c>
      <c r="Q2277" t="s">
        <v>30</v>
      </c>
      <c r="R2277" t="s">
        <v>125</v>
      </c>
      <c r="S2277" t="str">
        <v>#N/A</v>
      </c>
      <c r="T2277" t="str">
        <v>13</v>
      </c>
    </row>
    <row r="2278" spans="1:20" ht="13.7" customHeight="1" x14ac:dyDescent="0.25">
      <c r="A2278" t="s">
        <v>26</v>
      </c>
      <c r="B2278" t="s">
        <v>27</v>
      </c>
      <c r="C2278" t="s">
        <v>35</v>
      </c>
      <c r="D2278">
        <v>24</v>
      </c>
      <c r="E2278" s="5">
        <v>43592</v>
      </c>
      <c r="F2278">
        <v>24081005</v>
      </c>
      <c r="G2278" t="s">
        <v>729</v>
      </c>
      <c r="H2278" t="s">
        <v>1197</v>
      </c>
      <c r="I2278" t="s">
        <v>1198</v>
      </c>
      <c r="J2278">
        <v>1005</v>
      </c>
      <c r="K2278" t="s">
        <v>693</v>
      </c>
      <c r="L2278" s="3">
        <v>5013</v>
      </c>
      <c r="M2278" s="3">
        <v>431</v>
      </c>
      <c r="N2278">
        <v>0</v>
      </c>
      <c r="O2278">
        <v>2268</v>
      </c>
      <c r="P2278">
        <v>5444</v>
      </c>
      <c r="Q2278" t="s">
        <v>30</v>
      </c>
      <c r="R2278" t="s">
        <v>59</v>
      </c>
      <c r="S2278" t="str">
        <v>#N/A</v>
      </c>
      <c r="T2278" t="str">
        <v>13</v>
      </c>
    </row>
    <row r="2279" spans="1:20" ht="13.7" customHeight="1" x14ac:dyDescent="0.25">
      <c r="A2279" t="s">
        <v>26</v>
      </c>
      <c r="B2279" t="s">
        <v>27</v>
      </c>
      <c r="C2279" t="s">
        <v>35</v>
      </c>
      <c r="D2279">
        <v>30</v>
      </c>
      <c r="E2279" s="5">
        <v>43594</v>
      </c>
      <c r="F2279">
        <v>24081005</v>
      </c>
      <c r="G2279" t="s">
        <v>729</v>
      </c>
      <c r="H2279" t="s">
        <v>1197</v>
      </c>
      <c r="I2279" t="s">
        <v>1198</v>
      </c>
      <c r="J2279">
        <v>1005</v>
      </c>
      <c r="K2279" t="s">
        <v>693</v>
      </c>
      <c r="L2279" s="3">
        <v>5444</v>
      </c>
      <c r="M2279" s="3">
        <v>351</v>
      </c>
      <c r="N2279">
        <v>0</v>
      </c>
      <c r="O2279">
        <v>1847</v>
      </c>
      <c r="P2279">
        <v>5795</v>
      </c>
      <c r="Q2279" t="s">
        <v>30</v>
      </c>
      <c r="R2279" t="s">
        <v>59</v>
      </c>
      <c r="S2279" t="str">
        <v>#N/A</v>
      </c>
      <c r="T2279" t="str">
        <v>13</v>
      </c>
    </row>
    <row r="2280" spans="1:20" ht="13.7" customHeight="1" x14ac:dyDescent="0.25">
      <c r="A2280" t="s">
        <v>26</v>
      </c>
      <c r="B2280" t="s">
        <v>27</v>
      </c>
      <c r="C2280" t="s">
        <v>35</v>
      </c>
      <c r="D2280">
        <v>33</v>
      </c>
      <c r="E2280" s="5">
        <v>43595</v>
      </c>
      <c r="F2280">
        <v>24081005</v>
      </c>
      <c r="G2280" t="s">
        <v>729</v>
      </c>
      <c r="H2280" t="s">
        <v>1197</v>
      </c>
      <c r="I2280" t="s">
        <v>1198</v>
      </c>
      <c r="J2280">
        <v>1005</v>
      </c>
      <c r="K2280" t="s">
        <v>693</v>
      </c>
      <c r="L2280" s="3">
        <v>5795</v>
      </c>
      <c r="M2280" s="3">
        <v>511</v>
      </c>
      <c r="N2280">
        <v>0</v>
      </c>
      <c r="O2280">
        <v>2689</v>
      </c>
      <c r="P2280">
        <v>6306</v>
      </c>
      <c r="Q2280" t="s">
        <v>30</v>
      </c>
      <c r="R2280" t="s">
        <v>59</v>
      </c>
      <c r="S2280" t="str">
        <v>#N/A</v>
      </c>
      <c r="T2280" t="str">
        <v>13</v>
      </c>
    </row>
    <row r="2281" spans="1:20" ht="13.7" customHeight="1" x14ac:dyDescent="0.25">
      <c r="A2281" t="s">
        <v>26</v>
      </c>
      <c r="B2281" t="s">
        <v>27</v>
      </c>
      <c r="C2281" t="s">
        <v>35</v>
      </c>
      <c r="D2281">
        <v>41</v>
      </c>
      <c r="E2281" s="5">
        <v>43598</v>
      </c>
      <c r="F2281">
        <v>24081005</v>
      </c>
      <c r="G2281" t="s">
        <v>729</v>
      </c>
      <c r="H2281" t="s">
        <v>1197</v>
      </c>
      <c r="I2281" t="s">
        <v>1198</v>
      </c>
      <c r="J2281">
        <v>1005</v>
      </c>
      <c r="K2281" t="s">
        <v>693</v>
      </c>
      <c r="L2281" s="3">
        <v>6306</v>
      </c>
      <c r="M2281" s="3">
        <v>351</v>
      </c>
      <c r="N2281">
        <v>0</v>
      </c>
      <c r="O2281">
        <v>1847</v>
      </c>
      <c r="P2281">
        <v>6657</v>
      </c>
      <c r="Q2281" t="s">
        <v>30</v>
      </c>
      <c r="R2281" t="s">
        <v>59</v>
      </c>
      <c r="S2281" t="str">
        <v>#N/A</v>
      </c>
      <c r="T2281" t="str">
        <v>13</v>
      </c>
    </row>
    <row r="2282" spans="1:20" ht="13.7" customHeight="1" x14ac:dyDescent="0.25">
      <c r="A2282" t="s">
        <v>26</v>
      </c>
      <c r="B2282" t="s">
        <v>27</v>
      </c>
      <c r="C2282" t="s">
        <v>35</v>
      </c>
      <c r="D2282">
        <v>53</v>
      </c>
      <c r="E2282" s="5">
        <v>43601</v>
      </c>
      <c r="F2282">
        <v>24081005</v>
      </c>
      <c r="G2282" t="s">
        <v>729</v>
      </c>
      <c r="H2282" t="s">
        <v>1197</v>
      </c>
      <c r="I2282" t="s">
        <v>1198</v>
      </c>
      <c r="J2282">
        <v>1005</v>
      </c>
      <c r="K2282" t="s">
        <v>693</v>
      </c>
      <c r="L2282" s="3">
        <v>6657</v>
      </c>
      <c r="M2282" s="3">
        <v>543</v>
      </c>
      <c r="N2282">
        <v>0</v>
      </c>
      <c r="O2282">
        <v>2857</v>
      </c>
      <c r="P2282">
        <v>7200</v>
      </c>
      <c r="Q2282" t="s">
        <v>30</v>
      </c>
      <c r="R2282" t="s">
        <v>59</v>
      </c>
      <c r="S2282" t="str">
        <v>#N/A</v>
      </c>
      <c r="T2282" t="str">
        <v>13</v>
      </c>
    </row>
    <row r="2283" spans="1:20" ht="13.7" customHeight="1" x14ac:dyDescent="0.25">
      <c r="A2283" t="s">
        <v>26</v>
      </c>
      <c r="B2283" t="s">
        <v>27</v>
      </c>
      <c r="C2283" t="s">
        <v>35</v>
      </c>
      <c r="D2283">
        <v>55</v>
      </c>
      <c r="E2283" s="5">
        <v>43602</v>
      </c>
      <c r="F2283">
        <v>24081005</v>
      </c>
      <c r="G2283" t="s">
        <v>729</v>
      </c>
      <c r="H2283" t="s">
        <v>1197</v>
      </c>
      <c r="I2283" t="s">
        <v>1198</v>
      </c>
      <c r="J2283">
        <v>1005</v>
      </c>
      <c r="K2283" t="s">
        <v>693</v>
      </c>
      <c r="L2283" s="3">
        <v>7200</v>
      </c>
      <c r="M2283" s="3">
        <v>351</v>
      </c>
      <c r="N2283">
        <v>0</v>
      </c>
      <c r="O2283">
        <v>1847</v>
      </c>
      <c r="P2283">
        <v>7551</v>
      </c>
      <c r="Q2283" t="s">
        <v>30</v>
      </c>
      <c r="R2283" t="s">
        <v>59</v>
      </c>
      <c r="S2283" t="str">
        <v>#N/A</v>
      </c>
      <c r="T2283" t="str">
        <v>13</v>
      </c>
    </row>
    <row r="2284" spans="1:20" ht="13.7" customHeight="1" x14ac:dyDescent="0.25">
      <c r="A2284" t="s">
        <v>26</v>
      </c>
      <c r="B2284" t="s">
        <v>27</v>
      </c>
      <c r="C2284" t="s">
        <v>35</v>
      </c>
      <c r="D2284">
        <v>61</v>
      </c>
      <c r="E2284" s="5">
        <v>43603</v>
      </c>
      <c r="F2284">
        <v>24081005</v>
      </c>
      <c r="G2284" t="s">
        <v>729</v>
      </c>
      <c r="H2284" t="s">
        <v>1197</v>
      </c>
      <c r="I2284" t="s">
        <v>1198</v>
      </c>
      <c r="J2284">
        <v>1005</v>
      </c>
      <c r="K2284" t="s">
        <v>693</v>
      </c>
      <c r="L2284" s="3">
        <v>7551</v>
      </c>
      <c r="M2284" s="3">
        <v>431</v>
      </c>
      <c r="N2284">
        <v>0</v>
      </c>
      <c r="O2284">
        <v>2268</v>
      </c>
      <c r="P2284">
        <v>7982</v>
      </c>
      <c r="Q2284" t="s">
        <v>30</v>
      </c>
      <c r="R2284" t="s">
        <v>59</v>
      </c>
      <c r="S2284" t="str">
        <v>#N/A</v>
      </c>
      <c r="T2284" t="str">
        <v>13</v>
      </c>
    </row>
    <row r="2285" spans="1:20" ht="13.7" customHeight="1" x14ac:dyDescent="0.25">
      <c r="A2285" t="s">
        <v>26</v>
      </c>
      <c r="B2285" t="s">
        <v>27</v>
      </c>
      <c r="C2285" t="s">
        <v>35</v>
      </c>
      <c r="D2285">
        <v>67</v>
      </c>
      <c r="E2285" s="5">
        <v>43605</v>
      </c>
      <c r="F2285">
        <v>24081005</v>
      </c>
      <c r="G2285" t="s">
        <v>729</v>
      </c>
      <c r="H2285" t="s">
        <v>1197</v>
      </c>
      <c r="I2285" t="s">
        <v>1198</v>
      </c>
      <c r="J2285">
        <v>1005</v>
      </c>
      <c r="K2285" t="s">
        <v>693</v>
      </c>
      <c r="L2285" s="3">
        <v>7982</v>
      </c>
      <c r="M2285" s="3">
        <v>351</v>
      </c>
      <c r="N2285">
        <v>0</v>
      </c>
      <c r="O2285">
        <v>1847</v>
      </c>
      <c r="P2285">
        <v>8333</v>
      </c>
      <c r="Q2285" t="s">
        <v>30</v>
      </c>
      <c r="R2285" t="s">
        <v>59</v>
      </c>
      <c r="S2285" t="str">
        <v>#N/A</v>
      </c>
      <c r="T2285" t="str">
        <v>13</v>
      </c>
    </row>
    <row r="2286" spans="1:20" ht="13.7" customHeight="1" x14ac:dyDescent="0.25">
      <c r="A2286" t="s">
        <v>26</v>
      </c>
      <c r="B2286" t="s">
        <v>27</v>
      </c>
      <c r="C2286" t="s">
        <v>35</v>
      </c>
      <c r="D2286">
        <v>71</v>
      </c>
      <c r="E2286" s="5">
        <v>43606</v>
      </c>
      <c r="F2286">
        <v>24081005</v>
      </c>
      <c r="G2286" t="s">
        <v>729</v>
      </c>
      <c r="H2286" t="s">
        <v>1197</v>
      </c>
      <c r="I2286" t="s">
        <v>1198</v>
      </c>
      <c r="J2286">
        <v>1005</v>
      </c>
      <c r="K2286" t="s">
        <v>693</v>
      </c>
      <c r="L2286" s="3">
        <v>8333</v>
      </c>
      <c r="M2286" s="3">
        <v>128</v>
      </c>
      <c r="N2286">
        <v>0</v>
      </c>
      <c r="O2286">
        <v>672</v>
      </c>
      <c r="P2286">
        <v>8461</v>
      </c>
      <c r="Q2286" t="s">
        <v>30</v>
      </c>
      <c r="R2286" t="s">
        <v>59</v>
      </c>
      <c r="S2286" t="str">
        <v>#N/A</v>
      </c>
      <c r="T2286" t="str">
        <v>13</v>
      </c>
    </row>
    <row r="2287" spans="1:20" ht="13.7" customHeight="1" x14ac:dyDescent="0.25">
      <c r="A2287" t="s">
        <v>26</v>
      </c>
      <c r="B2287" t="s">
        <v>27</v>
      </c>
      <c r="C2287" t="s">
        <v>35</v>
      </c>
      <c r="D2287">
        <v>74</v>
      </c>
      <c r="E2287" s="5">
        <v>43606</v>
      </c>
      <c r="F2287">
        <v>24081005</v>
      </c>
      <c r="G2287" t="s">
        <v>729</v>
      </c>
      <c r="H2287" t="s">
        <v>1197</v>
      </c>
      <c r="I2287" t="s">
        <v>1198</v>
      </c>
      <c r="J2287">
        <v>1005</v>
      </c>
      <c r="K2287" t="s">
        <v>693</v>
      </c>
      <c r="L2287" s="3">
        <v>8461</v>
      </c>
      <c r="M2287" s="3">
        <v>511</v>
      </c>
      <c r="N2287">
        <v>0</v>
      </c>
      <c r="O2287">
        <v>2689</v>
      </c>
      <c r="P2287">
        <v>8972</v>
      </c>
      <c r="Q2287" t="s">
        <v>30</v>
      </c>
      <c r="R2287" t="s">
        <v>59</v>
      </c>
      <c r="S2287" t="str">
        <v>#N/A</v>
      </c>
      <c r="T2287" t="str">
        <v>13</v>
      </c>
    </row>
    <row r="2288" spans="1:20" ht="13.7" customHeight="1" x14ac:dyDescent="0.25">
      <c r="A2288" t="s">
        <v>26</v>
      </c>
      <c r="B2288" t="s">
        <v>27</v>
      </c>
      <c r="C2288" t="s">
        <v>35</v>
      </c>
      <c r="D2288">
        <v>81</v>
      </c>
      <c r="E2288" s="5">
        <v>43609</v>
      </c>
      <c r="F2288">
        <v>24081005</v>
      </c>
      <c r="G2288" t="s">
        <v>729</v>
      </c>
      <c r="H2288" t="s">
        <v>1197</v>
      </c>
      <c r="I2288" t="s">
        <v>1198</v>
      </c>
      <c r="J2288">
        <v>1005</v>
      </c>
      <c r="K2288" t="s">
        <v>693</v>
      </c>
      <c r="L2288" s="3">
        <v>8972</v>
      </c>
      <c r="M2288" s="3">
        <v>351</v>
      </c>
      <c r="N2288">
        <v>0</v>
      </c>
      <c r="O2288">
        <v>1847</v>
      </c>
      <c r="P2288">
        <v>9323</v>
      </c>
      <c r="Q2288" t="s">
        <v>30</v>
      </c>
      <c r="R2288" t="s">
        <v>59</v>
      </c>
      <c r="S2288" t="str">
        <v>#N/A</v>
      </c>
      <c r="T2288" t="str">
        <v>13</v>
      </c>
    </row>
    <row r="2289" spans="1:20" ht="13.7" customHeight="1" x14ac:dyDescent="0.25">
      <c r="A2289" t="s">
        <v>26</v>
      </c>
      <c r="B2289" t="s">
        <v>27</v>
      </c>
      <c r="C2289" t="s">
        <v>35</v>
      </c>
      <c r="D2289">
        <v>82</v>
      </c>
      <c r="E2289" s="5">
        <v>43610</v>
      </c>
      <c r="F2289">
        <v>24081005</v>
      </c>
      <c r="G2289" t="s">
        <v>729</v>
      </c>
      <c r="H2289" t="s">
        <v>1197</v>
      </c>
      <c r="I2289" t="s">
        <v>1198</v>
      </c>
      <c r="J2289">
        <v>1005</v>
      </c>
      <c r="K2289" t="s">
        <v>693</v>
      </c>
      <c r="L2289" s="3">
        <v>9323</v>
      </c>
      <c r="M2289" s="3">
        <v>351</v>
      </c>
      <c r="N2289">
        <v>0</v>
      </c>
      <c r="O2289">
        <v>1847</v>
      </c>
      <c r="P2289">
        <v>9674</v>
      </c>
      <c r="Q2289" t="s">
        <v>30</v>
      </c>
      <c r="R2289" t="s">
        <v>59</v>
      </c>
      <c r="S2289" t="str">
        <v>#N/A</v>
      </c>
      <c r="T2289" t="str">
        <v>13</v>
      </c>
    </row>
    <row r="2290" spans="1:20" ht="13.7" customHeight="1" x14ac:dyDescent="0.25">
      <c r="A2290" t="s">
        <v>26</v>
      </c>
      <c r="B2290" t="s">
        <v>27</v>
      </c>
      <c r="C2290" t="s">
        <v>35</v>
      </c>
      <c r="D2290">
        <v>95</v>
      </c>
      <c r="E2290" s="5">
        <v>43616</v>
      </c>
      <c r="F2290">
        <v>24081005</v>
      </c>
      <c r="G2290" t="s">
        <v>729</v>
      </c>
      <c r="H2290" t="s">
        <v>1197</v>
      </c>
      <c r="I2290" t="s">
        <v>1198</v>
      </c>
      <c r="J2290">
        <v>1005</v>
      </c>
      <c r="K2290" t="s">
        <v>693</v>
      </c>
      <c r="L2290" s="3">
        <v>9674</v>
      </c>
      <c r="M2290" s="3">
        <v>351</v>
      </c>
      <c r="N2290">
        <v>0</v>
      </c>
      <c r="O2290">
        <v>1847</v>
      </c>
      <c r="P2290">
        <v>10025</v>
      </c>
      <c r="Q2290" t="s">
        <v>30</v>
      </c>
      <c r="R2290" t="s">
        <v>59</v>
      </c>
      <c r="S2290" t="str">
        <v>#N/A</v>
      </c>
      <c r="T2290" t="str">
        <v>13</v>
      </c>
    </row>
    <row r="2291" spans="1:20" ht="13.7" customHeight="1" x14ac:dyDescent="0.25">
      <c r="A2291" t="s">
        <v>26</v>
      </c>
      <c r="B2291" t="s">
        <v>27</v>
      </c>
      <c r="C2291" t="s">
        <v>36</v>
      </c>
      <c r="D2291">
        <v>3</v>
      </c>
      <c r="E2291" s="5">
        <v>43617</v>
      </c>
      <c r="F2291">
        <v>24081005</v>
      </c>
      <c r="G2291" t="s">
        <v>729</v>
      </c>
      <c r="H2291" t="s">
        <v>1197</v>
      </c>
      <c r="I2291" t="s">
        <v>1198</v>
      </c>
      <c r="J2291">
        <v>1005</v>
      </c>
      <c r="K2291" t="s">
        <v>693</v>
      </c>
      <c r="L2291" s="3">
        <v>10025</v>
      </c>
      <c r="M2291" s="3">
        <v>511</v>
      </c>
      <c r="N2291">
        <v>0</v>
      </c>
      <c r="O2291">
        <v>2689.4</v>
      </c>
      <c r="P2291">
        <v>10536</v>
      </c>
      <c r="Q2291" t="s">
        <v>30</v>
      </c>
      <c r="R2291" t="s">
        <v>59</v>
      </c>
      <c r="S2291" t="str">
        <v>#N/A</v>
      </c>
      <c r="T2291" t="str">
        <v>13</v>
      </c>
    </row>
    <row r="2292" spans="1:20" ht="13.7" customHeight="1" x14ac:dyDescent="0.25">
      <c r="A2292" t="s">
        <v>26</v>
      </c>
      <c r="B2292" t="s">
        <v>27</v>
      </c>
      <c r="C2292" t="s">
        <v>36</v>
      </c>
      <c r="D2292">
        <v>15</v>
      </c>
      <c r="E2292" s="5">
        <v>43622</v>
      </c>
      <c r="F2292">
        <v>24081005</v>
      </c>
      <c r="G2292" t="s">
        <v>729</v>
      </c>
      <c r="H2292" t="s">
        <v>1197</v>
      </c>
      <c r="I2292" t="s">
        <v>1198</v>
      </c>
      <c r="J2292">
        <v>1005</v>
      </c>
      <c r="K2292" t="s">
        <v>693</v>
      </c>
      <c r="L2292" s="3">
        <v>10536</v>
      </c>
      <c r="M2292" s="3">
        <v>351</v>
      </c>
      <c r="N2292">
        <v>0</v>
      </c>
      <c r="O2292">
        <v>1847</v>
      </c>
      <c r="P2292">
        <v>10887</v>
      </c>
      <c r="Q2292" t="s">
        <v>30</v>
      </c>
      <c r="R2292" t="s">
        <v>59</v>
      </c>
      <c r="S2292" t="str">
        <v>#N/A</v>
      </c>
      <c r="T2292" t="str">
        <v>13</v>
      </c>
    </row>
    <row r="2293" spans="1:20" ht="13.7" customHeight="1" x14ac:dyDescent="0.25">
      <c r="A2293" t="s">
        <v>26</v>
      </c>
      <c r="B2293" t="s">
        <v>27</v>
      </c>
      <c r="C2293" t="s">
        <v>36</v>
      </c>
      <c r="D2293">
        <v>23</v>
      </c>
      <c r="E2293" s="5">
        <v>43629</v>
      </c>
      <c r="F2293">
        <v>24081005</v>
      </c>
      <c r="G2293" t="s">
        <v>729</v>
      </c>
      <c r="H2293" t="s">
        <v>1197</v>
      </c>
      <c r="I2293" t="s">
        <v>1198</v>
      </c>
      <c r="J2293">
        <v>1005</v>
      </c>
      <c r="K2293" t="s">
        <v>693</v>
      </c>
      <c r="L2293" s="3">
        <v>10887</v>
      </c>
      <c r="M2293" s="3">
        <v>351</v>
      </c>
      <c r="N2293">
        <v>0</v>
      </c>
      <c r="O2293">
        <v>1847</v>
      </c>
      <c r="P2293">
        <v>11238</v>
      </c>
      <c r="Q2293" t="s">
        <v>30</v>
      </c>
      <c r="R2293" t="s">
        <v>59</v>
      </c>
      <c r="S2293" t="str">
        <v>#N/A</v>
      </c>
      <c r="T2293" t="str">
        <v>13</v>
      </c>
    </row>
    <row r="2294" spans="1:20" ht="13.7" customHeight="1" x14ac:dyDescent="0.25">
      <c r="A2294" t="s">
        <v>26</v>
      </c>
      <c r="B2294" t="s">
        <v>27</v>
      </c>
      <c r="C2294" t="s">
        <v>36</v>
      </c>
      <c r="D2294">
        <v>29</v>
      </c>
      <c r="E2294" s="5">
        <v>43630</v>
      </c>
      <c r="F2294">
        <v>24081005</v>
      </c>
      <c r="G2294" t="s">
        <v>729</v>
      </c>
      <c r="H2294" t="s">
        <v>1197</v>
      </c>
      <c r="I2294" t="s">
        <v>1198</v>
      </c>
      <c r="J2294">
        <v>1005</v>
      </c>
      <c r="K2294" t="s">
        <v>693</v>
      </c>
      <c r="L2294" s="3">
        <v>11238</v>
      </c>
      <c r="M2294" s="3">
        <v>239</v>
      </c>
      <c r="N2294">
        <v>0</v>
      </c>
      <c r="O2294">
        <v>1258</v>
      </c>
      <c r="P2294">
        <v>11477</v>
      </c>
      <c r="Q2294" t="s">
        <v>30</v>
      </c>
      <c r="R2294" t="s">
        <v>59</v>
      </c>
      <c r="S2294" t="str">
        <v>#N/A</v>
      </c>
      <c r="T2294" t="str">
        <v>13</v>
      </c>
    </row>
    <row r="2295" spans="1:20" ht="13.7" customHeight="1" x14ac:dyDescent="0.25">
      <c r="A2295" t="s">
        <v>26</v>
      </c>
      <c r="B2295" t="s">
        <v>27</v>
      </c>
      <c r="C2295" t="s">
        <v>36</v>
      </c>
      <c r="D2295">
        <v>44</v>
      </c>
      <c r="E2295" s="5">
        <v>43636</v>
      </c>
      <c r="F2295">
        <v>24081005</v>
      </c>
      <c r="G2295" t="s">
        <v>729</v>
      </c>
      <c r="H2295" t="s">
        <v>1197</v>
      </c>
      <c r="I2295" t="s">
        <v>1198</v>
      </c>
      <c r="J2295">
        <v>1005</v>
      </c>
      <c r="K2295" t="s">
        <v>693</v>
      </c>
      <c r="L2295" s="3">
        <v>11477</v>
      </c>
      <c r="M2295" s="3">
        <v>351</v>
      </c>
      <c r="N2295">
        <v>0</v>
      </c>
      <c r="O2295">
        <v>1847</v>
      </c>
      <c r="P2295">
        <v>11828</v>
      </c>
      <c r="Q2295" t="s">
        <v>30</v>
      </c>
      <c r="R2295" t="s">
        <v>59</v>
      </c>
      <c r="S2295" t="str">
        <v>#N/A</v>
      </c>
      <c r="T2295" t="str">
        <v>13</v>
      </c>
    </row>
    <row r="2296" spans="1:20" ht="13.7" customHeight="1" x14ac:dyDescent="0.25">
      <c r="A2296" t="s">
        <v>26</v>
      </c>
      <c r="B2296" t="s">
        <v>27</v>
      </c>
      <c r="C2296" t="s">
        <v>36</v>
      </c>
      <c r="D2296">
        <v>46</v>
      </c>
      <c r="E2296" s="5">
        <v>43637</v>
      </c>
      <c r="F2296">
        <v>24081005</v>
      </c>
      <c r="G2296" t="s">
        <v>729</v>
      </c>
      <c r="H2296" t="s">
        <v>1197</v>
      </c>
      <c r="I2296" t="s">
        <v>1198</v>
      </c>
      <c r="J2296">
        <v>1005</v>
      </c>
      <c r="K2296" t="s">
        <v>693</v>
      </c>
      <c r="L2296" s="3">
        <v>11828</v>
      </c>
      <c r="M2296" s="3">
        <v>511</v>
      </c>
      <c r="N2296">
        <v>0</v>
      </c>
      <c r="O2296">
        <v>2689</v>
      </c>
      <c r="P2296">
        <v>12339</v>
      </c>
      <c r="Q2296" t="s">
        <v>30</v>
      </c>
      <c r="R2296" t="s">
        <v>549</v>
      </c>
      <c r="S2296" t="str">
        <v>#N/A</v>
      </c>
      <c r="T2296" t="str">
        <v>13</v>
      </c>
    </row>
    <row r="2297" spans="1:20" ht="13.7" customHeight="1" x14ac:dyDescent="0.25">
      <c r="A2297" t="s">
        <v>26</v>
      </c>
      <c r="B2297" t="s">
        <v>27</v>
      </c>
      <c r="C2297" t="s">
        <v>36</v>
      </c>
      <c r="D2297">
        <v>61</v>
      </c>
      <c r="E2297" s="5">
        <v>43643</v>
      </c>
      <c r="F2297">
        <v>24081005</v>
      </c>
      <c r="G2297" t="s">
        <v>729</v>
      </c>
      <c r="H2297" t="s">
        <v>1197</v>
      </c>
      <c r="I2297" t="s">
        <v>1198</v>
      </c>
      <c r="J2297">
        <v>1005</v>
      </c>
      <c r="K2297" t="s">
        <v>693</v>
      </c>
      <c r="L2297" s="3">
        <v>12339</v>
      </c>
      <c r="M2297" s="3">
        <v>351</v>
      </c>
      <c r="N2297">
        <v>0</v>
      </c>
      <c r="O2297">
        <v>1847</v>
      </c>
      <c r="P2297">
        <v>12690</v>
      </c>
      <c r="Q2297" t="s">
        <v>30</v>
      </c>
      <c r="R2297" t="s">
        <v>59</v>
      </c>
      <c r="S2297" t="str">
        <v>#N/A</v>
      </c>
      <c r="T2297" t="str">
        <v>13</v>
      </c>
    </row>
    <row r="2298" spans="1:20" ht="13.7" customHeight="1" x14ac:dyDescent="0.25">
      <c r="A2298" t="s">
        <v>26</v>
      </c>
      <c r="B2298" t="s">
        <v>27</v>
      </c>
      <c r="C2298" t="s">
        <v>37</v>
      </c>
      <c r="D2298">
        <v>1</v>
      </c>
      <c r="E2298" s="5">
        <v>43648</v>
      </c>
      <c r="F2298">
        <v>24081005</v>
      </c>
      <c r="G2298" t="s">
        <v>729</v>
      </c>
      <c r="H2298" t="s">
        <v>1197</v>
      </c>
      <c r="I2298" t="s">
        <v>1198</v>
      </c>
      <c r="J2298">
        <v>1005</v>
      </c>
      <c r="K2298" t="s">
        <v>693</v>
      </c>
      <c r="L2298" s="3">
        <v>12690</v>
      </c>
      <c r="M2298" s="3">
        <v>351</v>
      </c>
      <c r="N2298">
        <v>0</v>
      </c>
      <c r="O2298">
        <v>1847</v>
      </c>
      <c r="P2298">
        <v>13041</v>
      </c>
      <c r="Q2298" t="s">
        <v>30</v>
      </c>
      <c r="R2298" t="s">
        <v>59</v>
      </c>
      <c r="S2298" t="str">
        <v>#N/A</v>
      </c>
      <c r="T2298" t="str">
        <v>13</v>
      </c>
    </row>
    <row r="2299" spans="1:20" ht="13.7" customHeight="1" x14ac:dyDescent="0.25">
      <c r="A2299" t="s">
        <v>26</v>
      </c>
      <c r="B2299" t="s">
        <v>27</v>
      </c>
      <c r="C2299" t="s">
        <v>37</v>
      </c>
      <c r="D2299">
        <v>9</v>
      </c>
      <c r="E2299" s="5">
        <v>43650</v>
      </c>
      <c r="F2299">
        <v>24081005</v>
      </c>
      <c r="G2299" t="s">
        <v>729</v>
      </c>
      <c r="H2299" t="s">
        <v>1197</v>
      </c>
      <c r="I2299" t="s">
        <v>1198</v>
      </c>
      <c r="J2299">
        <v>1005</v>
      </c>
      <c r="K2299" t="s">
        <v>693</v>
      </c>
      <c r="L2299" s="3">
        <v>13041</v>
      </c>
      <c r="M2299" s="3">
        <v>351</v>
      </c>
      <c r="N2299">
        <v>0</v>
      </c>
      <c r="O2299">
        <v>1847</v>
      </c>
      <c r="P2299">
        <v>13392</v>
      </c>
      <c r="Q2299" t="s">
        <v>30</v>
      </c>
      <c r="R2299" t="s">
        <v>59</v>
      </c>
      <c r="S2299" t="str">
        <v>#N/A</v>
      </c>
      <c r="T2299" t="str">
        <v>13</v>
      </c>
    </row>
    <row r="2300" spans="1:20" ht="13.7" customHeight="1" x14ac:dyDescent="0.25">
      <c r="A2300" t="s">
        <v>26</v>
      </c>
      <c r="B2300" t="s">
        <v>27</v>
      </c>
      <c r="C2300" t="s">
        <v>37</v>
      </c>
      <c r="D2300">
        <v>11</v>
      </c>
      <c r="E2300" s="5">
        <v>43651</v>
      </c>
      <c r="F2300">
        <v>24081005</v>
      </c>
      <c r="G2300" t="s">
        <v>729</v>
      </c>
      <c r="H2300" t="s">
        <v>1197</v>
      </c>
      <c r="I2300" t="s">
        <v>1198</v>
      </c>
      <c r="J2300">
        <v>1005</v>
      </c>
      <c r="K2300" t="s">
        <v>693</v>
      </c>
      <c r="L2300" s="3">
        <v>13392</v>
      </c>
      <c r="M2300" s="3">
        <v>351</v>
      </c>
      <c r="N2300">
        <v>0</v>
      </c>
      <c r="O2300">
        <v>1847</v>
      </c>
      <c r="P2300">
        <v>13743</v>
      </c>
      <c r="Q2300" t="s">
        <v>30</v>
      </c>
      <c r="R2300" t="s">
        <v>59</v>
      </c>
      <c r="S2300" t="str">
        <v>#N/A</v>
      </c>
      <c r="T2300" t="str">
        <v>13</v>
      </c>
    </row>
    <row r="2301" spans="1:20" ht="13.7" customHeight="1" x14ac:dyDescent="0.25">
      <c r="A2301" t="s">
        <v>26</v>
      </c>
      <c r="B2301" t="s">
        <v>27</v>
      </c>
      <c r="C2301" t="s">
        <v>37</v>
      </c>
      <c r="D2301">
        <v>25</v>
      </c>
      <c r="E2301" s="5">
        <v>43655</v>
      </c>
      <c r="F2301">
        <v>24081005</v>
      </c>
      <c r="G2301" t="s">
        <v>729</v>
      </c>
      <c r="H2301" t="s">
        <v>1197</v>
      </c>
      <c r="I2301" t="s">
        <v>1198</v>
      </c>
      <c r="J2301">
        <v>1005</v>
      </c>
      <c r="K2301" t="s">
        <v>693</v>
      </c>
      <c r="L2301" s="3">
        <v>13743</v>
      </c>
      <c r="M2301" s="3">
        <v>351</v>
      </c>
      <c r="N2301">
        <v>0</v>
      </c>
      <c r="O2301">
        <v>1847</v>
      </c>
      <c r="P2301">
        <v>14094</v>
      </c>
      <c r="Q2301" t="s">
        <v>30</v>
      </c>
      <c r="R2301" t="s">
        <v>59</v>
      </c>
      <c r="S2301" t="str">
        <v>#N/A</v>
      </c>
      <c r="T2301" t="str">
        <v>13</v>
      </c>
    </row>
    <row r="2302" spans="1:20" ht="13.7" customHeight="1" x14ac:dyDescent="0.25">
      <c r="A2302" t="s">
        <v>26</v>
      </c>
      <c r="B2302" t="s">
        <v>27</v>
      </c>
      <c r="C2302" t="s">
        <v>37</v>
      </c>
      <c r="D2302">
        <v>27</v>
      </c>
      <c r="E2302" s="5">
        <v>43656</v>
      </c>
      <c r="F2302">
        <v>24081005</v>
      </c>
      <c r="G2302" t="s">
        <v>729</v>
      </c>
      <c r="H2302" t="s">
        <v>1197</v>
      </c>
      <c r="I2302" t="s">
        <v>1198</v>
      </c>
      <c r="J2302">
        <v>1005</v>
      </c>
      <c r="K2302" t="s">
        <v>693</v>
      </c>
      <c r="L2302" s="3">
        <v>14094</v>
      </c>
      <c r="M2302" s="3">
        <v>239</v>
      </c>
      <c r="N2302">
        <v>0</v>
      </c>
      <c r="O2302">
        <v>1258</v>
      </c>
      <c r="P2302">
        <v>14333</v>
      </c>
      <c r="Q2302" t="s">
        <v>30</v>
      </c>
      <c r="R2302" t="s">
        <v>59</v>
      </c>
      <c r="S2302" t="str">
        <v>#N/A</v>
      </c>
      <c r="T2302" t="str">
        <v>13</v>
      </c>
    </row>
    <row r="2303" spans="1:20" ht="13.7" customHeight="1" x14ac:dyDescent="0.25">
      <c r="A2303" t="s">
        <v>26</v>
      </c>
      <c r="B2303" t="s">
        <v>27</v>
      </c>
      <c r="C2303" t="s">
        <v>37</v>
      </c>
      <c r="D2303">
        <v>30</v>
      </c>
      <c r="E2303" s="5">
        <v>43657</v>
      </c>
      <c r="F2303">
        <v>24081005</v>
      </c>
      <c r="G2303" t="s">
        <v>729</v>
      </c>
      <c r="H2303" t="s">
        <v>1197</v>
      </c>
      <c r="I2303" t="s">
        <v>1198</v>
      </c>
      <c r="J2303">
        <v>1005</v>
      </c>
      <c r="K2303" t="s">
        <v>693</v>
      </c>
      <c r="L2303" s="3">
        <v>14333</v>
      </c>
      <c r="M2303" s="3">
        <v>351</v>
      </c>
      <c r="N2303">
        <v>0</v>
      </c>
      <c r="O2303">
        <v>1847</v>
      </c>
      <c r="P2303">
        <v>14684</v>
      </c>
      <c r="Q2303" t="s">
        <v>30</v>
      </c>
      <c r="R2303" t="s">
        <v>59</v>
      </c>
      <c r="S2303" t="str">
        <v>#N/A</v>
      </c>
      <c r="T2303" t="str">
        <v>13</v>
      </c>
    </row>
    <row r="2304" spans="1:20" ht="13.7" customHeight="1" x14ac:dyDescent="0.25">
      <c r="A2304" t="s">
        <v>26</v>
      </c>
      <c r="B2304" t="s">
        <v>27</v>
      </c>
      <c r="C2304" t="s">
        <v>37</v>
      </c>
      <c r="D2304">
        <v>33</v>
      </c>
      <c r="E2304" s="5">
        <v>43658</v>
      </c>
      <c r="F2304">
        <v>24081005</v>
      </c>
      <c r="G2304" t="s">
        <v>729</v>
      </c>
      <c r="H2304" t="s">
        <v>1197</v>
      </c>
      <c r="I2304" t="s">
        <v>1198</v>
      </c>
      <c r="J2304">
        <v>1005</v>
      </c>
      <c r="K2304" t="s">
        <v>693</v>
      </c>
      <c r="L2304" s="3">
        <v>14684</v>
      </c>
      <c r="M2304" s="3">
        <v>239</v>
      </c>
      <c r="N2304">
        <v>0</v>
      </c>
      <c r="O2304">
        <v>1258</v>
      </c>
      <c r="P2304">
        <v>14923</v>
      </c>
      <c r="Q2304" t="s">
        <v>30</v>
      </c>
      <c r="R2304" t="s">
        <v>59</v>
      </c>
      <c r="S2304" t="str">
        <v>#N/A</v>
      </c>
      <c r="T2304" t="str">
        <v>13</v>
      </c>
    </row>
    <row r="2305" spans="1:20" ht="13.7" customHeight="1" x14ac:dyDescent="0.25">
      <c r="A2305" t="s">
        <v>26</v>
      </c>
      <c r="B2305" t="s">
        <v>27</v>
      </c>
      <c r="C2305" t="s">
        <v>37</v>
      </c>
      <c r="D2305">
        <v>40</v>
      </c>
      <c r="E2305" s="5">
        <v>43661</v>
      </c>
      <c r="F2305">
        <v>24081005</v>
      </c>
      <c r="G2305" t="s">
        <v>729</v>
      </c>
      <c r="H2305" t="s">
        <v>1197</v>
      </c>
      <c r="I2305" t="s">
        <v>1198</v>
      </c>
      <c r="J2305">
        <v>1005</v>
      </c>
      <c r="K2305" t="s">
        <v>693</v>
      </c>
      <c r="L2305" s="3">
        <v>14923</v>
      </c>
      <c r="M2305" s="3">
        <v>351</v>
      </c>
      <c r="N2305">
        <v>0</v>
      </c>
      <c r="O2305">
        <v>1847</v>
      </c>
      <c r="P2305">
        <v>15274</v>
      </c>
      <c r="Q2305" t="s">
        <v>30</v>
      </c>
      <c r="R2305" t="s">
        <v>59</v>
      </c>
      <c r="S2305" t="str">
        <v>#N/A</v>
      </c>
      <c r="T2305" t="str">
        <v>13</v>
      </c>
    </row>
    <row r="2306" spans="1:20" ht="13.7" customHeight="1" x14ac:dyDescent="0.25">
      <c r="A2306" t="s">
        <v>26</v>
      </c>
      <c r="B2306" t="s">
        <v>27</v>
      </c>
      <c r="C2306" t="s">
        <v>37</v>
      </c>
      <c r="D2306">
        <v>42</v>
      </c>
      <c r="E2306" s="5">
        <v>43662</v>
      </c>
      <c r="F2306">
        <v>24081005</v>
      </c>
      <c r="G2306" t="s">
        <v>729</v>
      </c>
      <c r="H2306" t="s">
        <v>1197</v>
      </c>
      <c r="I2306" t="s">
        <v>1198</v>
      </c>
      <c r="J2306">
        <v>1005</v>
      </c>
      <c r="K2306" t="s">
        <v>693</v>
      </c>
      <c r="L2306" s="3">
        <v>15274</v>
      </c>
      <c r="M2306" s="3">
        <v>351</v>
      </c>
      <c r="N2306">
        <v>0</v>
      </c>
      <c r="O2306">
        <v>1847</v>
      </c>
      <c r="P2306">
        <v>15625</v>
      </c>
      <c r="Q2306" t="s">
        <v>30</v>
      </c>
      <c r="R2306" t="s">
        <v>59</v>
      </c>
      <c r="S2306" t="str">
        <v>#N/A</v>
      </c>
      <c r="T2306" t="str">
        <v>13</v>
      </c>
    </row>
    <row r="2307" spans="1:20" ht="13.7" customHeight="1" x14ac:dyDescent="0.25">
      <c r="A2307" t="s">
        <v>26</v>
      </c>
      <c r="B2307" t="s">
        <v>27</v>
      </c>
      <c r="C2307" t="s">
        <v>37</v>
      </c>
      <c r="D2307">
        <v>43</v>
      </c>
      <c r="E2307" s="5">
        <v>43662</v>
      </c>
      <c r="F2307">
        <v>24081005</v>
      </c>
      <c r="G2307" t="s">
        <v>729</v>
      </c>
      <c r="H2307" t="s">
        <v>1197</v>
      </c>
      <c r="I2307" t="s">
        <v>1198</v>
      </c>
      <c r="J2307">
        <v>1005</v>
      </c>
      <c r="K2307" t="s">
        <v>693</v>
      </c>
      <c r="L2307" s="3">
        <v>15625</v>
      </c>
      <c r="M2307" s="3">
        <v>128</v>
      </c>
      <c r="N2307">
        <v>0</v>
      </c>
      <c r="O2307">
        <v>672</v>
      </c>
      <c r="P2307">
        <v>15753</v>
      </c>
      <c r="Q2307" t="s">
        <v>30</v>
      </c>
      <c r="R2307" t="s">
        <v>59</v>
      </c>
      <c r="S2307" t="str">
        <v>#N/A</v>
      </c>
      <c r="T2307" t="str">
        <v>13</v>
      </c>
    </row>
    <row r="2308" spans="1:20" ht="13.7" customHeight="1" x14ac:dyDescent="0.25">
      <c r="A2308" t="s">
        <v>26</v>
      </c>
      <c r="B2308" t="s">
        <v>27</v>
      </c>
      <c r="C2308" t="s">
        <v>37</v>
      </c>
      <c r="D2308">
        <v>58</v>
      </c>
      <c r="E2308" s="5">
        <v>43672</v>
      </c>
      <c r="F2308">
        <v>24081005</v>
      </c>
      <c r="G2308" t="s">
        <v>729</v>
      </c>
      <c r="H2308" t="s">
        <v>1197</v>
      </c>
      <c r="I2308" t="s">
        <v>1198</v>
      </c>
      <c r="J2308">
        <v>1005</v>
      </c>
      <c r="K2308" t="s">
        <v>693</v>
      </c>
      <c r="L2308" s="3">
        <v>15753</v>
      </c>
      <c r="M2308" s="3">
        <v>239</v>
      </c>
      <c r="N2308">
        <v>0</v>
      </c>
      <c r="O2308">
        <v>1258</v>
      </c>
      <c r="P2308">
        <v>15992</v>
      </c>
      <c r="Q2308" t="s">
        <v>30</v>
      </c>
      <c r="R2308" t="s">
        <v>59</v>
      </c>
      <c r="S2308" t="str">
        <v>#N/A</v>
      </c>
      <c r="T2308" t="str">
        <v>13</v>
      </c>
    </row>
    <row r="2309" spans="1:20" ht="13.7" customHeight="1" x14ac:dyDescent="0.25">
      <c r="A2309" t="s">
        <v>26</v>
      </c>
      <c r="B2309" t="s">
        <v>27</v>
      </c>
      <c r="C2309" t="s">
        <v>38</v>
      </c>
      <c r="D2309">
        <v>26</v>
      </c>
      <c r="E2309" s="5">
        <v>43692</v>
      </c>
      <c r="F2309">
        <v>24081005</v>
      </c>
      <c r="G2309" t="s">
        <v>729</v>
      </c>
      <c r="H2309" t="s">
        <v>1197</v>
      </c>
      <c r="I2309" t="s">
        <v>1198</v>
      </c>
      <c r="J2309">
        <v>1005</v>
      </c>
      <c r="K2309" t="s">
        <v>693</v>
      </c>
      <c r="L2309" s="3">
        <v>15992</v>
      </c>
      <c r="M2309" s="3">
        <v>351</v>
      </c>
      <c r="N2309">
        <v>0</v>
      </c>
      <c r="O2309">
        <v>1847</v>
      </c>
      <c r="P2309">
        <v>16343</v>
      </c>
      <c r="Q2309" t="s">
        <v>30</v>
      </c>
      <c r="R2309" t="s">
        <v>555</v>
      </c>
      <c r="S2309" t="str">
        <v>#N/A</v>
      </c>
      <c r="T2309" t="str">
        <v>13</v>
      </c>
    </row>
    <row r="2310" spans="1:20" ht="13.7" customHeight="1" x14ac:dyDescent="0.25">
      <c r="A2310" t="s">
        <v>26</v>
      </c>
      <c r="B2310" t="s">
        <v>27</v>
      </c>
      <c r="C2310" t="s">
        <v>38</v>
      </c>
      <c r="D2310">
        <v>28</v>
      </c>
      <c r="E2310" s="5">
        <v>43693</v>
      </c>
      <c r="F2310">
        <v>24081005</v>
      </c>
      <c r="G2310" t="s">
        <v>729</v>
      </c>
      <c r="H2310" t="s">
        <v>1197</v>
      </c>
      <c r="I2310" t="s">
        <v>1198</v>
      </c>
      <c r="J2310">
        <v>1005</v>
      </c>
      <c r="K2310" t="s">
        <v>693</v>
      </c>
      <c r="L2310" s="3">
        <v>16343</v>
      </c>
      <c r="M2310" s="3">
        <v>351</v>
      </c>
      <c r="N2310">
        <v>0</v>
      </c>
      <c r="O2310">
        <v>1847</v>
      </c>
      <c r="P2310">
        <v>16694</v>
      </c>
      <c r="Q2310" t="s">
        <v>30</v>
      </c>
      <c r="R2310" t="s">
        <v>59</v>
      </c>
      <c r="S2310" t="str">
        <v>#N/A</v>
      </c>
      <c r="T2310" t="str">
        <v>13</v>
      </c>
    </row>
    <row r="2311" spans="1:20" ht="13.7" customHeight="1" x14ac:dyDescent="0.25">
      <c r="E2311" s="5">
        <v>43465</v>
      </c>
      <c r="F2311">
        <v>24081005</v>
      </c>
      <c r="G2311" t="s">
        <v>729</v>
      </c>
      <c r="H2311" t="s">
        <v>1215</v>
      </c>
      <c r="I2311" t="s">
        <v>1216</v>
      </c>
      <c r="J2311">
        <v>0</v>
      </c>
      <c r="K2311">
        <v>0</v>
      </c>
      <c r="L2311" s="3">
        <v>0</v>
      </c>
      <c r="M2311" s="3">
        <v>0</v>
      </c>
      <c r="N2311">
        <v>0</v>
      </c>
      <c r="O2311">
        <v>0</v>
      </c>
      <c r="P2311">
        <v>0</v>
      </c>
      <c r="R2311" t="s">
        <v>1100</v>
      </c>
      <c r="S2311" t="str">
        <v>#N/A</v>
      </c>
      <c r="T2311" t="str">
        <v>#N/A</v>
      </c>
    </row>
    <row r="2312" spans="1:20" ht="13.7" customHeight="1" x14ac:dyDescent="0.25">
      <c r="A2312" t="s">
        <v>26</v>
      </c>
      <c r="B2312" t="s">
        <v>27</v>
      </c>
      <c r="C2312" t="s">
        <v>37</v>
      </c>
      <c r="D2312">
        <v>19</v>
      </c>
      <c r="E2312" s="5">
        <v>43652</v>
      </c>
      <c r="F2312">
        <v>24081005</v>
      </c>
      <c r="G2312" t="s">
        <v>729</v>
      </c>
      <c r="H2312" t="s">
        <v>1215</v>
      </c>
      <c r="I2312" t="s">
        <v>1216</v>
      </c>
      <c r="J2312">
        <v>1005</v>
      </c>
      <c r="K2312" t="s">
        <v>693</v>
      </c>
      <c r="L2312" s="3">
        <v>0</v>
      </c>
      <c r="M2312" s="3">
        <v>367</v>
      </c>
      <c r="N2312">
        <v>0</v>
      </c>
      <c r="O2312">
        <v>1933</v>
      </c>
      <c r="P2312">
        <v>367</v>
      </c>
      <c r="Q2312" t="s">
        <v>30</v>
      </c>
      <c r="R2312" t="s">
        <v>59</v>
      </c>
      <c r="S2312" t="str">
        <v>#N/A</v>
      </c>
      <c r="T2312" t="str">
        <v>#N/A</v>
      </c>
    </row>
    <row r="2313" spans="1:20" ht="13.7" customHeight="1" x14ac:dyDescent="0.25">
      <c r="A2313" t="s">
        <v>26</v>
      </c>
      <c r="B2313" t="s">
        <v>27</v>
      </c>
      <c r="C2313" t="s">
        <v>37</v>
      </c>
      <c r="D2313">
        <v>20</v>
      </c>
      <c r="E2313" s="5">
        <v>43652</v>
      </c>
      <c r="F2313">
        <v>24081005</v>
      </c>
      <c r="G2313" t="s">
        <v>729</v>
      </c>
      <c r="H2313" t="s">
        <v>1215</v>
      </c>
      <c r="I2313" t="s">
        <v>1216</v>
      </c>
      <c r="J2313">
        <v>1005</v>
      </c>
      <c r="K2313" t="s">
        <v>693</v>
      </c>
      <c r="L2313" s="3">
        <v>367</v>
      </c>
      <c r="M2313" s="3">
        <v>367</v>
      </c>
      <c r="N2313">
        <v>0</v>
      </c>
      <c r="O2313">
        <v>1933</v>
      </c>
      <c r="P2313">
        <v>734</v>
      </c>
      <c r="Q2313" t="s">
        <v>30</v>
      </c>
      <c r="R2313" t="s">
        <v>59</v>
      </c>
      <c r="S2313" t="str">
        <v>#N/A</v>
      </c>
      <c r="T2313" t="str">
        <v>#N/A</v>
      </c>
    </row>
    <row r="2314" spans="1:20" ht="13.7" customHeight="1" x14ac:dyDescent="0.25">
      <c r="E2314" s="5">
        <v>43465</v>
      </c>
      <c r="F2314">
        <v>24081005</v>
      </c>
      <c r="G2314" t="s">
        <v>729</v>
      </c>
      <c r="H2314" t="s">
        <v>1227</v>
      </c>
      <c r="I2314" t="s">
        <v>1228</v>
      </c>
      <c r="J2314">
        <v>0</v>
      </c>
      <c r="K2314">
        <v>0</v>
      </c>
      <c r="L2314" s="3">
        <v>0</v>
      </c>
      <c r="M2314" s="3">
        <v>0</v>
      </c>
      <c r="N2314">
        <v>0</v>
      </c>
      <c r="O2314">
        <v>0</v>
      </c>
      <c r="P2314">
        <v>0</v>
      </c>
      <c r="R2314" t="s">
        <v>1100</v>
      </c>
      <c r="S2314" t="str">
        <v>#N/A</v>
      </c>
      <c r="T2314" t="str">
        <v>#N/A</v>
      </c>
    </row>
    <row r="2315" spans="1:20" ht="13.7" customHeight="1" x14ac:dyDescent="0.25">
      <c r="A2315" t="s">
        <v>26</v>
      </c>
      <c r="B2315" t="s">
        <v>27</v>
      </c>
      <c r="C2315" t="s">
        <v>36</v>
      </c>
      <c r="D2315">
        <v>65</v>
      </c>
      <c r="E2315" s="5">
        <v>43645</v>
      </c>
      <c r="F2315">
        <v>24081005</v>
      </c>
      <c r="G2315" t="s">
        <v>729</v>
      </c>
      <c r="H2315" t="s">
        <v>1227</v>
      </c>
      <c r="I2315" t="s">
        <v>1228</v>
      </c>
      <c r="J2315">
        <v>1005</v>
      </c>
      <c r="K2315" t="s">
        <v>693</v>
      </c>
      <c r="L2315" s="3">
        <v>0</v>
      </c>
      <c r="M2315" s="3">
        <v>2179</v>
      </c>
      <c r="N2315">
        <v>0</v>
      </c>
      <c r="O2315">
        <v>11471</v>
      </c>
      <c r="P2315">
        <v>2179</v>
      </c>
      <c r="Q2315" t="s">
        <v>30</v>
      </c>
      <c r="R2315" t="s">
        <v>550</v>
      </c>
      <c r="S2315" t="str">
        <v>#N/A</v>
      </c>
      <c r="T2315" t="str">
        <v>#N/A</v>
      </c>
    </row>
    <row r="2316" spans="1:20" ht="13.7" customHeight="1" x14ac:dyDescent="0.25">
      <c r="E2316" s="5">
        <v>43465</v>
      </c>
      <c r="F2316">
        <v>24081005</v>
      </c>
      <c r="G2316" t="s">
        <v>729</v>
      </c>
      <c r="H2316" t="s">
        <v>1557</v>
      </c>
      <c r="I2316" t="s">
        <v>1558</v>
      </c>
      <c r="J2316">
        <v>0</v>
      </c>
      <c r="K2316">
        <v>0</v>
      </c>
      <c r="L2316" s="3">
        <v>3497</v>
      </c>
      <c r="M2316" s="3">
        <v>0</v>
      </c>
      <c r="N2316">
        <v>0</v>
      </c>
      <c r="O2316">
        <v>18403</v>
      </c>
      <c r="P2316">
        <v>3497</v>
      </c>
      <c r="R2316" t="s">
        <v>1100</v>
      </c>
      <c r="S2316" t="str">
        <v>#N/A</v>
      </c>
      <c r="T2316" t="str">
        <v>#N/A</v>
      </c>
    </row>
    <row r="2317" spans="1:20" ht="13.7" customHeight="1" x14ac:dyDescent="0.25">
      <c r="E2317" s="5">
        <v>43465</v>
      </c>
      <c r="F2317">
        <v>24081005</v>
      </c>
      <c r="G2317" t="s">
        <v>729</v>
      </c>
      <c r="H2317" t="s">
        <v>1559</v>
      </c>
      <c r="I2317" t="s">
        <v>1560</v>
      </c>
      <c r="J2317">
        <v>0</v>
      </c>
      <c r="K2317">
        <v>0</v>
      </c>
      <c r="L2317" s="3">
        <v>2869</v>
      </c>
      <c r="M2317" s="3">
        <v>0</v>
      </c>
      <c r="N2317">
        <v>0</v>
      </c>
      <c r="O2317">
        <v>15100</v>
      </c>
      <c r="P2317">
        <v>2869</v>
      </c>
      <c r="R2317" t="s">
        <v>1100</v>
      </c>
      <c r="S2317" t="str">
        <v>#N/A</v>
      </c>
      <c r="T2317" t="str">
        <v>#N/A</v>
      </c>
    </row>
    <row r="2318" spans="1:20" ht="13.7" customHeight="1" x14ac:dyDescent="0.25">
      <c r="E2318" s="5">
        <v>43465</v>
      </c>
      <c r="F2318">
        <v>24081005</v>
      </c>
      <c r="G2318" t="s">
        <v>729</v>
      </c>
      <c r="H2318" t="s">
        <v>1231</v>
      </c>
      <c r="I2318" t="s">
        <v>1232</v>
      </c>
      <c r="J2318">
        <v>0</v>
      </c>
      <c r="K2318">
        <v>0</v>
      </c>
      <c r="L2318" s="3">
        <v>9660</v>
      </c>
      <c r="M2318" s="3">
        <v>0</v>
      </c>
      <c r="N2318">
        <v>0</v>
      </c>
      <c r="O2318">
        <v>50840</v>
      </c>
      <c r="P2318">
        <v>9660</v>
      </c>
      <c r="R2318" t="s">
        <v>1100</v>
      </c>
      <c r="S2318" t="str">
        <v>#N/A</v>
      </c>
      <c r="T2318" t="str">
        <v>#N/A</v>
      </c>
    </row>
    <row r="2319" spans="1:20" ht="13.7" customHeight="1" x14ac:dyDescent="0.25">
      <c r="A2319" t="s">
        <v>26</v>
      </c>
      <c r="B2319" t="s">
        <v>27</v>
      </c>
      <c r="C2319" t="s">
        <v>91</v>
      </c>
      <c r="D2319">
        <v>27</v>
      </c>
      <c r="E2319" s="5">
        <v>43533</v>
      </c>
      <c r="F2319">
        <v>24081005</v>
      </c>
      <c r="G2319" t="s">
        <v>729</v>
      </c>
      <c r="H2319" t="s">
        <v>1231</v>
      </c>
      <c r="I2319" t="s">
        <v>1232</v>
      </c>
      <c r="J2319">
        <v>1005</v>
      </c>
      <c r="K2319" t="s">
        <v>693</v>
      </c>
      <c r="L2319" s="3">
        <v>9660</v>
      </c>
      <c r="M2319" s="3">
        <v>2395</v>
      </c>
      <c r="N2319">
        <v>0</v>
      </c>
      <c r="O2319">
        <v>12605</v>
      </c>
      <c r="P2319">
        <v>12055</v>
      </c>
      <c r="Q2319" t="s">
        <v>30</v>
      </c>
      <c r="R2319" t="s">
        <v>96</v>
      </c>
      <c r="S2319" t="str">
        <v>#N/A</v>
      </c>
      <c r="T2319" t="str">
        <v>#N/A</v>
      </c>
    </row>
    <row r="2320" spans="1:20" ht="13.7" customHeight="1" x14ac:dyDescent="0.25">
      <c r="A2320" t="s">
        <v>26</v>
      </c>
      <c r="B2320" t="s">
        <v>27</v>
      </c>
      <c r="C2320" t="s">
        <v>35</v>
      </c>
      <c r="D2320">
        <v>23</v>
      </c>
      <c r="E2320" s="5">
        <v>43591</v>
      </c>
      <c r="F2320">
        <v>24081005</v>
      </c>
      <c r="G2320" t="s">
        <v>729</v>
      </c>
      <c r="H2320" t="s">
        <v>1231</v>
      </c>
      <c r="I2320" t="s">
        <v>1232</v>
      </c>
      <c r="J2320">
        <v>1005</v>
      </c>
      <c r="K2320" t="s">
        <v>693</v>
      </c>
      <c r="L2320" s="3">
        <v>12055</v>
      </c>
      <c r="M2320" s="3">
        <v>4630</v>
      </c>
      <c r="N2320">
        <v>0</v>
      </c>
      <c r="O2320">
        <v>24370</v>
      </c>
      <c r="P2320">
        <v>16685</v>
      </c>
      <c r="Q2320" t="s">
        <v>30</v>
      </c>
      <c r="R2320" t="s">
        <v>96</v>
      </c>
      <c r="S2320" t="str">
        <v>#N/A</v>
      </c>
      <c r="T2320" t="str">
        <v>#N/A</v>
      </c>
    </row>
    <row r="2321" spans="1:20" ht="13.7" customHeight="1" x14ac:dyDescent="0.25">
      <c r="A2321" t="s">
        <v>26</v>
      </c>
      <c r="B2321" t="s">
        <v>27</v>
      </c>
      <c r="C2321" t="s">
        <v>35</v>
      </c>
      <c r="D2321">
        <v>64</v>
      </c>
      <c r="E2321" s="5">
        <v>43605</v>
      </c>
      <c r="F2321">
        <v>24081005</v>
      </c>
      <c r="G2321" t="s">
        <v>729</v>
      </c>
      <c r="H2321" t="s">
        <v>1231</v>
      </c>
      <c r="I2321" t="s">
        <v>1232</v>
      </c>
      <c r="J2321">
        <v>1005</v>
      </c>
      <c r="K2321" t="s">
        <v>693</v>
      </c>
      <c r="L2321" s="3">
        <v>16685</v>
      </c>
      <c r="M2321" s="3">
        <v>1038</v>
      </c>
      <c r="N2321">
        <v>0</v>
      </c>
      <c r="O2321">
        <v>5462</v>
      </c>
      <c r="P2321">
        <v>17723</v>
      </c>
      <c r="Q2321" t="s">
        <v>30</v>
      </c>
      <c r="R2321" t="s">
        <v>140</v>
      </c>
      <c r="S2321" t="str">
        <v>#N/A</v>
      </c>
      <c r="T2321" t="str">
        <v>#N/A</v>
      </c>
    </row>
    <row r="2322" spans="1:20" ht="13.7" customHeight="1" x14ac:dyDescent="0.25">
      <c r="A2322" t="s">
        <v>26</v>
      </c>
      <c r="B2322" t="s">
        <v>27</v>
      </c>
      <c r="C2322" t="s">
        <v>37</v>
      </c>
      <c r="D2322">
        <v>45</v>
      </c>
      <c r="E2322" s="5">
        <v>43664</v>
      </c>
      <c r="F2322">
        <v>24081005</v>
      </c>
      <c r="G2322" t="s">
        <v>729</v>
      </c>
      <c r="H2322" t="s">
        <v>1231</v>
      </c>
      <c r="I2322" t="s">
        <v>1232</v>
      </c>
      <c r="J2322">
        <v>1005</v>
      </c>
      <c r="K2322" t="s">
        <v>693</v>
      </c>
      <c r="L2322" s="3">
        <v>17723</v>
      </c>
      <c r="M2322" s="3">
        <v>2714</v>
      </c>
      <c r="N2322">
        <v>0</v>
      </c>
      <c r="O2322">
        <v>14286</v>
      </c>
      <c r="P2322">
        <v>20437</v>
      </c>
      <c r="Q2322" t="s">
        <v>30</v>
      </c>
      <c r="R2322" t="s">
        <v>96</v>
      </c>
      <c r="S2322" t="str">
        <v>#N/A</v>
      </c>
      <c r="T2322" t="str">
        <v>#N/A</v>
      </c>
    </row>
    <row r="2323" spans="1:20" ht="13.7" customHeight="1" x14ac:dyDescent="0.25">
      <c r="A2323" t="s">
        <v>26</v>
      </c>
      <c r="B2323" t="s">
        <v>27</v>
      </c>
      <c r="C2323" t="s">
        <v>39</v>
      </c>
      <c r="D2323">
        <v>64</v>
      </c>
      <c r="E2323" s="5">
        <v>43738</v>
      </c>
      <c r="F2323">
        <v>24081005</v>
      </c>
      <c r="G2323" t="s">
        <v>729</v>
      </c>
      <c r="H2323" t="s">
        <v>1231</v>
      </c>
      <c r="I2323" t="s">
        <v>1232</v>
      </c>
      <c r="J2323">
        <v>1005</v>
      </c>
      <c r="K2323" t="s">
        <v>693</v>
      </c>
      <c r="L2323" s="3">
        <v>20437</v>
      </c>
      <c r="M2323" s="3">
        <v>2395</v>
      </c>
      <c r="N2323">
        <v>0</v>
      </c>
      <c r="O2323">
        <v>12605</v>
      </c>
      <c r="P2323">
        <v>22832</v>
      </c>
      <c r="Q2323" t="s">
        <v>30</v>
      </c>
      <c r="R2323" t="s">
        <v>642</v>
      </c>
      <c r="S2323" t="str">
        <v>#N/A</v>
      </c>
      <c r="T2323" t="str">
        <v>#N/A</v>
      </c>
    </row>
    <row r="2324" spans="1:20" ht="13.7" customHeight="1" x14ac:dyDescent="0.25">
      <c r="A2324" t="s">
        <v>26</v>
      </c>
      <c r="B2324" t="s">
        <v>27</v>
      </c>
      <c r="C2324" t="s">
        <v>41</v>
      </c>
      <c r="D2324">
        <v>29</v>
      </c>
      <c r="E2324" s="5">
        <v>43783</v>
      </c>
      <c r="F2324">
        <v>24081005</v>
      </c>
      <c r="G2324" t="s">
        <v>729</v>
      </c>
      <c r="H2324" t="s">
        <v>1231</v>
      </c>
      <c r="I2324" t="s">
        <v>1232</v>
      </c>
      <c r="J2324">
        <v>1005</v>
      </c>
      <c r="K2324" t="s">
        <v>693</v>
      </c>
      <c r="L2324" s="3">
        <v>22832</v>
      </c>
      <c r="M2324" s="3">
        <v>1629</v>
      </c>
      <c r="N2324">
        <v>0</v>
      </c>
      <c r="O2324">
        <v>8571</v>
      </c>
      <c r="P2324">
        <v>24461</v>
      </c>
      <c r="Q2324" t="s">
        <v>30</v>
      </c>
      <c r="R2324" t="s">
        <v>96</v>
      </c>
      <c r="S2324" t="str">
        <v>#N/A</v>
      </c>
      <c r="T2324" t="str">
        <v>#N/A</v>
      </c>
    </row>
    <row r="2325" spans="1:20" ht="13.7" customHeight="1" x14ac:dyDescent="0.25">
      <c r="A2325" t="s">
        <v>26</v>
      </c>
      <c r="B2325" t="s">
        <v>27</v>
      </c>
      <c r="C2325" t="s">
        <v>41</v>
      </c>
      <c r="D2325">
        <v>72</v>
      </c>
      <c r="E2325" s="5">
        <v>43785</v>
      </c>
      <c r="F2325">
        <v>24081005</v>
      </c>
      <c r="G2325" t="s">
        <v>729</v>
      </c>
      <c r="H2325" t="s">
        <v>1231</v>
      </c>
      <c r="I2325" t="s">
        <v>1232</v>
      </c>
      <c r="J2325">
        <v>1005</v>
      </c>
      <c r="K2325" t="s">
        <v>693</v>
      </c>
      <c r="L2325" s="3">
        <v>24461</v>
      </c>
      <c r="M2325" s="3">
        <v>4151</v>
      </c>
      <c r="N2325">
        <v>0</v>
      </c>
      <c r="O2325">
        <v>21848</v>
      </c>
      <c r="P2325">
        <v>28612</v>
      </c>
      <c r="Q2325" t="s">
        <v>30</v>
      </c>
      <c r="R2325" t="s">
        <v>574</v>
      </c>
      <c r="S2325" t="str">
        <v>#N/A</v>
      </c>
      <c r="T2325" t="str">
        <v>#N/A</v>
      </c>
    </row>
    <row r="2326" spans="1:20" ht="13.7" customHeight="1" x14ac:dyDescent="0.25">
      <c r="E2326" s="5">
        <v>43465</v>
      </c>
      <c r="F2326">
        <v>24081005</v>
      </c>
      <c r="G2326" t="s">
        <v>729</v>
      </c>
      <c r="H2326" t="s">
        <v>1561</v>
      </c>
      <c r="I2326" t="s">
        <v>1562</v>
      </c>
      <c r="J2326">
        <v>0</v>
      </c>
      <c r="K2326">
        <v>0</v>
      </c>
      <c r="L2326" s="3">
        <v>0</v>
      </c>
      <c r="M2326" s="3">
        <v>0</v>
      </c>
      <c r="N2326">
        <v>0</v>
      </c>
      <c r="O2326">
        <v>0</v>
      </c>
      <c r="P2326">
        <v>0</v>
      </c>
      <c r="R2326" t="s">
        <v>1100</v>
      </c>
      <c r="S2326" t="str">
        <v>#N/A</v>
      </c>
      <c r="T2326" t="str">
        <v>#N/A</v>
      </c>
    </row>
    <row r="2327" spans="1:20" ht="13.7" customHeight="1" x14ac:dyDescent="0.25">
      <c r="A2327" t="s">
        <v>26</v>
      </c>
      <c r="B2327" t="s">
        <v>27</v>
      </c>
      <c r="C2327" t="s">
        <v>180</v>
      </c>
      <c r="D2327">
        <v>35</v>
      </c>
      <c r="E2327" s="5">
        <v>43813</v>
      </c>
      <c r="F2327">
        <v>24081005</v>
      </c>
      <c r="G2327" t="s">
        <v>729</v>
      </c>
      <c r="H2327" t="s">
        <v>1561</v>
      </c>
      <c r="I2327" t="s">
        <v>1562</v>
      </c>
      <c r="J2327">
        <v>1005</v>
      </c>
      <c r="K2327" t="s">
        <v>693</v>
      </c>
      <c r="L2327" s="3">
        <v>0</v>
      </c>
      <c r="M2327" s="3">
        <v>95000</v>
      </c>
      <c r="N2327">
        <v>0</v>
      </c>
      <c r="O2327">
        <v>500000</v>
      </c>
      <c r="P2327">
        <v>95000</v>
      </c>
      <c r="Q2327" t="s">
        <v>30</v>
      </c>
      <c r="R2327" t="s">
        <v>537</v>
      </c>
      <c r="S2327" t="str">
        <v>#N/A</v>
      </c>
      <c r="T2327" t="str">
        <v>#N/A</v>
      </c>
    </row>
    <row r="2328" spans="1:20" ht="13.7" customHeight="1" x14ac:dyDescent="0.25">
      <c r="E2328" s="5">
        <v>43465</v>
      </c>
      <c r="F2328">
        <v>24081005</v>
      </c>
      <c r="G2328" t="s">
        <v>729</v>
      </c>
      <c r="H2328" t="s">
        <v>1463</v>
      </c>
      <c r="I2328" t="s">
        <v>1464</v>
      </c>
      <c r="J2328">
        <v>0</v>
      </c>
      <c r="K2328">
        <v>0</v>
      </c>
      <c r="L2328" s="3">
        <v>7983</v>
      </c>
      <c r="M2328" s="3">
        <v>0</v>
      </c>
      <c r="N2328">
        <v>0</v>
      </c>
      <c r="O2328">
        <v>42017</v>
      </c>
      <c r="P2328">
        <v>7983</v>
      </c>
      <c r="R2328" t="s">
        <v>1100</v>
      </c>
      <c r="S2328" t="str">
        <v>#N/A</v>
      </c>
      <c r="T2328" t="str">
        <v>13</v>
      </c>
    </row>
    <row r="2329" spans="1:20" ht="13.7" customHeight="1" x14ac:dyDescent="0.25">
      <c r="A2329" t="s">
        <v>26</v>
      </c>
      <c r="B2329" t="s">
        <v>27</v>
      </c>
      <c r="C2329" t="s">
        <v>91</v>
      </c>
      <c r="D2329">
        <v>24</v>
      </c>
      <c r="E2329" s="5">
        <v>43531</v>
      </c>
      <c r="F2329">
        <v>24081005</v>
      </c>
      <c r="G2329" t="s">
        <v>729</v>
      </c>
      <c r="H2329" t="s">
        <v>1463</v>
      </c>
      <c r="I2329" t="s">
        <v>1464</v>
      </c>
      <c r="J2329">
        <v>1005</v>
      </c>
      <c r="K2329" t="s">
        <v>693</v>
      </c>
      <c r="L2329" s="3">
        <v>7983</v>
      </c>
      <c r="M2329" s="3">
        <v>208</v>
      </c>
      <c r="N2329">
        <v>0</v>
      </c>
      <c r="O2329">
        <v>1092</v>
      </c>
      <c r="P2329">
        <v>8191</v>
      </c>
      <c r="Q2329" t="s">
        <v>30</v>
      </c>
      <c r="R2329" t="s">
        <v>59</v>
      </c>
      <c r="S2329" t="str">
        <v>#N/A</v>
      </c>
      <c r="T2329" t="str">
        <v>13</v>
      </c>
    </row>
    <row r="2330" spans="1:20" ht="13.7" customHeight="1" x14ac:dyDescent="0.25">
      <c r="A2330" t="s">
        <v>26</v>
      </c>
      <c r="B2330" t="s">
        <v>27</v>
      </c>
      <c r="C2330" t="s">
        <v>34</v>
      </c>
      <c r="D2330">
        <v>13</v>
      </c>
      <c r="E2330" s="5">
        <v>43560</v>
      </c>
      <c r="F2330">
        <v>24081005</v>
      </c>
      <c r="G2330" t="s">
        <v>729</v>
      </c>
      <c r="H2330" t="s">
        <v>1463</v>
      </c>
      <c r="I2330" t="s">
        <v>1464</v>
      </c>
      <c r="J2330">
        <v>1005</v>
      </c>
      <c r="K2330" t="s">
        <v>693</v>
      </c>
      <c r="L2330" s="3">
        <v>8191</v>
      </c>
      <c r="M2330" s="3">
        <v>5589</v>
      </c>
      <c r="N2330">
        <v>0</v>
      </c>
      <c r="O2330">
        <v>29418</v>
      </c>
      <c r="P2330">
        <v>13780</v>
      </c>
      <c r="Q2330" t="s">
        <v>30</v>
      </c>
      <c r="R2330" t="s">
        <v>115</v>
      </c>
      <c r="S2330" t="str">
        <v>#N/A</v>
      </c>
      <c r="T2330" t="str">
        <v>13</v>
      </c>
    </row>
    <row r="2331" spans="1:20" ht="13.7" customHeight="1" x14ac:dyDescent="0.25">
      <c r="A2331" t="s">
        <v>26</v>
      </c>
      <c r="B2331" t="s">
        <v>27</v>
      </c>
      <c r="C2331" t="s">
        <v>34</v>
      </c>
      <c r="D2331">
        <v>22</v>
      </c>
      <c r="E2331" s="5">
        <v>43566</v>
      </c>
      <c r="F2331">
        <v>24081005</v>
      </c>
      <c r="G2331" t="s">
        <v>729</v>
      </c>
      <c r="H2331" t="s">
        <v>1463</v>
      </c>
      <c r="I2331" t="s">
        <v>1464</v>
      </c>
      <c r="J2331">
        <v>1005</v>
      </c>
      <c r="K2331" t="s">
        <v>693</v>
      </c>
      <c r="L2331" s="3">
        <v>13780</v>
      </c>
      <c r="M2331" s="3">
        <v>639</v>
      </c>
      <c r="N2331">
        <v>0</v>
      </c>
      <c r="O2331">
        <v>3361</v>
      </c>
      <c r="P2331">
        <v>14419</v>
      </c>
      <c r="Q2331" t="s">
        <v>30</v>
      </c>
      <c r="R2331" t="s">
        <v>59</v>
      </c>
      <c r="S2331" t="str">
        <v>#N/A</v>
      </c>
      <c r="T2331" t="str">
        <v>13</v>
      </c>
    </row>
    <row r="2332" spans="1:20" ht="13.7" customHeight="1" x14ac:dyDescent="0.25">
      <c r="A2332" t="s">
        <v>26</v>
      </c>
      <c r="B2332" t="s">
        <v>27</v>
      </c>
      <c r="C2332" t="s">
        <v>35</v>
      </c>
      <c r="D2332">
        <v>26</v>
      </c>
      <c r="E2332" s="5">
        <v>43593</v>
      </c>
      <c r="F2332">
        <v>24081005</v>
      </c>
      <c r="G2332" t="s">
        <v>729</v>
      </c>
      <c r="H2332" t="s">
        <v>1463</v>
      </c>
      <c r="I2332" t="s">
        <v>1464</v>
      </c>
      <c r="J2332">
        <v>1005</v>
      </c>
      <c r="K2332" t="s">
        <v>693</v>
      </c>
      <c r="L2332" s="3">
        <v>14419</v>
      </c>
      <c r="M2332" s="3">
        <v>639</v>
      </c>
      <c r="N2332">
        <v>0</v>
      </c>
      <c r="O2332">
        <v>3361</v>
      </c>
      <c r="P2332">
        <v>15058</v>
      </c>
      <c r="Q2332" t="s">
        <v>30</v>
      </c>
      <c r="R2332" t="s">
        <v>59</v>
      </c>
      <c r="S2332" t="str">
        <v>#N/A</v>
      </c>
      <c r="T2332" t="str">
        <v>13</v>
      </c>
    </row>
    <row r="2333" spans="1:20" ht="13.7" customHeight="1" x14ac:dyDescent="0.25">
      <c r="E2333" s="5">
        <v>43465</v>
      </c>
      <c r="F2333">
        <v>24081005</v>
      </c>
      <c r="G2333" t="s">
        <v>729</v>
      </c>
      <c r="H2333" t="s">
        <v>1563</v>
      </c>
      <c r="I2333" t="s">
        <v>1564</v>
      </c>
      <c r="J2333">
        <v>0</v>
      </c>
      <c r="K2333">
        <v>0</v>
      </c>
      <c r="L2333" s="3">
        <v>7625</v>
      </c>
      <c r="M2333" s="3">
        <v>0</v>
      </c>
      <c r="N2333">
        <v>0</v>
      </c>
      <c r="O2333">
        <v>40132</v>
      </c>
      <c r="P2333">
        <v>7625</v>
      </c>
      <c r="R2333" t="s">
        <v>1100</v>
      </c>
      <c r="S2333" t="str">
        <v>#N/A</v>
      </c>
      <c r="T2333" t="str">
        <v>#N/A</v>
      </c>
    </row>
    <row r="2334" spans="1:20" ht="13.7" customHeight="1" x14ac:dyDescent="0.25">
      <c r="E2334" s="5">
        <v>43465</v>
      </c>
      <c r="F2334">
        <v>24081005</v>
      </c>
      <c r="G2334" t="s">
        <v>729</v>
      </c>
      <c r="H2334" t="s">
        <v>1565</v>
      </c>
      <c r="I2334" t="s">
        <v>1566</v>
      </c>
      <c r="J2334">
        <v>0</v>
      </c>
      <c r="K2334">
        <v>0</v>
      </c>
      <c r="L2334" s="3">
        <v>0</v>
      </c>
      <c r="M2334" s="3">
        <v>0</v>
      </c>
      <c r="N2334">
        <v>0</v>
      </c>
      <c r="O2334">
        <v>0</v>
      </c>
      <c r="P2334">
        <v>0</v>
      </c>
      <c r="R2334" t="s">
        <v>1100</v>
      </c>
      <c r="S2334" t="str">
        <v>#N/A</v>
      </c>
      <c r="T2334" t="str">
        <v>#N/A</v>
      </c>
    </row>
    <row r="2335" spans="1:20" ht="13.7" customHeight="1" x14ac:dyDescent="0.25">
      <c r="A2335" t="s">
        <v>26</v>
      </c>
      <c r="B2335" t="s">
        <v>27</v>
      </c>
      <c r="C2335" t="s">
        <v>180</v>
      </c>
      <c r="D2335">
        <v>42</v>
      </c>
      <c r="E2335" s="5">
        <v>43815</v>
      </c>
      <c r="F2335">
        <v>24081005</v>
      </c>
      <c r="G2335" t="s">
        <v>729</v>
      </c>
      <c r="H2335" t="s">
        <v>1565</v>
      </c>
      <c r="I2335" t="s">
        <v>1566</v>
      </c>
      <c r="J2335">
        <v>1005</v>
      </c>
      <c r="K2335" t="s">
        <v>693</v>
      </c>
      <c r="L2335" s="3">
        <v>0</v>
      </c>
      <c r="M2335" s="3">
        <v>7975</v>
      </c>
      <c r="N2335">
        <v>0</v>
      </c>
      <c r="O2335">
        <v>41975</v>
      </c>
      <c r="P2335">
        <v>7975</v>
      </c>
      <c r="Q2335" t="s">
        <v>30</v>
      </c>
      <c r="R2335" t="s">
        <v>185</v>
      </c>
      <c r="S2335" t="str">
        <v>#N/A</v>
      </c>
      <c r="T2335" t="str">
        <v>#N/A</v>
      </c>
    </row>
    <row r="2336" spans="1:20" ht="13.7" customHeight="1" x14ac:dyDescent="0.25">
      <c r="E2336" s="5">
        <v>43465</v>
      </c>
      <c r="F2336">
        <v>24081005</v>
      </c>
      <c r="G2336" t="s">
        <v>729</v>
      </c>
      <c r="H2336" t="s">
        <v>1195</v>
      </c>
      <c r="I2336" t="s">
        <v>1196</v>
      </c>
      <c r="J2336">
        <v>0</v>
      </c>
      <c r="K2336">
        <v>0</v>
      </c>
      <c r="L2336" s="3">
        <v>478033.01</v>
      </c>
      <c r="M2336" s="3">
        <v>0</v>
      </c>
      <c r="N2336">
        <v>0</v>
      </c>
      <c r="O2336">
        <v>2515968</v>
      </c>
      <c r="P2336">
        <v>478033.01</v>
      </c>
      <c r="R2336" t="s">
        <v>1100</v>
      </c>
      <c r="S2336" t="str">
        <v>#N/A</v>
      </c>
      <c r="T2336" t="str">
        <v>13</v>
      </c>
    </row>
    <row r="2337" spans="1:20" ht="13.7" customHeight="1" x14ac:dyDescent="0.25">
      <c r="A2337" t="s">
        <v>26</v>
      </c>
      <c r="B2337" t="s">
        <v>27</v>
      </c>
      <c r="C2337" t="s">
        <v>28</v>
      </c>
      <c r="D2337">
        <v>2</v>
      </c>
      <c r="E2337" s="5">
        <v>43467</v>
      </c>
      <c r="F2337">
        <v>24081005</v>
      </c>
      <c r="G2337" t="s">
        <v>729</v>
      </c>
      <c r="H2337" t="s">
        <v>1195</v>
      </c>
      <c r="I2337" t="s">
        <v>1196</v>
      </c>
      <c r="J2337">
        <v>1005</v>
      </c>
      <c r="K2337" t="s">
        <v>693</v>
      </c>
      <c r="L2337" s="3">
        <v>478033.01</v>
      </c>
      <c r="M2337" s="3">
        <v>50933</v>
      </c>
      <c r="N2337">
        <v>0</v>
      </c>
      <c r="O2337">
        <v>268067</v>
      </c>
      <c r="P2337">
        <v>528966.01</v>
      </c>
      <c r="Q2337" t="s">
        <v>30</v>
      </c>
      <c r="R2337" t="s">
        <v>529</v>
      </c>
      <c r="S2337" t="str">
        <v>#N/A</v>
      </c>
      <c r="T2337" t="str">
        <v>13</v>
      </c>
    </row>
    <row r="2338" spans="1:20" ht="13.7" customHeight="1" x14ac:dyDescent="0.25">
      <c r="A2338" t="s">
        <v>26</v>
      </c>
      <c r="B2338" t="s">
        <v>27</v>
      </c>
      <c r="C2338" t="s">
        <v>28</v>
      </c>
      <c r="D2338">
        <v>4</v>
      </c>
      <c r="E2338" s="5">
        <v>43468</v>
      </c>
      <c r="F2338">
        <v>24081005</v>
      </c>
      <c r="G2338" t="s">
        <v>729</v>
      </c>
      <c r="H2338" t="s">
        <v>1195</v>
      </c>
      <c r="I2338" t="s">
        <v>1196</v>
      </c>
      <c r="J2338">
        <v>1005</v>
      </c>
      <c r="K2338" t="s">
        <v>693</v>
      </c>
      <c r="L2338" s="3">
        <v>528966.01</v>
      </c>
      <c r="M2338" s="3">
        <v>17563</v>
      </c>
      <c r="N2338">
        <v>0</v>
      </c>
      <c r="O2338">
        <v>92437</v>
      </c>
      <c r="P2338">
        <v>546529.01</v>
      </c>
      <c r="Q2338" t="s">
        <v>30</v>
      </c>
      <c r="R2338" t="s">
        <v>529</v>
      </c>
      <c r="S2338" t="str">
        <v>#N/A</v>
      </c>
      <c r="T2338" t="str">
        <v>13</v>
      </c>
    </row>
    <row r="2339" spans="1:20" ht="13.7" customHeight="1" x14ac:dyDescent="0.25">
      <c r="A2339" t="s">
        <v>26</v>
      </c>
      <c r="B2339" t="s">
        <v>27</v>
      </c>
      <c r="C2339" t="s">
        <v>91</v>
      </c>
      <c r="D2339">
        <v>4</v>
      </c>
      <c r="E2339" s="5">
        <v>43525</v>
      </c>
      <c r="F2339">
        <v>24081005</v>
      </c>
      <c r="G2339" t="s">
        <v>729</v>
      </c>
      <c r="H2339" t="s">
        <v>1195</v>
      </c>
      <c r="I2339" t="s">
        <v>1196</v>
      </c>
      <c r="J2339">
        <v>1005</v>
      </c>
      <c r="K2339" t="s">
        <v>693</v>
      </c>
      <c r="L2339" s="3">
        <v>546529.01</v>
      </c>
      <c r="M2339" s="3">
        <v>17563</v>
      </c>
      <c r="N2339">
        <v>0</v>
      </c>
      <c r="O2339">
        <v>92437</v>
      </c>
      <c r="P2339">
        <v>564092.01</v>
      </c>
      <c r="Q2339" t="s">
        <v>30</v>
      </c>
      <c r="R2339" t="s">
        <v>539</v>
      </c>
      <c r="S2339" t="str">
        <v>#N/A</v>
      </c>
      <c r="T2339" t="str">
        <v>13</v>
      </c>
    </row>
    <row r="2340" spans="1:20" ht="13.7" customHeight="1" x14ac:dyDescent="0.25">
      <c r="A2340" t="s">
        <v>26</v>
      </c>
      <c r="B2340" t="s">
        <v>27</v>
      </c>
      <c r="C2340" t="s">
        <v>34</v>
      </c>
      <c r="D2340">
        <v>35</v>
      </c>
      <c r="E2340" s="5">
        <v>43570</v>
      </c>
      <c r="F2340">
        <v>24081005</v>
      </c>
      <c r="G2340" t="s">
        <v>729</v>
      </c>
      <c r="H2340" t="s">
        <v>1195</v>
      </c>
      <c r="I2340" t="s">
        <v>1196</v>
      </c>
      <c r="J2340">
        <v>1005</v>
      </c>
      <c r="K2340" t="s">
        <v>693</v>
      </c>
      <c r="L2340" s="3">
        <v>564092.01</v>
      </c>
      <c r="M2340" s="3">
        <v>52689</v>
      </c>
      <c r="N2340">
        <v>0</v>
      </c>
      <c r="O2340">
        <v>277311</v>
      </c>
      <c r="P2340">
        <v>616781.01</v>
      </c>
      <c r="Q2340" t="s">
        <v>30</v>
      </c>
      <c r="R2340" t="s">
        <v>539</v>
      </c>
      <c r="S2340" t="str">
        <v>#N/A</v>
      </c>
      <c r="T2340" t="str">
        <v>13</v>
      </c>
    </row>
    <row r="2341" spans="1:20" ht="13.7" customHeight="1" x14ac:dyDescent="0.25">
      <c r="A2341" t="s">
        <v>26</v>
      </c>
      <c r="B2341" t="s">
        <v>27</v>
      </c>
      <c r="C2341" t="s">
        <v>34</v>
      </c>
      <c r="D2341">
        <v>50</v>
      </c>
      <c r="E2341" s="5">
        <v>43577</v>
      </c>
      <c r="F2341">
        <v>24081005</v>
      </c>
      <c r="G2341" t="s">
        <v>729</v>
      </c>
      <c r="H2341" t="s">
        <v>1195</v>
      </c>
      <c r="I2341" t="s">
        <v>1196</v>
      </c>
      <c r="J2341">
        <v>1005</v>
      </c>
      <c r="K2341" t="s">
        <v>693</v>
      </c>
      <c r="L2341" s="3">
        <v>616781.01</v>
      </c>
      <c r="M2341" s="3">
        <v>35126</v>
      </c>
      <c r="N2341">
        <v>0</v>
      </c>
      <c r="O2341">
        <v>184874</v>
      </c>
      <c r="P2341">
        <v>651907.01</v>
      </c>
      <c r="Q2341" t="s">
        <v>30</v>
      </c>
      <c r="R2341" t="s">
        <v>539</v>
      </c>
      <c r="S2341" t="str">
        <v>#N/A</v>
      </c>
      <c r="T2341" t="str">
        <v>13</v>
      </c>
    </row>
    <row r="2342" spans="1:20" ht="13.7" customHeight="1" x14ac:dyDescent="0.25">
      <c r="E2342" s="5">
        <v>43465</v>
      </c>
      <c r="F2342">
        <v>24081005</v>
      </c>
      <c r="G2342" t="s">
        <v>729</v>
      </c>
      <c r="H2342" t="s">
        <v>1567</v>
      </c>
      <c r="I2342" t="s">
        <v>1568</v>
      </c>
      <c r="J2342">
        <v>0</v>
      </c>
      <c r="K2342">
        <v>0</v>
      </c>
      <c r="L2342" s="3">
        <v>2235</v>
      </c>
      <c r="M2342" s="3">
        <v>0</v>
      </c>
      <c r="N2342">
        <v>0</v>
      </c>
      <c r="O2342">
        <v>11765</v>
      </c>
      <c r="P2342">
        <v>2235</v>
      </c>
      <c r="R2342" t="s">
        <v>1100</v>
      </c>
      <c r="S2342" t="str">
        <v>#N/A</v>
      </c>
      <c r="T2342" t="str">
        <v>#N/A</v>
      </c>
    </row>
    <row r="2343" spans="1:20" ht="13.7" customHeight="1" x14ac:dyDescent="0.25">
      <c r="E2343" s="5">
        <v>43465</v>
      </c>
      <c r="F2343">
        <v>24081005</v>
      </c>
      <c r="G2343" t="s">
        <v>729</v>
      </c>
      <c r="H2343" t="s">
        <v>1362</v>
      </c>
      <c r="I2343" t="s">
        <v>1363</v>
      </c>
      <c r="J2343">
        <v>0</v>
      </c>
      <c r="K2343">
        <v>0</v>
      </c>
      <c r="L2343" s="3">
        <v>0</v>
      </c>
      <c r="M2343" s="3">
        <v>0</v>
      </c>
      <c r="N2343">
        <v>0</v>
      </c>
      <c r="O2343">
        <v>0</v>
      </c>
      <c r="P2343">
        <v>0</v>
      </c>
      <c r="R2343" t="s">
        <v>1100</v>
      </c>
      <c r="S2343" t="str">
        <v>#N/A</v>
      </c>
      <c r="T2343" t="str">
        <v>#N/A</v>
      </c>
    </row>
    <row r="2344" spans="1:20" ht="13.7" customHeight="1" x14ac:dyDescent="0.25">
      <c r="A2344" t="s">
        <v>26</v>
      </c>
      <c r="B2344" t="s">
        <v>27</v>
      </c>
      <c r="C2344" t="s">
        <v>39</v>
      </c>
      <c r="D2344">
        <v>45</v>
      </c>
      <c r="E2344" s="5">
        <v>43731</v>
      </c>
      <c r="F2344">
        <v>24081005</v>
      </c>
      <c r="G2344" t="s">
        <v>729</v>
      </c>
      <c r="H2344" t="s">
        <v>1362</v>
      </c>
      <c r="I2344" t="s">
        <v>1363</v>
      </c>
      <c r="J2344">
        <v>1005</v>
      </c>
      <c r="K2344" t="s">
        <v>693</v>
      </c>
      <c r="L2344" s="3">
        <v>0</v>
      </c>
      <c r="M2344" s="3">
        <v>2802</v>
      </c>
      <c r="N2344">
        <v>0</v>
      </c>
      <c r="O2344">
        <v>14748</v>
      </c>
      <c r="P2344">
        <v>2802</v>
      </c>
      <c r="Q2344" t="s">
        <v>30</v>
      </c>
      <c r="R2344" t="s">
        <v>568</v>
      </c>
      <c r="S2344" t="str">
        <v>#N/A</v>
      </c>
      <c r="T2344" t="str">
        <v>#N/A</v>
      </c>
    </row>
    <row r="2345" spans="1:20" ht="13.7" customHeight="1" x14ac:dyDescent="0.25">
      <c r="E2345" s="5">
        <v>43465</v>
      </c>
      <c r="F2345">
        <v>24081005</v>
      </c>
      <c r="G2345" t="s">
        <v>729</v>
      </c>
      <c r="H2345" t="s">
        <v>1569</v>
      </c>
      <c r="I2345" t="s">
        <v>1570</v>
      </c>
      <c r="J2345">
        <v>0</v>
      </c>
      <c r="K2345">
        <v>0</v>
      </c>
      <c r="L2345" s="3">
        <v>13571</v>
      </c>
      <c r="M2345" s="3">
        <v>0</v>
      </c>
      <c r="N2345">
        <v>0</v>
      </c>
      <c r="O2345">
        <v>71429</v>
      </c>
      <c r="P2345">
        <v>13571</v>
      </c>
      <c r="R2345" t="s">
        <v>1100</v>
      </c>
      <c r="S2345" t="str">
        <v>#N/A</v>
      </c>
      <c r="T2345" t="str">
        <v>#N/A</v>
      </c>
    </row>
    <row r="2346" spans="1:20" ht="13.7" customHeight="1" x14ac:dyDescent="0.25">
      <c r="E2346" s="5">
        <v>43465</v>
      </c>
      <c r="F2346">
        <v>24081005</v>
      </c>
      <c r="G2346" t="s">
        <v>729</v>
      </c>
      <c r="H2346" t="s">
        <v>1207</v>
      </c>
      <c r="I2346" t="s">
        <v>1208</v>
      </c>
      <c r="J2346">
        <v>0</v>
      </c>
      <c r="K2346">
        <v>0</v>
      </c>
      <c r="L2346" s="3">
        <v>22991</v>
      </c>
      <c r="M2346" s="3">
        <v>0</v>
      </c>
      <c r="N2346">
        <v>0</v>
      </c>
      <c r="O2346">
        <v>121008</v>
      </c>
      <c r="P2346">
        <v>22991</v>
      </c>
      <c r="R2346" t="s">
        <v>1100</v>
      </c>
      <c r="S2346" t="str">
        <v>#N/A</v>
      </c>
      <c r="T2346" t="str">
        <v>#N/A</v>
      </c>
    </row>
    <row r="2347" spans="1:20" ht="13.7" customHeight="1" x14ac:dyDescent="0.25">
      <c r="A2347" t="s">
        <v>26</v>
      </c>
      <c r="B2347" t="s">
        <v>27</v>
      </c>
      <c r="C2347" t="s">
        <v>32</v>
      </c>
      <c r="D2347">
        <v>27</v>
      </c>
      <c r="E2347" s="5">
        <v>43505</v>
      </c>
      <c r="F2347">
        <v>24081005</v>
      </c>
      <c r="G2347" t="s">
        <v>729</v>
      </c>
      <c r="H2347" t="s">
        <v>1207</v>
      </c>
      <c r="I2347" t="s">
        <v>1208</v>
      </c>
      <c r="J2347">
        <v>1005</v>
      </c>
      <c r="K2347" t="s">
        <v>693</v>
      </c>
      <c r="L2347" s="3">
        <v>22991</v>
      </c>
      <c r="M2347" s="3">
        <v>3832</v>
      </c>
      <c r="N2347">
        <v>0</v>
      </c>
      <c r="O2347">
        <v>20168</v>
      </c>
      <c r="P2347">
        <v>26823</v>
      </c>
      <c r="Q2347" t="s">
        <v>30</v>
      </c>
      <c r="R2347" t="s">
        <v>76</v>
      </c>
      <c r="S2347" t="str">
        <v>#N/A</v>
      </c>
      <c r="T2347" t="str">
        <v>#N/A</v>
      </c>
    </row>
    <row r="2348" spans="1:20" ht="13.7" customHeight="1" x14ac:dyDescent="0.25">
      <c r="A2348" t="s">
        <v>26</v>
      </c>
      <c r="B2348" t="s">
        <v>27</v>
      </c>
      <c r="C2348" t="s">
        <v>32</v>
      </c>
      <c r="D2348">
        <v>48</v>
      </c>
      <c r="E2348" s="5">
        <v>43519</v>
      </c>
      <c r="F2348">
        <v>24081005</v>
      </c>
      <c r="G2348" t="s">
        <v>729</v>
      </c>
      <c r="H2348" t="s">
        <v>1207</v>
      </c>
      <c r="I2348" t="s">
        <v>1208</v>
      </c>
      <c r="J2348">
        <v>1005</v>
      </c>
      <c r="K2348" t="s">
        <v>693</v>
      </c>
      <c r="L2348" s="3">
        <v>26823</v>
      </c>
      <c r="M2348" s="3">
        <v>3832</v>
      </c>
      <c r="N2348">
        <v>0</v>
      </c>
      <c r="O2348">
        <v>20168</v>
      </c>
      <c r="P2348">
        <v>30655</v>
      </c>
      <c r="Q2348" t="s">
        <v>30</v>
      </c>
      <c r="R2348" t="s">
        <v>76</v>
      </c>
      <c r="S2348" t="str">
        <v>#N/A</v>
      </c>
      <c r="T2348" t="str">
        <v>#N/A</v>
      </c>
    </row>
    <row r="2349" spans="1:20" ht="13.7" customHeight="1" x14ac:dyDescent="0.25">
      <c r="A2349" t="s">
        <v>26</v>
      </c>
      <c r="B2349" t="s">
        <v>27</v>
      </c>
      <c r="C2349" t="s">
        <v>34</v>
      </c>
      <c r="D2349">
        <v>61</v>
      </c>
      <c r="E2349" s="5">
        <v>43582</v>
      </c>
      <c r="F2349">
        <v>24081005</v>
      </c>
      <c r="G2349" t="s">
        <v>729</v>
      </c>
      <c r="H2349" t="s">
        <v>1207</v>
      </c>
      <c r="I2349" t="s">
        <v>1208</v>
      </c>
      <c r="J2349">
        <v>1005</v>
      </c>
      <c r="K2349" t="s">
        <v>693</v>
      </c>
      <c r="L2349" s="3">
        <v>30655</v>
      </c>
      <c r="M2349" s="3">
        <v>3832</v>
      </c>
      <c r="N2349">
        <v>0</v>
      </c>
      <c r="O2349">
        <v>20168</v>
      </c>
      <c r="P2349">
        <v>34487</v>
      </c>
      <c r="Q2349" t="s">
        <v>30</v>
      </c>
      <c r="R2349" t="s">
        <v>76</v>
      </c>
      <c r="S2349" t="str">
        <v>#N/A</v>
      </c>
      <c r="T2349" t="str">
        <v>#N/A</v>
      </c>
    </row>
    <row r="2350" spans="1:20" ht="13.7" customHeight="1" x14ac:dyDescent="0.25">
      <c r="A2350" t="s">
        <v>26</v>
      </c>
      <c r="B2350" t="s">
        <v>27</v>
      </c>
      <c r="C2350" t="s">
        <v>38</v>
      </c>
      <c r="D2350">
        <v>55</v>
      </c>
      <c r="E2350" s="5">
        <v>43708</v>
      </c>
      <c r="F2350">
        <v>24081005</v>
      </c>
      <c r="G2350" t="s">
        <v>729</v>
      </c>
      <c r="H2350" t="s">
        <v>1207</v>
      </c>
      <c r="I2350" t="s">
        <v>1208</v>
      </c>
      <c r="J2350">
        <v>1005</v>
      </c>
      <c r="K2350" t="s">
        <v>693</v>
      </c>
      <c r="L2350" s="3">
        <v>34487</v>
      </c>
      <c r="M2350" s="3">
        <v>3852</v>
      </c>
      <c r="N2350">
        <v>0</v>
      </c>
      <c r="O2350">
        <v>20168</v>
      </c>
      <c r="P2350">
        <v>38339</v>
      </c>
      <c r="Q2350" t="s">
        <v>30</v>
      </c>
      <c r="R2350" t="s">
        <v>76</v>
      </c>
      <c r="S2350" t="str">
        <v>#N/A</v>
      </c>
      <c r="T2350" t="str">
        <v>#N/A</v>
      </c>
    </row>
    <row r="2351" spans="1:20" ht="13.7" customHeight="1" x14ac:dyDescent="0.25">
      <c r="E2351" s="5">
        <v>43465</v>
      </c>
      <c r="F2351">
        <v>24081005</v>
      </c>
      <c r="G2351" t="s">
        <v>729</v>
      </c>
      <c r="H2351" t="s">
        <v>1199</v>
      </c>
      <c r="I2351" t="s">
        <v>1200</v>
      </c>
      <c r="J2351">
        <v>0</v>
      </c>
      <c r="K2351">
        <v>0</v>
      </c>
      <c r="L2351" s="3">
        <v>0</v>
      </c>
      <c r="M2351" s="3">
        <v>0</v>
      </c>
      <c r="N2351">
        <v>0</v>
      </c>
      <c r="O2351">
        <v>0</v>
      </c>
      <c r="P2351">
        <v>0</v>
      </c>
      <c r="R2351" t="s">
        <v>1100</v>
      </c>
      <c r="S2351" t="str">
        <v>#N/A</v>
      </c>
      <c r="T2351" t="str">
        <v>13</v>
      </c>
    </row>
    <row r="2352" spans="1:20" ht="13.7" customHeight="1" x14ac:dyDescent="0.25">
      <c r="A2352" t="s">
        <v>26</v>
      </c>
      <c r="B2352" t="s">
        <v>27</v>
      </c>
      <c r="C2352" t="s">
        <v>32</v>
      </c>
      <c r="D2352">
        <v>13</v>
      </c>
      <c r="E2352" s="5">
        <v>43502</v>
      </c>
      <c r="F2352">
        <v>24081005</v>
      </c>
      <c r="G2352" t="s">
        <v>729</v>
      </c>
      <c r="H2352" t="s">
        <v>1199</v>
      </c>
      <c r="I2352" t="s">
        <v>1200</v>
      </c>
      <c r="J2352">
        <v>1005</v>
      </c>
      <c r="K2352" t="s">
        <v>693</v>
      </c>
      <c r="L2352" s="3">
        <v>0</v>
      </c>
      <c r="M2352" s="3">
        <v>1261</v>
      </c>
      <c r="N2352">
        <v>0</v>
      </c>
      <c r="O2352">
        <v>6639</v>
      </c>
      <c r="P2352">
        <v>1261</v>
      </c>
      <c r="Q2352" t="s">
        <v>30</v>
      </c>
      <c r="R2352" t="s">
        <v>74</v>
      </c>
      <c r="S2352" t="str">
        <v>#N/A</v>
      </c>
      <c r="T2352" t="str">
        <v>13</v>
      </c>
    </row>
    <row r="2353" spans="1:20" ht="13.7" customHeight="1" x14ac:dyDescent="0.25">
      <c r="A2353" t="s">
        <v>26</v>
      </c>
      <c r="B2353" t="s">
        <v>27</v>
      </c>
      <c r="C2353" t="s">
        <v>32</v>
      </c>
      <c r="D2353">
        <v>18</v>
      </c>
      <c r="E2353" s="5">
        <v>43507</v>
      </c>
      <c r="F2353">
        <v>24081005</v>
      </c>
      <c r="G2353" t="s">
        <v>729</v>
      </c>
      <c r="H2353" t="s">
        <v>1199</v>
      </c>
      <c r="I2353" t="s">
        <v>1200</v>
      </c>
      <c r="J2353">
        <v>1005</v>
      </c>
      <c r="K2353" t="s">
        <v>693</v>
      </c>
      <c r="L2353" s="3">
        <v>1261</v>
      </c>
      <c r="M2353" s="3">
        <v>1261</v>
      </c>
      <c r="N2353">
        <v>0</v>
      </c>
      <c r="O2353">
        <v>6639</v>
      </c>
      <c r="P2353">
        <v>2522</v>
      </c>
      <c r="Q2353" t="s">
        <v>30</v>
      </c>
      <c r="R2353" t="s">
        <v>74</v>
      </c>
      <c r="S2353" t="str">
        <v>#N/A</v>
      </c>
      <c r="T2353" t="str">
        <v>13</v>
      </c>
    </row>
    <row r="2354" spans="1:20" ht="13.7" customHeight="1" x14ac:dyDescent="0.25">
      <c r="A2354" t="s">
        <v>26</v>
      </c>
      <c r="B2354" t="s">
        <v>27</v>
      </c>
      <c r="C2354" t="s">
        <v>91</v>
      </c>
      <c r="D2354">
        <v>13</v>
      </c>
      <c r="E2354" s="5">
        <v>43528</v>
      </c>
      <c r="F2354">
        <v>24081005</v>
      </c>
      <c r="G2354" t="s">
        <v>729</v>
      </c>
      <c r="H2354" t="s">
        <v>1199</v>
      </c>
      <c r="I2354" t="s">
        <v>1200</v>
      </c>
      <c r="J2354">
        <v>1005</v>
      </c>
      <c r="K2354" t="s">
        <v>693</v>
      </c>
      <c r="L2354" s="3">
        <v>2522</v>
      </c>
      <c r="M2354" s="3">
        <v>2200</v>
      </c>
      <c r="N2354">
        <v>0</v>
      </c>
      <c r="O2354">
        <v>11579</v>
      </c>
      <c r="P2354">
        <v>4722</v>
      </c>
      <c r="Q2354" t="s">
        <v>30</v>
      </c>
      <c r="R2354" t="s">
        <v>74</v>
      </c>
      <c r="S2354" t="str">
        <v>#N/A</v>
      </c>
      <c r="T2354" t="str">
        <v>13</v>
      </c>
    </row>
    <row r="2355" spans="1:20" ht="13.7" customHeight="1" x14ac:dyDescent="0.25">
      <c r="A2355" t="s">
        <v>26</v>
      </c>
      <c r="B2355" t="s">
        <v>27</v>
      </c>
      <c r="C2355" t="s">
        <v>34</v>
      </c>
      <c r="D2355">
        <v>7</v>
      </c>
      <c r="E2355" s="5">
        <v>43558</v>
      </c>
      <c r="F2355">
        <v>24081005</v>
      </c>
      <c r="G2355" t="s">
        <v>729</v>
      </c>
      <c r="H2355" t="s">
        <v>1199</v>
      </c>
      <c r="I2355" t="s">
        <v>1200</v>
      </c>
      <c r="J2355">
        <v>1005</v>
      </c>
      <c r="K2355" t="s">
        <v>693</v>
      </c>
      <c r="L2355" s="3">
        <v>4722</v>
      </c>
      <c r="M2355" s="3">
        <v>2299</v>
      </c>
      <c r="N2355">
        <v>0</v>
      </c>
      <c r="O2355">
        <v>12101</v>
      </c>
      <c r="P2355">
        <v>7021</v>
      </c>
      <c r="Q2355" t="s">
        <v>30</v>
      </c>
      <c r="R2355" t="s">
        <v>74</v>
      </c>
      <c r="S2355" t="str">
        <v>#N/A</v>
      </c>
      <c r="T2355" t="str">
        <v>13</v>
      </c>
    </row>
    <row r="2356" spans="1:20" ht="13.7" customHeight="1" x14ac:dyDescent="0.25">
      <c r="A2356" t="s">
        <v>26</v>
      </c>
      <c r="B2356" t="s">
        <v>27</v>
      </c>
      <c r="C2356" t="s">
        <v>34</v>
      </c>
      <c r="D2356">
        <v>19</v>
      </c>
      <c r="E2356" s="5">
        <v>43564</v>
      </c>
      <c r="F2356">
        <v>24081005</v>
      </c>
      <c r="G2356" t="s">
        <v>729</v>
      </c>
      <c r="H2356" t="s">
        <v>1199</v>
      </c>
      <c r="I2356" t="s">
        <v>1200</v>
      </c>
      <c r="J2356">
        <v>1005</v>
      </c>
      <c r="K2356" t="s">
        <v>693</v>
      </c>
      <c r="L2356" s="3">
        <v>7021</v>
      </c>
      <c r="M2356" s="3">
        <v>2331</v>
      </c>
      <c r="N2356">
        <v>0</v>
      </c>
      <c r="O2356">
        <v>12269</v>
      </c>
      <c r="P2356">
        <v>9352</v>
      </c>
      <c r="Q2356" t="s">
        <v>30</v>
      </c>
      <c r="R2356" t="s">
        <v>74</v>
      </c>
      <c r="S2356" t="str">
        <v>#N/A</v>
      </c>
      <c r="T2356" t="str">
        <v>13</v>
      </c>
    </row>
    <row r="2357" spans="1:20" ht="13.7" customHeight="1" x14ac:dyDescent="0.25">
      <c r="A2357" t="s">
        <v>26</v>
      </c>
      <c r="B2357" t="s">
        <v>27</v>
      </c>
      <c r="C2357" t="s">
        <v>34</v>
      </c>
      <c r="D2357">
        <v>68</v>
      </c>
      <c r="E2357" s="5">
        <v>43585</v>
      </c>
      <c r="F2357">
        <v>24081005</v>
      </c>
      <c r="G2357" t="s">
        <v>729</v>
      </c>
      <c r="H2357" t="s">
        <v>1199</v>
      </c>
      <c r="I2357" t="s">
        <v>1200</v>
      </c>
      <c r="J2357">
        <v>1005</v>
      </c>
      <c r="K2357" t="s">
        <v>693</v>
      </c>
      <c r="L2357" s="3">
        <v>9352</v>
      </c>
      <c r="M2357" s="3">
        <v>1916</v>
      </c>
      <c r="N2357">
        <v>0</v>
      </c>
      <c r="O2357">
        <v>10084</v>
      </c>
      <c r="P2357">
        <v>11268</v>
      </c>
      <c r="Q2357" t="s">
        <v>30</v>
      </c>
      <c r="R2357" t="s">
        <v>74</v>
      </c>
      <c r="S2357" t="str">
        <v>#N/A</v>
      </c>
      <c r="T2357" t="str">
        <v>13</v>
      </c>
    </row>
    <row r="2358" spans="1:20" ht="13.7" customHeight="1" x14ac:dyDescent="0.25">
      <c r="A2358" t="s">
        <v>26</v>
      </c>
      <c r="B2358" t="s">
        <v>27</v>
      </c>
      <c r="C2358" t="s">
        <v>36</v>
      </c>
      <c r="D2358">
        <v>62</v>
      </c>
      <c r="E2358" s="5">
        <v>43643</v>
      </c>
      <c r="F2358">
        <v>24081005</v>
      </c>
      <c r="G2358" t="s">
        <v>729</v>
      </c>
      <c r="H2358" t="s">
        <v>1199</v>
      </c>
      <c r="I2358" t="s">
        <v>1200</v>
      </c>
      <c r="J2358">
        <v>1005</v>
      </c>
      <c r="K2358" t="s">
        <v>693</v>
      </c>
      <c r="L2358" s="3">
        <v>11268</v>
      </c>
      <c r="M2358" s="3">
        <v>974</v>
      </c>
      <c r="N2358">
        <v>0</v>
      </c>
      <c r="O2358">
        <v>5126</v>
      </c>
      <c r="P2358">
        <v>12242</v>
      </c>
      <c r="Q2358" t="s">
        <v>30</v>
      </c>
      <c r="R2358" t="s">
        <v>74</v>
      </c>
      <c r="S2358" t="str">
        <v>#N/A</v>
      </c>
      <c r="T2358" t="str">
        <v>13</v>
      </c>
    </row>
    <row r="2359" spans="1:20" ht="13.7" customHeight="1" x14ac:dyDescent="0.25">
      <c r="A2359" t="s">
        <v>26</v>
      </c>
      <c r="B2359" t="s">
        <v>27</v>
      </c>
      <c r="C2359" t="s">
        <v>36</v>
      </c>
      <c r="D2359">
        <v>1</v>
      </c>
      <c r="E2359" s="5">
        <v>43654</v>
      </c>
      <c r="F2359">
        <v>24081005</v>
      </c>
      <c r="G2359" t="s">
        <v>729</v>
      </c>
      <c r="H2359" t="s">
        <v>1199</v>
      </c>
      <c r="I2359" t="s">
        <v>1200</v>
      </c>
      <c r="J2359">
        <v>1005</v>
      </c>
      <c r="K2359" t="s">
        <v>693</v>
      </c>
      <c r="L2359" s="3">
        <v>12242</v>
      </c>
      <c r="M2359" s="3">
        <v>974</v>
      </c>
      <c r="N2359">
        <v>0</v>
      </c>
      <c r="O2359">
        <v>5126</v>
      </c>
      <c r="P2359">
        <v>13216</v>
      </c>
      <c r="Q2359" t="s">
        <v>30</v>
      </c>
      <c r="R2359" t="s">
        <v>151</v>
      </c>
      <c r="S2359" t="str">
        <v>#N/A</v>
      </c>
      <c r="T2359" t="str">
        <v>13</v>
      </c>
    </row>
    <row r="2360" spans="1:20" ht="13.7" customHeight="1" x14ac:dyDescent="0.25">
      <c r="A2360" t="s">
        <v>26</v>
      </c>
      <c r="B2360" t="s">
        <v>27</v>
      </c>
      <c r="C2360" t="s">
        <v>37</v>
      </c>
      <c r="D2360">
        <v>28</v>
      </c>
      <c r="E2360" s="5">
        <v>43656</v>
      </c>
      <c r="F2360">
        <v>24081005</v>
      </c>
      <c r="G2360" t="s">
        <v>729</v>
      </c>
      <c r="H2360" t="s">
        <v>1199</v>
      </c>
      <c r="I2360" t="s">
        <v>1200</v>
      </c>
      <c r="J2360">
        <v>1005</v>
      </c>
      <c r="K2360" t="s">
        <v>693</v>
      </c>
      <c r="L2360" s="3">
        <v>13216</v>
      </c>
      <c r="M2360" s="3">
        <v>974</v>
      </c>
      <c r="N2360">
        <v>0</v>
      </c>
      <c r="O2360">
        <v>5126</v>
      </c>
      <c r="P2360">
        <v>14190</v>
      </c>
      <c r="Q2360" t="s">
        <v>30</v>
      </c>
      <c r="R2360" t="s">
        <v>74</v>
      </c>
      <c r="S2360" t="str">
        <v>#N/A</v>
      </c>
      <c r="T2360" t="str">
        <v>13</v>
      </c>
    </row>
    <row r="2361" spans="1:20" ht="13.7" customHeight="1" x14ac:dyDescent="0.25">
      <c r="A2361" t="s">
        <v>26</v>
      </c>
      <c r="B2361" t="s">
        <v>27</v>
      </c>
      <c r="C2361" t="s">
        <v>37</v>
      </c>
      <c r="D2361">
        <v>37</v>
      </c>
      <c r="E2361" s="5">
        <v>43659</v>
      </c>
      <c r="F2361">
        <v>24081005</v>
      </c>
      <c r="G2361" t="s">
        <v>729</v>
      </c>
      <c r="H2361" t="s">
        <v>1199</v>
      </c>
      <c r="I2361" t="s">
        <v>1200</v>
      </c>
      <c r="J2361">
        <v>1005</v>
      </c>
      <c r="K2361" t="s">
        <v>693</v>
      </c>
      <c r="L2361" s="3">
        <v>14190</v>
      </c>
      <c r="M2361" s="3">
        <v>3305</v>
      </c>
      <c r="N2361">
        <v>0</v>
      </c>
      <c r="O2361">
        <v>17395</v>
      </c>
      <c r="P2361">
        <v>17495</v>
      </c>
      <c r="Q2361" t="s">
        <v>30</v>
      </c>
      <c r="R2361" t="s">
        <v>151</v>
      </c>
      <c r="S2361" t="str">
        <v>#N/A</v>
      </c>
      <c r="T2361" t="str">
        <v>13</v>
      </c>
    </row>
    <row r="2362" spans="1:20" ht="13.7" customHeight="1" x14ac:dyDescent="0.25">
      <c r="A2362" t="s">
        <v>26</v>
      </c>
      <c r="B2362" t="s">
        <v>27</v>
      </c>
      <c r="C2362" t="s">
        <v>39</v>
      </c>
      <c r="D2362">
        <v>16</v>
      </c>
      <c r="E2362" s="5">
        <v>43715</v>
      </c>
      <c r="F2362">
        <v>24081005</v>
      </c>
      <c r="G2362" t="s">
        <v>729</v>
      </c>
      <c r="H2362" t="s">
        <v>1199</v>
      </c>
      <c r="I2362" t="s">
        <v>1200</v>
      </c>
      <c r="J2362">
        <v>1005</v>
      </c>
      <c r="K2362" t="s">
        <v>693</v>
      </c>
      <c r="L2362" s="3">
        <v>17495</v>
      </c>
      <c r="M2362" s="3">
        <v>2299</v>
      </c>
      <c r="N2362">
        <v>0</v>
      </c>
      <c r="O2362">
        <v>12101</v>
      </c>
      <c r="P2362">
        <v>19794</v>
      </c>
      <c r="Q2362" t="s">
        <v>30</v>
      </c>
      <c r="R2362" t="s">
        <v>74</v>
      </c>
      <c r="S2362" t="str">
        <v>#N/A</v>
      </c>
      <c r="T2362" t="str">
        <v>13</v>
      </c>
    </row>
    <row r="2363" spans="1:20" ht="13.7" customHeight="1" x14ac:dyDescent="0.25">
      <c r="A2363" t="s">
        <v>26</v>
      </c>
      <c r="B2363" t="s">
        <v>27</v>
      </c>
      <c r="C2363" t="s">
        <v>180</v>
      </c>
      <c r="D2363">
        <v>36</v>
      </c>
      <c r="E2363" s="5">
        <v>43813</v>
      </c>
      <c r="F2363">
        <v>24081005</v>
      </c>
      <c r="G2363" t="s">
        <v>729</v>
      </c>
      <c r="H2363" t="s">
        <v>1199</v>
      </c>
      <c r="I2363" t="s">
        <v>1200</v>
      </c>
      <c r="J2363">
        <v>1005</v>
      </c>
      <c r="K2363" t="s">
        <v>693</v>
      </c>
      <c r="L2363" s="3">
        <v>19794</v>
      </c>
      <c r="M2363" s="3">
        <v>1357</v>
      </c>
      <c r="N2363">
        <v>0</v>
      </c>
      <c r="O2363">
        <v>7143</v>
      </c>
      <c r="P2363">
        <v>21151</v>
      </c>
      <c r="Q2363" t="s">
        <v>30</v>
      </c>
      <c r="R2363" t="s">
        <v>74</v>
      </c>
      <c r="S2363" t="str">
        <v>#N/A</v>
      </c>
      <c r="T2363" t="str">
        <v>13</v>
      </c>
    </row>
    <row r="2364" spans="1:20" ht="13.7" customHeight="1" x14ac:dyDescent="0.25">
      <c r="E2364" s="5">
        <v>43465</v>
      </c>
      <c r="F2364">
        <v>24081005</v>
      </c>
      <c r="G2364" t="s">
        <v>729</v>
      </c>
      <c r="H2364" t="s">
        <v>1159</v>
      </c>
      <c r="I2364" t="s">
        <v>1160</v>
      </c>
      <c r="J2364">
        <v>0</v>
      </c>
      <c r="K2364">
        <v>0</v>
      </c>
      <c r="L2364" s="3">
        <v>115683.02</v>
      </c>
      <c r="M2364" s="3">
        <v>0</v>
      </c>
      <c r="N2364">
        <v>0</v>
      </c>
      <c r="O2364">
        <v>608856</v>
      </c>
      <c r="P2364">
        <v>115683.02</v>
      </c>
      <c r="R2364" t="s">
        <v>1100</v>
      </c>
      <c r="S2364" t="str">
        <v>#N/A</v>
      </c>
      <c r="T2364" t="str">
        <v>#N/A</v>
      </c>
    </row>
    <row r="2365" spans="1:20" ht="13.7" customHeight="1" x14ac:dyDescent="0.25">
      <c r="A2365" t="s">
        <v>26</v>
      </c>
      <c r="B2365" t="s">
        <v>27</v>
      </c>
      <c r="C2365" t="s">
        <v>28</v>
      </c>
      <c r="D2365">
        <v>26</v>
      </c>
      <c r="E2365" s="5">
        <v>43477</v>
      </c>
      <c r="F2365">
        <v>24081005</v>
      </c>
      <c r="G2365" t="s">
        <v>729</v>
      </c>
      <c r="H2365" t="s">
        <v>1159</v>
      </c>
      <c r="I2365" t="s">
        <v>1160</v>
      </c>
      <c r="J2365">
        <v>1005</v>
      </c>
      <c r="K2365" t="s">
        <v>693</v>
      </c>
      <c r="L2365" s="3">
        <v>115683.02</v>
      </c>
      <c r="M2365" s="3">
        <v>28217</v>
      </c>
      <c r="N2365">
        <v>0</v>
      </c>
      <c r="O2365">
        <v>148508</v>
      </c>
      <c r="P2365">
        <v>143900.01999999999</v>
      </c>
      <c r="Q2365" t="s">
        <v>30</v>
      </c>
      <c r="R2365" t="s">
        <v>51</v>
      </c>
      <c r="S2365" t="str">
        <v>#N/A</v>
      </c>
      <c r="T2365" t="str">
        <v>#N/A</v>
      </c>
    </row>
    <row r="2366" spans="1:20" ht="13.7" customHeight="1" x14ac:dyDescent="0.25">
      <c r="A2366" t="s">
        <v>26</v>
      </c>
      <c r="B2366" t="s">
        <v>27</v>
      </c>
      <c r="C2366" t="s">
        <v>28</v>
      </c>
      <c r="D2366">
        <v>25</v>
      </c>
      <c r="E2366" s="5">
        <v>43500</v>
      </c>
      <c r="F2366">
        <v>24081005</v>
      </c>
      <c r="G2366" t="s">
        <v>729</v>
      </c>
      <c r="H2366" t="s">
        <v>1159</v>
      </c>
      <c r="I2366" t="s">
        <v>1160</v>
      </c>
      <c r="J2366">
        <v>1005</v>
      </c>
      <c r="K2366" t="s">
        <v>693</v>
      </c>
      <c r="L2366" s="3">
        <v>143900.01999999999</v>
      </c>
      <c r="M2366" s="3">
        <v>18463</v>
      </c>
      <c r="N2366">
        <v>0</v>
      </c>
      <c r="O2366">
        <v>97173</v>
      </c>
      <c r="P2366">
        <v>162363.01999999999</v>
      </c>
      <c r="Q2366" t="s">
        <v>30</v>
      </c>
      <c r="R2366" t="s">
        <v>71</v>
      </c>
      <c r="S2366" t="str">
        <v>#N/A</v>
      </c>
      <c r="T2366" t="str">
        <v>#N/A</v>
      </c>
    </row>
    <row r="2367" spans="1:20" ht="13.7" customHeight="1" x14ac:dyDescent="0.25">
      <c r="A2367" t="s">
        <v>26</v>
      </c>
      <c r="B2367" t="s">
        <v>27</v>
      </c>
      <c r="C2367" t="s">
        <v>32</v>
      </c>
      <c r="D2367">
        <v>40</v>
      </c>
      <c r="E2367" s="5">
        <v>43515</v>
      </c>
      <c r="F2367">
        <v>24081005</v>
      </c>
      <c r="G2367" t="s">
        <v>729</v>
      </c>
      <c r="H2367" t="s">
        <v>1159</v>
      </c>
      <c r="I2367" t="s">
        <v>1160</v>
      </c>
      <c r="J2367">
        <v>1005</v>
      </c>
      <c r="K2367" t="s">
        <v>693</v>
      </c>
      <c r="L2367" s="3">
        <v>162363.01999999999</v>
      </c>
      <c r="M2367" s="3">
        <v>88068</v>
      </c>
      <c r="N2367">
        <v>0</v>
      </c>
      <c r="O2367">
        <v>463514</v>
      </c>
      <c r="P2367">
        <v>250431.02</v>
      </c>
      <c r="Q2367" t="s">
        <v>30</v>
      </c>
      <c r="R2367" t="s">
        <v>218</v>
      </c>
      <c r="S2367" t="str">
        <v>#N/A</v>
      </c>
      <c r="T2367" t="str">
        <v>#N/A</v>
      </c>
    </row>
    <row r="2368" spans="1:20" ht="13.7" customHeight="1" x14ac:dyDescent="0.25">
      <c r="E2368" s="5">
        <v>43465</v>
      </c>
      <c r="F2368">
        <v>24081005</v>
      </c>
      <c r="G2368" t="s">
        <v>729</v>
      </c>
      <c r="H2368" t="s">
        <v>1571</v>
      </c>
      <c r="I2368" t="s">
        <v>1572</v>
      </c>
      <c r="J2368">
        <v>0</v>
      </c>
      <c r="K2368">
        <v>0</v>
      </c>
      <c r="L2368" s="3">
        <v>6642</v>
      </c>
      <c r="M2368" s="3">
        <v>0</v>
      </c>
      <c r="N2368">
        <v>0</v>
      </c>
      <c r="O2368">
        <v>34958</v>
      </c>
      <c r="P2368">
        <v>6642</v>
      </c>
      <c r="R2368" t="s">
        <v>1100</v>
      </c>
      <c r="S2368" t="str">
        <v>#N/A</v>
      </c>
      <c r="T2368" t="str">
        <v>#N/A</v>
      </c>
    </row>
    <row r="2369" spans="1:20" ht="13.7" customHeight="1" x14ac:dyDescent="0.25">
      <c r="E2369" s="5">
        <v>43465</v>
      </c>
      <c r="F2369">
        <v>24081005</v>
      </c>
      <c r="G2369" t="s">
        <v>729</v>
      </c>
      <c r="H2369" t="s">
        <v>1111</v>
      </c>
      <c r="I2369" t="s">
        <v>1112</v>
      </c>
      <c r="J2369">
        <v>0</v>
      </c>
      <c r="K2369">
        <v>0</v>
      </c>
      <c r="L2369" s="3">
        <v>21583</v>
      </c>
      <c r="M2369" s="3">
        <v>0</v>
      </c>
      <c r="N2369">
        <v>0</v>
      </c>
      <c r="O2369">
        <v>113595</v>
      </c>
      <c r="P2369">
        <v>21583</v>
      </c>
      <c r="R2369" t="s">
        <v>1100</v>
      </c>
      <c r="S2369" t="str">
        <v>#N/A</v>
      </c>
      <c r="T2369" t="str">
        <v>#N/A</v>
      </c>
    </row>
    <row r="2370" spans="1:20" ht="13.7" customHeight="1" x14ac:dyDescent="0.25">
      <c r="A2370" t="s">
        <v>26</v>
      </c>
      <c r="B2370" t="s">
        <v>27</v>
      </c>
      <c r="C2370" t="s">
        <v>91</v>
      </c>
      <c r="D2370">
        <v>31</v>
      </c>
      <c r="E2370" s="5">
        <v>43536</v>
      </c>
      <c r="F2370">
        <v>24081005</v>
      </c>
      <c r="G2370" t="s">
        <v>729</v>
      </c>
      <c r="H2370" t="s">
        <v>1111</v>
      </c>
      <c r="I2370" t="s">
        <v>1112</v>
      </c>
      <c r="J2370">
        <v>1005</v>
      </c>
      <c r="K2370" t="s">
        <v>693</v>
      </c>
      <c r="L2370" s="3">
        <v>21583</v>
      </c>
      <c r="M2370" s="3">
        <v>28728</v>
      </c>
      <c r="N2370">
        <v>0</v>
      </c>
      <c r="O2370">
        <v>151200</v>
      </c>
      <c r="P2370">
        <v>50311</v>
      </c>
      <c r="Q2370" t="s">
        <v>30</v>
      </c>
      <c r="R2370" t="s">
        <v>98</v>
      </c>
      <c r="S2370" t="str">
        <v>#N/A</v>
      </c>
      <c r="T2370" t="str">
        <v>#N/A</v>
      </c>
    </row>
    <row r="2371" spans="1:20" ht="13.7" customHeight="1" x14ac:dyDescent="0.25">
      <c r="E2371" s="5">
        <v>43465</v>
      </c>
      <c r="F2371">
        <v>24081005</v>
      </c>
      <c r="G2371" t="s">
        <v>729</v>
      </c>
      <c r="H2371" t="s">
        <v>1145</v>
      </c>
      <c r="I2371" t="s">
        <v>1146</v>
      </c>
      <c r="J2371">
        <v>0</v>
      </c>
      <c r="K2371">
        <v>0</v>
      </c>
      <c r="L2371" s="3">
        <v>-53580</v>
      </c>
      <c r="M2371" s="3">
        <v>0</v>
      </c>
      <c r="N2371">
        <v>0</v>
      </c>
      <c r="O2371">
        <v>-282000</v>
      </c>
      <c r="P2371">
        <v>-53580</v>
      </c>
      <c r="R2371" t="s">
        <v>1100</v>
      </c>
      <c r="S2371" t="str">
        <v>#N/A</v>
      </c>
      <c r="T2371" t="str">
        <v>#N/A</v>
      </c>
    </row>
    <row r="2372" spans="1:20" ht="13.7" customHeight="1" x14ac:dyDescent="0.25">
      <c r="E2372" s="5">
        <v>43465</v>
      </c>
      <c r="F2372">
        <v>24081005</v>
      </c>
      <c r="G2372" t="s">
        <v>729</v>
      </c>
      <c r="H2372" t="s">
        <v>1573</v>
      </c>
      <c r="I2372" t="s">
        <v>1574</v>
      </c>
      <c r="J2372">
        <v>0</v>
      </c>
      <c r="K2372">
        <v>0</v>
      </c>
      <c r="L2372" s="3">
        <v>0</v>
      </c>
      <c r="M2372" s="3">
        <v>0</v>
      </c>
      <c r="N2372">
        <v>0</v>
      </c>
      <c r="O2372">
        <v>0</v>
      </c>
      <c r="P2372">
        <v>0</v>
      </c>
      <c r="R2372" t="s">
        <v>1100</v>
      </c>
      <c r="S2372" t="str">
        <v>#N/A</v>
      </c>
      <c r="T2372" t="str">
        <v>#N/A</v>
      </c>
    </row>
    <row r="2373" spans="1:20" ht="13.7" customHeight="1" x14ac:dyDescent="0.25">
      <c r="A2373" t="s">
        <v>26</v>
      </c>
      <c r="B2373" t="s">
        <v>27</v>
      </c>
      <c r="C2373" t="s">
        <v>32</v>
      </c>
      <c r="D2373">
        <v>29</v>
      </c>
      <c r="E2373" s="5">
        <v>43510</v>
      </c>
      <c r="F2373">
        <v>24081005</v>
      </c>
      <c r="G2373" t="s">
        <v>729</v>
      </c>
      <c r="H2373" t="s">
        <v>1573</v>
      </c>
      <c r="I2373" t="s">
        <v>1574</v>
      </c>
      <c r="J2373">
        <v>1005</v>
      </c>
      <c r="K2373" t="s">
        <v>693</v>
      </c>
      <c r="L2373" s="3">
        <v>0</v>
      </c>
      <c r="M2373" s="3">
        <v>4790</v>
      </c>
      <c r="N2373">
        <v>0</v>
      </c>
      <c r="O2373">
        <v>25210</v>
      </c>
      <c r="P2373">
        <v>4790</v>
      </c>
      <c r="Q2373" t="s">
        <v>30</v>
      </c>
      <c r="R2373" t="s">
        <v>81</v>
      </c>
      <c r="S2373" t="str">
        <v>#N/A</v>
      </c>
      <c r="T2373" t="str">
        <v>#N/A</v>
      </c>
    </row>
    <row r="2374" spans="1:20" ht="13.7" customHeight="1" x14ac:dyDescent="0.25">
      <c r="E2374" s="5">
        <v>43465</v>
      </c>
      <c r="F2374">
        <v>24081005</v>
      </c>
      <c r="G2374" t="s">
        <v>729</v>
      </c>
      <c r="H2374" t="s">
        <v>1364</v>
      </c>
      <c r="I2374" t="s">
        <v>1365</v>
      </c>
      <c r="J2374">
        <v>0</v>
      </c>
      <c r="K2374">
        <v>0</v>
      </c>
      <c r="L2374" s="3">
        <v>639</v>
      </c>
      <c r="M2374" s="3">
        <v>0</v>
      </c>
      <c r="N2374">
        <v>0</v>
      </c>
      <c r="O2374">
        <v>3361</v>
      </c>
      <c r="P2374">
        <v>639</v>
      </c>
      <c r="R2374" t="s">
        <v>1100</v>
      </c>
      <c r="S2374" t="str">
        <v>#N/A</v>
      </c>
      <c r="T2374" t="str">
        <v>#N/A</v>
      </c>
    </row>
    <row r="2375" spans="1:20" ht="13.7" customHeight="1" x14ac:dyDescent="0.25">
      <c r="A2375" t="s">
        <v>26</v>
      </c>
      <c r="B2375" t="s">
        <v>27</v>
      </c>
      <c r="C2375" t="s">
        <v>36</v>
      </c>
      <c r="D2375">
        <v>18</v>
      </c>
      <c r="E2375" s="5">
        <v>43624</v>
      </c>
      <c r="F2375">
        <v>24081005</v>
      </c>
      <c r="G2375" t="s">
        <v>729</v>
      </c>
      <c r="H2375" t="s">
        <v>1364</v>
      </c>
      <c r="I2375" t="s">
        <v>1365</v>
      </c>
      <c r="J2375">
        <v>1005</v>
      </c>
      <c r="K2375" t="s">
        <v>693</v>
      </c>
      <c r="L2375" s="3">
        <v>639</v>
      </c>
      <c r="M2375" s="3">
        <v>5796</v>
      </c>
      <c r="N2375">
        <v>0</v>
      </c>
      <c r="O2375">
        <v>30504</v>
      </c>
      <c r="P2375">
        <v>6435</v>
      </c>
      <c r="Q2375" t="s">
        <v>30</v>
      </c>
      <c r="R2375" t="s">
        <v>546</v>
      </c>
      <c r="S2375" t="str">
        <v>#N/A</v>
      </c>
      <c r="T2375" t="str">
        <v>#N/A</v>
      </c>
    </row>
    <row r="2376" spans="1:20" ht="13.7" customHeight="1" x14ac:dyDescent="0.25">
      <c r="A2376" t="s">
        <v>26</v>
      </c>
      <c r="B2376" t="s">
        <v>27</v>
      </c>
      <c r="C2376" t="s">
        <v>40</v>
      </c>
      <c r="D2376">
        <v>16</v>
      </c>
      <c r="E2376" s="5">
        <v>43746</v>
      </c>
      <c r="F2376">
        <v>24081005</v>
      </c>
      <c r="G2376" t="s">
        <v>729</v>
      </c>
      <c r="H2376" t="s">
        <v>1364</v>
      </c>
      <c r="I2376" t="s">
        <v>1365</v>
      </c>
      <c r="J2376">
        <v>1005</v>
      </c>
      <c r="K2376" t="s">
        <v>693</v>
      </c>
      <c r="L2376" s="3">
        <v>6435</v>
      </c>
      <c r="M2376" s="3">
        <v>1061</v>
      </c>
      <c r="N2376">
        <v>0</v>
      </c>
      <c r="O2376">
        <v>5589</v>
      </c>
      <c r="P2376">
        <v>7496</v>
      </c>
      <c r="Q2376" t="s">
        <v>30</v>
      </c>
      <c r="R2376" t="s">
        <v>165</v>
      </c>
      <c r="S2376" t="str">
        <v>#N/A</v>
      </c>
      <c r="T2376" t="str">
        <v>#N/A</v>
      </c>
    </row>
    <row r="2377" spans="1:20" ht="13.7" customHeight="1" x14ac:dyDescent="0.25">
      <c r="A2377" t="s">
        <v>26</v>
      </c>
      <c r="B2377" t="s">
        <v>27</v>
      </c>
      <c r="C2377" t="s">
        <v>40</v>
      </c>
      <c r="D2377">
        <v>20</v>
      </c>
      <c r="E2377" s="5">
        <v>43750</v>
      </c>
      <c r="F2377">
        <v>24081005</v>
      </c>
      <c r="G2377" t="s">
        <v>729</v>
      </c>
      <c r="H2377" t="s">
        <v>1364</v>
      </c>
      <c r="I2377" t="s">
        <v>1365</v>
      </c>
      <c r="J2377">
        <v>1005</v>
      </c>
      <c r="K2377" t="s">
        <v>693</v>
      </c>
      <c r="L2377" s="3">
        <v>7496</v>
      </c>
      <c r="M2377" s="3">
        <v>56</v>
      </c>
      <c r="N2377">
        <v>0</v>
      </c>
      <c r="O2377">
        <v>294</v>
      </c>
      <c r="P2377">
        <v>7552</v>
      </c>
      <c r="Q2377" t="s">
        <v>30</v>
      </c>
      <c r="R2377" t="s">
        <v>166</v>
      </c>
      <c r="S2377" t="str">
        <v>#N/A</v>
      </c>
      <c r="T2377" t="str">
        <v>#N/A</v>
      </c>
    </row>
    <row r="2378" spans="1:20" ht="13.7" customHeight="1" x14ac:dyDescent="0.25">
      <c r="A2378" t="s">
        <v>26</v>
      </c>
      <c r="B2378" t="s">
        <v>27</v>
      </c>
      <c r="C2378" t="s">
        <v>40</v>
      </c>
      <c r="D2378">
        <v>42</v>
      </c>
      <c r="E2378" s="5">
        <v>43758</v>
      </c>
      <c r="F2378">
        <v>24081005</v>
      </c>
      <c r="G2378" t="s">
        <v>729</v>
      </c>
      <c r="H2378" t="s">
        <v>1364</v>
      </c>
      <c r="I2378" t="s">
        <v>1365</v>
      </c>
      <c r="J2378">
        <v>1005</v>
      </c>
      <c r="K2378" t="s">
        <v>693</v>
      </c>
      <c r="L2378" s="3">
        <v>7552</v>
      </c>
      <c r="M2378" s="3">
        <v>492</v>
      </c>
      <c r="N2378">
        <v>0</v>
      </c>
      <c r="O2378">
        <v>2588</v>
      </c>
      <c r="P2378">
        <v>8044</v>
      </c>
      <c r="Q2378" t="s">
        <v>30</v>
      </c>
      <c r="R2378" t="s">
        <v>644</v>
      </c>
      <c r="S2378" t="str">
        <v>#N/A</v>
      </c>
      <c r="T2378" t="str">
        <v>#N/A</v>
      </c>
    </row>
    <row r="2379" spans="1:20" ht="13.7" customHeight="1" x14ac:dyDescent="0.25">
      <c r="E2379" s="5">
        <v>43465</v>
      </c>
      <c r="F2379">
        <v>24081005</v>
      </c>
      <c r="G2379" t="s">
        <v>729</v>
      </c>
      <c r="H2379" t="s">
        <v>1575</v>
      </c>
      <c r="I2379" t="s">
        <v>1576</v>
      </c>
      <c r="J2379">
        <v>0</v>
      </c>
      <c r="K2379">
        <v>0</v>
      </c>
      <c r="L2379" s="3">
        <v>6706</v>
      </c>
      <c r="M2379" s="3">
        <v>0</v>
      </c>
      <c r="N2379">
        <v>0</v>
      </c>
      <c r="O2379">
        <v>35294</v>
      </c>
      <c r="P2379">
        <v>6706</v>
      </c>
      <c r="R2379" t="s">
        <v>1100</v>
      </c>
      <c r="S2379" t="str">
        <v>#N/A</v>
      </c>
      <c r="T2379" t="str">
        <v>#N/A</v>
      </c>
    </row>
    <row r="2380" spans="1:20" ht="13.7" customHeight="1" x14ac:dyDescent="0.25">
      <c r="E2380" s="5">
        <v>43465</v>
      </c>
      <c r="F2380">
        <v>24081005</v>
      </c>
      <c r="G2380" t="s">
        <v>729</v>
      </c>
      <c r="H2380" t="s">
        <v>1301</v>
      </c>
      <c r="I2380" t="s">
        <v>1302</v>
      </c>
      <c r="J2380">
        <v>0</v>
      </c>
      <c r="K2380">
        <v>0</v>
      </c>
      <c r="L2380" s="3">
        <v>957</v>
      </c>
      <c r="M2380" s="3">
        <v>0</v>
      </c>
      <c r="N2380">
        <v>0</v>
      </c>
      <c r="O2380">
        <v>5042</v>
      </c>
      <c r="P2380">
        <v>957</v>
      </c>
      <c r="R2380" t="s">
        <v>1100</v>
      </c>
      <c r="S2380" t="str">
        <v>#N/A</v>
      </c>
      <c r="T2380" t="str">
        <v>31</v>
      </c>
    </row>
    <row r="2381" spans="1:20" ht="13.7" customHeight="1" x14ac:dyDescent="0.25">
      <c r="E2381" s="5">
        <v>43465</v>
      </c>
      <c r="F2381">
        <v>24081005</v>
      </c>
      <c r="G2381" t="s">
        <v>729</v>
      </c>
      <c r="H2381" t="s">
        <v>1382</v>
      </c>
      <c r="I2381" t="s">
        <v>1383</v>
      </c>
      <c r="J2381">
        <v>0</v>
      </c>
      <c r="K2381">
        <v>0</v>
      </c>
      <c r="L2381" s="3">
        <v>47688.1</v>
      </c>
      <c r="M2381" s="3">
        <v>0</v>
      </c>
      <c r="N2381">
        <v>0</v>
      </c>
      <c r="O2381">
        <v>250987</v>
      </c>
      <c r="P2381">
        <v>47688.1</v>
      </c>
      <c r="R2381" t="s">
        <v>1100</v>
      </c>
      <c r="S2381" t="str">
        <v>#N/A</v>
      </c>
      <c r="T2381" t="str">
        <v>#N/A</v>
      </c>
    </row>
    <row r="2382" spans="1:20" ht="13.7" customHeight="1" x14ac:dyDescent="0.25">
      <c r="A2382" t="s">
        <v>26</v>
      </c>
      <c r="B2382" t="s">
        <v>27</v>
      </c>
      <c r="C2382" t="s">
        <v>32</v>
      </c>
      <c r="D2382">
        <v>52</v>
      </c>
      <c r="E2382" s="5">
        <v>43521</v>
      </c>
      <c r="F2382">
        <v>24081005</v>
      </c>
      <c r="G2382" t="s">
        <v>729</v>
      </c>
      <c r="H2382" t="s">
        <v>1382</v>
      </c>
      <c r="I2382" t="s">
        <v>1383</v>
      </c>
      <c r="J2382">
        <v>1005</v>
      </c>
      <c r="K2382" t="s">
        <v>693</v>
      </c>
      <c r="L2382" s="3">
        <v>47688.1</v>
      </c>
      <c r="M2382" s="3">
        <v>8127</v>
      </c>
      <c r="N2382">
        <v>0</v>
      </c>
      <c r="O2382">
        <v>42773</v>
      </c>
      <c r="P2382">
        <v>55815.1</v>
      </c>
      <c r="Q2382" t="s">
        <v>30</v>
      </c>
      <c r="R2382" t="s">
        <v>87</v>
      </c>
      <c r="S2382" t="str">
        <v>#N/A</v>
      </c>
      <c r="T2382" t="str">
        <v>#N/A</v>
      </c>
    </row>
    <row r="2383" spans="1:20" ht="13.7" customHeight="1" x14ac:dyDescent="0.25">
      <c r="A2383" t="s">
        <v>26</v>
      </c>
      <c r="B2383" t="s">
        <v>27</v>
      </c>
      <c r="C2383" t="s">
        <v>36</v>
      </c>
      <c r="D2383">
        <v>12</v>
      </c>
      <c r="E2383" s="5">
        <v>43621</v>
      </c>
      <c r="F2383">
        <v>24081005</v>
      </c>
      <c r="G2383" t="s">
        <v>729</v>
      </c>
      <c r="H2383" t="s">
        <v>1382</v>
      </c>
      <c r="I2383" t="s">
        <v>1383</v>
      </c>
      <c r="J2383">
        <v>1005</v>
      </c>
      <c r="K2383" t="s">
        <v>693</v>
      </c>
      <c r="L2383" s="3">
        <v>55815.1</v>
      </c>
      <c r="M2383" s="3">
        <v>5908</v>
      </c>
      <c r="N2383">
        <v>0</v>
      </c>
      <c r="O2383">
        <v>31093</v>
      </c>
      <c r="P2383">
        <v>61723.1</v>
      </c>
      <c r="Q2383" t="s">
        <v>30</v>
      </c>
      <c r="R2383" t="s">
        <v>266</v>
      </c>
      <c r="S2383" t="str">
        <v>#N/A</v>
      </c>
      <c r="T2383" t="str">
        <v>#N/A</v>
      </c>
    </row>
    <row r="2384" spans="1:20" ht="13.7" customHeight="1" x14ac:dyDescent="0.25">
      <c r="E2384" s="5">
        <v>43465</v>
      </c>
      <c r="F2384">
        <v>24081005</v>
      </c>
      <c r="G2384" t="s">
        <v>729</v>
      </c>
      <c r="H2384" t="s">
        <v>1407</v>
      </c>
      <c r="I2384" t="s">
        <v>1408</v>
      </c>
      <c r="J2384">
        <v>0</v>
      </c>
      <c r="K2384">
        <v>0</v>
      </c>
      <c r="L2384" s="3">
        <v>0</v>
      </c>
      <c r="M2384" s="3">
        <v>0</v>
      </c>
      <c r="N2384">
        <v>0</v>
      </c>
      <c r="O2384">
        <v>0</v>
      </c>
      <c r="P2384">
        <v>0</v>
      </c>
      <c r="R2384" t="s">
        <v>1100</v>
      </c>
      <c r="S2384" t="str">
        <v>#N/A</v>
      </c>
      <c r="T2384" t="str">
        <v>#N/A</v>
      </c>
    </row>
    <row r="2385" spans="1:20" ht="13.7" customHeight="1" x14ac:dyDescent="0.25">
      <c r="A2385" t="s">
        <v>26</v>
      </c>
      <c r="B2385" t="s">
        <v>27</v>
      </c>
      <c r="C2385" t="s">
        <v>39</v>
      </c>
      <c r="D2385">
        <v>43</v>
      </c>
      <c r="E2385" s="5">
        <v>43729</v>
      </c>
      <c r="F2385">
        <v>24081005</v>
      </c>
      <c r="G2385" t="s">
        <v>729</v>
      </c>
      <c r="H2385" t="s">
        <v>1407</v>
      </c>
      <c r="I2385" t="s">
        <v>1408</v>
      </c>
      <c r="J2385">
        <v>1005</v>
      </c>
      <c r="K2385" t="s">
        <v>693</v>
      </c>
      <c r="L2385" s="3">
        <v>0</v>
      </c>
      <c r="M2385" s="3">
        <v>12757</v>
      </c>
      <c r="N2385">
        <v>0</v>
      </c>
      <c r="O2385">
        <v>67143</v>
      </c>
      <c r="P2385">
        <v>12757</v>
      </c>
      <c r="Q2385" t="s">
        <v>30</v>
      </c>
      <c r="R2385" t="s">
        <v>537</v>
      </c>
      <c r="S2385" t="str">
        <v>#N/A</v>
      </c>
      <c r="T2385" t="str">
        <v>#N/A</v>
      </c>
    </row>
    <row r="2386" spans="1:20" ht="13.7" customHeight="1" x14ac:dyDescent="0.25">
      <c r="E2386" s="5">
        <v>43465</v>
      </c>
      <c r="F2386">
        <v>24081005</v>
      </c>
      <c r="G2386" t="s">
        <v>729</v>
      </c>
      <c r="H2386" t="s">
        <v>1401</v>
      </c>
      <c r="I2386" t="s">
        <v>1402</v>
      </c>
      <c r="J2386">
        <v>0</v>
      </c>
      <c r="K2386">
        <v>0</v>
      </c>
      <c r="L2386" s="3">
        <v>0</v>
      </c>
      <c r="M2386" s="3">
        <v>0</v>
      </c>
      <c r="N2386">
        <v>0</v>
      </c>
      <c r="O2386">
        <v>0</v>
      </c>
      <c r="P2386">
        <v>0</v>
      </c>
      <c r="R2386" t="s">
        <v>1100</v>
      </c>
      <c r="S2386" t="str">
        <v>#N/A</v>
      </c>
      <c r="T2386" t="str">
        <v>#N/A</v>
      </c>
    </row>
    <row r="2387" spans="1:20" ht="13.7" customHeight="1" x14ac:dyDescent="0.25">
      <c r="A2387" t="s">
        <v>26</v>
      </c>
      <c r="B2387" t="s">
        <v>27</v>
      </c>
      <c r="C2387" t="s">
        <v>39</v>
      </c>
      <c r="D2387">
        <v>27</v>
      </c>
      <c r="E2387" s="5">
        <v>43721</v>
      </c>
      <c r="F2387">
        <v>24081005</v>
      </c>
      <c r="G2387" t="s">
        <v>729</v>
      </c>
      <c r="H2387" t="s">
        <v>1401</v>
      </c>
      <c r="I2387" t="s">
        <v>1402</v>
      </c>
      <c r="J2387">
        <v>1005</v>
      </c>
      <c r="K2387" t="s">
        <v>693</v>
      </c>
      <c r="L2387" s="3">
        <v>0</v>
      </c>
      <c r="M2387" s="3">
        <v>4782</v>
      </c>
      <c r="N2387">
        <v>0</v>
      </c>
      <c r="O2387">
        <v>25168</v>
      </c>
      <c r="P2387">
        <v>4782</v>
      </c>
      <c r="Q2387" t="s">
        <v>30</v>
      </c>
      <c r="R2387" t="s">
        <v>537</v>
      </c>
      <c r="S2387" t="str">
        <v>#N/A</v>
      </c>
      <c r="T2387" t="str">
        <v>#N/A</v>
      </c>
    </row>
    <row r="2388" spans="1:20" ht="13.7" customHeight="1" x14ac:dyDescent="0.25">
      <c r="E2388" s="5">
        <v>43465</v>
      </c>
      <c r="F2388">
        <v>24081005</v>
      </c>
      <c r="G2388" t="s">
        <v>729</v>
      </c>
      <c r="H2388" t="s">
        <v>1577</v>
      </c>
      <c r="I2388" t="s">
        <v>1578</v>
      </c>
      <c r="J2388">
        <v>0</v>
      </c>
      <c r="K2388">
        <v>0</v>
      </c>
      <c r="L2388" s="3">
        <v>0</v>
      </c>
      <c r="M2388" s="3">
        <v>0</v>
      </c>
      <c r="N2388">
        <v>0</v>
      </c>
      <c r="O2388">
        <v>0</v>
      </c>
      <c r="P2388">
        <v>0</v>
      </c>
      <c r="R2388" t="s">
        <v>1100</v>
      </c>
      <c r="S2388" t="str">
        <v>#N/A</v>
      </c>
      <c r="T2388" t="str">
        <v>#N/A</v>
      </c>
    </row>
    <row r="2389" spans="1:20" ht="13.7" customHeight="1" x14ac:dyDescent="0.25">
      <c r="A2389" t="s">
        <v>26</v>
      </c>
      <c r="B2389" t="s">
        <v>27</v>
      </c>
      <c r="C2389" t="s">
        <v>180</v>
      </c>
      <c r="D2389">
        <v>28</v>
      </c>
      <c r="E2389" s="5">
        <v>43800</v>
      </c>
      <c r="F2389">
        <v>24081005</v>
      </c>
      <c r="G2389" t="s">
        <v>729</v>
      </c>
      <c r="H2389" t="s">
        <v>1577</v>
      </c>
      <c r="I2389" t="s">
        <v>1578</v>
      </c>
      <c r="J2389">
        <v>1005</v>
      </c>
      <c r="K2389" t="s">
        <v>693</v>
      </c>
      <c r="L2389" s="3">
        <v>0</v>
      </c>
      <c r="M2389" s="3">
        <v>14362</v>
      </c>
      <c r="N2389">
        <v>0</v>
      </c>
      <c r="O2389">
        <v>75588</v>
      </c>
      <c r="P2389">
        <v>14362</v>
      </c>
      <c r="Q2389" t="s">
        <v>30</v>
      </c>
      <c r="R2389" t="s">
        <v>537</v>
      </c>
      <c r="S2389" t="str">
        <v>#N/A</v>
      </c>
      <c r="T2389" t="str">
        <v>#N/A</v>
      </c>
    </row>
    <row r="2390" spans="1:20" ht="13.7" customHeight="1" x14ac:dyDescent="0.25">
      <c r="E2390" s="5">
        <v>43465</v>
      </c>
      <c r="F2390">
        <v>24081005</v>
      </c>
      <c r="G2390" t="s">
        <v>729</v>
      </c>
      <c r="H2390" t="s">
        <v>1368</v>
      </c>
      <c r="I2390" t="s">
        <v>1369</v>
      </c>
      <c r="J2390">
        <v>0</v>
      </c>
      <c r="K2390">
        <v>0</v>
      </c>
      <c r="L2390" s="3">
        <v>0</v>
      </c>
      <c r="M2390" s="3">
        <v>0</v>
      </c>
      <c r="N2390">
        <v>0</v>
      </c>
      <c r="O2390">
        <v>0</v>
      </c>
      <c r="P2390">
        <v>0</v>
      </c>
      <c r="R2390" t="s">
        <v>1100</v>
      </c>
      <c r="S2390" t="str">
        <v>#N/A</v>
      </c>
      <c r="T2390" t="str">
        <v>#N/A</v>
      </c>
    </row>
    <row r="2391" spans="1:20" ht="13.7" customHeight="1" x14ac:dyDescent="0.25">
      <c r="A2391" t="s">
        <v>26</v>
      </c>
      <c r="B2391" t="s">
        <v>27</v>
      </c>
      <c r="C2391" t="s">
        <v>28</v>
      </c>
      <c r="D2391">
        <v>31</v>
      </c>
      <c r="E2391" s="5">
        <v>43500</v>
      </c>
      <c r="F2391">
        <v>24081005</v>
      </c>
      <c r="G2391" t="s">
        <v>729</v>
      </c>
      <c r="H2391" t="s">
        <v>1368</v>
      </c>
      <c r="I2391" t="s">
        <v>1369</v>
      </c>
      <c r="J2391">
        <v>1005</v>
      </c>
      <c r="K2391" t="s">
        <v>693</v>
      </c>
      <c r="L2391" s="3">
        <v>0</v>
      </c>
      <c r="M2391" s="3">
        <v>22800</v>
      </c>
      <c r="N2391">
        <v>0</v>
      </c>
      <c r="O2391">
        <v>120000</v>
      </c>
      <c r="P2391">
        <v>22800</v>
      </c>
      <c r="Q2391" t="s">
        <v>30</v>
      </c>
      <c r="R2391" t="s">
        <v>213</v>
      </c>
      <c r="S2391" t="str">
        <v>#N/A</v>
      </c>
      <c r="T2391" t="str">
        <v>#N/A</v>
      </c>
    </row>
    <row r="2392" spans="1:20" ht="13.7" customHeight="1" x14ac:dyDescent="0.25">
      <c r="E2392" s="5">
        <v>43465</v>
      </c>
      <c r="F2392">
        <v>24081005</v>
      </c>
      <c r="G2392" t="s">
        <v>729</v>
      </c>
      <c r="H2392" t="s">
        <v>1161</v>
      </c>
      <c r="I2392" t="s">
        <v>1162</v>
      </c>
      <c r="J2392">
        <v>0</v>
      </c>
      <c r="K2392">
        <v>0</v>
      </c>
      <c r="L2392" s="3">
        <v>4389</v>
      </c>
      <c r="M2392" s="3">
        <v>0</v>
      </c>
      <c r="N2392">
        <v>0</v>
      </c>
      <c r="O2392">
        <v>23100</v>
      </c>
      <c r="P2392">
        <v>4389</v>
      </c>
      <c r="R2392" t="s">
        <v>1100</v>
      </c>
      <c r="S2392" t="str">
        <v>#N/A</v>
      </c>
      <c r="T2392" t="str">
        <v>#N/A</v>
      </c>
    </row>
    <row r="2393" spans="1:20" ht="13.7" customHeight="1" x14ac:dyDescent="0.25">
      <c r="E2393" s="5">
        <v>43465</v>
      </c>
      <c r="F2393">
        <v>24081005</v>
      </c>
      <c r="G2393" t="s">
        <v>729</v>
      </c>
      <c r="H2393" t="s">
        <v>1211</v>
      </c>
      <c r="I2393" t="s">
        <v>1212</v>
      </c>
      <c r="J2393">
        <v>0</v>
      </c>
      <c r="K2393">
        <v>0</v>
      </c>
      <c r="L2393" s="3">
        <v>115405</v>
      </c>
      <c r="M2393" s="3">
        <v>0</v>
      </c>
      <c r="N2393">
        <v>0</v>
      </c>
      <c r="O2393">
        <v>607395</v>
      </c>
      <c r="P2393">
        <v>115405</v>
      </c>
      <c r="R2393" t="s">
        <v>1100</v>
      </c>
      <c r="S2393" t="str">
        <v>#N/A</v>
      </c>
      <c r="T2393" t="str">
        <v>#N/A</v>
      </c>
    </row>
    <row r="2394" spans="1:20" ht="13.7" customHeight="1" x14ac:dyDescent="0.25">
      <c r="A2394" t="s">
        <v>26</v>
      </c>
      <c r="B2394" t="s">
        <v>27</v>
      </c>
      <c r="C2394" t="s">
        <v>28</v>
      </c>
      <c r="D2394">
        <v>66</v>
      </c>
      <c r="E2394" s="5">
        <v>43491</v>
      </c>
      <c r="F2394">
        <v>24081005</v>
      </c>
      <c r="G2394" t="s">
        <v>729</v>
      </c>
      <c r="H2394" t="s">
        <v>1211</v>
      </c>
      <c r="I2394" t="s">
        <v>1212</v>
      </c>
      <c r="J2394">
        <v>1005</v>
      </c>
      <c r="K2394" t="s">
        <v>693</v>
      </c>
      <c r="L2394" s="3">
        <v>115405</v>
      </c>
      <c r="M2394" s="3">
        <v>42822</v>
      </c>
      <c r="N2394">
        <v>0</v>
      </c>
      <c r="O2394">
        <v>225379</v>
      </c>
      <c r="P2394">
        <v>158227</v>
      </c>
      <c r="Q2394" t="s">
        <v>30</v>
      </c>
      <c r="R2394" t="s">
        <v>537</v>
      </c>
      <c r="S2394" t="str">
        <v>#N/A</v>
      </c>
      <c r="T2394" t="str">
        <v>#N/A</v>
      </c>
    </row>
    <row r="2395" spans="1:20" ht="13.7" customHeight="1" x14ac:dyDescent="0.25">
      <c r="E2395" s="5">
        <v>43465</v>
      </c>
      <c r="F2395">
        <v>24081005</v>
      </c>
      <c r="G2395" t="s">
        <v>729</v>
      </c>
      <c r="H2395" t="s">
        <v>1579</v>
      </c>
      <c r="I2395" t="s">
        <v>1580</v>
      </c>
      <c r="J2395">
        <v>0</v>
      </c>
      <c r="K2395">
        <v>0</v>
      </c>
      <c r="L2395" s="3">
        <v>0</v>
      </c>
      <c r="M2395" s="3">
        <v>0</v>
      </c>
      <c r="N2395">
        <v>0</v>
      </c>
      <c r="O2395">
        <v>0</v>
      </c>
      <c r="P2395">
        <v>0</v>
      </c>
      <c r="R2395" t="s">
        <v>1100</v>
      </c>
      <c r="S2395" t="str">
        <v>#N/A</v>
      </c>
      <c r="T2395" t="str">
        <v>#N/A</v>
      </c>
    </row>
    <row r="2396" spans="1:20" ht="13.7" customHeight="1" x14ac:dyDescent="0.25">
      <c r="A2396" t="s">
        <v>26</v>
      </c>
      <c r="B2396" t="s">
        <v>27</v>
      </c>
      <c r="C2396" t="s">
        <v>28</v>
      </c>
      <c r="D2396">
        <v>61</v>
      </c>
      <c r="E2396" s="5">
        <v>43488</v>
      </c>
      <c r="F2396">
        <v>24081005</v>
      </c>
      <c r="G2396" t="s">
        <v>729</v>
      </c>
      <c r="H2396" t="s">
        <v>1579</v>
      </c>
      <c r="I2396" t="s">
        <v>1580</v>
      </c>
      <c r="J2396">
        <v>1005</v>
      </c>
      <c r="K2396" t="s">
        <v>693</v>
      </c>
      <c r="L2396" s="3">
        <v>0</v>
      </c>
      <c r="M2396" s="3">
        <v>239</v>
      </c>
      <c r="N2396">
        <v>0</v>
      </c>
      <c r="O2396">
        <v>1260</v>
      </c>
      <c r="P2396">
        <v>239</v>
      </c>
      <c r="Q2396" t="s">
        <v>30</v>
      </c>
      <c r="R2396" t="s">
        <v>149</v>
      </c>
      <c r="S2396" t="str">
        <v>#N/A</v>
      </c>
      <c r="T2396" t="str">
        <v>#N/A</v>
      </c>
    </row>
    <row r="2397" spans="1:20" ht="13.7" customHeight="1" x14ac:dyDescent="0.25">
      <c r="E2397" s="5">
        <v>43465</v>
      </c>
      <c r="F2397">
        <v>24081005</v>
      </c>
      <c r="G2397" t="s">
        <v>729</v>
      </c>
      <c r="H2397" t="s">
        <v>1225</v>
      </c>
      <c r="I2397" t="s">
        <v>1226</v>
      </c>
      <c r="J2397">
        <v>0</v>
      </c>
      <c r="K2397">
        <v>0</v>
      </c>
      <c r="L2397" s="3">
        <v>0</v>
      </c>
      <c r="M2397" s="3">
        <v>0</v>
      </c>
      <c r="N2397">
        <v>0</v>
      </c>
      <c r="O2397">
        <v>0</v>
      </c>
      <c r="P2397">
        <v>0</v>
      </c>
      <c r="R2397" t="s">
        <v>1100</v>
      </c>
      <c r="S2397" t="str">
        <v>#N/A</v>
      </c>
      <c r="T2397" t="str">
        <v>#N/A</v>
      </c>
    </row>
    <row r="2398" spans="1:20" ht="13.7" customHeight="1" x14ac:dyDescent="0.25">
      <c r="A2398" t="s">
        <v>26</v>
      </c>
      <c r="B2398" t="s">
        <v>27</v>
      </c>
      <c r="C2398" t="s">
        <v>35</v>
      </c>
      <c r="D2398">
        <v>48</v>
      </c>
      <c r="E2398" s="5">
        <v>43600</v>
      </c>
      <c r="F2398">
        <v>24081005</v>
      </c>
      <c r="G2398" t="s">
        <v>729</v>
      </c>
      <c r="H2398" t="s">
        <v>1225</v>
      </c>
      <c r="I2398" t="s">
        <v>1226</v>
      </c>
      <c r="J2398">
        <v>1005</v>
      </c>
      <c r="K2398" t="s">
        <v>693</v>
      </c>
      <c r="L2398" s="3">
        <v>0</v>
      </c>
      <c r="M2398" s="3">
        <v>208</v>
      </c>
      <c r="N2398">
        <v>0</v>
      </c>
      <c r="O2398">
        <v>1092</v>
      </c>
      <c r="P2398">
        <v>208</v>
      </c>
      <c r="Q2398" t="s">
        <v>30</v>
      </c>
      <c r="R2398" t="s">
        <v>132</v>
      </c>
      <c r="S2398" t="str">
        <v>#N/A</v>
      </c>
      <c r="T2398" t="str">
        <v>#N/A</v>
      </c>
    </row>
    <row r="2399" spans="1:20" ht="13.7" customHeight="1" x14ac:dyDescent="0.25">
      <c r="A2399" t="s">
        <v>26</v>
      </c>
      <c r="B2399" t="s">
        <v>27</v>
      </c>
      <c r="C2399" t="s">
        <v>35</v>
      </c>
      <c r="D2399">
        <v>49</v>
      </c>
      <c r="E2399" s="5">
        <v>43600</v>
      </c>
      <c r="F2399">
        <v>24081005</v>
      </c>
      <c r="G2399" t="s">
        <v>729</v>
      </c>
      <c r="H2399" t="s">
        <v>1225</v>
      </c>
      <c r="I2399" t="s">
        <v>1226</v>
      </c>
      <c r="J2399">
        <v>1005</v>
      </c>
      <c r="K2399" t="s">
        <v>693</v>
      </c>
      <c r="L2399" s="3">
        <v>208</v>
      </c>
      <c r="M2399" s="3">
        <v>718</v>
      </c>
      <c r="N2399">
        <v>0</v>
      </c>
      <c r="O2399">
        <v>3782</v>
      </c>
      <c r="P2399">
        <v>926</v>
      </c>
      <c r="Q2399" t="s">
        <v>30</v>
      </c>
      <c r="R2399" t="s">
        <v>132</v>
      </c>
      <c r="S2399" t="str">
        <v>#N/A</v>
      </c>
      <c r="T2399" t="str">
        <v>#N/A</v>
      </c>
    </row>
    <row r="2400" spans="1:20" ht="13.7" customHeight="1" x14ac:dyDescent="0.25">
      <c r="E2400" s="5">
        <v>43465</v>
      </c>
      <c r="F2400">
        <v>24081005</v>
      </c>
      <c r="G2400" t="s">
        <v>729</v>
      </c>
      <c r="H2400" t="s">
        <v>1127</v>
      </c>
      <c r="I2400" t="s">
        <v>1128</v>
      </c>
      <c r="J2400">
        <v>0</v>
      </c>
      <c r="K2400">
        <v>0</v>
      </c>
      <c r="L2400" s="3">
        <v>-1598710.54</v>
      </c>
      <c r="M2400" s="3">
        <v>0</v>
      </c>
      <c r="N2400">
        <v>0</v>
      </c>
      <c r="O2400">
        <v>-8414266</v>
      </c>
      <c r="P2400">
        <v>-1598710.54</v>
      </c>
      <c r="R2400" t="s">
        <v>1100</v>
      </c>
      <c r="S2400" t="str">
        <v>#N/A</v>
      </c>
      <c r="T2400" t="str">
        <v>#N/A</v>
      </c>
    </row>
    <row r="2401" spans="1:20" ht="13.7" customHeight="1" x14ac:dyDescent="0.25">
      <c r="E2401" s="5">
        <v>43465</v>
      </c>
      <c r="F2401">
        <v>24081005</v>
      </c>
      <c r="G2401" t="s">
        <v>729</v>
      </c>
      <c r="H2401" t="s">
        <v>1221</v>
      </c>
      <c r="I2401" t="s">
        <v>1222</v>
      </c>
      <c r="J2401">
        <v>0</v>
      </c>
      <c r="K2401">
        <v>0</v>
      </c>
      <c r="L2401" s="3">
        <v>0</v>
      </c>
      <c r="M2401" s="3">
        <v>0</v>
      </c>
      <c r="N2401">
        <v>0</v>
      </c>
      <c r="O2401">
        <v>0</v>
      </c>
      <c r="P2401">
        <v>0</v>
      </c>
      <c r="R2401" t="s">
        <v>1100</v>
      </c>
      <c r="S2401" t="str">
        <v>#N/A</v>
      </c>
      <c r="T2401" t="str">
        <v>#N/A</v>
      </c>
    </row>
    <row r="2402" spans="1:20" ht="13.7" customHeight="1" x14ac:dyDescent="0.25">
      <c r="A2402" t="s">
        <v>26</v>
      </c>
      <c r="B2402" t="s">
        <v>27</v>
      </c>
      <c r="C2402" t="s">
        <v>38</v>
      </c>
      <c r="D2402">
        <v>30</v>
      </c>
      <c r="E2402" s="5">
        <v>43694</v>
      </c>
      <c r="F2402">
        <v>24081005</v>
      </c>
      <c r="G2402" t="s">
        <v>729</v>
      </c>
      <c r="H2402" t="s">
        <v>1221</v>
      </c>
      <c r="I2402" t="s">
        <v>1222</v>
      </c>
      <c r="J2402">
        <v>1005</v>
      </c>
      <c r="K2402" t="s">
        <v>693</v>
      </c>
      <c r="L2402" s="3">
        <v>0</v>
      </c>
      <c r="M2402" s="3">
        <v>109291</v>
      </c>
      <c r="N2402">
        <v>0</v>
      </c>
      <c r="O2402">
        <v>575209</v>
      </c>
      <c r="P2402">
        <v>109291</v>
      </c>
      <c r="Q2402" t="s">
        <v>30</v>
      </c>
      <c r="R2402" t="s">
        <v>556</v>
      </c>
      <c r="S2402" t="str">
        <v>#N/A</v>
      </c>
      <c r="T2402" t="str">
        <v>#N/A</v>
      </c>
    </row>
    <row r="2403" spans="1:20" ht="13.7" customHeight="1" x14ac:dyDescent="0.25">
      <c r="A2403" t="s">
        <v>26</v>
      </c>
      <c r="B2403" t="s">
        <v>27</v>
      </c>
      <c r="C2403" t="s">
        <v>39</v>
      </c>
      <c r="D2403">
        <v>12</v>
      </c>
      <c r="E2403" s="5">
        <v>43713</v>
      </c>
      <c r="F2403">
        <v>24081005</v>
      </c>
      <c r="G2403" t="s">
        <v>729</v>
      </c>
      <c r="H2403" t="s">
        <v>1221</v>
      </c>
      <c r="I2403" t="s">
        <v>1222</v>
      </c>
      <c r="J2403">
        <v>1005</v>
      </c>
      <c r="K2403" t="s">
        <v>693</v>
      </c>
      <c r="L2403" s="3">
        <v>109291</v>
      </c>
      <c r="M2403" s="3">
        <v>8622</v>
      </c>
      <c r="N2403">
        <v>0</v>
      </c>
      <c r="O2403">
        <v>45378</v>
      </c>
      <c r="P2403">
        <v>117913</v>
      </c>
      <c r="Q2403" t="s">
        <v>30</v>
      </c>
      <c r="R2403" t="s">
        <v>564</v>
      </c>
      <c r="S2403" t="str">
        <v>#N/A</v>
      </c>
      <c r="T2403" t="str">
        <v>#N/A</v>
      </c>
    </row>
    <row r="2404" spans="1:20" ht="13.7" customHeight="1" x14ac:dyDescent="0.25">
      <c r="A2404" t="s">
        <v>26</v>
      </c>
      <c r="B2404" t="s">
        <v>27</v>
      </c>
      <c r="C2404" t="s">
        <v>39</v>
      </c>
      <c r="D2404">
        <v>14</v>
      </c>
      <c r="E2404" s="5">
        <v>43714</v>
      </c>
      <c r="F2404">
        <v>24081005</v>
      </c>
      <c r="G2404" t="s">
        <v>729</v>
      </c>
      <c r="H2404" t="s">
        <v>1221</v>
      </c>
      <c r="I2404" t="s">
        <v>1222</v>
      </c>
      <c r="J2404">
        <v>1005</v>
      </c>
      <c r="K2404" t="s">
        <v>693</v>
      </c>
      <c r="L2404" s="3">
        <v>117913</v>
      </c>
      <c r="M2404" s="3">
        <v>129568</v>
      </c>
      <c r="N2404">
        <v>0</v>
      </c>
      <c r="O2404">
        <v>681932</v>
      </c>
      <c r="P2404">
        <v>247481</v>
      </c>
      <c r="Q2404" t="s">
        <v>30</v>
      </c>
      <c r="R2404" t="s">
        <v>565</v>
      </c>
      <c r="S2404" t="str">
        <v>#N/A</v>
      </c>
      <c r="T2404" t="str">
        <v>#N/A</v>
      </c>
    </row>
    <row r="2405" spans="1:20" ht="13.7" customHeight="1" x14ac:dyDescent="0.25">
      <c r="A2405" t="s">
        <v>26</v>
      </c>
      <c r="B2405" t="s">
        <v>27</v>
      </c>
      <c r="C2405" t="s">
        <v>39</v>
      </c>
      <c r="D2405">
        <v>19</v>
      </c>
      <c r="E2405" s="5">
        <v>43718</v>
      </c>
      <c r="F2405">
        <v>24081005</v>
      </c>
      <c r="G2405" t="s">
        <v>729</v>
      </c>
      <c r="H2405" t="s">
        <v>1221</v>
      </c>
      <c r="I2405" t="s">
        <v>1222</v>
      </c>
      <c r="J2405">
        <v>1005</v>
      </c>
      <c r="K2405" t="s">
        <v>693</v>
      </c>
      <c r="L2405" s="3">
        <v>247481</v>
      </c>
      <c r="M2405" s="3">
        <v>10705</v>
      </c>
      <c r="N2405">
        <v>0</v>
      </c>
      <c r="O2405">
        <v>56341</v>
      </c>
      <c r="P2405">
        <v>258186</v>
      </c>
      <c r="Q2405" t="s">
        <v>30</v>
      </c>
      <c r="R2405" t="s">
        <v>565</v>
      </c>
      <c r="S2405" t="str">
        <v>#N/A</v>
      </c>
      <c r="T2405" t="str">
        <v>#N/A</v>
      </c>
    </row>
    <row r="2406" spans="1:20" ht="13.7" customHeight="1" x14ac:dyDescent="0.25">
      <c r="A2406" t="s">
        <v>26</v>
      </c>
      <c r="B2406" t="s">
        <v>27</v>
      </c>
      <c r="C2406" t="s">
        <v>39</v>
      </c>
      <c r="D2406">
        <v>52</v>
      </c>
      <c r="E2406" s="5">
        <v>43734</v>
      </c>
      <c r="F2406">
        <v>24081005</v>
      </c>
      <c r="G2406" t="s">
        <v>729</v>
      </c>
      <c r="H2406" t="s">
        <v>1221</v>
      </c>
      <c r="I2406" t="s">
        <v>1222</v>
      </c>
      <c r="J2406">
        <v>1005</v>
      </c>
      <c r="K2406" t="s">
        <v>693</v>
      </c>
      <c r="L2406" s="3">
        <v>258186</v>
      </c>
      <c r="M2406" s="3">
        <v>197713</v>
      </c>
      <c r="N2406">
        <v>0</v>
      </c>
      <c r="O2406">
        <v>1040597</v>
      </c>
      <c r="P2406">
        <v>455899</v>
      </c>
      <c r="Q2406" t="s">
        <v>30</v>
      </c>
      <c r="R2406" t="s">
        <v>569</v>
      </c>
      <c r="S2406" t="str">
        <v>#N/A</v>
      </c>
      <c r="T2406" t="str">
        <v>#N/A</v>
      </c>
    </row>
    <row r="2407" spans="1:20" ht="13.7" customHeight="1" x14ac:dyDescent="0.25">
      <c r="A2407" t="s">
        <v>26</v>
      </c>
      <c r="B2407" t="s">
        <v>27</v>
      </c>
      <c r="C2407" t="s">
        <v>39</v>
      </c>
      <c r="D2407">
        <v>10</v>
      </c>
      <c r="E2407" s="5">
        <v>43745</v>
      </c>
      <c r="F2407">
        <v>24081005</v>
      </c>
      <c r="G2407" t="s">
        <v>729</v>
      </c>
      <c r="H2407" t="s">
        <v>1221</v>
      </c>
      <c r="I2407" t="s">
        <v>1222</v>
      </c>
      <c r="J2407">
        <v>1005</v>
      </c>
      <c r="K2407" t="s">
        <v>693</v>
      </c>
      <c r="L2407" s="3">
        <v>455899</v>
      </c>
      <c r="M2407" s="3">
        <v>27391</v>
      </c>
      <c r="N2407">
        <v>0</v>
      </c>
      <c r="O2407">
        <v>144161</v>
      </c>
      <c r="P2407">
        <v>483290</v>
      </c>
      <c r="Q2407" t="s">
        <v>30</v>
      </c>
      <c r="R2407" t="s">
        <v>570</v>
      </c>
      <c r="S2407" t="str">
        <v>#N/A</v>
      </c>
      <c r="T2407" t="str">
        <v>#N/A</v>
      </c>
    </row>
    <row r="2408" spans="1:20" ht="13.7" customHeight="1" x14ac:dyDescent="0.25">
      <c r="E2408" s="5">
        <v>43465</v>
      </c>
      <c r="F2408">
        <v>24081005</v>
      </c>
      <c r="G2408" t="s">
        <v>729</v>
      </c>
      <c r="H2408" t="s">
        <v>1581</v>
      </c>
      <c r="I2408" t="s">
        <v>1582</v>
      </c>
      <c r="J2408">
        <v>0</v>
      </c>
      <c r="K2408">
        <v>0</v>
      </c>
      <c r="L2408" s="3">
        <v>1101.6199999999999</v>
      </c>
      <c r="M2408" s="3">
        <v>0</v>
      </c>
      <c r="N2408">
        <v>0</v>
      </c>
      <c r="O2408">
        <v>5798</v>
      </c>
      <c r="P2408">
        <v>1101.6199999999999</v>
      </c>
      <c r="R2408" t="s">
        <v>1100</v>
      </c>
      <c r="S2408" t="str">
        <v>#N/A</v>
      </c>
      <c r="T2408" t="str">
        <v>#N/A</v>
      </c>
    </row>
    <row r="2409" spans="1:20" ht="13.7" customHeight="1" x14ac:dyDescent="0.25">
      <c r="E2409" s="5">
        <v>43465</v>
      </c>
      <c r="F2409">
        <v>24081005</v>
      </c>
      <c r="G2409" t="s">
        <v>729</v>
      </c>
      <c r="H2409" t="s">
        <v>1509</v>
      </c>
      <c r="I2409" t="s">
        <v>1510</v>
      </c>
      <c r="J2409">
        <v>0</v>
      </c>
      <c r="K2409">
        <v>0</v>
      </c>
      <c r="L2409" s="3">
        <v>1677</v>
      </c>
      <c r="M2409" s="3">
        <v>0</v>
      </c>
      <c r="N2409">
        <v>0</v>
      </c>
      <c r="O2409">
        <v>8823</v>
      </c>
      <c r="P2409">
        <v>1677</v>
      </c>
      <c r="R2409" t="s">
        <v>1100</v>
      </c>
      <c r="S2409" t="str">
        <v>#N/A</v>
      </c>
      <c r="T2409" t="str">
        <v>#N/A</v>
      </c>
    </row>
    <row r="2410" spans="1:20" ht="13.7" customHeight="1" x14ac:dyDescent="0.25">
      <c r="E2410" s="5">
        <v>43465</v>
      </c>
      <c r="F2410">
        <v>24081005</v>
      </c>
      <c r="G2410" t="s">
        <v>729</v>
      </c>
      <c r="H2410" t="s">
        <v>1583</v>
      </c>
      <c r="I2410" t="s">
        <v>1584</v>
      </c>
      <c r="J2410">
        <v>0</v>
      </c>
      <c r="K2410">
        <v>0</v>
      </c>
      <c r="L2410" s="3">
        <v>5429.52</v>
      </c>
      <c r="M2410" s="3">
        <v>0</v>
      </c>
      <c r="N2410">
        <v>0</v>
      </c>
      <c r="O2410">
        <v>28576</v>
      </c>
      <c r="P2410">
        <v>5429.52</v>
      </c>
      <c r="R2410" t="s">
        <v>1100</v>
      </c>
      <c r="S2410" t="str">
        <v>#N/A</v>
      </c>
      <c r="T2410" t="str">
        <v>#N/A</v>
      </c>
    </row>
    <row r="2411" spans="1:20" ht="13.7" customHeight="1" x14ac:dyDescent="0.25">
      <c r="E2411" s="5">
        <v>43465</v>
      </c>
      <c r="F2411">
        <v>24081005</v>
      </c>
      <c r="G2411" t="s">
        <v>729</v>
      </c>
      <c r="H2411" t="s">
        <v>1397</v>
      </c>
      <c r="I2411" t="s">
        <v>1398</v>
      </c>
      <c r="J2411">
        <v>0</v>
      </c>
      <c r="K2411">
        <v>0</v>
      </c>
      <c r="L2411" s="3">
        <v>0</v>
      </c>
      <c r="M2411" s="3">
        <v>0</v>
      </c>
      <c r="N2411">
        <v>0</v>
      </c>
      <c r="O2411">
        <v>0</v>
      </c>
      <c r="P2411">
        <v>0</v>
      </c>
      <c r="R2411" t="s">
        <v>1100</v>
      </c>
      <c r="S2411" t="str">
        <v>#N/A</v>
      </c>
      <c r="T2411" t="str">
        <v>#N/A</v>
      </c>
    </row>
    <row r="2412" spans="1:20" ht="13.7" customHeight="1" x14ac:dyDescent="0.25">
      <c r="A2412" t="s">
        <v>26</v>
      </c>
      <c r="B2412" t="s">
        <v>27</v>
      </c>
      <c r="C2412" t="s">
        <v>36</v>
      </c>
      <c r="D2412">
        <v>47</v>
      </c>
      <c r="E2412" s="5">
        <v>43637</v>
      </c>
      <c r="F2412">
        <v>24081005</v>
      </c>
      <c r="G2412" t="s">
        <v>729</v>
      </c>
      <c r="H2412" t="s">
        <v>1397</v>
      </c>
      <c r="I2412" t="s">
        <v>1398</v>
      </c>
      <c r="J2412">
        <v>1005</v>
      </c>
      <c r="K2412" t="s">
        <v>693</v>
      </c>
      <c r="L2412" s="3">
        <v>0</v>
      </c>
      <c r="M2412" s="3">
        <v>13731</v>
      </c>
      <c r="N2412">
        <v>0</v>
      </c>
      <c r="O2412">
        <v>72268</v>
      </c>
      <c r="P2412">
        <v>13731</v>
      </c>
      <c r="Q2412" t="s">
        <v>30</v>
      </c>
      <c r="R2412" t="s">
        <v>272</v>
      </c>
      <c r="S2412" t="str">
        <v>#N/A</v>
      </c>
      <c r="T2412" t="str">
        <v>#N/A</v>
      </c>
    </row>
    <row r="2413" spans="1:20" ht="13.7" customHeight="1" x14ac:dyDescent="0.25">
      <c r="A2413" t="s">
        <v>26</v>
      </c>
      <c r="B2413" t="s">
        <v>27</v>
      </c>
      <c r="C2413" t="s">
        <v>36</v>
      </c>
      <c r="D2413">
        <v>48</v>
      </c>
      <c r="E2413" s="5">
        <v>43637</v>
      </c>
      <c r="F2413">
        <v>24081005</v>
      </c>
      <c r="G2413" t="s">
        <v>729</v>
      </c>
      <c r="H2413" t="s">
        <v>1397</v>
      </c>
      <c r="I2413" t="s">
        <v>1398</v>
      </c>
      <c r="J2413">
        <v>1005</v>
      </c>
      <c r="K2413" t="s">
        <v>693</v>
      </c>
      <c r="L2413" s="3">
        <v>13731</v>
      </c>
      <c r="M2413" s="3">
        <v>39437</v>
      </c>
      <c r="N2413">
        <v>0</v>
      </c>
      <c r="O2413">
        <v>207563</v>
      </c>
      <c r="P2413">
        <v>53168</v>
      </c>
      <c r="Q2413" t="s">
        <v>30</v>
      </c>
      <c r="R2413" t="s">
        <v>272</v>
      </c>
      <c r="S2413" t="str">
        <v>#N/A</v>
      </c>
      <c r="T2413" t="str">
        <v>#N/A</v>
      </c>
    </row>
    <row r="2414" spans="1:20" ht="13.7" customHeight="1" x14ac:dyDescent="0.25">
      <c r="E2414" s="5">
        <v>43465</v>
      </c>
      <c r="F2414">
        <v>24081005</v>
      </c>
      <c r="G2414" t="s">
        <v>729</v>
      </c>
      <c r="H2414" t="s">
        <v>1425</v>
      </c>
      <c r="I2414" t="s">
        <v>1426</v>
      </c>
      <c r="J2414">
        <v>0</v>
      </c>
      <c r="K2414">
        <v>0</v>
      </c>
      <c r="L2414" s="3">
        <v>0</v>
      </c>
      <c r="M2414" s="3">
        <v>0</v>
      </c>
      <c r="N2414">
        <v>0</v>
      </c>
      <c r="O2414">
        <v>0</v>
      </c>
      <c r="P2414">
        <v>0</v>
      </c>
      <c r="R2414" t="s">
        <v>1100</v>
      </c>
      <c r="S2414" t="str">
        <v>#N/A</v>
      </c>
      <c r="T2414" t="str">
        <v>#N/A</v>
      </c>
    </row>
    <row r="2415" spans="1:20" ht="13.7" customHeight="1" x14ac:dyDescent="0.25">
      <c r="A2415" t="s">
        <v>26</v>
      </c>
      <c r="B2415" t="s">
        <v>27</v>
      </c>
      <c r="C2415" t="s">
        <v>39</v>
      </c>
      <c r="D2415">
        <v>1</v>
      </c>
      <c r="E2415" s="5">
        <v>43708</v>
      </c>
      <c r="F2415">
        <v>24081005</v>
      </c>
      <c r="G2415" t="s">
        <v>729</v>
      </c>
      <c r="H2415" t="s">
        <v>1425</v>
      </c>
      <c r="I2415" t="s">
        <v>1426</v>
      </c>
      <c r="J2415">
        <v>1005</v>
      </c>
      <c r="K2415" t="s">
        <v>693</v>
      </c>
      <c r="L2415" s="3">
        <v>0</v>
      </c>
      <c r="M2415" s="3">
        <v>328616</v>
      </c>
      <c r="N2415">
        <v>0</v>
      </c>
      <c r="O2415">
        <v>1729721</v>
      </c>
      <c r="P2415">
        <v>328616</v>
      </c>
      <c r="Q2415" t="s">
        <v>30</v>
      </c>
      <c r="R2415" t="s">
        <v>562</v>
      </c>
      <c r="S2415" t="str">
        <v>#N/A</v>
      </c>
      <c r="T2415" t="str">
        <v>#N/A</v>
      </c>
    </row>
    <row r="2416" spans="1:20" ht="13.7" customHeight="1" x14ac:dyDescent="0.25">
      <c r="A2416" t="s">
        <v>26</v>
      </c>
      <c r="B2416" t="s">
        <v>27</v>
      </c>
      <c r="C2416" t="s">
        <v>39</v>
      </c>
      <c r="D2416">
        <v>44</v>
      </c>
      <c r="E2416" s="5">
        <v>43729</v>
      </c>
      <c r="F2416">
        <v>24081005</v>
      </c>
      <c r="G2416" t="s">
        <v>729</v>
      </c>
      <c r="H2416" t="s">
        <v>1425</v>
      </c>
      <c r="I2416" t="s">
        <v>1426</v>
      </c>
      <c r="J2416">
        <v>1005</v>
      </c>
      <c r="K2416" t="s">
        <v>693</v>
      </c>
      <c r="L2416" s="3">
        <v>328616</v>
      </c>
      <c r="M2416" s="3">
        <v>29143</v>
      </c>
      <c r="N2416">
        <v>0</v>
      </c>
      <c r="O2416">
        <v>153385</v>
      </c>
      <c r="P2416">
        <v>357759</v>
      </c>
      <c r="Q2416" t="s">
        <v>30</v>
      </c>
      <c r="R2416" t="s">
        <v>567</v>
      </c>
      <c r="S2416" t="str">
        <v>#N/A</v>
      </c>
      <c r="T2416" t="str">
        <v>#N/A</v>
      </c>
    </row>
    <row r="2417" spans="1:20" ht="13.7" customHeight="1" x14ac:dyDescent="0.25">
      <c r="E2417" s="5">
        <v>43465</v>
      </c>
      <c r="F2417">
        <v>24081005</v>
      </c>
      <c r="G2417" t="s">
        <v>729</v>
      </c>
      <c r="H2417" t="s">
        <v>1411</v>
      </c>
      <c r="I2417" t="s">
        <v>1412</v>
      </c>
      <c r="J2417">
        <v>0</v>
      </c>
      <c r="K2417">
        <v>0</v>
      </c>
      <c r="L2417" s="3">
        <v>0</v>
      </c>
      <c r="M2417" s="3">
        <v>0</v>
      </c>
      <c r="N2417">
        <v>0</v>
      </c>
      <c r="O2417">
        <v>0</v>
      </c>
      <c r="P2417">
        <v>0</v>
      </c>
      <c r="R2417" t="s">
        <v>1100</v>
      </c>
      <c r="S2417" t="str">
        <v>#N/A</v>
      </c>
      <c r="T2417" t="str">
        <v>#N/A</v>
      </c>
    </row>
    <row r="2418" spans="1:20" ht="13.7" customHeight="1" x14ac:dyDescent="0.25">
      <c r="A2418" t="s">
        <v>26</v>
      </c>
      <c r="B2418" t="s">
        <v>27</v>
      </c>
      <c r="C2418" t="s">
        <v>41</v>
      </c>
      <c r="D2418">
        <v>18</v>
      </c>
      <c r="E2418" s="5">
        <v>43779</v>
      </c>
      <c r="F2418">
        <v>24081005</v>
      </c>
      <c r="G2418" t="s">
        <v>729</v>
      </c>
      <c r="H2418" t="s">
        <v>1411</v>
      </c>
      <c r="I2418" t="s">
        <v>1412</v>
      </c>
      <c r="J2418">
        <v>1005</v>
      </c>
      <c r="K2418" t="s">
        <v>693</v>
      </c>
      <c r="L2418" s="3">
        <v>0</v>
      </c>
      <c r="M2418" s="3">
        <v>1708</v>
      </c>
      <c r="N2418">
        <v>0</v>
      </c>
      <c r="O2418">
        <v>8992</v>
      </c>
      <c r="P2418">
        <v>1708</v>
      </c>
      <c r="Q2418" t="s">
        <v>30</v>
      </c>
      <c r="R2418" t="s">
        <v>46</v>
      </c>
      <c r="S2418" t="str">
        <v>#N/A</v>
      </c>
      <c r="T2418" t="str">
        <v>#N/A</v>
      </c>
    </row>
    <row r="2419" spans="1:20" ht="13.7" customHeight="1" x14ac:dyDescent="0.25">
      <c r="E2419" s="5">
        <v>43465</v>
      </c>
      <c r="F2419">
        <v>24081005</v>
      </c>
      <c r="G2419" t="s">
        <v>729</v>
      </c>
      <c r="H2419" t="s">
        <v>1167</v>
      </c>
      <c r="I2419" t="s">
        <v>1168</v>
      </c>
      <c r="J2419">
        <v>0</v>
      </c>
      <c r="K2419">
        <v>0</v>
      </c>
      <c r="L2419" s="3">
        <v>42643.72</v>
      </c>
      <c r="M2419" s="3">
        <v>0</v>
      </c>
      <c r="N2419">
        <v>0</v>
      </c>
      <c r="O2419">
        <v>224440</v>
      </c>
      <c r="P2419">
        <v>42643.72</v>
      </c>
      <c r="R2419" t="s">
        <v>1100</v>
      </c>
      <c r="S2419" t="str">
        <v>#N/A</v>
      </c>
      <c r="T2419" t="str">
        <v>31</v>
      </c>
    </row>
    <row r="2420" spans="1:20" ht="13.7" customHeight="1" x14ac:dyDescent="0.25">
      <c r="E2420" s="5">
        <v>43465</v>
      </c>
      <c r="F2420">
        <v>24081005</v>
      </c>
      <c r="G2420" t="s">
        <v>729</v>
      </c>
      <c r="H2420" t="s">
        <v>1183</v>
      </c>
      <c r="I2420" t="s">
        <v>1184</v>
      </c>
      <c r="J2420">
        <v>0</v>
      </c>
      <c r="K2420">
        <v>0</v>
      </c>
      <c r="L2420" s="3">
        <v>0</v>
      </c>
      <c r="M2420" s="3">
        <v>0</v>
      </c>
      <c r="N2420">
        <v>0</v>
      </c>
      <c r="O2420">
        <v>0</v>
      </c>
      <c r="P2420">
        <v>0</v>
      </c>
      <c r="R2420" t="s">
        <v>1100</v>
      </c>
      <c r="S2420" t="str">
        <v>#N/A</v>
      </c>
      <c r="T2420" t="str">
        <v>#N/A</v>
      </c>
    </row>
    <row r="2421" spans="1:20" ht="13.7" customHeight="1" x14ac:dyDescent="0.25">
      <c r="A2421" t="s">
        <v>26</v>
      </c>
      <c r="B2421" t="s">
        <v>27</v>
      </c>
      <c r="C2421" t="s">
        <v>34</v>
      </c>
      <c r="D2421">
        <v>65</v>
      </c>
      <c r="E2421" s="5">
        <v>43584</v>
      </c>
      <c r="F2421">
        <v>24081005</v>
      </c>
      <c r="G2421" t="s">
        <v>729</v>
      </c>
      <c r="H2421" t="s">
        <v>1183</v>
      </c>
      <c r="I2421" t="s">
        <v>1184</v>
      </c>
      <c r="J2421">
        <v>1005</v>
      </c>
      <c r="K2421" t="s">
        <v>693</v>
      </c>
      <c r="L2421" s="3">
        <v>0</v>
      </c>
      <c r="M2421" s="3">
        <v>130924</v>
      </c>
      <c r="N2421">
        <v>0</v>
      </c>
      <c r="O2421">
        <v>689076</v>
      </c>
      <c r="P2421">
        <v>130924</v>
      </c>
      <c r="Q2421" t="s">
        <v>30</v>
      </c>
      <c r="R2421" t="s">
        <v>255</v>
      </c>
      <c r="S2421" t="str">
        <v>#N/A</v>
      </c>
      <c r="T2421" t="str">
        <v>#N/A</v>
      </c>
    </row>
    <row r="2422" spans="1:20" ht="13.7" customHeight="1" x14ac:dyDescent="0.25">
      <c r="E2422" s="5">
        <v>43465</v>
      </c>
      <c r="F2422">
        <v>24081005</v>
      </c>
      <c r="G2422" t="s">
        <v>729</v>
      </c>
      <c r="H2422" t="s">
        <v>1233</v>
      </c>
      <c r="I2422" t="s">
        <v>1234</v>
      </c>
      <c r="J2422">
        <v>0</v>
      </c>
      <c r="K2422">
        <v>0</v>
      </c>
      <c r="L2422" s="3">
        <v>0</v>
      </c>
      <c r="M2422" s="3">
        <v>0</v>
      </c>
      <c r="N2422">
        <v>0</v>
      </c>
      <c r="O2422">
        <v>0</v>
      </c>
      <c r="P2422">
        <v>0</v>
      </c>
      <c r="R2422" t="s">
        <v>1100</v>
      </c>
      <c r="S2422" t="str">
        <v>#N/A</v>
      </c>
      <c r="T2422" t="str">
        <v>#N/A</v>
      </c>
    </row>
    <row r="2423" spans="1:20" ht="13.7" customHeight="1" x14ac:dyDescent="0.25">
      <c r="A2423" t="s">
        <v>26</v>
      </c>
      <c r="B2423" t="s">
        <v>27</v>
      </c>
      <c r="C2423" t="s">
        <v>35</v>
      </c>
      <c r="D2423">
        <v>72</v>
      </c>
      <c r="E2423" s="5">
        <v>43606</v>
      </c>
      <c r="F2423">
        <v>24081005</v>
      </c>
      <c r="G2423" t="s">
        <v>729</v>
      </c>
      <c r="H2423" t="s">
        <v>1233</v>
      </c>
      <c r="I2423" t="s">
        <v>1234</v>
      </c>
      <c r="J2423">
        <v>1005</v>
      </c>
      <c r="K2423" t="s">
        <v>693</v>
      </c>
      <c r="L2423" s="3">
        <v>0</v>
      </c>
      <c r="M2423" s="3">
        <v>2618</v>
      </c>
      <c r="N2423">
        <v>0</v>
      </c>
      <c r="O2423">
        <v>13782</v>
      </c>
      <c r="P2423">
        <v>2618</v>
      </c>
      <c r="Q2423" t="s">
        <v>30</v>
      </c>
      <c r="R2423" t="s">
        <v>545</v>
      </c>
      <c r="S2423" t="str">
        <v>#N/A</v>
      </c>
      <c r="T2423" t="str">
        <v>#N/A</v>
      </c>
    </row>
    <row r="2424" spans="1:20" ht="13.7" customHeight="1" x14ac:dyDescent="0.25">
      <c r="A2424" t="s">
        <v>26</v>
      </c>
      <c r="B2424" t="s">
        <v>27</v>
      </c>
      <c r="C2424" t="s">
        <v>35</v>
      </c>
      <c r="D2424">
        <v>73</v>
      </c>
      <c r="E2424" s="5">
        <v>43606</v>
      </c>
      <c r="F2424">
        <v>24081005</v>
      </c>
      <c r="G2424" t="s">
        <v>729</v>
      </c>
      <c r="H2424" t="s">
        <v>1233</v>
      </c>
      <c r="I2424" t="s">
        <v>1234</v>
      </c>
      <c r="J2424">
        <v>1005</v>
      </c>
      <c r="K2424" t="s">
        <v>693</v>
      </c>
      <c r="L2424" s="3">
        <v>2618</v>
      </c>
      <c r="M2424" s="3">
        <v>5444</v>
      </c>
      <c r="N2424">
        <v>0</v>
      </c>
      <c r="O2424">
        <v>28656</v>
      </c>
      <c r="P2424">
        <v>8062</v>
      </c>
      <c r="Q2424" t="s">
        <v>30</v>
      </c>
      <c r="R2424" t="s">
        <v>545</v>
      </c>
      <c r="S2424" t="str">
        <v>#N/A</v>
      </c>
      <c r="T2424" t="str">
        <v>#N/A</v>
      </c>
    </row>
    <row r="2425" spans="1:20" ht="13.7" customHeight="1" x14ac:dyDescent="0.25">
      <c r="E2425" s="5">
        <v>43465</v>
      </c>
      <c r="F2425">
        <v>24081005</v>
      </c>
      <c r="G2425" t="s">
        <v>729</v>
      </c>
      <c r="H2425" t="s">
        <v>1585</v>
      </c>
      <c r="I2425" t="s">
        <v>1586</v>
      </c>
      <c r="J2425">
        <v>0</v>
      </c>
      <c r="K2425">
        <v>0</v>
      </c>
      <c r="L2425" s="3">
        <v>2261</v>
      </c>
      <c r="M2425" s="3">
        <v>0</v>
      </c>
      <c r="N2425">
        <v>0</v>
      </c>
      <c r="O2425">
        <v>11900</v>
      </c>
      <c r="P2425">
        <v>2261</v>
      </c>
      <c r="R2425" t="s">
        <v>1100</v>
      </c>
      <c r="S2425" t="str">
        <v>#N/A</v>
      </c>
      <c r="T2425" t="str">
        <v>#N/A</v>
      </c>
    </row>
    <row r="2426" spans="1:20" ht="13.7" customHeight="1" x14ac:dyDescent="0.25">
      <c r="E2426" s="5">
        <v>43465</v>
      </c>
      <c r="F2426">
        <v>24081005</v>
      </c>
      <c r="G2426" t="s">
        <v>729</v>
      </c>
      <c r="H2426" t="s">
        <v>1339</v>
      </c>
      <c r="I2426" t="s">
        <v>1340</v>
      </c>
      <c r="J2426">
        <v>0</v>
      </c>
      <c r="K2426">
        <v>0</v>
      </c>
      <c r="L2426" s="3">
        <v>0</v>
      </c>
      <c r="M2426" s="3">
        <v>0</v>
      </c>
      <c r="N2426">
        <v>0</v>
      </c>
      <c r="O2426">
        <v>0</v>
      </c>
      <c r="P2426">
        <v>0</v>
      </c>
      <c r="R2426" t="s">
        <v>1100</v>
      </c>
      <c r="S2426" t="str">
        <v>#N/A</v>
      </c>
      <c r="T2426" t="str">
        <v>#N/A</v>
      </c>
    </row>
    <row r="2427" spans="1:20" ht="13.7" customHeight="1" x14ac:dyDescent="0.25">
      <c r="A2427" t="s">
        <v>26</v>
      </c>
      <c r="B2427" t="s">
        <v>27</v>
      </c>
      <c r="C2427" t="s">
        <v>40</v>
      </c>
      <c r="D2427">
        <v>49</v>
      </c>
      <c r="E2427" s="5">
        <v>43764</v>
      </c>
      <c r="F2427">
        <v>24081005</v>
      </c>
      <c r="G2427" t="s">
        <v>729</v>
      </c>
      <c r="H2427" t="s">
        <v>1339</v>
      </c>
      <c r="I2427" t="s">
        <v>1340</v>
      </c>
      <c r="J2427">
        <v>1005</v>
      </c>
      <c r="K2427" t="s">
        <v>693</v>
      </c>
      <c r="L2427" s="3">
        <v>0</v>
      </c>
      <c r="M2427" s="3">
        <v>559</v>
      </c>
      <c r="N2427">
        <v>0</v>
      </c>
      <c r="O2427">
        <v>2941</v>
      </c>
      <c r="P2427">
        <v>559</v>
      </c>
      <c r="Q2427" t="s">
        <v>30</v>
      </c>
      <c r="R2427" t="s">
        <v>68</v>
      </c>
      <c r="S2427" t="str">
        <v>#N/A</v>
      </c>
      <c r="T2427" t="str">
        <v>#N/A</v>
      </c>
    </row>
    <row r="2428" spans="1:20" ht="13.7" customHeight="1" x14ac:dyDescent="0.25">
      <c r="E2428" s="5">
        <v>43465</v>
      </c>
      <c r="F2428">
        <v>24081005</v>
      </c>
      <c r="G2428" t="s">
        <v>729</v>
      </c>
      <c r="H2428" t="s">
        <v>1405</v>
      </c>
      <c r="I2428" t="s">
        <v>1406</v>
      </c>
      <c r="J2428">
        <v>0</v>
      </c>
      <c r="K2428">
        <v>0</v>
      </c>
      <c r="L2428" s="3">
        <v>0</v>
      </c>
      <c r="M2428" s="3">
        <v>0</v>
      </c>
      <c r="N2428">
        <v>0</v>
      </c>
      <c r="O2428">
        <v>0</v>
      </c>
      <c r="P2428">
        <v>0</v>
      </c>
      <c r="R2428" t="s">
        <v>1100</v>
      </c>
      <c r="S2428" t="str">
        <v>#N/A</v>
      </c>
      <c r="T2428" t="str">
        <v>#N/A</v>
      </c>
    </row>
    <row r="2429" spans="1:20" ht="13.7" customHeight="1" x14ac:dyDescent="0.25">
      <c r="A2429" t="s">
        <v>26</v>
      </c>
      <c r="B2429" t="s">
        <v>27</v>
      </c>
      <c r="C2429" t="s">
        <v>39</v>
      </c>
      <c r="D2429">
        <v>35</v>
      </c>
      <c r="E2429" s="5">
        <v>43723</v>
      </c>
      <c r="F2429">
        <v>24081005</v>
      </c>
      <c r="G2429" t="s">
        <v>729</v>
      </c>
      <c r="H2429" t="s">
        <v>1405</v>
      </c>
      <c r="I2429" t="s">
        <v>1406</v>
      </c>
      <c r="J2429">
        <v>1005</v>
      </c>
      <c r="K2429" t="s">
        <v>693</v>
      </c>
      <c r="L2429" s="3">
        <v>0</v>
      </c>
      <c r="M2429" s="3">
        <v>8612</v>
      </c>
      <c r="N2429">
        <v>0</v>
      </c>
      <c r="O2429">
        <v>45328</v>
      </c>
      <c r="P2429">
        <v>8612</v>
      </c>
      <c r="Q2429" t="s">
        <v>30</v>
      </c>
      <c r="R2429" t="s">
        <v>537</v>
      </c>
      <c r="S2429" t="str">
        <v>#N/A</v>
      </c>
      <c r="T2429" t="str">
        <v>#N/A</v>
      </c>
    </row>
    <row r="2430" spans="1:20" ht="13.7" customHeight="1" x14ac:dyDescent="0.25">
      <c r="E2430" s="5">
        <v>43465</v>
      </c>
      <c r="F2430">
        <v>24081005</v>
      </c>
      <c r="G2430" t="s">
        <v>729</v>
      </c>
      <c r="H2430" t="s">
        <v>1413</v>
      </c>
      <c r="I2430" t="s">
        <v>1414</v>
      </c>
      <c r="J2430">
        <v>0</v>
      </c>
      <c r="K2430">
        <v>0</v>
      </c>
      <c r="L2430" s="3">
        <v>11898.85</v>
      </c>
      <c r="M2430" s="3">
        <v>0</v>
      </c>
      <c r="N2430">
        <v>0</v>
      </c>
      <c r="O2430">
        <v>62630</v>
      </c>
      <c r="P2430">
        <v>11898.85</v>
      </c>
      <c r="R2430" t="s">
        <v>1100</v>
      </c>
      <c r="S2430" t="str">
        <v>#N/A</v>
      </c>
      <c r="T2430" t="str">
        <v>#N/A</v>
      </c>
    </row>
    <row r="2431" spans="1:20" ht="13.7" customHeight="1" x14ac:dyDescent="0.25">
      <c r="E2431" s="5">
        <v>43465</v>
      </c>
      <c r="F2431">
        <v>24081005</v>
      </c>
      <c r="G2431" t="s">
        <v>729</v>
      </c>
      <c r="H2431" t="s">
        <v>1587</v>
      </c>
      <c r="I2431" t="s">
        <v>1588</v>
      </c>
      <c r="J2431">
        <v>0</v>
      </c>
      <c r="K2431">
        <v>0</v>
      </c>
      <c r="L2431" s="3">
        <v>0</v>
      </c>
      <c r="M2431" s="3">
        <v>0</v>
      </c>
      <c r="N2431">
        <v>0</v>
      </c>
      <c r="O2431">
        <v>0</v>
      </c>
      <c r="P2431">
        <v>0</v>
      </c>
      <c r="R2431" t="s">
        <v>1100</v>
      </c>
      <c r="S2431" t="str">
        <v>#N/A</v>
      </c>
      <c r="T2431" t="str">
        <v>#N/A</v>
      </c>
    </row>
    <row r="2432" spans="1:20" ht="13.7" customHeight="1" x14ac:dyDescent="0.25">
      <c r="A2432" t="s">
        <v>26</v>
      </c>
      <c r="B2432" t="s">
        <v>27</v>
      </c>
      <c r="C2432" t="s">
        <v>180</v>
      </c>
      <c r="D2432">
        <v>84</v>
      </c>
      <c r="E2432" s="5">
        <v>43827</v>
      </c>
      <c r="F2432">
        <v>24081005</v>
      </c>
      <c r="G2432" t="s">
        <v>729</v>
      </c>
      <c r="H2432" t="s">
        <v>1587</v>
      </c>
      <c r="I2432" t="s">
        <v>1588</v>
      </c>
      <c r="J2432">
        <v>1005</v>
      </c>
      <c r="K2432" t="s">
        <v>693</v>
      </c>
      <c r="L2432" s="3">
        <v>0</v>
      </c>
      <c r="M2432" s="3">
        <v>3241</v>
      </c>
      <c r="N2432">
        <v>0</v>
      </c>
      <c r="O2432">
        <v>17059</v>
      </c>
      <c r="P2432">
        <v>3241</v>
      </c>
      <c r="Q2432" t="s">
        <v>30</v>
      </c>
      <c r="R2432" t="s">
        <v>83</v>
      </c>
      <c r="S2432" t="str">
        <v>#N/A</v>
      </c>
      <c r="T2432" t="str">
        <v>#N/A</v>
      </c>
    </row>
    <row r="2433" spans="1:20" ht="13.7" customHeight="1" x14ac:dyDescent="0.25">
      <c r="E2433" s="5">
        <v>43465</v>
      </c>
      <c r="F2433">
        <v>24081005</v>
      </c>
      <c r="G2433" t="s">
        <v>729</v>
      </c>
      <c r="H2433" t="s">
        <v>1286</v>
      </c>
      <c r="I2433" t="s">
        <v>1287</v>
      </c>
      <c r="J2433">
        <v>0</v>
      </c>
      <c r="K2433">
        <v>0</v>
      </c>
      <c r="L2433" s="3">
        <v>20356</v>
      </c>
      <c r="M2433" s="3">
        <v>0</v>
      </c>
      <c r="N2433">
        <v>0</v>
      </c>
      <c r="O2433">
        <v>107144</v>
      </c>
      <c r="P2433">
        <v>20356</v>
      </c>
      <c r="R2433" t="s">
        <v>1100</v>
      </c>
      <c r="S2433" t="str">
        <v>#N/A</v>
      </c>
      <c r="T2433" t="str">
        <v>#N/A</v>
      </c>
    </row>
    <row r="2434" spans="1:20" ht="13.7" customHeight="1" x14ac:dyDescent="0.25">
      <c r="A2434" t="s">
        <v>26</v>
      </c>
      <c r="B2434" t="s">
        <v>27</v>
      </c>
      <c r="C2434" t="s">
        <v>28</v>
      </c>
      <c r="D2434">
        <v>51</v>
      </c>
      <c r="E2434" s="5">
        <v>43484</v>
      </c>
      <c r="F2434">
        <v>24081005</v>
      </c>
      <c r="G2434" t="s">
        <v>729</v>
      </c>
      <c r="H2434" t="s">
        <v>1286</v>
      </c>
      <c r="I2434" t="s">
        <v>1287</v>
      </c>
      <c r="J2434">
        <v>1005</v>
      </c>
      <c r="K2434" t="s">
        <v>693</v>
      </c>
      <c r="L2434" s="3">
        <v>20356</v>
      </c>
      <c r="M2434" s="3">
        <v>998</v>
      </c>
      <c r="N2434">
        <v>0</v>
      </c>
      <c r="O2434">
        <v>5252</v>
      </c>
      <c r="P2434">
        <v>21354</v>
      </c>
      <c r="Q2434" t="s">
        <v>30</v>
      </c>
      <c r="R2434" t="s">
        <v>535</v>
      </c>
      <c r="S2434" t="str">
        <v>#N/A</v>
      </c>
      <c r="T2434" t="str">
        <v>#N/A</v>
      </c>
    </row>
    <row r="2435" spans="1:20" ht="13.7" customHeight="1" x14ac:dyDescent="0.25">
      <c r="A2435" t="s">
        <v>26</v>
      </c>
      <c r="B2435" t="s">
        <v>27</v>
      </c>
      <c r="C2435" t="s">
        <v>28</v>
      </c>
      <c r="D2435">
        <v>53</v>
      </c>
      <c r="E2435" s="5">
        <v>43484</v>
      </c>
      <c r="F2435">
        <v>24081005</v>
      </c>
      <c r="G2435" t="s">
        <v>729</v>
      </c>
      <c r="H2435" t="s">
        <v>1286</v>
      </c>
      <c r="I2435" t="s">
        <v>1287</v>
      </c>
      <c r="J2435">
        <v>1005</v>
      </c>
      <c r="K2435" t="s">
        <v>693</v>
      </c>
      <c r="L2435" s="3">
        <v>21354</v>
      </c>
      <c r="M2435" s="3">
        <v>1222</v>
      </c>
      <c r="N2435">
        <v>0</v>
      </c>
      <c r="O2435">
        <v>6429</v>
      </c>
      <c r="P2435">
        <v>22576</v>
      </c>
      <c r="Q2435" t="s">
        <v>30</v>
      </c>
      <c r="R2435" t="s">
        <v>118</v>
      </c>
      <c r="S2435" t="str">
        <v>#N/A</v>
      </c>
      <c r="T2435" t="str">
        <v>#N/A</v>
      </c>
    </row>
    <row r="2436" spans="1:20" ht="13.7" customHeight="1" x14ac:dyDescent="0.25">
      <c r="A2436" t="s">
        <v>26</v>
      </c>
      <c r="B2436" t="s">
        <v>27</v>
      </c>
      <c r="C2436" t="s">
        <v>91</v>
      </c>
      <c r="D2436">
        <v>26</v>
      </c>
      <c r="E2436" s="5">
        <v>43532</v>
      </c>
      <c r="F2436">
        <v>24081005</v>
      </c>
      <c r="G2436" t="s">
        <v>729</v>
      </c>
      <c r="H2436" t="s">
        <v>1286</v>
      </c>
      <c r="I2436" t="s">
        <v>1287</v>
      </c>
      <c r="J2436">
        <v>1005</v>
      </c>
      <c r="K2436" t="s">
        <v>693</v>
      </c>
      <c r="L2436" s="3">
        <v>22576</v>
      </c>
      <c r="M2436" s="3">
        <v>6993</v>
      </c>
      <c r="N2436">
        <v>0</v>
      </c>
      <c r="O2436">
        <v>36806</v>
      </c>
      <c r="P2436">
        <v>29569</v>
      </c>
      <c r="Q2436" t="s">
        <v>30</v>
      </c>
      <c r="R2436" t="s">
        <v>95</v>
      </c>
      <c r="S2436" t="str">
        <v>#N/A</v>
      </c>
      <c r="T2436" t="str">
        <v>#N/A</v>
      </c>
    </row>
    <row r="2437" spans="1:20" ht="13.7" customHeight="1" x14ac:dyDescent="0.25">
      <c r="A2437" t="s">
        <v>26</v>
      </c>
      <c r="B2437" t="s">
        <v>27</v>
      </c>
      <c r="C2437" t="s">
        <v>35</v>
      </c>
      <c r="D2437">
        <v>42</v>
      </c>
      <c r="E2437" s="5">
        <v>43598</v>
      </c>
      <c r="F2437">
        <v>24081005</v>
      </c>
      <c r="G2437" t="s">
        <v>729</v>
      </c>
      <c r="H2437" t="s">
        <v>1286</v>
      </c>
      <c r="I2437" t="s">
        <v>1287</v>
      </c>
      <c r="J2437">
        <v>1005</v>
      </c>
      <c r="K2437" t="s">
        <v>693</v>
      </c>
      <c r="L2437" s="3">
        <v>29569</v>
      </c>
      <c r="M2437" s="3">
        <v>287</v>
      </c>
      <c r="N2437">
        <v>0</v>
      </c>
      <c r="O2437">
        <v>1513</v>
      </c>
      <c r="P2437">
        <v>29856</v>
      </c>
      <c r="Q2437" t="s">
        <v>30</v>
      </c>
      <c r="R2437" t="s">
        <v>149</v>
      </c>
      <c r="S2437" t="str">
        <v>#N/A</v>
      </c>
      <c r="T2437" t="str">
        <v>#N/A</v>
      </c>
    </row>
    <row r="2438" spans="1:20" ht="13.7" customHeight="1" x14ac:dyDescent="0.25">
      <c r="A2438" t="s">
        <v>26</v>
      </c>
      <c r="B2438" t="s">
        <v>27</v>
      </c>
      <c r="C2438" t="s">
        <v>41</v>
      </c>
      <c r="D2438">
        <v>22</v>
      </c>
      <c r="E2438" s="5">
        <v>43781</v>
      </c>
      <c r="F2438">
        <v>24081005</v>
      </c>
      <c r="G2438" t="s">
        <v>729</v>
      </c>
      <c r="H2438" t="s">
        <v>1286</v>
      </c>
      <c r="I2438" t="s">
        <v>1287</v>
      </c>
      <c r="J2438">
        <v>1005</v>
      </c>
      <c r="K2438" t="s">
        <v>693</v>
      </c>
      <c r="L2438" s="3">
        <v>29856</v>
      </c>
      <c r="M2438" s="3">
        <v>6913</v>
      </c>
      <c r="N2438">
        <v>0</v>
      </c>
      <c r="O2438">
        <v>36385</v>
      </c>
      <c r="P2438">
        <v>36769</v>
      </c>
      <c r="Q2438" t="s">
        <v>30</v>
      </c>
      <c r="R2438" t="s">
        <v>152</v>
      </c>
      <c r="S2438" t="str">
        <v>#N/A</v>
      </c>
      <c r="T2438" t="str">
        <v>#N/A</v>
      </c>
    </row>
    <row r="2439" spans="1:20" ht="13.7" customHeight="1" x14ac:dyDescent="0.25">
      <c r="E2439" s="5">
        <v>43465</v>
      </c>
      <c r="F2439">
        <v>24081005</v>
      </c>
      <c r="G2439" t="s">
        <v>729</v>
      </c>
      <c r="H2439" t="s">
        <v>1589</v>
      </c>
      <c r="I2439" t="s">
        <v>1590</v>
      </c>
      <c r="J2439">
        <v>0</v>
      </c>
      <c r="K2439">
        <v>0</v>
      </c>
      <c r="L2439" s="3">
        <v>10230</v>
      </c>
      <c r="M2439" s="3">
        <v>0</v>
      </c>
      <c r="N2439">
        <v>0</v>
      </c>
      <c r="O2439">
        <v>53844</v>
      </c>
      <c r="P2439">
        <v>10230</v>
      </c>
      <c r="R2439" t="s">
        <v>1100</v>
      </c>
      <c r="S2439" t="str">
        <v>#N/A</v>
      </c>
      <c r="T2439" t="str">
        <v>#N/A</v>
      </c>
    </row>
    <row r="2440" spans="1:20" ht="13.7" customHeight="1" x14ac:dyDescent="0.25">
      <c r="E2440" s="5">
        <v>43465</v>
      </c>
      <c r="F2440">
        <v>24081005</v>
      </c>
      <c r="G2440" t="s">
        <v>729</v>
      </c>
      <c r="H2440" t="s">
        <v>1591</v>
      </c>
      <c r="I2440" t="s">
        <v>1592</v>
      </c>
      <c r="J2440">
        <v>0</v>
      </c>
      <c r="K2440">
        <v>0</v>
      </c>
      <c r="L2440" s="3">
        <v>0</v>
      </c>
      <c r="M2440" s="3">
        <v>0</v>
      </c>
      <c r="N2440">
        <v>0</v>
      </c>
      <c r="O2440">
        <v>0</v>
      </c>
      <c r="P2440">
        <v>0</v>
      </c>
      <c r="R2440" t="s">
        <v>1100</v>
      </c>
      <c r="S2440" t="str">
        <v>#N/A</v>
      </c>
      <c r="T2440" t="str">
        <v>#N/A</v>
      </c>
    </row>
    <row r="2441" spans="1:20" ht="13.7" customHeight="1" x14ac:dyDescent="0.25">
      <c r="A2441" t="s">
        <v>26</v>
      </c>
      <c r="B2441" t="s">
        <v>27</v>
      </c>
      <c r="C2441" t="s">
        <v>180</v>
      </c>
      <c r="D2441">
        <v>60</v>
      </c>
      <c r="E2441" s="5">
        <v>43822</v>
      </c>
      <c r="F2441">
        <v>24081005</v>
      </c>
      <c r="G2441" t="s">
        <v>729</v>
      </c>
      <c r="H2441" t="s">
        <v>1591</v>
      </c>
      <c r="I2441" t="s">
        <v>1592</v>
      </c>
      <c r="J2441">
        <v>1005</v>
      </c>
      <c r="K2441" t="s">
        <v>693</v>
      </c>
      <c r="L2441" s="3">
        <v>0</v>
      </c>
      <c r="M2441" s="3">
        <v>66843</v>
      </c>
      <c r="N2441">
        <v>0</v>
      </c>
      <c r="O2441">
        <v>351806</v>
      </c>
      <c r="P2441">
        <v>66843</v>
      </c>
      <c r="Q2441" t="s">
        <v>30</v>
      </c>
      <c r="R2441" t="s">
        <v>646</v>
      </c>
      <c r="S2441" t="str">
        <v>#N/A</v>
      </c>
      <c r="T2441" t="str">
        <v>#N/A</v>
      </c>
    </row>
    <row r="2442" spans="1:20" ht="13.7" customHeight="1" x14ac:dyDescent="0.25">
      <c r="E2442" s="5">
        <v>43465</v>
      </c>
      <c r="F2442">
        <v>24081005</v>
      </c>
      <c r="G2442" t="s">
        <v>729</v>
      </c>
      <c r="H2442" t="s">
        <v>1593</v>
      </c>
      <c r="I2442" t="s">
        <v>1594</v>
      </c>
      <c r="J2442">
        <v>0</v>
      </c>
      <c r="K2442">
        <v>0</v>
      </c>
      <c r="L2442" s="3">
        <v>0</v>
      </c>
      <c r="M2442" s="3">
        <v>0</v>
      </c>
      <c r="N2442">
        <v>0</v>
      </c>
      <c r="O2442">
        <v>0</v>
      </c>
      <c r="P2442">
        <v>0</v>
      </c>
      <c r="R2442" t="s">
        <v>1100</v>
      </c>
      <c r="S2442" t="str">
        <v>#N/A</v>
      </c>
      <c r="T2442" t="str">
        <v>#N/A</v>
      </c>
    </row>
    <row r="2443" spans="1:20" ht="13.7" customHeight="1" x14ac:dyDescent="0.25">
      <c r="A2443" t="s">
        <v>26</v>
      </c>
      <c r="B2443" t="s">
        <v>27</v>
      </c>
      <c r="C2443" t="s">
        <v>28</v>
      </c>
      <c r="D2443">
        <v>18</v>
      </c>
      <c r="E2443" s="5">
        <v>43474</v>
      </c>
      <c r="F2443">
        <v>24081005</v>
      </c>
      <c r="G2443" t="s">
        <v>729</v>
      </c>
      <c r="H2443" t="s">
        <v>1593</v>
      </c>
      <c r="I2443" t="s">
        <v>1594</v>
      </c>
      <c r="J2443">
        <v>1005</v>
      </c>
      <c r="K2443" t="s">
        <v>693</v>
      </c>
      <c r="L2443" s="3">
        <v>0</v>
      </c>
      <c r="M2443" s="3">
        <v>1964</v>
      </c>
      <c r="N2443">
        <v>0</v>
      </c>
      <c r="O2443">
        <v>10336</v>
      </c>
      <c r="P2443">
        <v>1964</v>
      </c>
      <c r="Q2443" t="s">
        <v>30</v>
      </c>
      <c r="R2443" t="s">
        <v>46</v>
      </c>
      <c r="S2443" t="str">
        <v>#N/A</v>
      </c>
      <c r="T2443" t="str">
        <v>#N/A</v>
      </c>
    </row>
    <row r="2444" spans="1:20" ht="13.7" customHeight="1" x14ac:dyDescent="0.25">
      <c r="E2444" s="5">
        <v>43465</v>
      </c>
      <c r="F2444">
        <v>24081005</v>
      </c>
      <c r="G2444" t="s">
        <v>729</v>
      </c>
      <c r="H2444" t="s">
        <v>1511</v>
      </c>
      <c r="I2444" t="s">
        <v>1512</v>
      </c>
      <c r="J2444">
        <v>0</v>
      </c>
      <c r="K2444">
        <v>0</v>
      </c>
      <c r="L2444" s="3">
        <v>404</v>
      </c>
      <c r="M2444" s="3">
        <v>0</v>
      </c>
      <c r="N2444">
        <v>0</v>
      </c>
      <c r="O2444">
        <v>2126</v>
      </c>
      <c r="P2444">
        <v>404</v>
      </c>
      <c r="R2444" t="s">
        <v>1100</v>
      </c>
      <c r="S2444" t="str">
        <v>#N/A</v>
      </c>
      <c r="T2444" t="str">
        <v>#N/A</v>
      </c>
    </row>
    <row r="2445" spans="1:20" ht="13.7" customHeight="1" x14ac:dyDescent="0.25">
      <c r="E2445" s="5">
        <v>43465</v>
      </c>
      <c r="F2445">
        <v>24081005</v>
      </c>
      <c r="G2445" t="s">
        <v>729</v>
      </c>
      <c r="H2445" t="s">
        <v>1123</v>
      </c>
      <c r="I2445" t="s">
        <v>1124</v>
      </c>
      <c r="J2445">
        <v>0</v>
      </c>
      <c r="K2445">
        <v>0</v>
      </c>
      <c r="L2445" s="3">
        <v>123658.82</v>
      </c>
      <c r="M2445" s="3">
        <v>0</v>
      </c>
      <c r="N2445">
        <v>0</v>
      </c>
      <c r="O2445">
        <v>650827</v>
      </c>
      <c r="P2445">
        <v>123658.82</v>
      </c>
      <c r="R2445" t="s">
        <v>1100</v>
      </c>
      <c r="S2445" t="str">
        <v>#N/A</v>
      </c>
      <c r="T2445" t="str">
        <v>31</v>
      </c>
    </row>
    <row r="2446" spans="1:20" ht="13.7" customHeight="1" x14ac:dyDescent="0.25">
      <c r="A2446" t="s">
        <v>26</v>
      </c>
      <c r="B2446" t="s">
        <v>27</v>
      </c>
      <c r="C2446" t="s">
        <v>32</v>
      </c>
      <c r="D2446">
        <v>10</v>
      </c>
      <c r="E2446" s="5">
        <v>43501</v>
      </c>
      <c r="F2446">
        <v>24081005</v>
      </c>
      <c r="G2446" t="s">
        <v>729</v>
      </c>
      <c r="H2446" t="s">
        <v>1123</v>
      </c>
      <c r="I2446" t="s">
        <v>1124</v>
      </c>
      <c r="J2446">
        <v>1005</v>
      </c>
      <c r="K2446" t="s">
        <v>693</v>
      </c>
      <c r="L2446" s="3">
        <v>123658.82</v>
      </c>
      <c r="M2446" s="3">
        <v>3513</v>
      </c>
      <c r="N2446">
        <v>0</v>
      </c>
      <c r="O2446">
        <v>18487</v>
      </c>
      <c r="P2446">
        <v>127171.82</v>
      </c>
      <c r="Q2446" t="s">
        <v>30</v>
      </c>
      <c r="R2446" t="s">
        <v>72</v>
      </c>
      <c r="S2446" t="str">
        <v>#N/A</v>
      </c>
      <c r="T2446" t="str">
        <v>31</v>
      </c>
    </row>
    <row r="2447" spans="1:20" ht="13.7" customHeight="1" x14ac:dyDescent="0.25">
      <c r="A2447" t="s">
        <v>26</v>
      </c>
      <c r="B2447" t="s">
        <v>27</v>
      </c>
      <c r="C2447" t="s">
        <v>32</v>
      </c>
      <c r="D2447">
        <v>9</v>
      </c>
      <c r="E2447" s="5">
        <v>43501</v>
      </c>
      <c r="F2447">
        <v>24081005</v>
      </c>
      <c r="G2447" t="s">
        <v>729</v>
      </c>
      <c r="H2447" t="s">
        <v>1123</v>
      </c>
      <c r="I2447" t="s">
        <v>1124</v>
      </c>
      <c r="J2447">
        <v>1005</v>
      </c>
      <c r="K2447" t="s">
        <v>693</v>
      </c>
      <c r="L2447" s="3">
        <v>127171.82</v>
      </c>
      <c r="M2447" s="3">
        <v>1756</v>
      </c>
      <c r="N2447">
        <v>0</v>
      </c>
      <c r="O2447">
        <v>9244</v>
      </c>
      <c r="P2447">
        <v>128927.82</v>
      </c>
      <c r="Q2447" t="s">
        <v>30</v>
      </c>
      <c r="R2447" t="s">
        <v>73</v>
      </c>
      <c r="S2447" t="str">
        <v>#N/A</v>
      </c>
      <c r="T2447" t="str">
        <v>31</v>
      </c>
    </row>
    <row r="2448" spans="1:20" ht="13.7" customHeight="1" x14ac:dyDescent="0.25">
      <c r="A2448" t="s">
        <v>26</v>
      </c>
      <c r="B2448" t="s">
        <v>27</v>
      </c>
      <c r="C2448" t="s">
        <v>32</v>
      </c>
      <c r="D2448">
        <v>15</v>
      </c>
      <c r="E2448" s="5">
        <v>43505</v>
      </c>
      <c r="F2448">
        <v>24081005</v>
      </c>
      <c r="G2448" t="s">
        <v>729</v>
      </c>
      <c r="H2448" t="s">
        <v>1123</v>
      </c>
      <c r="I2448" t="s">
        <v>1124</v>
      </c>
      <c r="J2448">
        <v>1005</v>
      </c>
      <c r="K2448" t="s">
        <v>693</v>
      </c>
      <c r="L2448" s="3">
        <v>128927.82</v>
      </c>
      <c r="M2448" s="3">
        <v>2395</v>
      </c>
      <c r="N2448">
        <v>0</v>
      </c>
      <c r="O2448">
        <v>12605</v>
      </c>
      <c r="P2448">
        <v>131322.82</v>
      </c>
      <c r="Q2448" t="s">
        <v>30</v>
      </c>
      <c r="R2448" t="s">
        <v>73</v>
      </c>
      <c r="S2448" t="str">
        <v>#N/A</v>
      </c>
      <c r="T2448" t="str">
        <v>31</v>
      </c>
    </row>
    <row r="2449" spans="1:20" ht="13.7" customHeight="1" x14ac:dyDescent="0.25">
      <c r="A2449" t="s">
        <v>26</v>
      </c>
      <c r="B2449" t="s">
        <v>27</v>
      </c>
      <c r="C2449" t="s">
        <v>32</v>
      </c>
      <c r="D2449">
        <v>19</v>
      </c>
      <c r="E2449" s="5">
        <v>43507</v>
      </c>
      <c r="F2449">
        <v>24081005</v>
      </c>
      <c r="G2449" t="s">
        <v>729</v>
      </c>
      <c r="H2449" t="s">
        <v>1123</v>
      </c>
      <c r="I2449" t="s">
        <v>1124</v>
      </c>
      <c r="J2449">
        <v>1005</v>
      </c>
      <c r="K2449" t="s">
        <v>693</v>
      </c>
      <c r="L2449" s="3">
        <v>131322.82</v>
      </c>
      <c r="M2449" s="3">
        <v>3912</v>
      </c>
      <c r="N2449">
        <v>0</v>
      </c>
      <c r="O2449">
        <v>20588</v>
      </c>
      <c r="P2449">
        <v>135234.82</v>
      </c>
      <c r="Q2449" t="s">
        <v>30</v>
      </c>
      <c r="R2449" t="s">
        <v>120</v>
      </c>
      <c r="S2449" t="str">
        <v>#N/A</v>
      </c>
      <c r="T2449" t="str">
        <v>31</v>
      </c>
    </row>
    <row r="2450" spans="1:20" ht="13.7" customHeight="1" x14ac:dyDescent="0.25">
      <c r="A2450" t="s">
        <v>26</v>
      </c>
      <c r="B2450" t="s">
        <v>27</v>
      </c>
      <c r="C2450" t="s">
        <v>34</v>
      </c>
      <c r="D2450">
        <v>2</v>
      </c>
      <c r="E2450" s="5">
        <v>43557</v>
      </c>
      <c r="F2450">
        <v>24081005</v>
      </c>
      <c r="G2450" t="s">
        <v>729</v>
      </c>
      <c r="H2450" t="s">
        <v>1123</v>
      </c>
      <c r="I2450" t="s">
        <v>1124</v>
      </c>
      <c r="J2450">
        <v>1005</v>
      </c>
      <c r="K2450" t="s">
        <v>693</v>
      </c>
      <c r="L2450" s="3">
        <v>135234.82</v>
      </c>
      <c r="M2450" s="3">
        <v>12518</v>
      </c>
      <c r="N2450">
        <v>0</v>
      </c>
      <c r="O2450">
        <v>65882</v>
      </c>
      <c r="P2450">
        <v>147752.82</v>
      </c>
      <c r="Q2450" t="s">
        <v>30</v>
      </c>
      <c r="R2450" t="s">
        <v>113</v>
      </c>
      <c r="S2450" t="str">
        <v>#N/A</v>
      </c>
      <c r="T2450" t="str">
        <v>31</v>
      </c>
    </row>
    <row r="2451" spans="1:20" ht="13.7" customHeight="1" x14ac:dyDescent="0.25">
      <c r="A2451" t="s">
        <v>26</v>
      </c>
      <c r="B2451" t="s">
        <v>27</v>
      </c>
      <c r="C2451" t="s">
        <v>35</v>
      </c>
      <c r="D2451">
        <v>28</v>
      </c>
      <c r="E2451" s="5">
        <v>43593</v>
      </c>
      <c r="F2451">
        <v>24081005</v>
      </c>
      <c r="G2451" t="s">
        <v>729</v>
      </c>
      <c r="H2451" t="s">
        <v>1123</v>
      </c>
      <c r="I2451" t="s">
        <v>1124</v>
      </c>
      <c r="J2451">
        <v>1005</v>
      </c>
      <c r="K2451" t="s">
        <v>693</v>
      </c>
      <c r="L2451" s="3">
        <v>147752.82</v>
      </c>
      <c r="M2451" s="3">
        <v>5828</v>
      </c>
      <c r="N2451">
        <v>0</v>
      </c>
      <c r="O2451">
        <v>30672</v>
      </c>
      <c r="P2451">
        <v>153580.82</v>
      </c>
      <c r="Q2451" t="s">
        <v>30</v>
      </c>
      <c r="R2451" t="s">
        <v>128</v>
      </c>
      <c r="S2451" t="str">
        <v>#N/A</v>
      </c>
      <c r="T2451" t="str">
        <v>31</v>
      </c>
    </row>
    <row r="2452" spans="1:20" ht="13.7" customHeight="1" x14ac:dyDescent="0.25">
      <c r="A2452" t="s">
        <v>26</v>
      </c>
      <c r="B2452" t="s">
        <v>27</v>
      </c>
      <c r="C2452" t="s">
        <v>35</v>
      </c>
      <c r="D2452">
        <v>57</v>
      </c>
      <c r="E2452" s="5">
        <v>43602</v>
      </c>
      <c r="F2452">
        <v>24081005</v>
      </c>
      <c r="G2452" t="s">
        <v>729</v>
      </c>
      <c r="H2452" t="s">
        <v>1123</v>
      </c>
      <c r="I2452" t="s">
        <v>1124</v>
      </c>
      <c r="J2452">
        <v>1005</v>
      </c>
      <c r="K2452" t="s">
        <v>693</v>
      </c>
      <c r="L2452" s="3">
        <v>153580.82</v>
      </c>
      <c r="M2452" s="3">
        <v>1293</v>
      </c>
      <c r="N2452">
        <v>0</v>
      </c>
      <c r="O2452">
        <v>6807</v>
      </c>
      <c r="P2452">
        <v>154873.82</v>
      </c>
      <c r="Q2452" t="s">
        <v>30</v>
      </c>
      <c r="R2452" t="s">
        <v>136</v>
      </c>
      <c r="S2452" t="str">
        <v>#N/A</v>
      </c>
      <c r="T2452" t="str">
        <v>31</v>
      </c>
    </row>
    <row r="2453" spans="1:20" ht="13.7" customHeight="1" x14ac:dyDescent="0.25">
      <c r="A2453" t="s">
        <v>26</v>
      </c>
      <c r="B2453" t="s">
        <v>27</v>
      </c>
      <c r="C2453" t="s">
        <v>35</v>
      </c>
      <c r="D2453">
        <v>63</v>
      </c>
      <c r="E2453" s="5">
        <v>43605</v>
      </c>
      <c r="F2453">
        <v>24081005</v>
      </c>
      <c r="G2453" t="s">
        <v>729</v>
      </c>
      <c r="H2453" t="s">
        <v>1123</v>
      </c>
      <c r="I2453" t="s">
        <v>1124</v>
      </c>
      <c r="J2453">
        <v>1005</v>
      </c>
      <c r="K2453" t="s">
        <v>693</v>
      </c>
      <c r="L2453" s="3">
        <v>154873.82</v>
      </c>
      <c r="M2453" s="3">
        <v>990</v>
      </c>
      <c r="N2453">
        <v>0</v>
      </c>
      <c r="O2453">
        <v>5210</v>
      </c>
      <c r="P2453">
        <v>155863.82</v>
      </c>
      <c r="Q2453" t="s">
        <v>30</v>
      </c>
      <c r="R2453" t="s">
        <v>139</v>
      </c>
      <c r="S2453" t="str">
        <v>#N/A</v>
      </c>
      <c r="T2453" t="str">
        <v>31</v>
      </c>
    </row>
    <row r="2454" spans="1:20" ht="13.7" customHeight="1" x14ac:dyDescent="0.25">
      <c r="A2454" t="s">
        <v>26</v>
      </c>
      <c r="B2454" t="s">
        <v>27</v>
      </c>
      <c r="C2454" t="s">
        <v>35</v>
      </c>
      <c r="D2454">
        <v>96</v>
      </c>
      <c r="E2454" s="5">
        <v>43616</v>
      </c>
      <c r="F2454">
        <v>24081005</v>
      </c>
      <c r="G2454" t="s">
        <v>729</v>
      </c>
      <c r="H2454" t="s">
        <v>1123</v>
      </c>
      <c r="I2454" t="s">
        <v>1124</v>
      </c>
      <c r="J2454">
        <v>1005</v>
      </c>
      <c r="K2454" t="s">
        <v>693</v>
      </c>
      <c r="L2454" s="3">
        <v>155863.82</v>
      </c>
      <c r="M2454" s="3">
        <v>9261</v>
      </c>
      <c r="N2454">
        <v>0</v>
      </c>
      <c r="O2454">
        <v>48739</v>
      </c>
      <c r="P2454">
        <v>165124.82</v>
      </c>
      <c r="Q2454" t="s">
        <v>30</v>
      </c>
      <c r="R2454" t="s">
        <v>113</v>
      </c>
      <c r="S2454" t="str">
        <v>#N/A</v>
      </c>
      <c r="T2454" t="str">
        <v>31</v>
      </c>
    </row>
    <row r="2455" spans="1:20" ht="13.7" customHeight="1" x14ac:dyDescent="0.25">
      <c r="A2455" t="s">
        <v>26</v>
      </c>
      <c r="B2455" t="s">
        <v>27</v>
      </c>
      <c r="C2455" t="s">
        <v>37</v>
      </c>
      <c r="D2455">
        <v>62</v>
      </c>
      <c r="E2455" s="5">
        <v>43676</v>
      </c>
      <c r="F2455">
        <v>24081005</v>
      </c>
      <c r="G2455" t="s">
        <v>729</v>
      </c>
      <c r="H2455" t="s">
        <v>1123</v>
      </c>
      <c r="I2455" t="s">
        <v>1124</v>
      </c>
      <c r="J2455">
        <v>1005</v>
      </c>
      <c r="K2455" t="s">
        <v>693</v>
      </c>
      <c r="L2455" s="3">
        <v>165124.82</v>
      </c>
      <c r="M2455" s="3">
        <v>3193</v>
      </c>
      <c r="N2455">
        <v>0</v>
      </c>
      <c r="O2455">
        <v>16807</v>
      </c>
      <c r="P2455">
        <v>168317.82</v>
      </c>
      <c r="Q2455" t="s">
        <v>30</v>
      </c>
      <c r="R2455" t="s">
        <v>72</v>
      </c>
      <c r="S2455" t="str">
        <v>#N/A</v>
      </c>
      <c r="T2455" t="str">
        <v>31</v>
      </c>
    </row>
    <row r="2456" spans="1:20" ht="13.7" customHeight="1" x14ac:dyDescent="0.25">
      <c r="A2456" t="s">
        <v>26</v>
      </c>
      <c r="B2456" t="s">
        <v>27</v>
      </c>
      <c r="C2456" t="s">
        <v>38</v>
      </c>
      <c r="D2456">
        <v>6</v>
      </c>
      <c r="E2456" s="5">
        <v>43680</v>
      </c>
      <c r="F2456">
        <v>24081005</v>
      </c>
      <c r="G2456" t="s">
        <v>729</v>
      </c>
      <c r="H2456" t="s">
        <v>1123</v>
      </c>
      <c r="I2456" t="s">
        <v>1124</v>
      </c>
      <c r="J2456">
        <v>1005</v>
      </c>
      <c r="K2456" t="s">
        <v>693</v>
      </c>
      <c r="L2456" s="3">
        <v>168317.82</v>
      </c>
      <c r="M2456" s="3">
        <v>2315</v>
      </c>
      <c r="N2456">
        <v>0</v>
      </c>
      <c r="O2456">
        <v>12185</v>
      </c>
      <c r="P2456">
        <v>170632.82</v>
      </c>
      <c r="Q2456" t="s">
        <v>30</v>
      </c>
      <c r="R2456" t="s">
        <v>73</v>
      </c>
      <c r="S2456" t="str">
        <v>#N/A</v>
      </c>
      <c r="T2456" t="str">
        <v>31</v>
      </c>
    </row>
    <row r="2457" spans="1:20" ht="13.7" customHeight="1" x14ac:dyDescent="0.25">
      <c r="A2457" t="s">
        <v>26</v>
      </c>
      <c r="B2457" t="s">
        <v>27</v>
      </c>
      <c r="C2457" t="s">
        <v>39</v>
      </c>
      <c r="D2457">
        <v>8</v>
      </c>
      <c r="E2457" s="5">
        <v>43710</v>
      </c>
      <c r="F2457">
        <v>24081005</v>
      </c>
      <c r="G2457" t="s">
        <v>729</v>
      </c>
      <c r="H2457" t="s">
        <v>1123</v>
      </c>
      <c r="I2457" t="s">
        <v>1124</v>
      </c>
      <c r="J2457">
        <v>1005</v>
      </c>
      <c r="K2457" t="s">
        <v>693</v>
      </c>
      <c r="L2457" s="3">
        <v>170632.82</v>
      </c>
      <c r="M2457" s="3">
        <v>7663.84</v>
      </c>
      <c r="N2457">
        <v>0</v>
      </c>
      <c r="O2457">
        <v>40336</v>
      </c>
      <c r="P2457">
        <v>178296.66</v>
      </c>
      <c r="Q2457" t="s">
        <v>30</v>
      </c>
      <c r="R2457" t="s">
        <v>156</v>
      </c>
      <c r="S2457" t="str">
        <v>#N/A</v>
      </c>
      <c r="T2457" t="str">
        <v>31</v>
      </c>
    </row>
    <row r="2458" spans="1:20" ht="13.7" customHeight="1" x14ac:dyDescent="0.25">
      <c r="A2458" t="s">
        <v>26</v>
      </c>
      <c r="B2458" t="s">
        <v>27</v>
      </c>
      <c r="C2458" t="s">
        <v>39</v>
      </c>
      <c r="D2458">
        <v>41</v>
      </c>
      <c r="E2458" s="5">
        <v>43728</v>
      </c>
      <c r="F2458">
        <v>24081005</v>
      </c>
      <c r="G2458" t="s">
        <v>729</v>
      </c>
      <c r="H2458" t="s">
        <v>1123</v>
      </c>
      <c r="I2458" t="s">
        <v>1124</v>
      </c>
      <c r="J2458">
        <v>1005</v>
      </c>
      <c r="K2458" t="s">
        <v>693</v>
      </c>
      <c r="L2458" s="3">
        <v>178296.66</v>
      </c>
      <c r="M2458" s="3">
        <v>3193</v>
      </c>
      <c r="N2458">
        <v>0</v>
      </c>
      <c r="O2458">
        <v>16807</v>
      </c>
      <c r="P2458">
        <v>181489.66</v>
      </c>
      <c r="Q2458" t="s">
        <v>30</v>
      </c>
      <c r="R2458" t="s">
        <v>163</v>
      </c>
      <c r="S2458" t="str">
        <v>#N/A</v>
      </c>
      <c r="T2458" t="str">
        <v>31</v>
      </c>
    </row>
    <row r="2459" spans="1:20" ht="13.7" customHeight="1" x14ac:dyDescent="0.25">
      <c r="A2459" t="s">
        <v>26</v>
      </c>
      <c r="B2459" t="s">
        <v>27</v>
      </c>
      <c r="C2459" t="s">
        <v>40</v>
      </c>
      <c r="D2459">
        <v>3</v>
      </c>
      <c r="E2459" s="5">
        <v>43743</v>
      </c>
      <c r="F2459">
        <v>24081005</v>
      </c>
      <c r="G2459" t="s">
        <v>729</v>
      </c>
      <c r="H2459" t="s">
        <v>1123</v>
      </c>
      <c r="I2459" t="s">
        <v>1124</v>
      </c>
      <c r="J2459">
        <v>1005</v>
      </c>
      <c r="K2459" t="s">
        <v>693</v>
      </c>
      <c r="L2459" s="3">
        <v>181489.66</v>
      </c>
      <c r="M2459" s="3">
        <v>3752</v>
      </c>
      <c r="N2459">
        <v>0</v>
      </c>
      <c r="O2459">
        <v>19748</v>
      </c>
      <c r="P2459">
        <v>185241.66</v>
      </c>
      <c r="Q2459" t="s">
        <v>30</v>
      </c>
      <c r="R2459" t="s">
        <v>163</v>
      </c>
      <c r="S2459" t="str">
        <v>#N/A</v>
      </c>
      <c r="T2459" t="str">
        <v>31</v>
      </c>
    </row>
    <row r="2460" spans="1:20" ht="13.7" customHeight="1" x14ac:dyDescent="0.25">
      <c r="A2460" t="s">
        <v>26</v>
      </c>
      <c r="B2460" t="s">
        <v>27</v>
      </c>
      <c r="C2460" t="s">
        <v>40</v>
      </c>
      <c r="D2460">
        <v>47</v>
      </c>
      <c r="E2460" s="5">
        <v>43763</v>
      </c>
      <c r="F2460">
        <v>24081005</v>
      </c>
      <c r="G2460" t="s">
        <v>729</v>
      </c>
      <c r="H2460" t="s">
        <v>1123</v>
      </c>
      <c r="I2460" t="s">
        <v>1124</v>
      </c>
      <c r="J2460">
        <v>1005</v>
      </c>
      <c r="K2460" t="s">
        <v>693</v>
      </c>
      <c r="L2460" s="3">
        <v>185241.66</v>
      </c>
      <c r="M2460" s="3">
        <v>4710</v>
      </c>
      <c r="N2460">
        <v>0</v>
      </c>
      <c r="O2460">
        <v>24790</v>
      </c>
      <c r="P2460">
        <v>189951.66</v>
      </c>
      <c r="Q2460" t="s">
        <v>30</v>
      </c>
      <c r="R2460" t="s">
        <v>113</v>
      </c>
      <c r="S2460" t="str">
        <v>#N/A</v>
      </c>
      <c r="T2460" t="str">
        <v>31</v>
      </c>
    </row>
    <row r="2461" spans="1:20" ht="13.7" customHeight="1" x14ac:dyDescent="0.25">
      <c r="A2461" t="s">
        <v>26</v>
      </c>
      <c r="B2461" t="s">
        <v>27</v>
      </c>
      <c r="C2461" t="s">
        <v>41</v>
      </c>
      <c r="D2461">
        <v>32</v>
      </c>
      <c r="E2461" s="5">
        <v>43783</v>
      </c>
      <c r="F2461">
        <v>24081005</v>
      </c>
      <c r="G2461" t="s">
        <v>729</v>
      </c>
      <c r="H2461" t="s">
        <v>1123</v>
      </c>
      <c r="I2461" t="s">
        <v>1124</v>
      </c>
      <c r="J2461">
        <v>1005</v>
      </c>
      <c r="K2461" t="s">
        <v>693</v>
      </c>
      <c r="L2461" s="3">
        <v>189951.66</v>
      </c>
      <c r="M2461" s="3">
        <v>2555</v>
      </c>
      <c r="N2461">
        <v>0</v>
      </c>
      <c r="O2461">
        <v>13445</v>
      </c>
      <c r="P2461">
        <v>192506.66</v>
      </c>
      <c r="Q2461" t="s">
        <v>30</v>
      </c>
      <c r="R2461" t="s">
        <v>573</v>
      </c>
      <c r="S2461" t="str">
        <v>#N/A</v>
      </c>
      <c r="T2461" t="str">
        <v>31</v>
      </c>
    </row>
    <row r="2462" spans="1:20" ht="13.7" customHeight="1" x14ac:dyDescent="0.25">
      <c r="A2462" t="s">
        <v>26</v>
      </c>
      <c r="B2462" t="s">
        <v>27</v>
      </c>
      <c r="C2462" t="s">
        <v>41</v>
      </c>
      <c r="D2462">
        <v>63</v>
      </c>
      <c r="E2462" s="5">
        <v>43794</v>
      </c>
      <c r="F2462">
        <v>24081005</v>
      </c>
      <c r="G2462" t="s">
        <v>729</v>
      </c>
      <c r="H2462" t="s">
        <v>1123</v>
      </c>
      <c r="I2462" t="s">
        <v>1124</v>
      </c>
      <c r="J2462">
        <v>1005</v>
      </c>
      <c r="K2462" t="s">
        <v>693</v>
      </c>
      <c r="L2462" s="3">
        <v>192506.66</v>
      </c>
      <c r="M2462" s="3">
        <v>7664</v>
      </c>
      <c r="N2462">
        <v>0</v>
      </c>
      <c r="O2462">
        <v>40336</v>
      </c>
      <c r="P2462">
        <v>200170.66</v>
      </c>
      <c r="Q2462" t="s">
        <v>30</v>
      </c>
      <c r="R2462" t="s">
        <v>177</v>
      </c>
      <c r="S2462" t="str">
        <v>#N/A</v>
      </c>
      <c r="T2462" t="str">
        <v>31</v>
      </c>
    </row>
    <row r="2463" spans="1:20" ht="13.7" customHeight="1" x14ac:dyDescent="0.25">
      <c r="A2463" t="s">
        <v>26</v>
      </c>
      <c r="B2463" t="s">
        <v>27</v>
      </c>
      <c r="C2463" t="s">
        <v>41</v>
      </c>
      <c r="D2463">
        <v>5</v>
      </c>
      <c r="E2463" s="5">
        <v>43801</v>
      </c>
      <c r="F2463">
        <v>24081005</v>
      </c>
      <c r="G2463" t="s">
        <v>729</v>
      </c>
      <c r="H2463" t="s">
        <v>1123</v>
      </c>
      <c r="I2463" t="s">
        <v>1124</v>
      </c>
      <c r="J2463">
        <v>1005</v>
      </c>
      <c r="K2463" t="s">
        <v>693</v>
      </c>
      <c r="L2463" s="3">
        <v>200170.66</v>
      </c>
      <c r="M2463" s="3">
        <v>4390</v>
      </c>
      <c r="N2463">
        <v>0</v>
      </c>
      <c r="O2463">
        <v>23109</v>
      </c>
      <c r="P2463">
        <v>204560.66</v>
      </c>
      <c r="Q2463" t="s">
        <v>30</v>
      </c>
      <c r="R2463" t="s">
        <v>72</v>
      </c>
      <c r="S2463" t="str">
        <v>#N/A</v>
      </c>
      <c r="T2463" t="str">
        <v>31</v>
      </c>
    </row>
    <row r="2464" spans="1:20" ht="13.7" customHeight="1" x14ac:dyDescent="0.25">
      <c r="E2464" s="5">
        <v>43465</v>
      </c>
      <c r="F2464">
        <v>24081005</v>
      </c>
      <c r="G2464" t="s">
        <v>729</v>
      </c>
      <c r="H2464" t="s">
        <v>1370</v>
      </c>
      <c r="I2464" t="s">
        <v>1371</v>
      </c>
      <c r="J2464">
        <v>0</v>
      </c>
      <c r="K2464">
        <v>0</v>
      </c>
      <c r="L2464" s="3">
        <v>0</v>
      </c>
      <c r="M2464" s="3">
        <v>0</v>
      </c>
      <c r="N2464">
        <v>0</v>
      </c>
      <c r="O2464">
        <v>0</v>
      </c>
      <c r="P2464">
        <v>0</v>
      </c>
      <c r="R2464" t="s">
        <v>1100</v>
      </c>
      <c r="S2464" t="str">
        <v>#N/A</v>
      </c>
      <c r="T2464" t="str">
        <v>31</v>
      </c>
    </row>
    <row r="2465" spans="1:20" ht="13.7" customHeight="1" x14ac:dyDescent="0.25">
      <c r="A2465" t="s">
        <v>26</v>
      </c>
      <c r="B2465" t="s">
        <v>27</v>
      </c>
      <c r="C2465" t="s">
        <v>36</v>
      </c>
      <c r="D2465">
        <v>10</v>
      </c>
      <c r="E2465" s="5">
        <v>43621</v>
      </c>
      <c r="F2465">
        <v>24081005</v>
      </c>
      <c r="G2465" t="s">
        <v>729</v>
      </c>
      <c r="H2465" t="s">
        <v>1370</v>
      </c>
      <c r="I2465" t="s">
        <v>1371</v>
      </c>
      <c r="J2465">
        <v>1005</v>
      </c>
      <c r="K2465" t="s">
        <v>693</v>
      </c>
      <c r="L2465" s="3">
        <v>0</v>
      </c>
      <c r="M2465" s="3">
        <v>15580</v>
      </c>
      <c r="N2465">
        <v>0</v>
      </c>
      <c r="O2465">
        <v>82000</v>
      </c>
      <c r="P2465">
        <v>15580</v>
      </c>
      <c r="Q2465" t="s">
        <v>30</v>
      </c>
      <c r="R2465" t="s">
        <v>265</v>
      </c>
      <c r="S2465" t="str">
        <v>#N/A</v>
      </c>
      <c r="T2465" t="str">
        <v>31</v>
      </c>
    </row>
    <row r="2466" spans="1:20" ht="13.7" customHeight="1" x14ac:dyDescent="0.25">
      <c r="A2466" t="s">
        <v>26</v>
      </c>
      <c r="B2466" t="s">
        <v>27</v>
      </c>
      <c r="C2466" t="s">
        <v>36</v>
      </c>
      <c r="D2466">
        <v>24</v>
      </c>
      <c r="E2466" s="5">
        <v>43629</v>
      </c>
      <c r="F2466">
        <v>24081005</v>
      </c>
      <c r="G2466" t="s">
        <v>729</v>
      </c>
      <c r="H2466" t="s">
        <v>1370</v>
      </c>
      <c r="I2466" t="s">
        <v>1371</v>
      </c>
      <c r="J2466">
        <v>1005</v>
      </c>
      <c r="K2466" t="s">
        <v>693</v>
      </c>
      <c r="L2466" s="3">
        <v>15580</v>
      </c>
      <c r="M2466" s="3">
        <v>12928</v>
      </c>
      <c r="N2466">
        <v>0</v>
      </c>
      <c r="O2466">
        <v>68042</v>
      </c>
      <c r="P2466">
        <v>28508</v>
      </c>
      <c r="Q2466" t="s">
        <v>30</v>
      </c>
      <c r="R2466" t="s">
        <v>268</v>
      </c>
      <c r="S2466" t="str">
        <v>#N/A</v>
      </c>
      <c r="T2466" t="str">
        <v>31</v>
      </c>
    </row>
    <row r="2467" spans="1:20" ht="13.7" customHeight="1" x14ac:dyDescent="0.25">
      <c r="E2467" s="5">
        <v>43465</v>
      </c>
      <c r="F2467">
        <v>24081005</v>
      </c>
      <c r="G2467" t="s">
        <v>729</v>
      </c>
      <c r="H2467" t="s">
        <v>1595</v>
      </c>
      <c r="I2467" t="s">
        <v>1596</v>
      </c>
      <c r="J2467">
        <v>0</v>
      </c>
      <c r="K2467">
        <v>0</v>
      </c>
      <c r="L2467" s="3">
        <v>0</v>
      </c>
      <c r="M2467" s="3">
        <v>0</v>
      </c>
      <c r="N2467">
        <v>0</v>
      </c>
      <c r="O2467">
        <v>0</v>
      </c>
      <c r="P2467">
        <v>0</v>
      </c>
      <c r="R2467" t="s">
        <v>1100</v>
      </c>
      <c r="S2467" t="str">
        <v>#N/A</v>
      </c>
      <c r="T2467" t="str">
        <v>#N/A</v>
      </c>
    </row>
    <row r="2468" spans="1:20" ht="13.7" customHeight="1" x14ac:dyDescent="0.25">
      <c r="A2468" t="s">
        <v>26</v>
      </c>
      <c r="B2468" t="s">
        <v>27</v>
      </c>
      <c r="C2468" t="s">
        <v>38</v>
      </c>
      <c r="D2468">
        <v>23</v>
      </c>
      <c r="E2468" s="5">
        <v>43692</v>
      </c>
      <c r="F2468">
        <v>24081005</v>
      </c>
      <c r="G2468" t="s">
        <v>729</v>
      </c>
      <c r="H2468" t="s">
        <v>1595</v>
      </c>
      <c r="I2468" t="s">
        <v>1596</v>
      </c>
      <c r="J2468">
        <v>1005</v>
      </c>
      <c r="K2468" t="s">
        <v>693</v>
      </c>
      <c r="L2468" s="3">
        <v>0</v>
      </c>
      <c r="M2468" s="3">
        <v>22610</v>
      </c>
      <c r="N2468">
        <v>0</v>
      </c>
      <c r="O2468">
        <v>119000</v>
      </c>
      <c r="P2468">
        <v>22610</v>
      </c>
      <c r="Q2468" t="s">
        <v>30</v>
      </c>
      <c r="R2468" t="s">
        <v>169</v>
      </c>
      <c r="S2468" t="str">
        <v>#N/A</v>
      </c>
      <c r="T2468" t="str">
        <v>#N/A</v>
      </c>
    </row>
    <row r="2469" spans="1:20" ht="13.7" customHeight="1" x14ac:dyDescent="0.25">
      <c r="E2469" s="5">
        <v>43465</v>
      </c>
      <c r="F2469">
        <v>24081005</v>
      </c>
      <c r="G2469" t="s">
        <v>729</v>
      </c>
      <c r="H2469" t="s">
        <v>1597</v>
      </c>
      <c r="I2469" t="s">
        <v>1598</v>
      </c>
      <c r="J2469">
        <v>0</v>
      </c>
      <c r="K2469">
        <v>0</v>
      </c>
      <c r="L2469" s="3">
        <v>447</v>
      </c>
      <c r="M2469" s="3">
        <v>0</v>
      </c>
      <c r="N2469">
        <v>0</v>
      </c>
      <c r="O2469">
        <v>2353</v>
      </c>
      <c r="P2469">
        <v>447</v>
      </c>
      <c r="R2469" t="s">
        <v>1100</v>
      </c>
      <c r="S2469" t="str">
        <v>#N/A</v>
      </c>
      <c r="T2469" t="str">
        <v>#N/A</v>
      </c>
    </row>
    <row r="2470" spans="1:20" ht="13.7" customHeight="1" x14ac:dyDescent="0.25">
      <c r="E2470" s="5">
        <v>43465</v>
      </c>
      <c r="F2470">
        <v>24081005</v>
      </c>
      <c r="G2470" t="s">
        <v>729</v>
      </c>
      <c r="H2470" t="s">
        <v>1251</v>
      </c>
      <c r="I2470" t="s">
        <v>1252</v>
      </c>
      <c r="J2470">
        <v>0</v>
      </c>
      <c r="K2470">
        <v>0</v>
      </c>
      <c r="L2470" s="3">
        <v>447.06</v>
      </c>
      <c r="M2470" s="3">
        <v>0</v>
      </c>
      <c r="N2470">
        <v>0</v>
      </c>
      <c r="O2470">
        <v>2352.94</v>
      </c>
      <c r="P2470">
        <v>447.06</v>
      </c>
      <c r="R2470" t="s">
        <v>1100</v>
      </c>
      <c r="S2470" t="str">
        <v>#N/A</v>
      </c>
      <c r="T2470" t="str">
        <v>#N/A</v>
      </c>
    </row>
    <row r="2471" spans="1:20" ht="13.7" customHeight="1" x14ac:dyDescent="0.25">
      <c r="E2471" s="5">
        <v>43465</v>
      </c>
      <c r="F2471">
        <v>24081005</v>
      </c>
      <c r="G2471" t="s">
        <v>729</v>
      </c>
      <c r="H2471" t="s">
        <v>1201</v>
      </c>
      <c r="I2471" t="s">
        <v>1202</v>
      </c>
      <c r="J2471">
        <v>0</v>
      </c>
      <c r="K2471">
        <v>0</v>
      </c>
      <c r="L2471" s="3">
        <v>0</v>
      </c>
      <c r="M2471" s="3">
        <v>0</v>
      </c>
      <c r="N2471">
        <v>0</v>
      </c>
      <c r="O2471">
        <v>0</v>
      </c>
      <c r="P2471">
        <v>0</v>
      </c>
      <c r="R2471" t="s">
        <v>1100</v>
      </c>
      <c r="S2471" t="str">
        <v>#N/A</v>
      </c>
      <c r="T2471" t="str">
        <v>#N/A</v>
      </c>
    </row>
    <row r="2472" spans="1:20" ht="13.7" customHeight="1" x14ac:dyDescent="0.25">
      <c r="A2472" t="s">
        <v>26</v>
      </c>
      <c r="B2472" t="s">
        <v>27</v>
      </c>
      <c r="C2472" t="s">
        <v>32</v>
      </c>
      <c r="D2472">
        <v>21</v>
      </c>
      <c r="E2472" s="5">
        <v>43509</v>
      </c>
      <c r="F2472">
        <v>24081005</v>
      </c>
      <c r="G2472" t="s">
        <v>729</v>
      </c>
      <c r="H2472" t="s">
        <v>1201</v>
      </c>
      <c r="I2472" t="s">
        <v>1202</v>
      </c>
      <c r="J2472">
        <v>1005</v>
      </c>
      <c r="K2472" t="s">
        <v>693</v>
      </c>
      <c r="L2472" s="3">
        <v>0</v>
      </c>
      <c r="M2472" s="3">
        <v>27289</v>
      </c>
      <c r="N2472">
        <v>0</v>
      </c>
      <c r="O2472">
        <v>143624</v>
      </c>
      <c r="P2472">
        <v>27289</v>
      </c>
      <c r="Q2472" t="s">
        <v>30</v>
      </c>
      <c r="R2472" t="s">
        <v>78</v>
      </c>
      <c r="S2472" t="str">
        <v>#N/A</v>
      </c>
      <c r="T2472" t="str">
        <v>#N/A</v>
      </c>
    </row>
    <row r="2473" spans="1:20" ht="13.7" customHeight="1" x14ac:dyDescent="0.25">
      <c r="A2473" t="s">
        <v>26</v>
      </c>
      <c r="B2473" t="s">
        <v>27</v>
      </c>
      <c r="C2473" t="s">
        <v>180</v>
      </c>
      <c r="D2473">
        <v>21</v>
      </c>
      <c r="E2473" s="5">
        <v>43810</v>
      </c>
      <c r="F2473">
        <v>24081005</v>
      </c>
      <c r="G2473" t="s">
        <v>729</v>
      </c>
      <c r="H2473" t="s">
        <v>1201</v>
      </c>
      <c r="I2473" t="s">
        <v>1202</v>
      </c>
      <c r="J2473">
        <v>1005</v>
      </c>
      <c r="K2473" t="s">
        <v>693</v>
      </c>
      <c r="L2473" s="3">
        <v>27289</v>
      </c>
      <c r="M2473" s="3">
        <v>197568</v>
      </c>
      <c r="N2473">
        <v>0</v>
      </c>
      <c r="O2473">
        <v>1039833</v>
      </c>
      <c r="P2473">
        <v>224857</v>
      </c>
      <c r="Q2473" t="s">
        <v>30</v>
      </c>
      <c r="R2473" t="s">
        <v>314</v>
      </c>
      <c r="S2473" t="str">
        <v>#N/A</v>
      </c>
      <c r="T2473" t="str">
        <v>#N/A</v>
      </c>
    </row>
    <row r="2474" spans="1:20" ht="13.7" customHeight="1" x14ac:dyDescent="0.25">
      <c r="A2474" t="s">
        <v>26</v>
      </c>
      <c r="B2474" t="s">
        <v>27</v>
      </c>
      <c r="C2474" t="s">
        <v>180</v>
      </c>
      <c r="D2474">
        <v>22</v>
      </c>
      <c r="E2474" s="5">
        <v>43810</v>
      </c>
      <c r="F2474">
        <v>24081005</v>
      </c>
      <c r="G2474" t="s">
        <v>729</v>
      </c>
      <c r="H2474" t="s">
        <v>1201</v>
      </c>
      <c r="I2474" t="s">
        <v>1202</v>
      </c>
      <c r="J2474">
        <v>1005</v>
      </c>
      <c r="K2474" t="s">
        <v>693</v>
      </c>
      <c r="L2474" s="3">
        <v>224857</v>
      </c>
      <c r="M2474" s="3">
        <v>59509</v>
      </c>
      <c r="N2474">
        <v>0</v>
      </c>
      <c r="O2474">
        <v>313206</v>
      </c>
      <c r="P2474">
        <v>284366</v>
      </c>
      <c r="Q2474" t="s">
        <v>30</v>
      </c>
      <c r="R2474" t="s">
        <v>188</v>
      </c>
      <c r="S2474" t="str">
        <v>#N/A</v>
      </c>
      <c r="T2474" t="str">
        <v>#N/A</v>
      </c>
    </row>
    <row r="2475" spans="1:20" ht="13.7" customHeight="1" x14ac:dyDescent="0.25">
      <c r="A2475" t="s">
        <v>26</v>
      </c>
      <c r="B2475" t="s">
        <v>27</v>
      </c>
      <c r="C2475" t="s">
        <v>180</v>
      </c>
      <c r="D2475">
        <v>23</v>
      </c>
      <c r="E2475" s="5">
        <v>43810</v>
      </c>
      <c r="F2475">
        <v>24081005</v>
      </c>
      <c r="G2475" t="s">
        <v>729</v>
      </c>
      <c r="H2475" t="s">
        <v>1201</v>
      </c>
      <c r="I2475" t="s">
        <v>1202</v>
      </c>
      <c r="J2475">
        <v>1005</v>
      </c>
      <c r="K2475" t="s">
        <v>693</v>
      </c>
      <c r="L2475" s="3">
        <v>284366</v>
      </c>
      <c r="M2475" s="3">
        <v>174927</v>
      </c>
      <c r="N2475">
        <v>0</v>
      </c>
      <c r="O2475">
        <v>920669</v>
      </c>
      <c r="P2475">
        <v>459293</v>
      </c>
      <c r="Q2475" t="s">
        <v>30</v>
      </c>
      <c r="R2475" t="s">
        <v>314</v>
      </c>
      <c r="S2475" t="str">
        <v>#N/A</v>
      </c>
      <c r="T2475" t="str">
        <v>#N/A</v>
      </c>
    </row>
    <row r="2476" spans="1:20" ht="13.7" customHeight="1" x14ac:dyDescent="0.25">
      <c r="A2476" t="s">
        <v>26</v>
      </c>
      <c r="B2476" t="s">
        <v>27</v>
      </c>
      <c r="C2476" t="s">
        <v>180</v>
      </c>
      <c r="D2476">
        <v>44</v>
      </c>
      <c r="E2476" s="5">
        <v>43815</v>
      </c>
      <c r="F2476">
        <v>24081005</v>
      </c>
      <c r="G2476" t="s">
        <v>729</v>
      </c>
      <c r="H2476" t="s">
        <v>1201</v>
      </c>
      <c r="I2476" t="s">
        <v>1202</v>
      </c>
      <c r="J2476">
        <v>1005</v>
      </c>
      <c r="K2476" t="s">
        <v>693</v>
      </c>
      <c r="L2476" s="3">
        <v>459293</v>
      </c>
      <c r="M2476" s="3">
        <v>2836</v>
      </c>
      <c r="N2476">
        <v>0</v>
      </c>
      <c r="O2476">
        <v>14925</v>
      </c>
      <c r="P2476">
        <v>462129</v>
      </c>
      <c r="Q2476" t="s">
        <v>30</v>
      </c>
      <c r="R2476" t="s">
        <v>187</v>
      </c>
      <c r="S2476" t="str">
        <v>#N/A</v>
      </c>
      <c r="T2476" t="str">
        <v>#N/A</v>
      </c>
    </row>
    <row r="2477" spans="1:20" ht="13.7" customHeight="1" x14ac:dyDescent="0.25">
      <c r="A2477" t="s">
        <v>26</v>
      </c>
      <c r="B2477" t="s">
        <v>27</v>
      </c>
      <c r="C2477" t="s">
        <v>180</v>
      </c>
      <c r="D2477">
        <v>46</v>
      </c>
      <c r="E2477" s="5">
        <v>43817</v>
      </c>
      <c r="F2477">
        <v>24081005</v>
      </c>
      <c r="G2477" t="s">
        <v>729</v>
      </c>
      <c r="H2477" t="s">
        <v>1201</v>
      </c>
      <c r="I2477" t="s">
        <v>1202</v>
      </c>
      <c r="J2477">
        <v>1005</v>
      </c>
      <c r="K2477" t="s">
        <v>693</v>
      </c>
      <c r="L2477" s="3">
        <v>462129</v>
      </c>
      <c r="M2477" s="3">
        <v>4104</v>
      </c>
      <c r="N2477">
        <v>0</v>
      </c>
      <c r="O2477">
        <v>21600</v>
      </c>
      <c r="P2477">
        <v>466233</v>
      </c>
      <c r="Q2477" t="s">
        <v>30</v>
      </c>
      <c r="R2477" t="s">
        <v>188</v>
      </c>
      <c r="S2477" t="str">
        <v>#N/A</v>
      </c>
      <c r="T2477" t="str">
        <v>#N/A</v>
      </c>
    </row>
    <row r="2478" spans="1:20" ht="13.7" customHeight="1" x14ac:dyDescent="0.25">
      <c r="A2478" t="s">
        <v>26</v>
      </c>
      <c r="B2478" t="s">
        <v>27</v>
      </c>
      <c r="C2478" t="s">
        <v>180</v>
      </c>
      <c r="D2478">
        <v>47</v>
      </c>
      <c r="E2478" s="5">
        <v>43817</v>
      </c>
      <c r="F2478">
        <v>24081005</v>
      </c>
      <c r="G2478" t="s">
        <v>729</v>
      </c>
      <c r="H2478" t="s">
        <v>1201</v>
      </c>
      <c r="I2478" t="s">
        <v>1202</v>
      </c>
      <c r="J2478">
        <v>1005</v>
      </c>
      <c r="K2478" t="s">
        <v>693</v>
      </c>
      <c r="L2478" s="3">
        <v>466233</v>
      </c>
      <c r="M2478" s="3">
        <v>1211</v>
      </c>
      <c r="N2478">
        <v>0</v>
      </c>
      <c r="O2478">
        <v>6375</v>
      </c>
      <c r="P2478">
        <v>467444</v>
      </c>
      <c r="Q2478" t="s">
        <v>30</v>
      </c>
      <c r="R2478" t="s">
        <v>189</v>
      </c>
      <c r="S2478" t="str">
        <v>#N/A</v>
      </c>
      <c r="T2478" t="str">
        <v>#N/A</v>
      </c>
    </row>
    <row r="2479" spans="1:20" ht="13.7" customHeight="1" x14ac:dyDescent="0.25">
      <c r="A2479" t="s">
        <v>26</v>
      </c>
      <c r="B2479" t="s">
        <v>27</v>
      </c>
      <c r="C2479" t="s">
        <v>180</v>
      </c>
      <c r="D2479">
        <v>55</v>
      </c>
      <c r="E2479" s="5">
        <v>43819</v>
      </c>
      <c r="F2479">
        <v>24081005</v>
      </c>
      <c r="G2479" t="s">
        <v>729</v>
      </c>
      <c r="H2479" t="s">
        <v>1201</v>
      </c>
      <c r="I2479" t="s">
        <v>1202</v>
      </c>
      <c r="J2479">
        <v>1005</v>
      </c>
      <c r="K2479" t="s">
        <v>693</v>
      </c>
      <c r="L2479" s="3">
        <v>467444</v>
      </c>
      <c r="M2479" s="3">
        <v>61295</v>
      </c>
      <c r="N2479">
        <v>0</v>
      </c>
      <c r="O2479">
        <v>322600</v>
      </c>
      <c r="P2479">
        <v>528739</v>
      </c>
      <c r="Q2479" t="s">
        <v>30</v>
      </c>
      <c r="R2479" t="s">
        <v>317</v>
      </c>
      <c r="S2479" t="str">
        <v>#N/A</v>
      </c>
      <c r="T2479" t="str">
        <v>#N/A</v>
      </c>
    </row>
    <row r="2480" spans="1:20" ht="13.7" customHeight="1" x14ac:dyDescent="0.25">
      <c r="E2480" s="5">
        <v>43465</v>
      </c>
      <c r="F2480">
        <v>24081005</v>
      </c>
      <c r="G2480" t="s">
        <v>729</v>
      </c>
      <c r="H2480" t="s">
        <v>1117</v>
      </c>
      <c r="I2480" t="s">
        <v>1118</v>
      </c>
      <c r="J2480">
        <v>0</v>
      </c>
      <c r="K2480">
        <v>0</v>
      </c>
      <c r="L2480" s="3">
        <v>553877.69999999995</v>
      </c>
      <c r="M2480" s="3">
        <v>0</v>
      </c>
      <c r="N2480">
        <v>0</v>
      </c>
      <c r="O2480">
        <v>2915128</v>
      </c>
      <c r="P2480">
        <v>553877.69999999995</v>
      </c>
      <c r="R2480" t="s">
        <v>1100</v>
      </c>
      <c r="S2480" t="str">
        <v>#N/A</v>
      </c>
      <c r="T2480" t="str">
        <v>31</v>
      </c>
    </row>
    <row r="2481" spans="1:20" ht="13.7" customHeight="1" x14ac:dyDescent="0.25">
      <c r="A2481" t="s">
        <v>26</v>
      </c>
      <c r="B2481" t="s">
        <v>27</v>
      </c>
      <c r="C2481" t="s">
        <v>28</v>
      </c>
      <c r="D2481">
        <v>34</v>
      </c>
      <c r="E2481" s="5">
        <v>43479</v>
      </c>
      <c r="F2481">
        <v>24081005</v>
      </c>
      <c r="G2481" t="s">
        <v>729</v>
      </c>
      <c r="H2481" t="s">
        <v>1117</v>
      </c>
      <c r="I2481" t="s">
        <v>1118</v>
      </c>
      <c r="J2481">
        <v>1005</v>
      </c>
      <c r="K2481" t="s">
        <v>693</v>
      </c>
      <c r="L2481" s="3">
        <v>553877.69999999995</v>
      </c>
      <c r="M2481" s="3">
        <v>7744</v>
      </c>
      <c r="N2481">
        <v>0</v>
      </c>
      <c r="O2481">
        <v>40757</v>
      </c>
      <c r="P2481">
        <v>561621.69999999995</v>
      </c>
      <c r="Q2481" t="s">
        <v>30</v>
      </c>
      <c r="R2481" t="s">
        <v>533</v>
      </c>
      <c r="S2481" t="str">
        <v>#N/A</v>
      </c>
      <c r="T2481" t="str">
        <v>31</v>
      </c>
    </row>
    <row r="2482" spans="1:20" ht="13.7" customHeight="1" x14ac:dyDescent="0.25">
      <c r="A2482" t="s">
        <v>26</v>
      </c>
      <c r="B2482" t="s">
        <v>27</v>
      </c>
      <c r="C2482" t="s">
        <v>28</v>
      </c>
      <c r="D2482">
        <v>43</v>
      </c>
      <c r="E2482" s="5">
        <v>43482</v>
      </c>
      <c r="F2482">
        <v>24081005</v>
      </c>
      <c r="G2482" t="s">
        <v>729</v>
      </c>
      <c r="H2482" t="s">
        <v>1117</v>
      </c>
      <c r="I2482" t="s">
        <v>1118</v>
      </c>
      <c r="J2482">
        <v>1005</v>
      </c>
      <c r="K2482" t="s">
        <v>693</v>
      </c>
      <c r="L2482" s="3">
        <v>561621.69999999995</v>
      </c>
      <c r="M2482" s="3">
        <v>17563</v>
      </c>
      <c r="N2482">
        <v>0</v>
      </c>
      <c r="O2482">
        <v>92437</v>
      </c>
      <c r="P2482">
        <v>579184.69999999995</v>
      </c>
      <c r="Q2482" t="s">
        <v>30</v>
      </c>
      <c r="R2482" t="s">
        <v>159</v>
      </c>
      <c r="S2482" t="str">
        <v>#N/A</v>
      </c>
      <c r="T2482" t="str">
        <v>31</v>
      </c>
    </row>
    <row r="2483" spans="1:20" ht="13.7" customHeight="1" x14ac:dyDescent="0.25">
      <c r="A2483" t="s">
        <v>26</v>
      </c>
      <c r="B2483" t="s">
        <v>27</v>
      </c>
      <c r="C2483" t="s">
        <v>28</v>
      </c>
      <c r="D2483">
        <v>58</v>
      </c>
      <c r="E2483" s="5">
        <v>43487</v>
      </c>
      <c r="F2483">
        <v>24081005</v>
      </c>
      <c r="G2483" t="s">
        <v>729</v>
      </c>
      <c r="H2483" t="s">
        <v>1117</v>
      </c>
      <c r="I2483" t="s">
        <v>1118</v>
      </c>
      <c r="J2483">
        <v>1005</v>
      </c>
      <c r="K2483" t="s">
        <v>693</v>
      </c>
      <c r="L2483" s="3">
        <v>579184.69999999995</v>
      </c>
      <c r="M2483" s="3">
        <v>17563</v>
      </c>
      <c r="N2483">
        <v>0</v>
      </c>
      <c r="O2483">
        <v>92437</v>
      </c>
      <c r="P2483">
        <v>596747.69999999995</v>
      </c>
      <c r="Q2483" t="s">
        <v>30</v>
      </c>
      <c r="R2483" t="s">
        <v>65</v>
      </c>
      <c r="S2483" t="str">
        <v>#N/A</v>
      </c>
      <c r="T2483" t="str">
        <v>31</v>
      </c>
    </row>
    <row r="2484" spans="1:20" ht="13.7" customHeight="1" x14ac:dyDescent="0.25">
      <c r="A2484" t="s">
        <v>26</v>
      </c>
      <c r="B2484" t="s">
        <v>27</v>
      </c>
      <c r="C2484" t="s">
        <v>28</v>
      </c>
      <c r="D2484">
        <v>60</v>
      </c>
      <c r="E2484" s="5">
        <v>43488</v>
      </c>
      <c r="F2484">
        <v>24081005</v>
      </c>
      <c r="G2484" t="s">
        <v>729</v>
      </c>
      <c r="H2484" t="s">
        <v>1117</v>
      </c>
      <c r="I2484" t="s">
        <v>1118</v>
      </c>
      <c r="J2484">
        <v>1005</v>
      </c>
      <c r="K2484" t="s">
        <v>693</v>
      </c>
      <c r="L2484" s="3">
        <v>596747.69999999995</v>
      </c>
      <c r="M2484" s="3">
        <v>49496</v>
      </c>
      <c r="N2484">
        <v>0</v>
      </c>
      <c r="O2484">
        <v>260504</v>
      </c>
      <c r="P2484">
        <v>646243.69999999995</v>
      </c>
      <c r="Q2484" t="s">
        <v>30</v>
      </c>
      <c r="R2484" t="s">
        <v>65</v>
      </c>
      <c r="S2484" t="str">
        <v>#N/A</v>
      </c>
      <c r="T2484" t="str">
        <v>31</v>
      </c>
    </row>
    <row r="2485" spans="1:20" ht="13.7" customHeight="1" x14ac:dyDescent="0.25">
      <c r="A2485" t="s">
        <v>26</v>
      </c>
      <c r="B2485" t="s">
        <v>27</v>
      </c>
      <c r="C2485" t="s">
        <v>28</v>
      </c>
      <c r="D2485">
        <v>68</v>
      </c>
      <c r="E2485" s="5">
        <v>43491</v>
      </c>
      <c r="F2485">
        <v>24081005</v>
      </c>
      <c r="G2485" t="s">
        <v>729</v>
      </c>
      <c r="H2485" t="s">
        <v>1117</v>
      </c>
      <c r="I2485" t="s">
        <v>1118</v>
      </c>
      <c r="J2485">
        <v>1005</v>
      </c>
      <c r="K2485" t="s">
        <v>693</v>
      </c>
      <c r="L2485" s="3">
        <v>646243.69999999995</v>
      </c>
      <c r="M2485" s="3">
        <v>21475</v>
      </c>
      <c r="N2485">
        <v>0</v>
      </c>
      <c r="O2485">
        <v>113025</v>
      </c>
      <c r="P2485">
        <v>667718.69999999995</v>
      </c>
      <c r="Q2485" t="s">
        <v>30</v>
      </c>
      <c r="R2485" t="s">
        <v>159</v>
      </c>
      <c r="S2485" t="str">
        <v>#N/A</v>
      </c>
      <c r="T2485" t="str">
        <v>31</v>
      </c>
    </row>
    <row r="2486" spans="1:20" ht="13.7" customHeight="1" x14ac:dyDescent="0.25">
      <c r="A2486" t="s">
        <v>26</v>
      </c>
      <c r="B2486" t="s">
        <v>27</v>
      </c>
      <c r="C2486" t="s">
        <v>32</v>
      </c>
      <c r="D2486">
        <v>34</v>
      </c>
      <c r="E2486" s="5">
        <v>43512</v>
      </c>
      <c r="F2486">
        <v>24081005</v>
      </c>
      <c r="G2486" t="s">
        <v>729</v>
      </c>
      <c r="H2486" t="s">
        <v>1117</v>
      </c>
      <c r="I2486" t="s">
        <v>1118</v>
      </c>
      <c r="J2486">
        <v>1005</v>
      </c>
      <c r="K2486" t="s">
        <v>693</v>
      </c>
      <c r="L2486" s="3">
        <v>667718.69999999995</v>
      </c>
      <c r="M2486" s="3">
        <v>31294</v>
      </c>
      <c r="N2486">
        <v>0</v>
      </c>
      <c r="O2486">
        <v>164705</v>
      </c>
      <c r="P2486">
        <v>699012.7</v>
      </c>
      <c r="Q2486" t="s">
        <v>30</v>
      </c>
      <c r="R2486" t="s">
        <v>65</v>
      </c>
      <c r="S2486" t="str">
        <v>#N/A</v>
      </c>
      <c r="T2486" t="str">
        <v>31</v>
      </c>
    </row>
    <row r="2487" spans="1:20" ht="13.7" customHeight="1" x14ac:dyDescent="0.25">
      <c r="A2487" t="s">
        <v>26</v>
      </c>
      <c r="B2487" t="s">
        <v>27</v>
      </c>
      <c r="C2487" t="s">
        <v>32</v>
      </c>
      <c r="D2487">
        <v>35</v>
      </c>
      <c r="E2487" s="5">
        <v>43512</v>
      </c>
      <c r="F2487">
        <v>24081005</v>
      </c>
      <c r="G2487" t="s">
        <v>729</v>
      </c>
      <c r="H2487" t="s">
        <v>1117</v>
      </c>
      <c r="I2487" t="s">
        <v>1118</v>
      </c>
      <c r="J2487">
        <v>1005</v>
      </c>
      <c r="K2487" t="s">
        <v>693</v>
      </c>
      <c r="L2487" s="3">
        <v>699012.7</v>
      </c>
      <c r="M2487" s="3">
        <v>1996</v>
      </c>
      <c r="N2487">
        <v>0</v>
      </c>
      <c r="O2487">
        <v>10504</v>
      </c>
      <c r="P2487">
        <v>701008.7</v>
      </c>
      <c r="Q2487" t="s">
        <v>30</v>
      </c>
      <c r="R2487" t="s">
        <v>82</v>
      </c>
      <c r="S2487" t="str">
        <v>#N/A</v>
      </c>
      <c r="T2487" t="str">
        <v>31</v>
      </c>
    </row>
    <row r="2488" spans="1:20" ht="13.7" customHeight="1" x14ac:dyDescent="0.25">
      <c r="A2488" t="s">
        <v>26</v>
      </c>
      <c r="B2488" t="s">
        <v>27</v>
      </c>
      <c r="C2488" t="s">
        <v>32</v>
      </c>
      <c r="D2488">
        <v>57</v>
      </c>
      <c r="E2488" s="5">
        <v>43524</v>
      </c>
      <c r="F2488">
        <v>24081005</v>
      </c>
      <c r="G2488" t="s">
        <v>729</v>
      </c>
      <c r="H2488" t="s">
        <v>1117</v>
      </c>
      <c r="I2488" t="s">
        <v>1118</v>
      </c>
      <c r="J2488">
        <v>1005</v>
      </c>
      <c r="K2488" t="s">
        <v>693</v>
      </c>
      <c r="L2488" s="3">
        <v>701008.7</v>
      </c>
      <c r="M2488" s="3">
        <v>7664</v>
      </c>
      <c r="N2488">
        <v>0</v>
      </c>
      <c r="O2488">
        <v>40336</v>
      </c>
      <c r="P2488">
        <v>708672.7</v>
      </c>
      <c r="Q2488" t="s">
        <v>30</v>
      </c>
      <c r="R2488" t="s">
        <v>90</v>
      </c>
      <c r="S2488" t="str">
        <v>#N/A</v>
      </c>
      <c r="T2488" t="str">
        <v>31</v>
      </c>
    </row>
    <row r="2489" spans="1:20" ht="13.7" customHeight="1" x14ac:dyDescent="0.25">
      <c r="A2489" t="s">
        <v>26</v>
      </c>
      <c r="B2489" t="s">
        <v>27</v>
      </c>
      <c r="C2489" t="s">
        <v>91</v>
      </c>
      <c r="D2489">
        <v>16</v>
      </c>
      <c r="E2489" s="5">
        <v>43529</v>
      </c>
      <c r="F2489">
        <v>24081005</v>
      </c>
      <c r="G2489" t="s">
        <v>729</v>
      </c>
      <c r="H2489" t="s">
        <v>1117</v>
      </c>
      <c r="I2489" t="s">
        <v>1118</v>
      </c>
      <c r="J2489">
        <v>1005</v>
      </c>
      <c r="K2489" t="s">
        <v>693</v>
      </c>
      <c r="L2489" s="3">
        <v>708672.7</v>
      </c>
      <c r="M2489" s="3">
        <v>42151</v>
      </c>
      <c r="N2489">
        <v>0</v>
      </c>
      <c r="O2489">
        <v>221848</v>
      </c>
      <c r="P2489">
        <v>750823.7</v>
      </c>
      <c r="Q2489" t="s">
        <v>30</v>
      </c>
      <c r="R2489" t="s">
        <v>65</v>
      </c>
      <c r="S2489" t="str">
        <v>#N/A</v>
      </c>
      <c r="T2489" t="str">
        <v>31</v>
      </c>
    </row>
    <row r="2490" spans="1:20" ht="13.7" customHeight="1" x14ac:dyDescent="0.25">
      <c r="A2490" t="s">
        <v>26</v>
      </c>
      <c r="B2490" t="s">
        <v>27</v>
      </c>
      <c r="C2490" t="s">
        <v>91</v>
      </c>
      <c r="D2490">
        <v>37</v>
      </c>
      <c r="E2490" s="5">
        <v>43536</v>
      </c>
      <c r="F2490">
        <v>24081005</v>
      </c>
      <c r="G2490" t="s">
        <v>729</v>
      </c>
      <c r="H2490" t="s">
        <v>1117</v>
      </c>
      <c r="I2490" t="s">
        <v>1118</v>
      </c>
      <c r="J2490">
        <v>1005</v>
      </c>
      <c r="K2490" t="s">
        <v>693</v>
      </c>
      <c r="L2490" s="3">
        <v>750823.7</v>
      </c>
      <c r="M2490" s="3">
        <v>95798</v>
      </c>
      <c r="N2490">
        <v>0</v>
      </c>
      <c r="O2490">
        <v>504202</v>
      </c>
      <c r="P2490">
        <v>846621.7</v>
      </c>
      <c r="Q2490" t="s">
        <v>30</v>
      </c>
      <c r="R2490" t="s">
        <v>238</v>
      </c>
      <c r="S2490" t="str">
        <v>#N/A</v>
      </c>
      <c r="T2490" t="str">
        <v>31</v>
      </c>
    </row>
    <row r="2491" spans="1:20" ht="13.7" customHeight="1" x14ac:dyDescent="0.25">
      <c r="A2491" t="s">
        <v>26</v>
      </c>
      <c r="B2491" t="s">
        <v>27</v>
      </c>
      <c r="C2491" t="s">
        <v>91</v>
      </c>
      <c r="D2491">
        <v>55</v>
      </c>
      <c r="E2491" s="5">
        <v>43547</v>
      </c>
      <c r="F2491">
        <v>24081005</v>
      </c>
      <c r="G2491" t="s">
        <v>729</v>
      </c>
      <c r="H2491" t="s">
        <v>1117</v>
      </c>
      <c r="I2491" t="s">
        <v>1118</v>
      </c>
      <c r="J2491">
        <v>1005</v>
      </c>
      <c r="K2491" t="s">
        <v>693</v>
      </c>
      <c r="L2491" s="3">
        <v>846621.7</v>
      </c>
      <c r="M2491" s="3">
        <v>7664</v>
      </c>
      <c r="N2491">
        <v>0</v>
      </c>
      <c r="O2491">
        <v>40336</v>
      </c>
      <c r="P2491">
        <v>854285.7</v>
      </c>
      <c r="Q2491" t="s">
        <v>30</v>
      </c>
      <c r="R2491" t="s">
        <v>108</v>
      </c>
      <c r="S2491" t="str">
        <v>#N/A</v>
      </c>
      <c r="T2491" t="str">
        <v>31</v>
      </c>
    </row>
    <row r="2492" spans="1:20" ht="13.7" customHeight="1" x14ac:dyDescent="0.25">
      <c r="A2492" t="s">
        <v>26</v>
      </c>
      <c r="B2492" t="s">
        <v>27</v>
      </c>
      <c r="C2492" t="s">
        <v>34</v>
      </c>
      <c r="D2492">
        <v>23</v>
      </c>
      <c r="E2492" s="5">
        <v>43566</v>
      </c>
      <c r="F2492">
        <v>24081005</v>
      </c>
      <c r="G2492" t="s">
        <v>729</v>
      </c>
      <c r="H2492" t="s">
        <v>1117</v>
      </c>
      <c r="I2492" t="s">
        <v>1118</v>
      </c>
      <c r="J2492">
        <v>1005</v>
      </c>
      <c r="K2492" t="s">
        <v>693</v>
      </c>
      <c r="L2492" s="3">
        <v>854285.7</v>
      </c>
      <c r="M2492" s="3">
        <v>7664</v>
      </c>
      <c r="N2492">
        <v>0</v>
      </c>
      <c r="O2492">
        <v>40336</v>
      </c>
      <c r="P2492">
        <v>861949.7</v>
      </c>
      <c r="Q2492" t="s">
        <v>30</v>
      </c>
      <c r="R2492" t="s">
        <v>120</v>
      </c>
      <c r="S2492" t="str">
        <v>#N/A</v>
      </c>
      <c r="T2492" t="str">
        <v>31</v>
      </c>
    </row>
    <row r="2493" spans="1:20" ht="13.7" customHeight="1" x14ac:dyDescent="0.25">
      <c r="A2493" t="s">
        <v>26</v>
      </c>
      <c r="B2493" t="s">
        <v>27</v>
      </c>
      <c r="C2493" t="s">
        <v>34</v>
      </c>
      <c r="D2493">
        <v>32</v>
      </c>
      <c r="E2493" s="5">
        <v>43570</v>
      </c>
      <c r="F2493">
        <v>24081005</v>
      </c>
      <c r="G2493" t="s">
        <v>729</v>
      </c>
      <c r="H2493" t="s">
        <v>1117</v>
      </c>
      <c r="I2493" t="s">
        <v>1118</v>
      </c>
      <c r="J2493">
        <v>1005</v>
      </c>
      <c r="K2493" t="s">
        <v>693</v>
      </c>
      <c r="L2493" s="3">
        <v>861949.7</v>
      </c>
      <c r="M2493" s="3">
        <v>7664</v>
      </c>
      <c r="N2493">
        <v>0</v>
      </c>
      <c r="O2493">
        <v>40336</v>
      </c>
      <c r="P2493">
        <v>869613.7</v>
      </c>
      <c r="Q2493" t="s">
        <v>30</v>
      </c>
      <c r="R2493" t="s">
        <v>122</v>
      </c>
      <c r="S2493" t="str">
        <v>#N/A</v>
      </c>
      <c r="T2493" t="str">
        <v>31</v>
      </c>
    </row>
    <row r="2494" spans="1:20" ht="13.7" customHeight="1" x14ac:dyDescent="0.25">
      <c r="A2494" t="s">
        <v>26</v>
      </c>
      <c r="B2494" t="s">
        <v>27</v>
      </c>
      <c r="C2494" t="s">
        <v>35</v>
      </c>
      <c r="D2494">
        <v>6</v>
      </c>
      <c r="E2494" s="5">
        <v>43587</v>
      </c>
      <c r="F2494">
        <v>24081005</v>
      </c>
      <c r="G2494" t="s">
        <v>729</v>
      </c>
      <c r="H2494" t="s">
        <v>1117</v>
      </c>
      <c r="I2494" t="s">
        <v>1118</v>
      </c>
      <c r="J2494">
        <v>1005</v>
      </c>
      <c r="K2494" t="s">
        <v>693</v>
      </c>
      <c r="L2494" s="3">
        <v>869613.7</v>
      </c>
      <c r="M2494" s="3">
        <v>7664</v>
      </c>
      <c r="N2494">
        <v>0</v>
      </c>
      <c r="O2494">
        <v>40336</v>
      </c>
      <c r="P2494">
        <v>877277.7</v>
      </c>
      <c r="Q2494" t="s">
        <v>30</v>
      </c>
      <c r="R2494" t="s">
        <v>122</v>
      </c>
      <c r="S2494" t="str">
        <v>#N/A</v>
      </c>
      <c r="T2494" t="str">
        <v>31</v>
      </c>
    </row>
    <row r="2495" spans="1:20" ht="13.7" customHeight="1" x14ac:dyDescent="0.25">
      <c r="A2495" t="s">
        <v>26</v>
      </c>
      <c r="B2495" t="s">
        <v>27</v>
      </c>
      <c r="C2495" t="s">
        <v>35</v>
      </c>
      <c r="D2495">
        <v>7</v>
      </c>
      <c r="E2495" s="5">
        <v>43587</v>
      </c>
      <c r="F2495">
        <v>24081005</v>
      </c>
      <c r="G2495" t="s">
        <v>729</v>
      </c>
      <c r="H2495" t="s">
        <v>1117</v>
      </c>
      <c r="I2495" t="s">
        <v>1118</v>
      </c>
      <c r="J2495">
        <v>1005</v>
      </c>
      <c r="K2495" t="s">
        <v>693</v>
      </c>
      <c r="L2495" s="3">
        <v>877277.7</v>
      </c>
      <c r="M2495" s="3">
        <v>14689</v>
      </c>
      <c r="N2495">
        <v>0</v>
      </c>
      <c r="O2495">
        <v>77311</v>
      </c>
      <c r="P2495">
        <v>891966.7</v>
      </c>
      <c r="Q2495" t="s">
        <v>30</v>
      </c>
      <c r="R2495" t="s">
        <v>126</v>
      </c>
      <c r="S2495" t="str">
        <v>#N/A</v>
      </c>
      <c r="T2495" t="str">
        <v>31</v>
      </c>
    </row>
    <row r="2496" spans="1:20" ht="13.7" customHeight="1" x14ac:dyDescent="0.25">
      <c r="A2496" t="s">
        <v>26</v>
      </c>
      <c r="B2496" t="s">
        <v>27</v>
      </c>
      <c r="C2496" t="s">
        <v>35</v>
      </c>
      <c r="D2496">
        <v>8</v>
      </c>
      <c r="E2496" s="5">
        <v>43587</v>
      </c>
      <c r="F2496">
        <v>24081005</v>
      </c>
      <c r="G2496" t="s">
        <v>729</v>
      </c>
      <c r="H2496" t="s">
        <v>1117</v>
      </c>
      <c r="I2496" t="s">
        <v>1118</v>
      </c>
      <c r="J2496">
        <v>1005</v>
      </c>
      <c r="K2496" t="s">
        <v>693</v>
      </c>
      <c r="L2496" s="3">
        <v>891966.7</v>
      </c>
      <c r="M2496" s="3">
        <v>22034</v>
      </c>
      <c r="N2496">
        <v>0</v>
      </c>
      <c r="O2496">
        <v>115968</v>
      </c>
      <c r="P2496">
        <v>914000.7</v>
      </c>
      <c r="Q2496" t="s">
        <v>30</v>
      </c>
      <c r="R2496" t="s">
        <v>126</v>
      </c>
      <c r="S2496" t="str">
        <v>#N/A</v>
      </c>
      <c r="T2496" t="str">
        <v>31</v>
      </c>
    </row>
    <row r="2497" spans="1:20" ht="13.7" customHeight="1" x14ac:dyDescent="0.25">
      <c r="A2497" t="s">
        <v>26</v>
      </c>
      <c r="B2497" t="s">
        <v>27</v>
      </c>
      <c r="C2497" t="s">
        <v>35</v>
      </c>
      <c r="D2497">
        <v>29</v>
      </c>
      <c r="E2497" s="5">
        <v>43593</v>
      </c>
      <c r="F2497">
        <v>24081005</v>
      </c>
      <c r="G2497" t="s">
        <v>729</v>
      </c>
      <c r="H2497" t="s">
        <v>1117</v>
      </c>
      <c r="I2497" t="s">
        <v>1118</v>
      </c>
      <c r="J2497">
        <v>1005</v>
      </c>
      <c r="K2497" t="s">
        <v>693</v>
      </c>
      <c r="L2497" s="3">
        <v>914000.7</v>
      </c>
      <c r="M2497" s="3">
        <v>15328</v>
      </c>
      <c r="N2497">
        <v>0</v>
      </c>
      <c r="O2497">
        <v>80672</v>
      </c>
      <c r="P2497">
        <v>929328.7</v>
      </c>
      <c r="Q2497" t="s">
        <v>30</v>
      </c>
      <c r="R2497" t="s">
        <v>129</v>
      </c>
      <c r="S2497" t="str">
        <v>#N/A</v>
      </c>
      <c r="T2497" t="str">
        <v>31</v>
      </c>
    </row>
    <row r="2498" spans="1:20" ht="13.7" customHeight="1" x14ac:dyDescent="0.25">
      <c r="A2498" t="s">
        <v>26</v>
      </c>
      <c r="B2498" t="s">
        <v>27</v>
      </c>
      <c r="C2498" t="s">
        <v>36</v>
      </c>
      <c r="D2498">
        <v>20</v>
      </c>
      <c r="E2498" s="5">
        <v>43629</v>
      </c>
      <c r="F2498">
        <v>24081005</v>
      </c>
      <c r="G2498" t="s">
        <v>729</v>
      </c>
      <c r="H2498" t="s">
        <v>1117</v>
      </c>
      <c r="I2498" t="s">
        <v>1118</v>
      </c>
      <c r="J2498">
        <v>1005</v>
      </c>
      <c r="K2498" t="s">
        <v>693</v>
      </c>
      <c r="L2498" s="3">
        <v>929328.7</v>
      </c>
      <c r="M2498" s="3">
        <v>32731</v>
      </c>
      <c r="N2498">
        <v>0</v>
      </c>
      <c r="O2498">
        <v>172269</v>
      </c>
      <c r="P2498">
        <v>962059.7</v>
      </c>
      <c r="Q2498" t="s">
        <v>30</v>
      </c>
      <c r="R2498" t="s">
        <v>65</v>
      </c>
      <c r="S2498" t="str">
        <v>#N/A</v>
      </c>
      <c r="T2498" t="str">
        <v>31</v>
      </c>
    </row>
    <row r="2499" spans="1:20" ht="13.7" customHeight="1" x14ac:dyDescent="0.25">
      <c r="A2499" t="s">
        <v>26</v>
      </c>
      <c r="B2499" t="s">
        <v>27</v>
      </c>
      <c r="C2499" t="s">
        <v>38</v>
      </c>
      <c r="D2499">
        <v>9</v>
      </c>
      <c r="E2499" s="5">
        <v>43683</v>
      </c>
      <c r="F2499">
        <v>24081005</v>
      </c>
      <c r="G2499" t="s">
        <v>729</v>
      </c>
      <c r="H2499" t="s">
        <v>1117</v>
      </c>
      <c r="I2499" t="s">
        <v>1118</v>
      </c>
      <c r="J2499">
        <v>1005</v>
      </c>
      <c r="K2499" t="s">
        <v>693</v>
      </c>
      <c r="L2499" s="3">
        <v>962059.7</v>
      </c>
      <c r="M2499" s="3">
        <v>32731</v>
      </c>
      <c r="N2499">
        <v>0</v>
      </c>
      <c r="O2499">
        <v>172269</v>
      </c>
      <c r="P2499">
        <v>994790.7</v>
      </c>
      <c r="Q2499" t="s">
        <v>30</v>
      </c>
      <c r="R2499" t="s">
        <v>159</v>
      </c>
      <c r="S2499" t="str">
        <v>#N/A</v>
      </c>
      <c r="T2499" t="str">
        <v>31</v>
      </c>
    </row>
    <row r="2500" spans="1:20" ht="13.7" customHeight="1" x14ac:dyDescent="0.25">
      <c r="A2500" t="s">
        <v>26</v>
      </c>
      <c r="B2500" t="s">
        <v>27</v>
      </c>
      <c r="C2500" t="s">
        <v>38</v>
      </c>
      <c r="D2500">
        <v>20</v>
      </c>
      <c r="E2500" s="5">
        <v>43690</v>
      </c>
      <c r="F2500">
        <v>24081005</v>
      </c>
      <c r="G2500" t="s">
        <v>729</v>
      </c>
      <c r="H2500" t="s">
        <v>1117</v>
      </c>
      <c r="I2500" t="s">
        <v>1118</v>
      </c>
      <c r="J2500">
        <v>1005</v>
      </c>
      <c r="K2500" t="s">
        <v>693</v>
      </c>
      <c r="L2500" s="3">
        <v>994790.7</v>
      </c>
      <c r="M2500" s="3">
        <v>16445</v>
      </c>
      <c r="N2500">
        <v>0</v>
      </c>
      <c r="O2500">
        <v>86554</v>
      </c>
      <c r="P2500">
        <v>1011235.7</v>
      </c>
      <c r="Q2500" t="s">
        <v>30</v>
      </c>
      <c r="R2500" t="s">
        <v>122</v>
      </c>
      <c r="S2500" t="str">
        <v>#N/A</v>
      </c>
      <c r="T2500" t="str">
        <v>31</v>
      </c>
    </row>
    <row r="2501" spans="1:20" ht="13.7" customHeight="1" x14ac:dyDescent="0.25">
      <c r="A2501" t="s">
        <v>26</v>
      </c>
      <c r="B2501" t="s">
        <v>27</v>
      </c>
      <c r="C2501" t="s">
        <v>38</v>
      </c>
      <c r="D2501">
        <v>39</v>
      </c>
      <c r="E2501" s="5">
        <v>43701</v>
      </c>
      <c r="F2501">
        <v>24081005</v>
      </c>
      <c r="G2501" t="s">
        <v>729</v>
      </c>
      <c r="H2501" t="s">
        <v>1117</v>
      </c>
      <c r="I2501" t="s">
        <v>1118</v>
      </c>
      <c r="J2501">
        <v>1005</v>
      </c>
      <c r="K2501" t="s">
        <v>693</v>
      </c>
      <c r="L2501" s="3">
        <v>1011235.7</v>
      </c>
      <c r="M2501" s="3">
        <v>8781</v>
      </c>
      <c r="N2501">
        <v>0</v>
      </c>
      <c r="O2501">
        <v>46219</v>
      </c>
      <c r="P2501">
        <v>1020016.7</v>
      </c>
      <c r="Q2501" t="s">
        <v>30</v>
      </c>
      <c r="R2501" t="s">
        <v>122</v>
      </c>
      <c r="S2501" t="str">
        <v>#N/A</v>
      </c>
      <c r="T2501" t="str">
        <v>31</v>
      </c>
    </row>
    <row r="2502" spans="1:20" ht="13.7" customHeight="1" x14ac:dyDescent="0.25">
      <c r="A2502" t="s">
        <v>26</v>
      </c>
      <c r="B2502" t="s">
        <v>27</v>
      </c>
      <c r="C2502" t="s">
        <v>38</v>
      </c>
      <c r="D2502">
        <v>40</v>
      </c>
      <c r="E2502" s="5">
        <v>43701</v>
      </c>
      <c r="F2502">
        <v>24081005</v>
      </c>
      <c r="G2502" t="s">
        <v>729</v>
      </c>
      <c r="H2502" t="s">
        <v>1117</v>
      </c>
      <c r="I2502" t="s">
        <v>1118</v>
      </c>
      <c r="J2502">
        <v>1005</v>
      </c>
      <c r="K2502" t="s">
        <v>693</v>
      </c>
      <c r="L2502" s="3">
        <v>1020016.7</v>
      </c>
      <c r="M2502" s="3">
        <v>43112</v>
      </c>
      <c r="N2502">
        <v>0</v>
      </c>
      <c r="O2502">
        <v>226905</v>
      </c>
      <c r="P2502">
        <v>1063128.7</v>
      </c>
      <c r="Q2502" t="s">
        <v>30</v>
      </c>
      <c r="R2502" t="s">
        <v>161</v>
      </c>
      <c r="S2502" t="str">
        <v>#N/A</v>
      </c>
      <c r="T2502" t="str">
        <v>31</v>
      </c>
    </row>
    <row r="2503" spans="1:20" ht="13.7" customHeight="1" x14ac:dyDescent="0.25">
      <c r="A2503" t="s">
        <v>26</v>
      </c>
      <c r="B2503" t="s">
        <v>27</v>
      </c>
      <c r="C2503" t="s">
        <v>39</v>
      </c>
      <c r="D2503">
        <v>7</v>
      </c>
      <c r="E2503" s="5">
        <v>43710</v>
      </c>
      <c r="F2503">
        <v>24081005</v>
      </c>
      <c r="G2503" t="s">
        <v>729</v>
      </c>
      <c r="H2503" t="s">
        <v>1117</v>
      </c>
      <c r="I2503" t="s">
        <v>1118</v>
      </c>
      <c r="J2503">
        <v>1005</v>
      </c>
      <c r="K2503" t="s">
        <v>693</v>
      </c>
      <c r="L2503" s="3">
        <v>1063128.7</v>
      </c>
      <c r="M2503" s="3">
        <v>4790</v>
      </c>
      <c r="N2503">
        <v>0</v>
      </c>
      <c r="O2503">
        <v>25213</v>
      </c>
      <c r="P2503">
        <v>1067918.7</v>
      </c>
      <c r="Q2503" t="s">
        <v>30</v>
      </c>
      <c r="R2503" t="s">
        <v>122</v>
      </c>
      <c r="S2503" t="str">
        <v>#N/A</v>
      </c>
      <c r="T2503" t="str">
        <v>31</v>
      </c>
    </row>
    <row r="2504" spans="1:20" ht="13.7" customHeight="1" x14ac:dyDescent="0.25">
      <c r="A2504" t="s">
        <v>26</v>
      </c>
      <c r="B2504" t="s">
        <v>27</v>
      </c>
      <c r="C2504" t="s">
        <v>39</v>
      </c>
      <c r="D2504">
        <v>22</v>
      </c>
      <c r="E2504" s="5">
        <v>43719</v>
      </c>
      <c r="F2504">
        <v>24081005</v>
      </c>
      <c r="G2504" t="s">
        <v>729</v>
      </c>
      <c r="H2504" t="s">
        <v>1117</v>
      </c>
      <c r="I2504" t="s">
        <v>1118</v>
      </c>
      <c r="J2504">
        <v>1005</v>
      </c>
      <c r="K2504" t="s">
        <v>693</v>
      </c>
      <c r="L2504" s="3">
        <v>1067918.7</v>
      </c>
      <c r="M2504" s="3">
        <v>7664</v>
      </c>
      <c r="N2504">
        <v>0</v>
      </c>
      <c r="O2504">
        <v>40336</v>
      </c>
      <c r="P2504">
        <v>1075582.7</v>
      </c>
      <c r="Q2504" t="s">
        <v>30</v>
      </c>
      <c r="R2504" t="s">
        <v>122</v>
      </c>
      <c r="S2504" t="str">
        <v>#N/A</v>
      </c>
      <c r="T2504" t="str">
        <v>31</v>
      </c>
    </row>
    <row r="2505" spans="1:20" ht="13.7" customHeight="1" x14ac:dyDescent="0.25">
      <c r="A2505" t="s">
        <v>26</v>
      </c>
      <c r="B2505" t="s">
        <v>27</v>
      </c>
      <c r="C2505" t="s">
        <v>39</v>
      </c>
      <c r="D2505">
        <v>51</v>
      </c>
      <c r="E2505" s="5">
        <v>43733</v>
      </c>
      <c r="F2505">
        <v>24081005</v>
      </c>
      <c r="G2505" t="s">
        <v>729</v>
      </c>
      <c r="H2505" t="s">
        <v>1117</v>
      </c>
      <c r="I2505" t="s">
        <v>1118</v>
      </c>
      <c r="J2505">
        <v>1005</v>
      </c>
      <c r="K2505" t="s">
        <v>693</v>
      </c>
      <c r="L2505" s="3">
        <v>1075582.7</v>
      </c>
      <c r="M2505" s="3">
        <v>24428</v>
      </c>
      <c r="N2505">
        <v>0</v>
      </c>
      <c r="O2505">
        <v>128570</v>
      </c>
      <c r="P2505">
        <v>1100010.7</v>
      </c>
      <c r="Q2505" t="s">
        <v>30</v>
      </c>
      <c r="R2505" t="s">
        <v>122</v>
      </c>
      <c r="S2505" t="str">
        <v>#N/A</v>
      </c>
      <c r="T2505" t="str">
        <v>31</v>
      </c>
    </row>
    <row r="2506" spans="1:20" ht="13.7" customHeight="1" x14ac:dyDescent="0.25">
      <c r="A2506" t="s">
        <v>26</v>
      </c>
      <c r="B2506" t="s">
        <v>27</v>
      </c>
      <c r="C2506" t="s">
        <v>39</v>
      </c>
      <c r="D2506">
        <v>13</v>
      </c>
      <c r="E2506" s="5">
        <v>43745</v>
      </c>
      <c r="F2506">
        <v>24081005</v>
      </c>
      <c r="G2506" t="s">
        <v>729</v>
      </c>
      <c r="H2506" t="s">
        <v>1117</v>
      </c>
      <c r="I2506" t="s">
        <v>1118</v>
      </c>
      <c r="J2506">
        <v>1005</v>
      </c>
      <c r="K2506" t="s">
        <v>693</v>
      </c>
      <c r="L2506" s="3">
        <v>1100010.7</v>
      </c>
      <c r="M2506" s="3">
        <v>24589</v>
      </c>
      <c r="N2506">
        <v>0</v>
      </c>
      <c r="O2506">
        <v>129411</v>
      </c>
      <c r="P2506">
        <v>1124599.7</v>
      </c>
      <c r="Q2506" t="s">
        <v>30</v>
      </c>
      <c r="R2506" t="s">
        <v>122</v>
      </c>
      <c r="S2506" t="str">
        <v>#N/A</v>
      </c>
      <c r="T2506" t="str">
        <v>31</v>
      </c>
    </row>
    <row r="2507" spans="1:20" ht="13.7" customHeight="1" x14ac:dyDescent="0.25">
      <c r="A2507" t="s">
        <v>26</v>
      </c>
      <c r="B2507" t="s">
        <v>27</v>
      </c>
      <c r="C2507" t="s">
        <v>40</v>
      </c>
      <c r="D2507">
        <v>12</v>
      </c>
      <c r="E2507" s="5">
        <v>43745</v>
      </c>
      <c r="F2507">
        <v>24081005</v>
      </c>
      <c r="G2507" t="s">
        <v>729</v>
      </c>
      <c r="H2507" t="s">
        <v>1117</v>
      </c>
      <c r="I2507" t="s">
        <v>1118</v>
      </c>
      <c r="J2507">
        <v>1005</v>
      </c>
      <c r="K2507" t="s">
        <v>693</v>
      </c>
      <c r="L2507" s="3">
        <v>1124599.7</v>
      </c>
      <c r="M2507" s="3">
        <v>15905</v>
      </c>
      <c r="N2507">
        <v>0</v>
      </c>
      <c r="O2507">
        <v>83714</v>
      </c>
      <c r="P2507">
        <v>1140504.7</v>
      </c>
      <c r="Q2507" t="s">
        <v>30</v>
      </c>
      <c r="R2507" t="s">
        <v>65</v>
      </c>
      <c r="S2507" t="str">
        <v>#N/A</v>
      </c>
      <c r="T2507" t="str">
        <v>31</v>
      </c>
    </row>
    <row r="2508" spans="1:20" ht="13.7" customHeight="1" x14ac:dyDescent="0.25">
      <c r="A2508" t="s">
        <v>26</v>
      </c>
      <c r="B2508" t="s">
        <v>27</v>
      </c>
      <c r="C2508" t="s">
        <v>40</v>
      </c>
      <c r="D2508">
        <v>17</v>
      </c>
      <c r="E2508" s="5">
        <v>43747</v>
      </c>
      <c r="F2508">
        <v>24081005</v>
      </c>
      <c r="G2508" t="s">
        <v>729</v>
      </c>
      <c r="H2508" t="s">
        <v>1117</v>
      </c>
      <c r="I2508" t="s">
        <v>1118</v>
      </c>
      <c r="J2508">
        <v>1005</v>
      </c>
      <c r="K2508" t="s">
        <v>693</v>
      </c>
      <c r="L2508" s="3">
        <v>1140504.7</v>
      </c>
      <c r="M2508" s="3">
        <v>7664</v>
      </c>
      <c r="N2508">
        <v>0</v>
      </c>
      <c r="O2508">
        <v>40336</v>
      </c>
      <c r="P2508">
        <v>1148168.7</v>
      </c>
      <c r="Q2508" t="s">
        <v>30</v>
      </c>
      <c r="R2508" t="s">
        <v>122</v>
      </c>
      <c r="S2508" t="str">
        <v>#N/A</v>
      </c>
      <c r="T2508" t="str">
        <v>31</v>
      </c>
    </row>
    <row r="2509" spans="1:20" ht="13.7" customHeight="1" x14ac:dyDescent="0.25">
      <c r="A2509" t="s">
        <v>26</v>
      </c>
      <c r="B2509" t="s">
        <v>27</v>
      </c>
      <c r="C2509" t="s">
        <v>40</v>
      </c>
      <c r="D2509">
        <v>24</v>
      </c>
      <c r="E2509" s="5">
        <v>43753</v>
      </c>
      <c r="F2509">
        <v>24081005</v>
      </c>
      <c r="G2509" t="s">
        <v>729</v>
      </c>
      <c r="H2509" t="s">
        <v>1117</v>
      </c>
      <c r="I2509" t="s">
        <v>1118</v>
      </c>
      <c r="J2509">
        <v>1005</v>
      </c>
      <c r="K2509" t="s">
        <v>693</v>
      </c>
      <c r="L2509" s="3">
        <v>1148168.7</v>
      </c>
      <c r="M2509" s="3">
        <v>15328</v>
      </c>
      <c r="N2509">
        <v>0</v>
      </c>
      <c r="O2509">
        <v>80672</v>
      </c>
      <c r="P2509">
        <v>1163496.7</v>
      </c>
      <c r="Q2509" t="s">
        <v>30</v>
      </c>
      <c r="R2509" t="s">
        <v>129</v>
      </c>
      <c r="S2509" t="str">
        <v>#N/A</v>
      </c>
      <c r="T2509" t="str">
        <v>31</v>
      </c>
    </row>
    <row r="2510" spans="1:20" ht="13.7" customHeight="1" x14ac:dyDescent="0.25">
      <c r="A2510" t="s">
        <v>26</v>
      </c>
      <c r="B2510" t="s">
        <v>27</v>
      </c>
      <c r="C2510" t="s">
        <v>40</v>
      </c>
      <c r="D2510">
        <v>46</v>
      </c>
      <c r="E2510" s="5">
        <v>43762</v>
      </c>
      <c r="F2510">
        <v>24081005</v>
      </c>
      <c r="G2510" t="s">
        <v>729</v>
      </c>
      <c r="H2510" t="s">
        <v>1117</v>
      </c>
      <c r="I2510" t="s">
        <v>1118</v>
      </c>
      <c r="J2510">
        <v>1005</v>
      </c>
      <c r="K2510" t="s">
        <v>693</v>
      </c>
      <c r="L2510" s="3">
        <v>1163496.7</v>
      </c>
      <c r="M2510" s="3">
        <v>11017</v>
      </c>
      <c r="N2510">
        <v>0</v>
      </c>
      <c r="O2510">
        <v>57982</v>
      </c>
      <c r="P2510">
        <v>1174513.7</v>
      </c>
      <c r="Q2510" t="s">
        <v>30</v>
      </c>
      <c r="R2510" t="s">
        <v>65</v>
      </c>
      <c r="S2510" t="str">
        <v>#N/A</v>
      </c>
      <c r="T2510" t="str">
        <v>31</v>
      </c>
    </row>
    <row r="2511" spans="1:20" ht="13.7" customHeight="1" x14ac:dyDescent="0.25">
      <c r="A2511" t="s">
        <v>26</v>
      </c>
      <c r="B2511" t="s">
        <v>27</v>
      </c>
      <c r="C2511" t="s">
        <v>40</v>
      </c>
      <c r="D2511">
        <v>56</v>
      </c>
      <c r="E2511" s="5">
        <v>43768</v>
      </c>
      <c r="F2511">
        <v>24081005</v>
      </c>
      <c r="G2511" t="s">
        <v>729</v>
      </c>
      <c r="H2511" t="s">
        <v>1117</v>
      </c>
      <c r="I2511" t="s">
        <v>1118</v>
      </c>
      <c r="J2511">
        <v>1005</v>
      </c>
      <c r="K2511" t="s">
        <v>693</v>
      </c>
      <c r="L2511" s="3">
        <v>1174513.7</v>
      </c>
      <c r="M2511" s="3">
        <v>16605</v>
      </c>
      <c r="N2511">
        <v>0</v>
      </c>
      <c r="O2511">
        <v>87396</v>
      </c>
      <c r="P2511">
        <v>1191118.7</v>
      </c>
      <c r="Q2511" t="s">
        <v>30</v>
      </c>
      <c r="R2511" t="s">
        <v>122</v>
      </c>
      <c r="S2511" t="str">
        <v>#N/A</v>
      </c>
      <c r="T2511" t="str">
        <v>31</v>
      </c>
    </row>
    <row r="2512" spans="1:20" ht="13.7" customHeight="1" x14ac:dyDescent="0.25">
      <c r="A2512" t="s">
        <v>26</v>
      </c>
      <c r="B2512" t="s">
        <v>27</v>
      </c>
      <c r="C2512" t="s">
        <v>41</v>
      </c>
      <c r="D2512">
        <v>14</v>
      </c>
      <c r="E2512" s="5">
        <v>43776</v>
      </c>
      <c r="F2512">
        <v>24081005</v>
      </c>
      <c r="G2512" t="s">
        <v>729</v>
      </c>
      <c r="H2512" t="s">
        <v>1117</v>
      </c>
      <c r="I2512" t="s">
        <v>1118</v>
      </c>
      <c r="J2512">
        <v>1005</v>
      </c>
      <c r="K2512" t="s">
        <v>693</v>
      </c>
      <c r="L2512" s="3">
        <v>1191118.7</v>
      </c>
      <c r="M2512" s="3">
        <v>74403</v>
      </c>
      <c r="N2512">
        <v>0</v>
      </c>
      <c r="O2512">
        <v>391596</v>
      </c>
      <c r="P2512">
        <v>1265521.7</v>
      </c>
      <c r="Q2512" t="s">
        <v>30</v>
      </c>
      <c r="R2512" t="s">
        <v>122</v>
      </c>
      <c r="S2512" t="str">
        <v>#N/A</v>
      </c>
      <c r="T2512" t="str">
        <v>31</v>
      </c>
    </row>
    <row r="2513" spans="1:20" ht="13.7" customHeight="1" x14ac:dyDescent="0.25">
      <c r="A2513" t="s">
        <v>26</v>
      </c>
      <c r="B2513" t="s">
        <v>27</v>
      </c>
      <c r="C2513" t="s">
        <v>41</v>
      </c>
      <c r="D2513">
        <v>36</v>
      </c>
      <c r="E2513" s="5">
        <v>43784</v>
      </c>
      <c r="F2513">
        <v>24081005</v>
      </c>
      <c r="G2513" t="s">
        <v>729</v>
      </c>
      <c r="H2513" t="s">
        <v>1117</v>
      </c>
      <c r="I2513" t="s">
        <v>1118</v>
      </c>
      <c r="J2513">
        <v>1005</v>
      </c>
      <c r="K2513" t="s">
        <v>693</v>
      </c>
      <c r="L2513" s="3">
        <v>1265521.7</v>
      </c>
      <c r="M2513" s="3">
        <v>17563</v>
      </c>
      <c r="N2513">
        <v>0</v>
      </c>
      <c r="O2513">
        <v>92437</v>
      </c>
      <c r="P2513">
        <v>1283084.7</v>
      </c>
      <c r="Q2513" t="s">
        <v>30</v>
      </c>
      <c r="R2513" t="s">
        <v>122</v>
      </c>
      <c r="S2513" t="str">
        <v>#N/A</v>
      </c>
      <c r="T2513" t="str">
        <v>31</v>
      </c>
    </row>
    <row r="2514" spans="1:20" ht="13.7" customHeight="1" x14ac:dyDescent="0.25">
      <c r="A2514" t="s">
        <v>26</v>
      </c>
      <c r="B2514" t="s">
        <v>27</v>
      </c>
      <c r="C2514" t="s">
        <v>180</v>
      </c>
      <c r="D2514">
        <v>29</v>
      </c>
      <c r="E2514" s="5">
        <v>43801</v>
      </c>
      <c r="F2514">
        <v>24081005</v>
      </c>
      <c r="G2514" t="s">
        <v>729</v>
      </c>
      <c r="H2514" t="s">
        <v>1117</v>
      </c>
      <c r="I2514" t="s">
        <v>1118</v>
      </c>
      <c r="J2514">
        <v>1005</v>
      </c>
      <c r="K2514" t="s">
        <v>693</v>
      </c>
      <c r="L2514" s="3">
        <v>1283084.7</v>
      </c>
      <c r="M2514" s="3">
        <v>4471</v>
      </c>
      <c r="N2514">
        <v>0</v>
      </c>
      <c r="O2514">
        <v>23529</v>
      </c>
      <c r="P2514">
        <v>1287555.7</v>
      </c>
      <c r="Q2514" t="s">
        <v>30</v>
      </c>
      <c r="R2514" t="s">
        <v>122</v>
      </c>
      <c r="S2514" t="str">
        <v>#N/A</v>
      </c>
      <c r="T2514" t="str">
        <v>31</v>
      </c>
    </row>
    <row r="2515" spans="1:20" ht="13.7" customHeight="1" x14ac:dyDescent="0.25">
      <c r="A2515" t="s">
        <v>26</v>
      </c>
      <c r="B2515" t="s">
        <v>27</v>
      </c>
      <c r="C2515" t="s">
        <v>180</v>
      </c>
      <c r="D2515">
        <v>30</v>
      </c>
      <c r="E2515" s="5">
        <v>43805</v>
      </c>
      <c r="F2515">
        <v>24081005</v>
      </c>
      <c r="G2515" t="s">
        <v>729</v>
      </c>
      <c r="H2515" t="s">
        <v>1117</v>
      </c>
      <c r="I2515" t="s">
        <v>1118</v>
      </c>
      <c r="J2515">
        <v>1005</v>
      </c>
      <c r="K2515" t="s">
        <v>693</v>
      </c>
      <c r="L2515" s="3">
        <v>1287555.7</v>
      </c>
      <c r="M2515" s="3">
        <v>4471</v>
      </c>
      <c r="N2515">
        <v>0</v>
      </c>
      <c r="O2515">
        <v>23529</v>
      </c>
      <c r="P2515">
        <v>1292026.7</v>
      </c>
      <c r="Q2515" t="s">
        <v>30</v>
      </c>
      <c r="R2515" t="s">
        <v>122</v>
      </c>
      <c r="S2515" t="str">
        <v>#N/A</v>
      </c>
      <c r="T2515" t="str">
        <v>31</v>
      </c>
    </row>
    <row r="2516" spans="1:20" ht="13.7" customHeight="1" x14ac:dyDescent="0.25">
      <c r="A2516" t="s">
        <v>26</v>
      </c>
      <c r="B2516" t="s">
        <v>27</v>
      </c>
      <c r="C2516" t="s">
        <v>180</v>
      </c>
      <c r="D2516">
        <v>31</v>
      </c>
      <c r="E2516" s="5">
        <v>43805</v>
      </c>
      <c r="F2516">
        <v>24081005</v>
      </c>
      <c r="G2516" t="s">
        <v>729</v>
      </c>
      <c r="H2516" t="s">
        <v>1117</v>
      </c>
      <c r="I2516" t="s">
        <v>1118</v>
      </c>
      <c r="J2516">
        <v>1005</v>
      </c>
      <c r="K2516" t="s">
        <v>693</v>
      </c>
      <c r="L2516" s="3">
        <v>1292026.7</v>
      </c>
      <c r="M2516" s="3">
        <v>32731</v>
      </c>
      <c r="N2516">
        <v>0</v>
      </c>
      <c r="O2516">
        <v>172269</v>
      </c>
      <c r="P2516">
        <v>1324757.7</v>
      </c>
      <c r="Q2516" t="s">
        <v>30</v>
      </c>
      <c r="R2516" t="s">
        <v>577</v>
      </c>
      <c r="S2516" t="str">
        <v>#N/A</v>
      </c>
      <c r="T2516" t="str">
        <v>31</v>
      </c>
    </row>
    <row r="2517" spans="1:20" ht="13.7" customHeight="1" x14ac:dyDescent="0.25">
      <c r="A2517" t="s">
        <v>26</v>
      </c>
      <c r="B2517" t="s">
        <v>27</v>
      </c>
      <c r="C2517" t="s">
        <v>180</v>
      </c>
      <c r="D2517">
        <v>32</v>
      </c>
      <c r="E2517" s="5">
        <v>43812</v>
      </c>
      <c r="F2517">
        <v>24081005</v>
      </c>
      <c r="G2517" t="s">
        <v>729</v>
      </c>
      <c r="H2517" t="s">
        <v>1117</v>
      </c>
      <c r="I2517" t="s">
        <v>1118</v>
      </c>
      <c r="J2517">
        <v>1005</v>
      </c>
      <c r="K2517" t="s">
        <v>693</v>
      </c>
      <c r="L2517" s="3">
        <v>1324757.7</v>
      </c>
      <c r="M2517" s="3">
        <v>32731</v>
      </c>
      <c r="N2517">
        <v>0</v>
      </c>
      <c r="O2517">
        <v>172269</v>
      </c>
      <c r="P2517">
        <v>1357488.7</v>
      </c>
      <c r="Q2517" t="s">
        <v>30</v>
      </c>
      <c r="R2517" t="s">
        <v>577</v>
      </c>
      <c r="S2517" t="str">
        <v>#N/A</v>
      </c>
      <c r="T2517" t="str">
        <v>31</v>
      </c>
    </row>
    <row r="2518" spans="1:20" ht="13.7" customHeight="1" x14ac:dyDescent="0.25">
      <c r="A2518" t="s">
        <v>26</v>
      </c>
      <c r="B2518" t="s">
        <v>27</v>
      </c>
      <c r="C2518" t="s">
        <v>180</v>
      </c>
      <c r="D2518">
        <v>58</v>
      </c>
      <c r="E2518" s="5">
        <v>43822</v>
      </c>
      <c r="F2518">
        <v>24081005</v>
      </c>
      <c r="G2518" t="s">
        <v>729</v>
      </c>
      <c r="H2518" t="s">
        <v>1117</v>
      </c>
      <c r="I2518" t="s">
        <v>1118</v>
      </c>
      <c r="J2518">
        <v>1005</v>
      </c>
      <c r="K2518" t="s">
        <v>693</v>
      </c>
      <c r="L2518" s="3">
        <v>1357488.7</v>
      </c>
      <c r="M2518" s="3">
        <v>5269</v>
      </c>
      <c r="N2518">
        <v>0</v>
      </c>
      <c r="O2518">
        <v>27732</v>
      </c>
      <c r="P2518">
        <v>1362757.7</v>
      </c>
      <c r="Q2518" t="s">
        <v>30</v>
      </c>
      <c r="R2518" t="s">
        <v>126</v>
      </c>
      <c r="S2518" t="str">
        <v>#N/A</v>
      </c>
      <c r="T2518" t="str">
        <v>31</v>
      </c>
    </row>
    <row r="2519" spans="1:20" ht="13.7" customHeight="1" x14ac:dyDescent="0.25">
      <c r="E2519" s="5">
        <v>43465</v>
      </c>
      <c r="F2519">
        <v>24081005</v>
      </c>
      <c r="G2519" t="s">
        <v>729</v>
      </c>
      <c r="H2519" t="s">
        <v>1098</v>
      </c>
      <c r="I2519" t="s">
        <v>1099</v>
      </c>
      <c r="J2519">
        <v>0</v>
      </c>
      <c r="K2519">
        <v>0</v>
      </c>
      <c r="L2519" s="3">
        <v>19478.990000000002</v>
      </c>
      <c r="M2519" s="3">
        <v>0</v>
      </c>
      <c r="N2519">
        <v>0</v>
      </c>
      <c r="O2519">
        <v>102521</v>
      </c>
      <c r="P2519">
        <v>19478.990000000002</v>
      </c>
      <c r="R2519" t="s">
        <v>1100</v>
      </c>
      <c r="S2519" t="str">
        <v>#N/A</v>
      </c>
      <c r="T2519" t="str">
        <v>31</v>
      </c>
    </row>
    <row r="2520" spans="1:20" ht="13.7" customHeight="1" x14ac:dyDescent="0.25">
      <c r="E2520" s="5">
        <v>43465</v>
      </c>
      <c r="F2520">
        <v>24081005</v>
      </c>
      <c r="G2520" t="s">
        <v>729</v>
      </c>
      <c r="H2520" t="s">
        <v>1239</v>
      </c>
      <c r="I2520" t="s">
        <v>1240</v>
      </c>
      <c r="J2520">
        <v>0</v>
      </c>
      <c r="K2520">
        <v>0</v>
      </c>
      <c r="L2520" s="3">
        <v>0</v>
      </c>
      <c r="M2520" s="3">
        <v>0</v>
      </c>
      <c r="N2520">
        <v>0</v>
      </c>
      <c r="O2520">
        <v>0</v>
      </c>
      <c r="P2520">
        <v>0</v>
      </c>
      <c r="R2520" t="s">
        <v>1100</v>
      </c>
      <c r="S2520" t="str">
        <v>#N/A</v>
      </c>
      <c r="T2520" t="str">
        <v>#N/A</v>
      </c>
    </row>
    <row r="2521" spans="1:20" ht="13.7" customHeight="1" x14ac:dyDescent="0.25">
      <c r="A2521" t="s">
        <v>26</v>
      </c>
      <c r="B2521" t="s">
        <v>27</v>
      </c>
      <c r="C2521" t="s">
        <v>36</v>
      </c>
      <c r="D2521">
        <v>39</v>
      </c>
      <c r="E2521" s="5">
        <v>43634</v>
      </c>
      <c r="F2521">
        <v>24081005</v>
      </c>
      <c r="G2521" t="s">
        <v>729</v>
      </c>
      <c r="H2521" t="s">
        <v>1239</v>
      </c>
      <c r="I2521" t="s">
        <v>1240</v>
      </c>
      <c r="J2521">
        <v>1005</v>
      </c>
      <c r="K2521" t="s">
        <v>693</v>
      </c>
      <c r="L2521" s="3">
        <v>0</v>
      </c>
      <c r="M2521" s="3">
        <v>17435</v>
      </c>
      <c r="N2521">
        <v>0</v>
      </c>
      <c r="O2521">
        <v>91764</v>
      </c>
      <c r="P2521">
        <v>17435</v>
      </c>
      <c r="Q2521" t="s">
        <v>30</v>
      </c>
      <c r="R2521" t="s">
        <v>146</v>
      </c>
      <c r="S2521" t="str">
        <v>#N/A</v>
      </c>
      <c r="T2521" t="str">
        <v>#N/A</v>
      </c>
    </row>
    <row r="2522" spans="1:20" ht="13.7" customHeight="1" x14ac:dyDescent="0.25">
      <c r="E2522" s="5">
        <v>43465</v>
      </c>
      <c r="F2522">
        <v>24081005</v>
      </c>
      <c r="G2522" t="s">
        <v>729</v>
      </c>
      <c r="H2522" t="s">
        <v>1103</v>
      </c>
      <c r="I2522" t="s">
        <v>1104</v>
      </c>
      <c r="J2522">
        <v>0</v>
      </c>
      <c r="K2522">
        <v>0</v>
      </c>
      <c r="L2522" s="3">
        <v>3391458.01</v>
      </c>
      <c r="M2522" s="3">
        <v>0</v>
      </c>
      <c r="N2522">
        <v>0</v>
      </c>
      <c r="O2522">
        <v>17849776</v>
      </c>
      <c r="P2522">
        <v>3391458.01</v>
      </c>
      <c r="R2522" t="s">
        <v>1100</v>
      </c>
      <c r="S2522" t="str">
        <v>#N/A</v>
      </c>
      <c r="T2522" t="str">
        <v>31</v>
      </c>
    </row>
    <row r="2523" spans="1:20" ht="13.7" customHeight="1" x14ac:dyDescent="0.25">
      <c r="A2523" t="s">
        <v>26</v>
      </c>
      <c r="B2523" t="s">
        <v>27</v>
      </c>
      <c r="C2523" t="s">
        <v>28</v>
      </c>
      <c r="D2523">
        <v>33</v>
      </c>
      <c r="E2523" s="5">
        <v>43479</v>
      </c>
      <c r="F2523">
        <v>24081005</v>
      </c>
      <c r="G2523" t="s">
        <v>729</v>
      </c>
      <c r="H2523" t="s">
        <v>1103</v>
      </c>
      <c r="I2523" t="s">
        <v>1104</v>
      </c>
      <c r="J2523">
        <v>1005</v>
      </c>
      <c r="K2523" t="s">
        <v>693</v>
      </c>
      <c r="L2523" s="3">
        <v>3391458.01</v>
      </c>
      <c r="M2523" s="3">
        <v>169263</v>
      </c>
      <c r="N2523">
        <v>0</v>
      </c>
      <c r="O2523">
        <v>890856</v>
      </c>
      <c r="P2523">
        <v>3560721.01</v>
      </c>
      <c r="Q2523" t="s">
        <v>30</v>
      </c>
      <c r="R2523" t="s">
        <v>65</v>
      </c>
      <c r="S2523" t="str">
        <v>#N/A</v>
      </c>
      <c r="T2523" t="str">
        <v>31</v>
      </c>
    </row>
    <row r="2524" spans="1:20" ht="13.7" customHeight="1" x14ac:dyDescent="0.25">
      <c r="A2524" t="s">
        <v>26</v>
      </c>
      <c r="B2524" t="s">
        <v>27</v>
      </c>
      <c r="C2524" t="s">
        <v>32</v>
      </c>
      <c r="D2524">
        <v>24</v>
      </c>
      <c r="E2524" s="5">
        <v>43509</v>
      </c>
      <c r="F2524">
        <v>24081005</v>
      </c>
      <c r="G2524" t="s">
        <v>729</v>
      </c>
      <c r="H2524" t="s">
        <v>1103</v>
      </c>
      <c r="I2524" t="s">
        <v>1104</v>
      </c>
      <c r="J2524">
        <v>1005</v>
      </c>
      <c r="K2524" t="s">
        <v>693</v>
      </c>
      <c r="L2524" s="3">
        <v>3560721.01</v>
      </c>
      <c r="M2524" s="3">
        <v>210883</v>
      </c>
      <c r="N2524">
        <v>0</v>
      </c>
      <c r="O2524">
        <v>1109909</v>
      </c>
      <c r="P2524">
        <v>3771604.01</v>
      </c>
      <c r="Q2524" t="s">
        <v>30</v>
      </c>
      <c r="R2524" t="s">
        <v>65</v>
      </c>
      <c r="S2524" t="str">
        <v>#N/A</v>
      </c>
      <c r="T2524" t="str">
        <v>31</v>
      </c>
    </row>
    <row r="2525" spans="1:20" ht="13.7" customHeight="1" x14ac:dyDescent="0.25">
      <c r="A2525" t="s">
        <v>26</v>
      </c>
      <c r="B2525" t="s">
        <v>27</v>
      </c>
      <c r="C2525" t="s">
        <v>91</v>
      </c>
      <c r="D2525">
        <v>6</v>
      </c>
      <c r="E2525" s="5">
        <v>43525</v>
      </c>
      <c r="F2525">
        <v>24081005</v>
      </c>
      <c r="G2525" t="s">
        <v>729</v>
      </c>
      <c r="H2525" t="s">
        <v>1103</v>
      </c>
      <c r="I2525" t="s">
        <v>1104</v>
      </c>
      <c r="J2525">
        <v>1005</v>
      </c>
      <c r="K2525" t="s">
        <v>693</v>
      </c>
      <c r="L2525" s="3">
        <v>3771604.01</v>
      </c>
      <c r="M2525" s="3">
        <v>224184</v>
      </c>
      <c r="N2525">
        <v>0</v>
      </c>
      <c r="O2525">
        <v>1179918</v>
      </c>
      <c r="P2525">
        <v>3995788.01</v>
      </c>
      <c r="Q2525" t="s">
        <v>30</v>
      </c>
      <c r="R2525" t="s">
        <v>65</v>
      </c>
      <c r="S2525" t="str">
        <v>#N/A</v>
      </c>
      <c r="T2525" t="str">
        <v>31</v>
      </c>
    </row>
    <row r="2526" spans="1:20" ht="13.7" customHeight="1" x14ac:dyDescent="0.25">
      <c r="A2526" t="s">
        <v>26</v>
      </c>
      <c r="B2526" t="s">
        <v>27</v>
      </c>
      <c r="C2526" t="s">
        <v>91</v>
      </c>
      <c r="D2526">
        <v>30</v>
      </c>
      <c r="E2526" s="5">
        <v>43535</v>
      </c>
      <c r="F2526">
        <v>24081005</v>
      </c>
      <c r="G2526" t="s">
        <v>729</v>
      </c>
      <c r="H2526" t="s">
        <v>1103</v>
      </c>
      <c r="I2526" t="s">
        <v>1104</v>
      </c>
      <c r="J2526">
        <v>1005</v>
      </c>
      <c r="K2526" t="s">
        <v>693</v>
      </c>
      <c r="L2526" s="3">
        <v>3995788.01</v>
      </c>
      <c r="M2526" s="3">
        <v>494603</v>
      </c>
      <c r="N2526">
        <v>0</v>
      </c>
      <c r="O2526">
        <v>2603179</v>
      </c>
      <c r="P2526">
        <v>4490391.01</v>
      </c>
      <c r="Q2526" t="s">
        <v>30</v>
      </c>
      <c r="R2526" t="s">
        <v>237</v>
      </c>
      <c r="S2526" t="str">
        <v>#N/A</v>
      </c>
      <c r="T2526" t="str">
        <v>31</v>
      </c>
    </row>
    <row r="2527" spans="1:20" ht="13.7" customHeight="1" x14ac:dyDescent="0.25">
      <c r="A2527" t="s">
        <v>26</v>
      </c>
      <c r="B2527" t="s">
        <v>27</v>
      </c>
      <c r="C2527" t="s">
        <v>34</v>
      </c>
      <c r="D2527">
        <v>42</v>
      </c>
      <c r="E2527" s="5">
        <v>43572</v>
      </c>
      <c r="F2527">
        <v>24081005</v>
      </c>
      <c r="G2527" t="s">
        <v>729</v>
      </c>
      <c r="H2527" t="s">
        <v>1103</v>
      </c>
      <c r="I2527" t="s">
        <v>1104</v>
      </c>
      <c r="J2527">
        <v>1005</v>
      </c>
      <c r="K2527" t="s">
        <v>693</v>
      </c>
      <c r="L2527" s="3">
        <v>4490391.01</v>
      </c>
      <c r="M2527" s="3">
        <v>285643</v>
      </c>
      <c r="N2527">
        <v>0</v>
      </c>
      <c r="O2527">
        <v>1503386</v>
      </c>
      <c r="P2527">
        <v>4776034.01</v>
      </c>
      <c r="Q2527" t="s">
        <v>30</v>
      </c>
      <c r="R2527" t="s">
        <v>65</v>
      </c>
      <c r="S2527" t="str">
        <v>#N/A</v>
      </c>
      <c r="T2527" t="str">
        <v>31</v>
      </c>
    </row>
    <row r="2528" spans="1:20" ht="13.7" customHeight="1" x14ac:dyDescent="0.25">
      <c r="A2528" t="s">
        <v>26</v>
      </c>
      <c r="B2528" t="s">
        <v>27</v>
      </c>
      <c r="C2528" t="s">
        <v>35</v>
      </c>
      <c r="D2528">
        <v>27</v>
      </c>
      <c r="E2528" s="5">
        <v>43593</v>
      </c>
      <c r="F2528">
        <v>24081005</v>
      </c>
      <c r="G2528" t="s">
        <v>729</v>
      </c>
      <c r="H2528" t="s">
        <v>1103</v>
      </c>
      <c r="I2528" t="s">
        <v>1104</v>
      </c>
      <c r="J2528">
        <v>1005</v>
      </c>
      <c r="K2528" t="s">
        <v>693</v>
      </c>
      <c r="L2528" s="3">
        <v>4776034.01</v>
      </c>
      <c r="M2528" s="3">
        <v>166785</v>
      </c>
      <c r="N2528">
        <v>0</v>
      </c>
      <c r="O2528">
        <v>877816</v>
      </c>
      <c r="P2528">
        <v>4942819.01</v>
      </c>
      <c r="Q2528" t="s">
        <v>30</v>
      </c>
      <c r="R2528" t="s">
        <v>65</v>
      </c>
      <c r="S2528" t="str">
        <v>#N/A</v>
      </c>
      <c r="T2528" t="str">
        <v>31</v>
      </c>
    </row>
    <row r="2529" spans="1:20" ht="13.7" customHeight="1" x14ac:dyDescent="0.25">
      <c r="A2529" t="s">
        <v>26</v>
      </c>
      <c r="B2529" t="s">
        <v>27</v>
      </c>
      <c r="C2529" t="s">
        <v>35</v>
      </c>
      <c r="D2529">
        <v>46</v>
      </c>
      <c r="E2529" s="5">
        <v>43599</v>
      </c>
      <c r="F2529">
        <v>24081005</v>
      </c>
      <c r="G2529" t="s">
        <v>729</v>
      </c>
      <c r="H2529" t="s">
        <v>1103</v>
      </c>
      <c r="I2529" t="s">
        <v>1104</v>
      </c>
      <c r="J2529">
        <v>1005</v>
      </c>
      <c r="K2529" t="s">
        <v>693</v>
      </c>
      <c r="L2529" s="3">
        <v>4942819.01</v>
      </c>
      <c r="M2529" s="3">
        <v>169153</v>
      </c>
      <c r="N2529">
        <v>0</v>
      </c>
      <c r="O2529">
        <v>890280</v>
      </c>
      <c r="P2529">
        <v>5111972.01</v>
      </c>
      <c r="Q2529" t="s">
        <v>30</v>
      </c>
      <c r="R2529" t="s">
        <v>65</v>
      </c>
      <c r="S2529" t="str">
        <v>#N/A</v>
      </c>
      <c r="T2529" t="str">
        <v>31</v>
      </c>
    </row>
    <row r="2530" spans="1:20" ht="13.7" customHeight="1" x14ac:dyDescent="0.25">
      <c r="A2530" t="s">
        <v>26</v>
      </c>
      <c r="B2530" t="s">
        <v>27</v>
      </c>
      <c r="C2530" t="s">
        <v>35</v>
      </c>
      <c r="D2530">
        <v>65</v>
      </c>
      <c r="E2530" s="5">
        <v>43605</v>
      </c>
      <c r="F2530">
        <v>24081005</v>
      </c>
      <c r="G2530" t="s">
        <v>729</v>
      </c>
      <c r="H2530" t="s">
        <v>1103</v>
      </c>
      <c r="I2530" t="s">
        <v>1104</v>
      </c>
      <c r="J2530">
        <v>1005</v>
      </c>
      <c r="K2530" t="s">
        <v>693</v>
      </c>
      <c r="L2530" s="3">
        <v>5111972.01</v>
      </c>
      <c r="M2530" s="3">
        <v>171747</v>
      </c>
      <c r="N2530">
        <v>0</v>
      </c>
      <c r="O2530">
        <v>903931</v>
      </c>
      <c r="P2530">
        <v>5283719.01</v>
      </c>
      <c r="Q2530" t="s">
        <v>30</v>
      </c>
      <c r="R2530" t="s">
        <v>65</v>
      </c>
      <c r="S2530" t="str">
        <v>#N/A</v>
      </c>
      <c r="T2530" t="str">
        <v>31</v>
      </c>
    </row>
    <row r="2531" spans="1:20" ht="13.7" customHeight="1" x14ac:dyDescent="0.25">
      <c r="A2531" t="s">
        <v>26</v>
      </c>
      <c r="B2531" t="s">
        <v>27</v>
      </c>
      <c r="C2531" t="s">
        <v>36</v>
      </c>
      <c r="D2531">
        <v>26</v>
      </c>
      <c r="E2531" s="5">
        <v>43629</v>
      </c>
      <c r="F2531">
        <v>24081005</v>
      </c>
      <c r="G2531" t="s">
        <v>729</v>
      </c>
      <c r="H2531" t="s">
        <v>1103</v>
      </c>
      <c r="I2531" t="s">
        <v>1104</v>
      </c>
      <c r="J2531">
        <v>1005</v>
      </c>
      <c r="K2531" t="s">
        <v>693</v>
      </c>
      <c r="L2531" s="3">
        <v>5283719.01</v>
      </c>
      <c r="M2531" s="3">
        <v>170506</v>
      </c>
      <c r="N2531">
        <v>0</v>
      </c>
      <c r="O2531">
        <v>897402</v>
      </c>
      <c r="P2531">
        <v>5454225.0099999998</v>
      </c>
      <c r="Q2531" t="s">
        <v>30</v>
      </c>
      <c r="R2531" t="s">
        <v>65</v>
      </c>
      <c r="S2531" t="str">
        <v>#N/A</v>
      </c>
      <c r="T2531" t="str">
        <v>31</v>
      </c>
    </row>
    <row r="2532" spans="1:20" ht="13.7" customHeight="1" x14ac:dyDescent="0.25">
      <c r="A2532" t="s">
        <v>26</v>
      </c>
      <c r="B2532" t="s">
        <v>27</v>
      </c>
      <c r="C2532" t="s">
        <v>36</v>
      </c>
      <c r="D2532">
        <v>27</v>
      </c>
      <c r="E2532" s="5">
        <v>43629</v>
      </c>
      <c r="F2532">
        <v>24081005</v>
      </c>
      <c r="G2532" t="s">
        <v>729</v>
      </c>
      <c r="H2532" t="s">
        <v>1103</v>
      </c>
      <c r="I2532" t="s">
        <v>1104</v>
      </c>
      <c r="J2532">
        <v>1005</v>
      </c>
      <c r="K2532" t="s">
        <v>693</v>
      </c>
      <c r="L2532" s="3">
        <v>5454225.0099999998</v>
      </c>
      <c r="M2532" s="3">
        <v>112543</v>
      </c>
      <c r="N2532">
        <v>0</v>
      </c>
      <c r="O2532">
        <v>592333</v>
      </c>
      <c r="P2532">
        <v>5566768.0099999998</v>
      </c>
      <c r="Q2532" t="s">
        <v>30</v>
      </c>
      <c r="R2532" t="s">
        <v>65</v>
      </c>
      <c r="S2532" t="str">
        <v>#N/A</v>
      </c>
      <c r="T2532" t="str">
        <v>31</v>
      </c>
    </row>
    <row r="2533" spans="1:20" ht="13.7" customHeight="1" x14ac:dyDescent="0.25">
      <c r="A2533" t="s">
        <v>26</v>
      </c>
      <c r="B2533" t="s">
        <v>27</v>
      </c>
      <c r="C2533" t="s">
        <v>37</v>
      </c>
      <c r="D2533">
        <v>44</v>
      </c>
      <c r="E2533" s="5">
        <v>43663</v>
      </c>
      <c r="F2533">
        <v>24081005</v>
      </c>
      <c r="G2533" t="s">
        <v>729</v>
      </c>
      <c r="H2533" t="s">
        <v>1103</v>
      </c>
      <c r="I2533" t="s">
        <v>1104</v>
      </c>
      <c r="J2533">
        <v>1005</v>
      </c>
      <c r="K2533" t="s">
        <v>693</v>
      </c>
      <c r="L2533" s="3">
        <v>5566768.0099999998</v>
      </c>
      <c r="M2533" s="3">
        <v>233206</v>
      </c>
      <c r="N2533">
        <v>0</v>
      </c>
      <c r="O2533">
        <v>1227400</v>
      </c>
      <c r="P2533">
        <v>5799974.0099999998</v>
      </c>
      <c r="Q2533" t="s">
        <v>30</v>
      </c>
      <c r="R2533" t="s">
        <v>65</v>
      </c>
      <c r="S2533" t="str">
        <v>#N/A</v>
      </c>
      <c r="T2533" t="str">
        <v>31</v>
      </c>
    </row>
    <row r="2534" spans="1:20" ht="13.7" customHeight="1" x14ac:dyDescent="0.25">
      <c r="A2534" t="s">
        <v>26</v>
      </c>
      <c r="B2534" t="s">
        <v>27</v>
      </c>
      <c r="C2534" t="s">
        <v>38</v>
      </c>
      <c r="D2534">
        <v>25</v>
      </c>
      <c r="E2534" s="5">
        <v>43692</v>
      </c>
      <c r="F2534">
        <v>24081005</v>
      </c>
      <c r="G2534" t="s">
        <v>729</v>
      </c>
      <c r="H2534" t="s">
        <v>1103</v>
      </c>
      <c r="I2534" t="s">
        <v>1104</v>
      </c>
      <c r="J2534">
        <v>1005</v>
      </c>
      <c r="K2534" t="s">
        <v>693</v>
      </c>
      <c r="L2534" s="3">
        <v>5799974.0099999998</v>
      </c>
      <c r="M2534" s="3">
        <v>348229</v>
      </c>
      <c r="N2534">
        <v>0</v>
      </c>
      <c r="O2534">
        <v>1832789</v>
      </c>
      <c r="P2534">
        <v>6148203.0099999998</v>
      </c>
      <c r="Q2534" t="s">
        <v>30</v>
      </c>
      <c r="R2534" t="s">
        <v>65</v>
      </c>
      <c r="S2534" t="str">
        <v>#N/A</v>
      </c>
      <c r="T2534" t="str">
        <v>31</v>
      </c>
    </row>
    <row r="2535" spans="1:20" ht="13.7" customHeight="1" x14ac:dyDescent="0.25">
      <c r="A2535" t="s">
        <v>26</v>
      </c>
      <c r="B2535" t="s">
        <v>27</v>
      </c>
      <c r="C2535" t="s">
        <v>38</v>
      </c>
      <c r="D2535">
        <v>52</v>
      </c>
      <c r="E2535" s="5">
        <v>43706</v>
      </c>
      <c r="F2535">
        <v>24081005</v>
      </c>
      <c r="G2535" t="s">
        <v>729</v>
      </c>
      <c r="H2535" t="s">
        <v>1103</v>
      </c>
      <c r="I2535" t="s">
        <v>1104</v>
      </c>
      <c r="J2535">
        <v>1005</v>
      </c>
      <c r="K2535" t="s">
        <v>693</v>
      </c>
      <c r="L2535" s="3">
        <v>6148203.0099999998</v>
      </c>
      <c r="M2535" s="3">
        <v>164642</v>
      </c>
      <c r="N2535">
        <v>0</v>
      </c>
      <c r="O2535">
        <v>866539</v>
      </c>
      <c r="P2535">
        <v>6312845.0099999998</v>
      </c>
      <c r="Q2535" t="s">
        <v>30</v>
      </c>
      <c r="R2535" t="s">
        <v>65</v>
      </c>
      <c r="S2535" t="str">
        <v>#N/A</v>
      </c>
      <c r="T2535" t="str">
        <v>31</v>
      </c>
    </row>
    <row r="2536" spans="1:20" ht="13.7" customHeight="1" x14ac:dyDescent="0.25">
      <c r="A2536" t="s">
        <v>26</v>
      </c>
      <c r="B2536" t="s">
        <v>27</v>
      </c>
      <c r="C2536" t="s">
        <v>39</v>
      </c>
      <c r="D2536">
        <v>9</v>
      </c>
      <c r="E2536" s="5">
        <v>43712</v>
      </c>
      <c r="F2536">
        <v>24081005</v>
      </c>
      <c r="G2536" t="s">
        <v>729</v>
      </c>
      <c r="H2536" t="s">
        <v>1103</v>
      </c>
      <c r="I2536" t="s">
        <v>1104</v>
      </c>
      <c r="J2536">
        <v>1005</v>
      </c>
      <c r="K2536" t="s">
        <v>693</v>
      </c>
      <c r="L2536" s="3">
        <v>6312845.0099999998</v>
      </c>
      <c r="M2536" s="3">
        <v>561475</v>
      </c>
      <c r="N2536">
        <v>0</v>
      </c>
      <c r="O2536">
        <v>2955136</v>
      </c>
      <c r="P2536">
        <v>6874320.0099999998</v>
      </c>
      <c r="Q2536" t="s">
        <v>30</v>
      </c>
      <c r="R2536" t="s">
        <v>65</v>
      </c>
      <c r="S2536" t="str">
        <v>#N/A</v>
      </c>
      <c r="T2536" t="str">
        <v>31</v>
      </c>
    </row>
    <row r="2537" spans="1:20" ht="13.7" customHeight="1" x14ac:dyDescent="0.25">
      <c r="A2537" t="s">
        <v>26</v>
      </c>
      <c r="B2537" t="s">
        <v>27</v>
      </c>
      <c r="C2537" t="s">
        <v>39</v>
      </c>
      <c r="D2537">
        <v>46</v>
      </c>
      <c r="E2537" s="5">
        <v>43732</v>
      </c>
      <c r="F2537">
        <v>24081005</v>
      </c>
      <c r="G2537" t="s">
        <v>729</v>
      </c>
      <c r="H2537" t="s">
        <v>1103</v>
      </c>
      <c r="I2537" t="s">
        <v>1104</v>
      </c>
      <c r="J2537">
        <v>1005</v>
      </c>
      <c r="K2537" t="s">
        <v>693</v>
      </c>
      <c r="L2537" s="3">
        <v>6874320.0099999998</v>
      </c>
      <c r="M2537" s="3">
        <v>135886</v>
      </c>
      <c r="N2537">
        <v>0</v>
      </c>
      <c r="O2537">
        <v>715191</v>
      </c>
      <c r="P2537">
        <v>7010206.0099999998</v>
      </c>
      <c r="Q2537" t="s">
        <v>30</v>
      </c>
      <c r="R2537" t="s">
        <v>65</v>
      </c>
      <c r="S2537" t="str">
        <v>#N/A</v>
      </c>
      <c r="T2537" t="str">
        <v>31</v>
      </c>
    </row>
    <row r="2538" spans="1:20" ht="13.7" customHeight="1" x14ac:dyDescent="0.25">
      <c r="A2538" t="s">
        <v>26</v>
      </c>
      <c r="B2538" t="s">
        <v>27</v>
      </c>
      <c r="C2538" t="s">
        <v>40</v>
      </c>
      <c r="D2538">
        <v>50</v>
      </c>
      <c r="E2538" s="5">
        <v>43767</v>
      </c>
      <c r="F2538">
        <v>24081005</v>
      </c>
      <c r="G2538" t="s">
        <v>729</v>
      </c>
      <c r="H2538" t="s">
        <v>1103</v>
      </c>
      <c r="I2538" t="s">
        <v>1104</v>
      </c>
      <c r="J2538">
        <v>1005</v>
      </c>
      <c r="K2538" t="s">
        <v>693</v>
      </c>
      <c r="L2538" s="3">
        <v>7010206.0099999998</v>
      </c>
      <c r="M2538" s="3">
        <v>237153</v>
      </c>
      <c r="N2538">
        <v>0</v>
      </c>
      <c r="O2538">
        <v>1248173</v>
      </c>
      <c r="P2538">
        <v>7247359.0099999998</v>
      </c>
      <c r="Q2538" t="s">
        <v>30</v>
      </c>
      <c r="R2538" t="s">
        <v>65</v>
      </c>
      <c r="S2538" t="str">
        <v>#N/A</v>
      </c>
      <c r="T2538" t="str">
        <v>31</v>
      </c>
    </row>
    <row r="2539" spans="1:20" ht="13.7" customHeight="1" x14ac:dyDescent="0.25">
      <c r="E2539" s="5">
        <v>43465</v>
      </c>
      <c r="F2539">
        <v>24081005</v>
      </c>
      <c r="G2539" t="s">
        <v>729</v>
      </c>
      <c r="H2539" t="s">
        <v>1513</v>
      </c>
      <c r="I2539" t="s">
        <v>1514</v>
      </c>
      <c r="J2539">
        <v>0</v>
      </c>
      <c r="K2539">
        <v>0</v>
      </c>
      <c r="L2539" s="3">
        <v>72305</v>
      </c>
      <c r="M2539" s="3">
        <v>0</v>
      </c>
      <c r="N2539">
        <v>0</v>
      </c>
      <c r="O2539">
        <v>380545</v>
      </c>
      <c r="P2539">
        <v>72305</v>
      </c>
      <c r="R2539" t="s">
        <v>1100</v>
      </c>
      <c r="S2539" t="str">
        <v>#N/A</v>
      </c>
      <c r="T2539" t="str">
        <v>#N/A</v>
      </c>
    </row>
    <row r="2540" spans="1:20" ht="13.7" customHeight="1" x14ac:dyDescent="0.25">
      <c r="A2540" t="s">
        <v>26</v>
      </c>
      <c r="B2540" t="s">
        <v>27</v>
      </c>
      <c r="C2540" t="s">
        <v>180</v>
      </c>
      <c r="D2540">
        <v>89</v>
      </c>
      <c r="E2540" s="5">
        <v>43830</v>
      </c>
      <c r="F2540">
        <v>24081005</v>
      </c>
      <c r="G2540" t="s">
        <v>729</v>
      </c>
      <c r="H2540" t="s">
        <v>1513</v>
      </c>
      <c r="I2540" t="s">
        <v>1514</v>
      </c>
      <c r="J2540">
        <v>1005</v>
      </c>
      <c r="K2540" t="s">
        <v>693</v>
      </c>
      <c r="L2540" s="3">
        <v>72305</v>
      </c>
      <c r="M2540" s="3">
        <v>21613</v>
      </c>
      <c r="N2540">
        <v>0</v>
      </c>
      <c r="O2540">
        <v>113755</v>
      </c>
      <c r="P2540">
        <v>93918</v>
      </c>
      <c r="Q2540" t="s">
        <v>30</v>
      </c>
      <c r="R2540" t="s">
        <v>194</v>
      </c>
      <c r="S2540" t="str">
        <v>#N/A</v>
      </c>
      <c r="T2540" t="str">
        <v>#N/A</v>
      </c>
    </row>
    <row r="2541" spans="1:20" ht="13.7" customHeight="1" x14ac:dyDescent="0.25">
      <c r="E2541" s="5">
        <v>43465</v>
      </c>
      <c r="F2541">
        <v>24081005</v>
      </c>
      <c r="G2541" t="s">
        <v>729</v>
      </c>
      <c r="H2541" t="s">
        <v>1475</v>
      </c>
      <c r="I2541" t="s">
        <v>1476</v>
      </c>
      <c r="J2541">
        <v>0</v>
      </c>
      <c r="K2541">
        <v>0</v>
      </c>
      <c r="L2541" s="3">
        <v>0</v>
      </c>
      <c r="M2541" s="3">
        <v>0</v>
      </c>
      <c r="N2541">
        <v>0</v>
      </c>
      <c r="O2541">
        <v>0</v>
      </c>
      <c r="P2541">
        <v>0</v>
      </c>
      <c r="R2541" t="s">
        <v>1100</v>
      </c>
      <c r="S2541" t="str">
        <v>#N/A</v>
      </c>
      <c r="T2541" t="str">
        <v>#N/A</v>
      </c>
    </row>
    <row r="2542" spans="1:20" ht="13.7" customHeight="1" x14ac:dyDescent="0.25">
      <c r="A2542" t="s">
        <v>26</v>
      </c>
      <c r="B2542" t="s">
        <v>27</v>
      </c>
      <c r="C2542" t="s">
        <v>28</v>
      </c>
      <c r="D2542">
        <v>3</v>
      </c>
      <c r="E2542" s="5">
        <v>43467</v>
      </c>
      <c r="F2542">
        <v>24081005</v>
      </c>
      <c r="G2542" t="s">
        <v>729</v>
      </c>
      <c r="H2542" t="s">
        <v>1475</v>
      </c>
      <c r="I2542" t="s">
        <v>1476</v>
      </c>
      <c r="J2542">
        <v>1005</v>
      </c>
      <c r="K2542" t="s">
        <v>693</v>
      </c>
      <c r="L2542" s="3">
        <v>0</v>
      </c>
      <c r="M2542" s="3">
        <v>42119</v>
      </c>
      <c r="N2542">
        <v>0</v>
      </c>
      <c r="O2542">
        <v>221681</v>
      </c>
      <c r="P2542">
        <v>42119</v>
      </c>
      <c r="Q2542" t="s">
        <v>30</v>
      </c>
      <c r="R2542" t="s">
        <v>530</v>
      </c>
      <c r="S2542" t="str">
        <v>#N/A</v>
      </c>
      <c r="T2542" t="str">
        <v>#N/A</v>
      </c>
    </row>
    <row r="2543" spans="1:20" ht="13.7" customHeight="1" x14ac:dyDescent="0.25">
      <c r="A2543" t="s">
        <v>26</v>
      </c>
      <c r="B2543" t="s">
        <v>27</v>
      </c>
      <c r="C2543" t="s">
        <v>28</v>
      </c>
      <c r="D2543">
        <v>55</v>
      </c>
      <c r="E2543" s="5">
        <v>43486</v>
      </c>
      <c r="F2543">
        <v>24081005</v>
      </c>
      <c r="G2543" t="s">
        <v>729</v>
      </c>
      <c r="H2543" t="s">
        <v>1475</v>
      </c>
      <c r="I2543" t="s">
        <v>1476</v>
      </c>
      <c r="J2543">
        <v>1005</v>
      </c>
      <c r="K2543" t="s">
        <v>693</v>
      </c>
      <c r="L2543" s="3">
        <v>42119</v>
      </c>
      <c r="M2543" s="3">
        <v>27127</v>
      </c>
      <c r="N2543">
        <v>0</v>
      </c>
      <c r="O2543">
        <v>142773</v>
      </c>
      <c r="P2543">
        <v>69246</v>
      </c>
      <c r="Q2543" t="s">
        <v>30</v>
      </c>
      <c r="R2543" t="s">
        <v>536</v>
      </c>
      <c r="S2543" t="str">
        <v>#N/A</v>
      </c>
      <c r="T2543" t="str">
        <v>#N/A</v>
      </c>
    </row>
    <row r="2544" spans="1:20" ht="13.7" customHeight="1" x14ac:dyDescent="0.25">
      <c r="E2544" s="5">
        <v>43465</v>
      </c>
      <c r="F2544">
        <v>24081005</v>
      </c>
      <c r="G2544" t="s">
        <v>729</v>
      </c>
      <c r="H2544" t="s">
        <v>1433</v>
      </c>
      <c r="I2544" t="s">
        <v>1434</v>
      </c>
      <c r="J2544">
        <v>0</v>
      </c>
      <c r="K2544">
        <v>0</v>
      </c>
      <c r="L2544" s="3">
        <v>5700</v>
      </c>
      <c r="M2544" s="3">
        <v>0</v>
      </c>
      <c r="N2544">
        <v>0</v>
      </c>
      <c r="O2544">
        <v>30000</v>
      </c>
      <c r="P2544">
        <v>5700</v>
      </c>
      <c r="R2544" t="s">
        <v>1100</v>
      </c>
      <c r="S2544" t="str">
        <v>#N/A</v>
      </c>
      <c r="T2544" t="str">
        <v>#N/A</v>
      </c>
    </row>
    <row r="2545" spans="1:20" ht="13.7" customHeight="1" x14ac:dyDescent="0.25">
      <c r="E2545" s="5">
        <v>43465</v>
      </c>
      <c r="F2545">
        <v>24081005</v>
      </c>
      <c r="G2545" t="s">
        <v>729</v>
      </c>
      <c r="H2545" t="s">
        <v>1599</v>
      </c>
      <c r="I2545" t="s">
        <v>1600</v>
      </c>
      <c r="J2545">
        <v>0</v>
      </c>
      <c r="K2545">
        <v>0</v>
      </c>
      <c r="L2545" s="3">
        <v>38798</v>
      </c>
      <c r="M2545" s="3">
        <v>0</v>
      </c>
      <c r="N2545">
        <v>0</v>
      </c>
      <c r="O2545">
        <v>204200</v>
      </c>
      <c r="P2545">
        <v>38798</v>
      </c>
      <c r="R2545" t="s">
        <v>1100</v>
      </c>
      <c r="S2545" t="str">
        <v>#N/A</v>
      </c>
      <c r="T2545" t="str">
        <v>#N/A</v>
      </c>
    </row>
    <row r="2546" spans="1:20" ht="13.7" customHeight="1" x14ac:dyDescent="0.25">
      <c r="E2546" s="5">
        <v>43465</v>
      </c>
      <c r="F2546">
        <v>24081005</v>
      </c>
      <c r="G2546" t="s">
        <v>729</v>
      </c>
      <c r="H2546" t="s">
        <v>1129</v>
      </c>
      <c r="I2546" t="s">
        <v>1130</v>
      </c>
      <c r="J2546">
        <v>0</v>
      </c>
      <c r="K2546">
        <v>0</v>
      </c>
      <c r="L2546" s="3">
        <v>-3641635</v>
      </c>
      <c r="M2546" s="3">
        <v>0</v>
      </c>
      <c r="N2546">
        <v>0</v>
      </c>
      <c r="O2546">
        <v>-19166500</v>
      </c>
      <c r="P2546">
        <v>-3641635</v>
      </c>
      <c r="R2546" t="s">
        <v>1100</v>
      </c>
      <c r="S2546" t="str">
        <v>#N/A</v>
      </c>
      <c r="T2546" t="str">
        <v>#N/A</v>
      </c>
    </row>
    <row r="2547" spans="1:20" ht="13.7" customHeight="1" x14ac:dyDescent="0.25">
      <c r="E2547" s="5">
        <v>43465</v>
      </c>
      <c r="F2547">
        <v>24081005</v>
      </c>
      <c r="G2547" t="s">
        <v>729</v>
      </c>
      <c r="H2547" t="s">
        <v>1601</v>
      </c>
      <c r="I2547" t="s">
        <v>1602</v>
      </c>
      <c r="J2547">
        <v>0</v>
      </c>
      <c r="K2547">
        <v>0</v>
      </c>
      <c r="L2547" s="3">
        <v>431.11</v>
      </c>
      <c r="M2547" s="3">
        <v>0</v>
      </c>
      <c r="N2547">
        <v>0</v>
      </c>
      <c r="O2547">
        <v>2269</v>
      </c>
      <c r="P2547">
        <v>431.11</v>
      </c>
      <c r="R2547" t="s">
        <v>1100</v>
      </c>
      <c r="S2547" t="str">
        <v>#N/A</v>
      </c>
      <c r="T2547" t="str">
        <v>#N/A</v>
      </c>
    </row>
    <row r="2548" spans="1:20" ht="13.7" customHeight="1" x14ac:dyDescent="0.25">
      <c r="E2548" s="5">
        <v>43465</v>
      </c>
      <c r="F2548">
        <v>24081005</v>
      </c>
      <c r="G2548" t="s">
        <v>729</v>
      </c>
      <c r="H2548" t="s">
        <v>1409</v>
      </c>
      <c r="I2548" t="s">
        <v>1410</v>
      </c>
      <c r="J2548">
        <v>0</v>
      </c>
      <c r="K2548">
        <v>0</v>
      </c>
      <c r="L2548" s="3">
        <v>48868</v>
      </c>
      <c r="M2548" s="3">
        <v>0</v>
      </c>
      <c r="N2548">
        <v>0</v>
      </c>
      <c r="O2548">
        <v>257202</v>
      </c>
      <c r="P2548">
        <v>48868</v>
      </c>
      <c r="R2548" t="s">
        <v>1100</v>
      </c>
      <c r="S2548" t="str">
        <v>#N/A</v>
      </c>
      <c r="T2548" t="str">
        <v>#N/A</v>
      </c>
    </row>
    <row r="2549" spans="1:20" ht="13.7" customHeight="1" x14ac:dyDescent="0.25">
      <c r="A2549" t="s">
        <v>26</v>
      </c>
      <c r="B2549" t="s">
        <v>27</v>
      </c>
      <c r="C2549" t="s">
        <v>41</v>
      </c>
      <c r="D2549">
        <v>42</v>
      </c>
      <c r="E2549" s="5">
        <v>43785</v>
      </c>
      <c r="F2549">
        <v>24081005</v>
      </c>
      <c r="G2549" t="s">
        <v>729</v>
      </c>
      <c r="H2549" t="s">
        <v>1409</v>
      </c>
      <c r="I2549" t="s">
        <v>1410</v>
      </c>
      <c r="J2549">
        <v>1005</v>
      </c>
      <c r="K2549" t="s">
        <v>693</v>
      </c>
      <c r="L2549" s="3">
        <v>48868</v>
      </c>
      <c r="M2549" s="3">
        <v>1597</v>
      </c>
      <c r="N2549">
        <v>0</v>
      </c>
      <c r="O2549">
        <v>8404</v>
      </c>
      <c r="P2549">
        <v>50465</v>
      </c>
      <c r="Q2549" t="s">
        <v>30</v>
      </c>
      <c r="R2549" t="s">
        <v>537</v>
      </c>
      <c r="S2549" t="str">
        <v>#N/A</v>
      </c>
      <c r="T2549" t="str">
        <v>#N/A</v>
      </c>
    </row>
    <row r="2550" spans="1:20" ht="13.7" customHeight="1" x14ac:dyDescent="0.25">
      <c r="E2550" s="5">
        <v>43465</v>
      </c>
      <c r="F2550">
        <v>24081005</v>
      </c>
      <c r="G2550" t="s">
        <v>729</v>
      </c>
      <c r="H2550" t="s">
        <v>1139</v>
      </c>
      <c r="I2550" t="s">
        <v>1140</v>
      </c>
      <c r="J2550">
        <v>0</v>
      </c>
      <c r="K2550">
        <v>0</v>
      </c>
      <c r="L2550" s="3">
        <v>-869968.2</v>
      </c>
      <c r="M2550" s="3">
        <v>0</v>
      </c>
      <c r="N2550">
        <v>0</v>
      </c>
      <c r="O2550">
        <v>-4578780</v>
      </c>
      <c r="P2550">
        <v>-869968.2</v>
      </c>
      <c r="R2550" t="s">
        <v>1100</v>
      </c>
      <c r="S2550" t="str">
        <v>#N/A</v>
      </c>
      <c r="T2550" t="str">
        <v>#N/A</v>
      </c>
    </row>
    <row r="2551" spans="1:20" ht="13.7" customHeight="1" x14ac:dyDescent="0.25">
      <c r="E2551" s="5">
        <v>43465</v>
      </c>
      <c r="F2551">
        <v>24081005</v>
      </c>
      <c r="G2551" t="s">
        <v>729</v>
      </c>
      <c r="H2551" t="s">
        <v>1603</v>
      </c>
      <c r="I2551" t="s">
        <v>1604</v>
      </c>
      <c r="J2551">
        <v>0</v>
      </c>
      <c r="K2551">
        <v>0</v>
      </c>
      <c r="L2551" s="3">
        <v>0</v>
      </c>
      <c r="M2551" s="3">
        <v>0</v>
      </c>
      <c r="N2551">
        <v>0</v>
      </c>
      <c r="O2551">
        <v>0</v>
      </c>
      <c r="P2551">
        <v>0</v>
      </c>
      <c r="R2551" t="s">
        <v>1100</v>
      </c>
      <c r="S2551" t="str">
        <v>#N/A</v>
      </c>
      <c r="T2551" t="str">
        <v>#N/A</v>
      </c>
    </row>
    <row r="2552" spans="1:20" ht="13.7" customHeight="1" x14ac:dyDescent="0.25">
      <c r="A2552" t="s">
        <v>26</v>
      </c>
      <c r="B2552" t="s">
        <v>27</v>
      </c>
      <c r="C2552" t="s">
        <v>36</v>
      </c>
      <c r="D2552">
        <v>13</v>
      </c>
      <c r="E2552" s="5">
        <v>43621</v>
      </c>
      <c r="F2552">
        <v>24081005</v>
      </c>
      <c r="G2552" t="s">
        <v>729</v>
      </c>
      <c r="H2552" t="s">
        <v>1603</v>
      </c>
      <c r="I2552" t="s">
        <v>1604</v>
      </c>
      <c r="J2552">
        <v>1005</v>
      </c>
      <c r="K2552" t="s">
        <v>693</v>
      </c>
      <c r="L2552" s="3">
        <v>0</v>
      </c>
      <c r="M2552" s="3">
        <v>16924</v>
      </c>
      <c r="N2552">
        <v>0</v>
      </c>
      <c r="O2552">
        <v>89076</v>
      </c>
      <c r="P2552">
        <v>16924</v>
      </c>
      <c r="Q2552" t="s">
        <v>30</v>
      </c>
      <c r="R2552" t="s">
        <v>267</v>
      </c>
      <c r="S2552" t="str">
        <v>#N/A</v>
      </c>
      <c r="T2552" t="str">
        <v>#N/A</v>
      </c>
    </row>
    <row r="2553" spans="1:20" ht="13.7" customHeight="1" x14ac:dyDescent="0.25">
      <c r="E2553" s="5">
        <v>43465</v>
      </c>
      <c r="F2553">
        <v>24081005</v>
      </c>
      <c r="G2553" t="s">
        <v>729</v>
      </c>
      <c r="H2553" t="s">
        <v>1399</v>
      </c>
      <c r="I2553" t="s">
        <v>1400</v>
      </c>
      <c r="J2553">
        <v>0</v>
      </c>
      <c r="K2553">
        <v>0</v>
      </c>
      <c r="L2553" s="3">
        <v>0</v>
      </c>
      <c r="M2553" s="3">
        <v>0</v>
      </c>
      <c r="N2553">
        <v>0</v>
      </c>
      <c r="O2553">
        <v>0</v>
      </c>
      <c r="P2553">
        <v>0</v>
      </c>
      <c r="R2553" t="s">
        <v>1100</v>
      </c>
      <c r="S2553" t="str">
        <v>#N/A</v>
      </c>
      <c r="T2553" t="str">
        <v>#N/A</v>
      </c>
    </row>
    <row r="2554" spans="1:20" ht="13.7" customHeight="1" x14ac:dyDescent="0.25">
      <c r="A2554" t="s">
        <v>26</v>
      </c>
      <c r="B2554" t="s">
        <v>27</v>
      </c>
      <c r="C2554" t="s">
        <v>37</v>
      </c>
      <c r="D2554">
        <v>36</v>
      </c>
      <c r="E2554" s="5">
        <v>43659</v>
      </c>
      <c r="F2554">
        <v>24081005</v>
      </c>
      <c r="G2554" t="s">
        <v>729</v>
      </c>
      <c r="H2554" t="s">
        <v>1399</v>
      </c>
      <c r="I2554" t="s">
        <v>1400</v>
      </c>
      <c r="J2554">
        <v>1005</v>
      </c>
      <c r="K2554" t="s">
        <v>693</v>
      </c>
      <c r="L2554" s="3">
        <v>0</v>
      </c>
      <c r="M2554" s="3">
        <v>8446</v>
      </c>
      <c r="N2554">
        <v>0</v>
      </c>
      <c r="O2554">
        <v>44454</v>
      </c>
      <c r="P2554">
        <v>8446</v>
      </c>
      <c r="Q2554" t="s">
        <v>30</v>
      </c>
      <c r="R2554" t="s">
        <v>537</v>
      </c>
      <c r="S2554" t="str">
        <v>#N/A</v>
      </c>
      <c r="T2554" t="str">
        <v>#N/A</v>
      </c>
    </row>
    <row r="2555" spans="1:20" ht="13.7" customHeight="1" x14ac:dyDescent="0.25">
      <c r="E2555" s="5">
        <v>43465</v>
      </c>
      <c r="F2555">
        <v>24081005</v>
      </c>
      <c r="G2555" t="s">
        <v>729</v>
      </c>
      <c r="H2555" t="s">
        <v>1223</v>
      </c>
      <c r="I2555" t="s">
        <v>1224</v>
      </c>
      <c r="J2555">
        <v>0</v>
      </c>
      <c r="K2555">
        <v>0</v>
      </c>
      <c r="L2555" s="3">
        <v>0</v>
      </c>
      <c r="M2555" s="3">
        <v>0</v>
      </c>
      <c r="N2555">
        <v>0</v>
      </c>
      <c r="O2555">
        <v>0</v>
      </c>
      <c r="P2555">
        <v>0</v>
      </c>
      <c r="R2555" t="s">
        <v>1100</v>
      </c>
      <c r="S2555" t="str">
        <v>#N/A</v>
      </c>
      <c r="T2555" t="str">
        <v>#N/A</v>
      </c>
    </row>
    <row r="2556" spans="1:20" ht="13.7" customHeight="1" x14ac:dyDescent="0.25">
      <c r="A2556" t="s">
        <v>26</v>
      </c>
      <c r="B2556" t="s">
        <v>27</v>
      </c>
      <c r="C2556" t="s">
        <v>91</v>
      </c>
      <c r="D2556">
        <v>54</v>
      </c>
      <c r="E2556" s="5">
        <v>43547</v>
      </c>
      <c r="F2556">
        <v>24081005</v>
      </c>
      <c r="G2556" t="s">
        <v>729</v>
      </c>
      <c r="H2556" t="s">
        <v>1223</v>
      </c>
      <c r="I2556" t="s">
        <v>1224</v>
      </c>
      <c r="J2556">
        <v>1005</v>
      </c>
      <c r="K2556" t="s">
        <v>693</v>
      </c>
      <c r="L2556" s="3">
        <v>0</v>
      </c>
      <c r="M2556" s="3">
        <v>17480</v>
      </c>
      <c r="N2556">
        <v>0</v>
      </c>
      <c r="O2556">
        <v>92000</v>
      </c>
      <c r="P2556">
        <v>17480</v>
      </c>
      <c r="Q2556" t="s">
        <v>30</v>
      </c>
      <c r="R2556" t="s">
        <v>107</v>
      </c>
      <c r="S2556" t="str">
        <v>#N/A</v>
      </c>
      <c r="T2556" t="str">
        <v>#N/A</v>
      </c>
    </row>
    <row r="2557" spans="1:20" ht="13.7" customHeight="1" x14ac:dyDescent="0.25">
      <c r="A2557" t="s">
        <v>26</v>
      </c>
      <c r="B2557" t="s">
        <v>27</v>
      </c>
      <c r="C2557" t="s">
        <v>38</v>
      </c>
      <c r="D2557">
        <v>44</v>
      </c>
      <c r="E2557" s="5">
        <v>43703</v>
      </c>
      <c r="F2557">
        <v>24081005</v>
      </c>
      <c r="G2557" t="s">
        <v>729</v>
      </c>
      <c r="H2557" t="s">
        <v>1223</v>
      </c>
      <c r="I2557" t="s">
        <v>1224</v>
      </c>
      <c r="J2557">
        <v>1005</v>
      </c>
      <c r="K2557" t="s">
        <v>693</v>
      </c>
      <c r="L2557" s="3">
        <v>17480</v>
      </c>
      <c r="M2557" s="3">
        <v>8740</v>
      </c>
      <c r="N2557">
        <v>0</v>
      </c>
      <c r="O2557">
        <v>46000</v>
      </c>
      <c r="P2557">
        <v>26220</v>
      </c>
      <c r="Q2557" t="s">
        <v>30</v>
      </c>
      <c r="R2557" t="s">
        <v>561</v>
      </c>
      <c r="S2557" t="str">
        <v>#N/A</v>
      </c>
      <c r="T2557" t="str">
        <v>#N/A</v>
      </c>
    </row>
    <row r="2558" spans="1:20" ht="13.7" customHeight="1" x14ac:dyDescent="0.25">
      <c r="E2558" s="5">
        <v>43465</v>
      </c>
      <c r="F2558">
        <v>24081005</v>
      </c>
      <c r="G2558" t="s">
        <v>729</v>
      </c>
      <c r="H2558" t="s">
        <v>1525</v>
      </c>
      <c r="I2558" t="s">
        <v>1526</v>
      </c>
      <c r="J2558">
        <v>0</v>
      </c>
      <c r="K2558">
        <v>0</v>
      </c>
      <c r="L2558" s="3">
        <v>52429.87</v>
      </c>
      <c r="M2558" s="3">
        <v>0</v>
      </c>
      <c r="N2558">
        <v>0</v>
      </c>
      <c r="O2558">
        <v>275961</v>
      </c>
      <c r="P2558">
        <v>52429.87</v>
      </c>
      <c r="R2558" t="s">
        <v>1100</v>
      </c>
      <c r="S2558" t="str">
        <v>#N/A</v>
      </c>
      <c r="T2558" t="str">
        <v>31</v>
      </c>
    </row>
    <row r="2559" spans="1:20" ht="13.7" customHeight="1" x14ac:dyDescent="0.25">
      <c r="E2559" s="5">
        <v>43465</v>
      </c>
      <c r="F2559">
        <v>24081005</v>
      </c>
      <c r="G2559" t="s">
        <v>729</v>
      </c>
      <c r="H2559" t="s">
        <v>1605</v>
      </c>
      <c r="I2559" t="s">
        <v>1606</v>
      </c>
      <c r="J2559">
        <v>0</v>
      </c>
      <c r="K2559">
        <v>0</v>
      </c>
      <c r="L2559" s="3">
        <v>6067</v>
      </c>
      <c r="M2559" s="3">
        <v>0</v>
      </c>
      <c r="N2559">
        <v>0</v>
      </c>
      <c r="O2559">
        <v>31933</v>
      </c>
      <c r="P2559">
        <v>6067</v>
      </c>
      <c r="R2559" t="s">
        <v>1100</v>
      </c>
      <c r="S2559" t="str">
        <v>#N/A</v>
      </c>
      <c r="T2559" t="str">
        <v>#N/A</v>
      </c>
    </row>
    <row r="2560" spans="1:20" ht="13.7" customHeight="1" x14ac:dyDescent="0.25">
      <c r="E2560" s="5">
        <v>43465</v>
      </c>
      <c r="F2560">
        <v>24081005</v>
      </c>
      <c r="G2560" t="s">
        <v>729</v>
      </c>
      <c r="H2560" t="s">
        <v>1515</v>
      </c>
      <c r="I2560" t="s">
        <v>1516</v>
      </c>
      <c r="J2560">
        <v>0</v>
      </c>
      <c r="K2560">
        <v>0</v>
      </c>
      <c r="L2560" s="3">
        <v>0</v>
      </c>
      <c r="M2560" s="3">
        <v>0</v>
      </c>
      <c r="N2560">
        <v>0</v>
      </c>
      <c r="O2560">
        <v>0</v>
      </c>
      <c r="P2560">
        <v>0</v>
      </c>
      <c r="R2560" t="s">
        <v>1100</v>
      </c>
      <c r="S2560" t="str">
        <v>#N/A</v>
      </c>
      <c r="T2560" t="str">
        <v>#N/A</v>
      </c>
    </row>
    <row r="2561" spans="1:20" ht="13.7" customHeight="1" x14ac:dyDescent="0.25">
      <c r="A2561" t="s">
        <v>26</v>
      </c>
      <c r="B2561" t="s">
        <v>27</v>
      </c>
      <c r="C2561" t="s">
        <v>35</v>
      </c>
      <c r="D2561">
        <v>25</v>
      </c>
      <c r="E2561" s="5">
        <v>43592</v>
      </c>
      <c r="F2561">
        <v>24081005</v>
      </c>
      <c r="G2561" t="s">
        <v>729</v>
      </c>
      <c r="H2561" t="s">
        <v>1515</v>
      </c>
      <c r="I2561" t="s">
        <v>1516</v>
      </c>
      <c r="J2561">
        <v>1005</v>
      </c>
      <c r="K2561" t="s">
        <v>693</v>
      </c>
      <c r="L2561" s="3">
        <v>0</v>
      </c>
      <c r="M2561" s="3">
        <v>1052</v>
      </c>
      <c r="N2561">
        <v>0</v>
      </c>
      <c r="O2561">
        <v>5538</v>
      </c>
      <c r="P2561">
        <v>1052</v>
      </c>
      <c r="Q2561" t="s">
        <v>30</v>
      </c>
      <c r="R2561" t="s">
        <v>149</v>
      </c>
      <c r="S2561" t="str">
        <v>#N/A</v>
      </c>
      <c r="T2561" t="str">
        <v>#N/A</v>
      </c>
    </row>
    <row r="2562" spans="1:20" ht="13.7" customHeight="1" x14ac:dyDescent="0.25">
      <c r="A2562" t="s">
        <v>26</v>
      </c>
      <c r="B2562" t="s">
        <v>27</v>
      </c>
      <c r="C2562" t="s">
        <v>36</v>
      </c>
      <c r="D2562">
        <v>68</v>
      </c>
      <c r="E2562" s="5">
        <v>43644</v>
      </c>
      <c r="F2562">
        <v>24081005</v>
      </c>
      <c r="G2562" t="s">
        <v>729</v>
      </c>
      <c r="H2562" t="s">
        <v>1515</v>
      </c>
      <c r="I2562" t="s">
        <v>1516</v>
      </c>
      <c r="J2562">
        <v>1005</v>
      </c>
      <c r="K2562" t="s">
        <v>693</v>
      </c>
      <c r="L2562" s="3">
        <v>1052</v>
      </c>
      <c r="M2562" s="3">
        <v>5913</v>
      </c>
      <c r="N2562">
        <v>0</v>
      </c>
      <c r="O2562">
        <v>31121</v>
      </c>
      <c r="P2562">
        <v>6965</v>
      </c>
      <c r="Q2562" t="s">
        <v>30</v>
      </c>
      <c r="R2562" t="s">
        <v>149</v>
      </c>
      <c r="S2562" t="str">
        <v>#N/A</v>
      </c>
      <c r="T2562" t="str">
        <v>#N/A</v>
      </c>
    </row>
    <row r="2563" spans="1:20" ht="13.7" customHeight="1" x14ac:dyDescent="0.25">
      <c r="A2563" t="s">
        <v>26</v>
      </c>
      <c r="B2563" t="s">
        <v>27</v>
      </c>
      <c r="C2563" t="s">
        <v>37</v>
      </c>
      <c r="D2563">
        <v>29</v>
      </c>
      <c r="E2563" s="5">
        <v>43656</v>
      </c>
      <c r="F2563">
        <v>24081005</v>
      </c>
      <c r="G2563" t="s">
        <v>729</v>
      </c>
      <c r="H2563" t="s">
        <v>1515</v>
      </c>
      <c r="I2563" t="s">
        <v>1516</v>
      </c>
      <c r="J2563">
        <v>1005</v>
      </c>
      <c r="K2563" t="s">
        <v>693</v>
      </c>
      <c r="L2563" s="3">
        <v>6965</v>
      </c>
      <c r="M2563" s="3">
        <v>1052</v>
      </c>
      <c r="N2563">
        <v>0</v>
      </c>
      <c r="O2563">
        <v>5538</v>
      </c>
      <c r="P2563">
        <v>8017</v>
      </c>
      <c r="Q2563" t="s">
        <v>30</v>
      </c>
      <c r="R2563" t="s">
        <v>149</v>
      </c>
      <c r="S2563" t="str">
        <v>#N/A</v>
      </c>
      <c r="T2563" t="str">
        <v>#N/A</v>
      </c>
    </row>
    <row r="2564" spans="1:20" ht="13.7" customHeight="1" x14ac:dyDescent="0.25">
      <c r="A2564" t="s">
        <v>26</v>
      </c>
      <c r="B2564" t="s">
        <v>27</v>
      </c>
      <c r="C2564" t="s">
        <v>41</v>
      </c>
      <c r="D2564">
        <v>11</v>
      </c>
      <c r="E2564" s="5">
        <v>43773</v>
      </c>
      <c r="F2564">
        <v>24081005</v>
      </c>
      <c r="G2564" t="s">
        <v>729</v>
      </c>
      <c r="H2564" t="s">
        <v>1515</v>
      </c>
      <c r="I2564" t="s">
        <v>1516</v>
      </c>
      <c r="J2564">
        <v>1005</v>
      </c>
      <c r="K2564" t="s">
        <v>693</v>
      </c>
      <c r="L2564" s="3">
        <v>8017</v>
      </c>
      <c r="M2564" s="3">
        <v>503</v>
      </c>
      <c r="N2564">
        <v>0</v>
      </c>
      <c r="O2564">
        <v>2647</v>
      </c>
      <c r="P2564">
        <v>8520</v>
      </c>
      <c r="Q2564" t="s">
        <v>30</v>
      </c>
      <c r="R2564" t="s">
        <v>152</v>
      </c>
      <c r="S2564" t="str">
        <v>#N/A</v>
      </c>
      <c r="T2564" t="str">
        <v>#N/A</v>
      </c>
    </row>
    <row r="2565" spans="1:20" ht="13.7" customHeight="1" x14ac:dyDescent="0.25">
      <c r="A2565" t="s">
        <v>26</v>
      </c>
      <c r="B2565" t="s">
        <v>27</v>
      </c>
      <c r="C2565" t="s">
        <v>41</v>
      </c>
      <c r="D2565">
        <v>15</v>
      </c>
      <c r="E2565" s="5">
        <v>43778</v>
      </c>
      <c r="F2565">
        <v>24081005</v>
      </c>
      <c r="G2565" t="s">
        <v>729</v>
      </c>
      <c r="H2565" t="s">
        <v>1515</v>
      </c>
      <c r="I2565" t="s">
        <v>1516</v>
      </c>
      <c r="J2565">
        <v>1005</v>
      </c>
      <c r="K2565" t="s">
        <v>693</v>
      </c>
      <c r="L2565" s="3">
        <v>8520</v>
      </c>
      <c r="M2565" s="3">
        <v>439</v>
      </c>
      <c r="N2565">
        <v>0</v>
      </c>
      <c r="O2565">
        <v>2311</v>
      </c>
      <c r="P2565">
        <v>8959</v>
      </c>
      <c r="Q2565" t="s">
        <v>30</v>
      </c>
      <c r="R2565" t="s">
        <v>149</v>
      </c>
      <c r="S2565" t="str">
        <v>#N/A</v>
      </c>
      <c r="T2565" t="str">
        <v>#N/A</v>
      </c>
    </row>
    <row r="2566" spans="1:20" ht="13.7" customHeight="1" x14ac:dyDescent="0.25">
      <c r="E2566" s="5">
        <v>43465</v>
      </c>
      <c r="F2566">
        <v>24081005</v>
      </c>
      <c r="G2566" t="s">
        <v>729</v>
      </c>
      <c r="H2566" t="s">
        <v>1607</v>
      </c>
      <c r="I2566" t="s">
        <v>1608</v>
      </c>
      <c r="J2566">
        <v>0</v>
      </c>
      <c r="K2566">
        <v>0</v>
      </c>
      <c r="L2566" s="3">
        <v>349411.37</v>
      </c>
      <c r="M2566" s="3">
        <v>0</v>
      </c>
      <c r="N2566">
        <v>0</v>
      </c>
      <c r="O2566">
        <v>1839007.23</v>
      </c>
      <c r="P2566">
        <v>349411.37</v>
      </c>
      <c r="R2566" t="s">
        <v>1100</v>
      </c>
      <c r="S2566" t="str">
        <v>#N/A</v>
      </c>
      <c r="T2566" t="str">
        <v>#N/A</v>
      </c>
    </row>
    <row r="2567" spans="1:20" ht="13.7" customHeight="1" x14ac:dyDescent="0.25">
      <c r="E2567" s="5">
        <v>43465</v>
      </c>
      <c r="F2567">
        <v>24081005</v>
      </c>
      <c r="G2567" t="s">
        <v>729</v>
      </c>
      <c r="H2567" t="s">
        <v>1609</v>
      </c>
      <c r="I2567" t="s">
        <v>1610</v>
      </c>
      <c r="J2567">
        <v>0</v>
      </c>
      <c r="K2567">
        <v>0</v>
      </c>
      <c r="L2567" s="3">
        <v>20436</v>
      </c>
      <c r="M2567" s="3">
        <v>0</v>
      </c>
      <c r="N2567">
        <v>0</v>
      </c>
      <c r="O2567">
        <v>107564</v>
      </c>
      <c r="P2567">
        <v>20436</v>
      </c>
      <c r="R2567" t="s">
        <v>1100</v>
      </c>
      <c r="S2567" t="str">
        <v>#N/A</v>
      </c>
      <c r="T2567" t="str">
        <v>#N/A</v>
      </c>
    </row>
    <row r="2568" spans="1:20" ht="13.7" customHeight="1" x14ac:dyDescent="0.25">
      <c r="E2568" s="5">
        <v>43465</v>
      </c>
      <c r="F2568">
        <v>24081005</v>
      </c>
      <c r="G2568" t="s">
        <v>729</v>
      </c>
      <c r="H2568" t="s">
        <v>1125</v>
      </c>
      <c r="I2568" t="s">
        <v>1126</v>
      </c>
      <c r="J2568">
        <v>0</v>
      </c>
      <c r="K2568">
        <v>0</v>
      </c>
      <c r="L2568" s="3">
        <v>-2563207.35</v>
      </c>
      <c r="M2568" s="3">
        <v>0</v>
      </c>
      <c r="N2568">
        <v>0</v>
      </c>
      <c r="O2568">
        <v>-13490565</v>
      </c>
      <c r="P2568">
        <v>-2563207.35</v>
      </c>
      <c r="R2568" t="s">
        <v>1100</v>
      </c>
      <c r="S2568" t="str">
        <v>#N/A</v>
      </c>
      <c r="T2568" t="str">
        <v>31</v>
      </c>
    </row>
    <row r="2569" spans="1:20" ht="13.7" customHeight="1" x14ac:dyDescent="0.25">
      <c r="E2569" s="5">
        <v>43465</v>
      </c>
      <c r="F2569">
        <v>24081005</v>
      </c>
      <c r="G2569" t="s">
        <v>729</v>
      </c>
      <c r="H2569" t="s">
        <v>1611</v>
      </c>
      <c r="I2569" t="s">
        <v>1612</v>
      </c>
      <c r="J2569">
        <v>0</v>
      </c>
      <c r="K2569">
        <v>0</v>
      </c>
      <c r="L2569" s="3">
        <v>84385</v>
      </c>
      <c r="M2569" s="3">
        <v>0</v>
      </c>
      <c r="N2569">
        <v>0</v>
      </c>
      <c r="O2569">
        <v>444115</v>
      </c>
      <c r="P2569">
        <v>84385</v>
      </c>
      <c r="R2569" t="s">
        <v>1100</v>
      </c>
      <c r="S2569" t="str">
        <v>#N/A</v>
      </c>
      <c r="T2569" t="str">
        <v>#N/A</v>
      </c>
    </row>
    <row r="2570" spans="1:20" ht="13.7" customHeight="1" x14ac:dyDescent="0.25">
      <c r="E2570" s="5">
        <v>43465</v>
      </c>
      <c r="F2570">
        <v>24081005</v>
      </c>
      <c r="G2570" t="s">
        <v>729</v>
      </c>
      <c r="H2570" t="s">
        <v>1613</v>
      </c>
      <c r="I2570" t="s">
        <v>1614</v>
      </c>
      <c r="J2570">
        <v>0</v>
      </c>
      <c r="K2570">
        <v>0</v>
      </c>
      <c r="L2570" s="3">
        <v>6386</v>
      </c>
      <c r="M2570" s="3">
        <v>0</v>
      </c>
      <c r="N2570">
        <v>0</v>
      </c>
      <c r="O2570">
        <v>33613</v>
      </c>
      <c r="P2570">
        <v>6386</v>
      </c>
      <c r="R2570" t="s">
        <v>1100</v>
      </c>
      <c r="S2570" t="str">
        <v>#N/A</v>
      </c>
      <c r="T2570" t="str">
        <v>#N/A</v>
      </c>
    </row>
    <row r="2571" spans="1:20" ht="13.7" customHeight="1" x14ac:dyDescent="0.25">
      <c r="E2571" s="5">
        <v>43465</v>
      </c>
      <c r="F2571">
        <v>24081005</v>
      </c>
      <c r="G2571" t="s">
        <v>729</v>
      </c>
      <c r="H2571" t="s">
        <v>1615</v>
      </c>
      <c r="I2571" t="s">
        <v>1616</v>
      </c>
      <c r="J2571">
        <v>0</v>
      </c>
      <c r="K2571">
        <v>0</v>
      </c>
      <c r="L2571" s="3">
        <v>0</v>
      </c>
      <c r="M2571" s="3">
        <v>0</v>
      </c>
      <c r="N2571">
        <v>0</v>
      </c>
      <c r="O2571">
        <v>0</v>
      </c>
      <c r="P2571">
        <v>0</v>
      </c>
      <c r="R2571" t="s">
        <v>1100</v>
      </c>
      <c r="S2571" t="str">
        <v>#N/A</v>
      </c>
      <c r="T2571" t="str">
        <v>#N/A</v>
      </c>
    </row>
    <row r="2572" spans="1:20" ht="13.7" customHeight="1" x14ac:dyDescent="0.25">
      <c r="A2572" t="s">
        <v>26</v>
      </c>
      <c r="B2572" t="s">
        <v>27</v>
      </c>
      <c r="C2572" t="s">
        <v>37</v>
      </c>
      <c r="D2572">
        <v>57</v>
      </c>
      <c r="E2572" s="5">
        <v>43672</v>
      </c>
      <c r="F2572">
        <v>24081005</v>
      </c>
      <c r="G2572" t="s">
        <v>729</v>
      </c>
      <c r="H2572" t="s">
        <v>1615</v>
      </c>
      <c r="I2572" t="s">
        <v>1616</v>
      </c>
      <c r="J2572">
        <v>1005</v>
      </c>
      <c r="K2572" t="s">
        <v>693</v>
      </c>
      <c r="L2572" s="3">
        <v>0</v>
      </c>
      <c r="M2572" s="3">
        <v>1597</v>
      </c>
      <c r="N2572">
        <v>0</v>
      </c>
      <c r="O2572">
        <v>8403</v>
      </c>
      <c r="P2572">
        <v>1597</v>
      </c>
      <c r="Q2572" t="s">
        <v>30</v>
      </c>
      <c r="R2572" t="s">
        <v>157</v>
      </c>
      <c r="S2572" t="str">
        <v>#N/A</v>
      </c>
      <c r="T2572" t="str">
        <v>#N/A</v>
      </c>
    </row>
    <row r="2573" spans="1:20" ht="13.7" customHeight="1" x14ac:dyDescent="0.25">
      <c r="E2573" s="5">
        <v>43465</v>
      </c>
      <c r="F2573">
        <v>24081005</v>
      </c>
      <c r="G2573" t="s">
        <v>729</v>
      </c>
      <c r="H2573" t="s">
        <v>1403</v>
      </c>
      <c r="I2573" t="s">
        <v>1404</v>
      </c>
      <c r="J2573">
        <v>0</v>
      </c>
      <c r="K2573">
        <v>0</v>
      </c>
      <c r="L2573" s="3">
        <v>0</v>
      </c>
      <c r="M2573" s="3">
        <v>0</v>
      </c>
      <c r="N2573">
        <v>0</v>
      </c>
      <c r="O2573">
        <v>0</v>
      </c>
      <c r="P2573">
        <v>0</v>
      </c>
      <c r="R2573" t="s">
        <v>1100</v>
      </c>
      <c r="S2573" t="str">
        <v>#N/A</v>
      </c>
      <c r="T2573" t="str">
        <v>#N/A</v>
      </c>
    </row>
    <row r="2574" spans="1:20" ht="13.7" customHeight="1" x14ac:dyDescent="0.25">
      <c r="A2574" t="s">
        <v>26</v>
      </c>
      <c r="B2574" t="s">
        <v>27</v>
      </c>
      <c r="C2574" t="s">
        <v>39</v>
      </c>
      <c r="D2574">
        <v>28</v>
      </c>
      <c r="E2574" s="5">
        <v>43721</v>
      </c>
      <c r="F2574">
        <v>24081005</v>
      </c>
      <c r="G2574" t="s">
        <v>729</v>
      </c>
      <c r="H2574" t="s">
        <v>1403</v>
      </c>
      <c r="I2574" t="s">
        <v>1404</v>
      </c>
      <c r="J2574">
        <v>1005</v>
      </c>
      <c r="K2574" t="s">
        <v>693</v>
      </c>
      <c r="L2574" s="3">
        <v>0</v>
      </c>
      <c r="M2574" s="3">
        <v>8138</v>
      </c>
      <c r="N2574">
        <v>0</v>
      </c>
      <c r="O2574">
        <v>42832</v>
      </c>
      <c r="P2574">
        <v>8138</v>
      </c>
      <c r="Q2574" t="s">
        <v>30</v>
      </c>
      <c r="R2574" t="s">
        <v>537</v>
      </c>
      <c r="S2574" t="str">
        <v>#N/A</v>
      </c>
      <c r="T2574" t="str">
        <v>#N/A</v>
      </c>
    </row>
    <row r="2575" spans="1:20" ht="13.7" customHeight="1" x14ac:dyDescent="0.25">
      <c r="A2575" t="s">
        <v>26</v>
      </c>
      <c r="B2575" t="s">
        <v>27</v>
      </c>
      <c r="C2575" t="s">
        <v>41</v>
      </c>
      <c r="D2575">
        <v>1</v>
      </c>
      <c r="E2575" s="5">
        <v>43769</v>
      </c>
      <c r="F2575">
        <v>24081005</v>
      </c>
      <c r="G2575" t="s">
        <v>729</v>
      </c>
      <c r="H2575" t="s">
        <v>1403</v>
      </c>
      <c r="I2575" t="s">
        <v>1404</v>
      </c>
      <c r="J2575">
        <v>1005</v>
      </c>
      <c r="K2575" t="s">
        <v>693</v>
      </c>
      <c r="L2575" s="3">
        <v>8138</v>
      </c>
      <c r="M2575" s="3">
        <v>12757.17</v>
      </c>
      <c r="N2575">
        <v>0</v>
      </c>
      <c r="O2575">
        <v>67143</v>
      </c>
      <c r="P2575">
        <v>20895.169999999998</v>
      </c>
      <c r="Q2575" t="s">
        <v>30</v>
      </c>
      <c r="R2575" t="s">
        <v>537</v>
      </c>
      <c r="S2575" t="str">
        <v>#N/A</v>
      </c>
      <c r="T2575" t="str">
        <v>#N/A</v>
      </c>
    </row>
    <row r="2576" spans="1:20" ht="13.7" customHeight="1" x14ac:dyDescent="0.25">
      <c r="E2576" s="5">
        <v>43465</v>
      </c>
      <c r="F2576">
        <v>24081005</v>
      </c>
      <c r="G2576" t="s">
        <v>729</v>
      </c>
      <c r="H2576" t="s">
        <v>1229</v>
      </c>
      <c r="I2576" t="s">
        <v>1230</v>
      </c>
      <c r="J2576">
        <v>0</v>
      </c>
      <c r="K2576">
        <v>0</v>
      </c>
      <c r="L2576" s="3">
        <v>23865.74</v>
      </c>
      <c r="M2576" s="3">
        <v>0</v>
      </c>
      <c r="N2576">
        <v>0</v>
      </c>
      <c r="O2576">
        <v>125613</v>
      </c>
      <c r="P2576">
        <v>23865.74</v>
      </c>
      <c r="R2576" t="s">
        <v>1100</v>
      </c>
      <c r="S2576" t="str">
        <v>#N/A</v>
      </c>
      <c r="T2576" t="str">
        <v>#N/A</v>
      </c>
    </row>
    <row r="2577" spans="1:20" ht="13.7" customHeight="1" x14ac:dyDescent="0.25">
      <c r="A2577" t="s">
        <v>26</v>
      </c>
      <c r="B2577" t="s">
        <v>27</v>
      </c>
      <c r="C2577" t="s">
        <v>32</v>
      </c>
      <c r="D2577">
        <v>17</v>
      </c>
      <c r="E2577" s="5">
        <v>43505</v>
      </c>
      <c r="F2577">
        <v>24081005</v>
      </c>
      <c r="G2577" t="s">
        <v>729</v>
      </c>
      <c r="H2577" t="s">
        <v>1229</v>
      </c>
      <c r="I2577" t="s">
        <v>1230</v>
      </c>
      <c r="J2577">
        <v>1005</v>
      </c>
      <c r="K2577" t="s">
        <v>693</v>
      </c>
      <c r="L2577" s="3">
        <v>23865.74</v>
      </c>
      <c r="M2577" s="3">
        <v>2315</v>
      </c>
      <c r="N2577">
        <v>0</v>
      </c>
      <c r="O2577">
        <v>12185</v>
      </c>
      <c r="P2577">
        <v>26180.74</v>
      </c>
      <c r="Q2577" t="s">
        <v>30</v>
      </c>
      <c r="R2577" t="s">
        <v>538</v>
      </c>
      <c r="S2577" t="str">
        <v>#N/A</v>
      </c>
      <c r="T2577" t="str">
        <v>#N/A</v>
      </c>
    </row>
    <row r="2578" spans="1:20" ht="13.7" customHeight="1" x14ac:dyDescent="0.25">
      <c r="A2578" t="s">
        <v>26</v>
      </c>
      <c r="B2578" t="s">
        <v>27</v>
      </c>
      <c r="C2578" t="s">
        <v>91</v>
      </c>
      <c r="D2578">
        <v>14</v>
      </c>
      <c r="E2578" s="5">
        <v>43528</v>
      </c>
      <c r="F2578">
        <v>24081005</v>
      </c>
      <c r="G2578" t="s">
        <v>729</v>
      </c>
      <c r="H2578" t="s">
        <v>1229</v>
      </c>
      <c r="I2578" t="s">
        <v>1230</v>
      </c>
      <c r="J2578">
        <v>1005</v>
      </c>
      <c r="K2578" t="s">
        <v>693</v>
      </c>
      <c r="L2578" s="3">
        <v>26180.74</v>
      </c>
      <c r="M2578" s="3">
        <v>479</v>
      </c>
      <c r="N2578">
        <v>0</v>
      </c>
      <c r="O2578">
        <v>2521</v>
      </c>
      <c r="P2578">
        <v>26659.74</v>
      </c>
      <c r="Q2578" t="s">
        <v>30</v>
      </c>
      <c r="R2578" t="s">
        <v>538</v>
      </c>
      <c r="S2578" t="str">
        <v>#N/A</v>
      </c>
      <c r="T2578" t="str">
        <v>#N/A</v>
      </c>
    </row>
    <row r="2579" spans="1:20" ht="13.7" customHeight="1" x14ac:dyDescent="0.25">
      <c r="A2579" t="s">
        <v>26</v>
      </c>
      <c r="B2579" t="s">
        <v>27</v>
      </c>
      <c r="C2579" t="s">
        <v>34</v>
      </c>
      <c r="D2579">
        <v>69</v>
      </c>
      <c r="E2579" s="5">
        <v>43585</v>
      </c>
      <c r="F2579">
        <v>24081005</v>
      </c>
      <c r="G2579" t="s">
        <v>729</v>
      </c>
      <c r="H2579" t="s">
        <v>1229</v>
      </c>
      <c r="I2579" t="s">
        <v>1230</v>
      </c>
      <c r="J2579">
        <v>1005</v>
      </c>
      <c r="K2579" t="s">
        <v>693</v>
      </c>
      <c r="L2579" s="3">
        <v>26659.74</v>
      </c>
      <c r="M2579" s="3">
        <v>2794</v>
      </c>
      <c r="N2579">
        <v>0</v>
      </c>
      <c r="O2579">
        <v>14706</v>
      </c>
      <c r="P2579">
        <v>29453.74</v>
      </c>
      <c r="Q2579" t="s">
        <v>30</v>
      </c>
      <c r="R2579" t="s">
        <v>538</v>
      </c>
      <c r="S2579" t="str">
        <v>#N/A</v>
      </c>
      <c r="T2579" t="str">
        <v>#N/A</v>
      </c>
    </row>
    <row r="2580" spans="1:20" ht="13.7" customHeight="1" x14ac:dyDescent="0.25">
      <c r="A2580" t="s">
        <v>26</v>
      </c>
      <c r="B2580" t="s">
        <v>27</v>
      </c>
      <c r="C2580" t="s">
        <v>37</v>
      </c>
      <c r="D2580">
        <v>26</v>
      </c>
      <c r="E2580" s="5">
        <v>43656</v>
      </c>
      <c r="F2580">
        <v>24081005</v>
      </c>
      <c r="G2580" t="s">
        <v>729</v>
      </c>
      <c r="H2580" t="s">
        <v>1229</v>
      </c>
      <c r="I2580" t="s">
        <v>1230</v>
      </c>
      <c r="J2580">
        <v>1005</v>
      </c>
      <c r="K2580" t="s">
        <v>693</v>
      </c>
      <c r="L2580" s="3">
        <v>29453.74</v>
      </c>
      <c r="M2580" s="3">
        <v>1517</v>
      </c>
      <c r="N2580">
        <v>0</v>
      </c>
      <c r="O2580">
        <v>7984</v>
      </c>
      <c r="P2580">
        <v>30970.74</v>
      </c>
      <c r="Q2580" t="s">
        <v>30</v>
      </c>
      <c r="R2580" t="s">
        <v>152</v>
      </c>
      <c r="S2580" t="str">
        <v>#N/A</v>
      </c>
      <c r="T2580" t="str">
        <v>#N/A</v>
      </c>
    </row>
    <row r="2581" spans="1:20" ht="13.7" customHeight="1" x14ac:dyDescent="0.25">
      <c r="E2581" s="5">
        <v>43465</v>
      </c>
      <c r="F2581">
        <v>24081005</v>
      </c>
      <c r="G2581" t="s">
        <v>729</v>
      </c>
      <c r="H2581" t="s">
        <v>1617</v>
      </c>
      <c r="I2581" t="s">
        <v>1618</v>
      </c>
      <c r="J2581">
        <v>0</v>
      </c>
      <c r="K2581">
        <v>0</v>
      </c>
      <c r="L2581" s="3">
        <v>18042</v>
      </c>
      <c r="M2581" s="3">
        <v>0</v>
      </c>
      <c r="N2581">
        <v>0</v>
      </c>
      <c r="O2581">
        <v>94958</v>
      </c>
      <c r="P2581">
        <v>18042</v>
      </c>
      <c r="R2581" t="s">
        <v>1100</v>
      </c>
      <c r="S2581" t="str">
        <v>#N/A</v>
      </c>
      <c r="T2581" t="str">
        <v>#N/A</v>
      </c>
    </row>
    <row r="2582" spans="1:20" ht="13.7" customHeight="1" x14ac:dyDescent="0.25">
      <c r="E2582" s="5">
        <v>43465</v>
      </c>
      <c r="F2582">
        <v>24081005</v>
      </c>
      <c r="G2582" t="s">
        <v>729</v>
      </c>
      <c r="H2582" t="s">
        <v>1113</v>
      </c>
      <c r="I2582" t="s">
        <v>1114</v>
      </c>
      <c r="J2582">
        <v>0</v>
      </c>
      <c r="K2582">
        <v>0</v>
      </c>
      <c r="L2582" s="3">
        <v>485218</v>
      </c>
      <c r="M2582" s="3">
        <v>0</v>
      </c>
      <c r="N2582">
        <v>0</v>
      </c>
      <c r="O2582">
        <v>2553779</v>
      </c>
      <c r="P2582">
        <v>485218</v>
      </c>
      <c r="R2582" t="s">
        <v>1100</v>
      </c>
      <c r="S2582" t="str">
        <v>#N/A</v>
      </c>
      <c r="T2582" t="str">
        <v>31</v>
      </c>
    </row>
    <row r="2583" spans="1:20" ht="13.7" customHeight="1" x14ac:dyDescent="0.25">
      <c r="A2583" t="s">
        <v>26</v>
      </c>
      <c r="B2583" t="s">
        <v>27</v>
      </c>
      <c r="C2583" t="s">
        <v>91</v>
      </c>
      <c r="D2583">
        <v>17</v>
      </c>
      <c r="E2583" s="5">
        <v>43529</v>
      </c>
      <c r="F2583">
        <v>24081005</v>
      </c>
      <c r="G2583" t="s">
        <v>729</v>
      </c>
      <c r="H2583" t="s">
        <v>1113</v>
      </c>
      <c r="I2583" t="s">
        <v>1114</v>
      </c>
      <c r="J2583">
        <v>1005</v>
      </c>
      <c r="K2583" t="s">
        <v>693</v>
      </c>
      <c r="L2583" s="3">
        <v>485218</v>
      </c>
      <c r="M2583" s="3">
        <v>108904</v>
      </c>
      <c r="N2583">
        <v>0</v>
      </c>
      <c r="O2583">
        <v>573176</v>
      </c>
      <c r="P2583">
        <v>594122</v>
      </c>
      <c r="Q2583" t="s">
        <v>30</v>
      </c>
      <c r="R2583" t="s">
        <v>92</v>
      </c>
      <c r="S2583" t="str">
        <v>#N/A</v>
      </c>
      <c r="T2583" t="str">
        <v>31</v>
      </c>
    </row>
    <row r="2584" spans="1:20" ht="13.7" customHeight="1" x14ac:dyDescent="0.25">
      <c r="A2584" t="s">
        <v>26</v>
      </c>
      <c r="B2584" t="s">
        <v>27</v>
      </c>
      <c r="C2584" t="s">
        <v>91</v>
      </c>
      <c r="D2584">
        <v>20</v>
      </c>
      <c r="E2584" s="5">
        <v>43530</v>
      </c>
      <c r="F2584">
        <v>24081005</v>
      </c>
      <c r="G2584" t="s">
        <v>729</v>
      </c>
      <c r="H2584" t="s">
        <v>1113</v>
      </c>
      <c r="I2584" t="s">
        <v>1114</v>
      </c>
      <c r="J2584">
        <v>1005</v>
      </c>
      <c r="K2584" t="s">
        <v>693</v>
      </c>
      <c r="L2584" s="3">
        <v>594122</v>
      </c>
      <c r="M2584" s="3">
        <v>1405</v>
      </c>
      <c r="N2584">
        <v>0</v>
      </c>
      <c r="O2584">
        <v>7395</v>
      </c>
      <c r="P2584">
        <v>595527</v>
      </c>
      <c r="Q2584" t="s">
        <v>30</v>
      </c>
      <c r="R2584" t="s">
        <v>93</v>
      </c>
      <c r="S2584" t="str">
        <v>#N/A</v>
      </c>
      <c r="T2584" t="str">
        <v>31</v>
      </c>
    </row>
    <row r="2585" spans="1:20" ht="13.7" customHeight="1" x14ac:dyDescent="0.25">
      <c r="A2585" t="s">
        <v>26</v>
      </c>
      <c r="B2585" t="s">
        <v>27</v>
      </c>
      <c r="C2585" t="s">
        <v>91</v>
      </c>
      <c r="D2585">
        <v>46</v>
      </c>
      <c r="E2585" s="5">
        <v>43545</v>
      </c>
      <c r="F2585">
        <v>24081005</v>
      </c>
      <c r="G2585" t="s">
        <v>729</v>
      </c>
      <c r="H2585" t="s">
        <v>1113</v>
      </c>
      <c r="I2585" t="s">
        <v>1114</v>
      </c>
      <c r="J2585">
        <v>1005</v>
      </c>
      <c r="K2585" t="s">
        <v>693</v>
      </c>
      <c r="L2585" s="3">
        <v>595527</v>
      </c>
      <c r="M2585" s="3">
        <v>52242</v>
      </c>
      <c r="N2585">
        <v>0</v>
      </c>
      <c r="O2585">
        <v>274958</v>
      </c>
      <c r="P2585">
        <v>647769</v>
      </c>
      <c r="Q2585" t="s">
        <v>30</v>
      </c>
      <c r="R2585" t="s">
        <v>242</v>
      </c>
      <c r="S2585" t="str">
        <v>#N/A</v>
      </c>
      <c r="T2585" t="str">
        <v>31</v>
      </c>
    </row>
    <row r="2586" spans="1:20" ht="13.7" customHeight="1" x14ac:dyDescent="0.25">
      <c r="A2586" t="s">
        <v>26</v>
      </c>
      <c r="B2586" t="s">
        <v>27</v>
      </c>
      <c r="C2586" t="s">
        <v>36</v>
      </c>
      <c r="D2586">
        <v>19</v>
      </c>
      <c r="E2586" s="5">
        <v>43626</v>
      </c>
      <c r="F2586">
        <v>24081005</v>
      </c>
      <c r="G2586" t="s">
        <v>729</v>
      </c>
      <c r="H2586" t="s">
        <v>1113</v>
      </c>
      <c r="I2586" t="s">
        <v>1114</v>
      </c>
      <c r="J2586">
        <v>1005</v>
      </c>
      <c r="K2586" t="s">
        <v>693</v>
      </c>
      <c r="L2586" s="3">
        <v>647769</v>
      </c>
      <c r="M2586" s="3">
        <v>24588</v>
      </c>
      <c r="N2586">
        <v>0</v>
      </c>
      <c r="O2586">
        <v>129412</v>
      </c>
      <c r="P2586">
        <v>672357</v>
      </c>
      <c r="Q2586" t="s">
        <v>30</v>
      </c>
      <c r="R2586" t="s">
        <v>145</v>
      </c>
      <c r="S2586" t="str">
        <v>#N/A</v>
      </c>
      <c r="T2586" t="str">
        <v>31</v>
      </c>
    </row>
    <row r="2587" spans="1:20" ht="13.7" customHeight="1" x14ac:dyDescent="0.25">
      <c r="A2587" t="s">
        <v>26</v>
      </c>
      <c r="B2587" t="s">
        <v>27</v>
      </c>
      <c r="C2587" t="s">
        <v>38</v>
      </c>
      <c r="D2587">
        <v>22</v>
      </c>
      <c r="E2587" s="5">
        <v>43692</v>
      </c>
      <c r="F2587">
        <v>24081005</v>
      </c>
      <c r="G2587" t="s">
        <v>729</v>
      </c>
      <c r="H2587" t="s">
        <v>1113</v>
      </c>
      <c r="I2587" t="s">
        <v>1114</v>
      </c>
      <c r="J2587">
        <v>1005</v>
      </c>
      <c r="K2587" t="s">
        <v>693</v>
      </c>
      <c r="L2587" s="3">
        <v>672357</v>
      </c>
      <c r="M2587" s="3">
        <v>67857</v>
      </c>
      <c r="N2587">
        <v>0</v>
      </c>
      <c r="O2587">
        <v>357143</v>
      </c>
      <c r="P2587">
        <v>740214</v>
      </c>
      <c r="Q2587" t="s">
        <v>30</v>
      </c>
      <c r="R2587" t="s">
        <v>92</v>
      </c>
      <c r="S2587" t="str">
        <v>#N/A</v>
      </c>
      <c r="T2587" t="str">
        <v>31</v>
      </c>
    </row>
    <row r="2588" spans="1:20" ht="13.7" customHeight="1" x14ac:dyDescent="0.25">
      <c r="A2588" t="s">
        <v>26</v>
      </c>
      <c r="B2588" t="s">
        <v>27</v>
      </c>
      <c r="C2588" t="s">
        <v>39</v>
      </c>
      <c r="D2588">
        <v>23</v>
      </c>
      <c r="E2588" s="5">
        <v>43720</v>
      </c>
      <c r="F2588">
        <v>24081005</v>
      </c>
      <c r="G2588" t="s">
        <v>729</v>
      </c>
      <c r="H2588" t="s">
        <v>1113</v>
      </c>
      <c r="I2588" t="s">
        <v>1114</v>
      </c>
      <c r="J2588">
        <v>1005</v>
      </c>
      <c r="K2588" t="s">
        <v>693</v>
      </c>
      <c r="L2588" s="3">
        <v>740214</v>
      </c>
      <c r="M2588" s="3">
        <v>19415</v>
      </c>
      <c r="N2588">
        <v>0</v>
      </c>
      <c r="O2588">
        <v>102185</v>
      </c>
      <c r="P2588">
        <v>759629</v>
      </c>
      <c r="Q2588" t="s">
        <v>30</v>
      </c>
      <c r="R2588" t="s">
        <v>637</v>
      </c>
      <c r="S2588" t="str">
        <v>#N/A</v>
      </c>
      <c r="T2588" t="str">
        <v>31</v>
      </c>
    </row>
    <row r="2589" spans="1:20" ht="13.7" customHeight="1" x14ac:dyDescent="0.25">
      <c r="A2589" t="s">
        <v>26</v>
      </c>
      <c r="B2589" t="s">
        <v>27</v>
      </c>
      <c r="C2589" t="s">
        <v>39</v>
      </c>
      <c r="D2589">
        <v>49</v>
      </c>
      <c r="E2589" s="5">
        <v>43732</v>
      </c>
      <c r="F2589">
        <v>24081005</v>
      </c>
      <c r="G2589" t="s">
        <v>729</v>
      </c>
      <c r="H2589" t="s">
        <v>1113</v>
      </c>
      <c r="I2589" t="s">
        <v>1114</v>
      </c>
      <c r="J2589">
        <v>1005</v>
      </c>
      <c r="K2589" t="s">
        <v>693</v>
      </c>
      <c r="L2589" s="3">
        <v>759629</v>
      </c>
      <c r="M2589" s="3">
        <v>41513</v>
      </c>
      <c r="N2589">
        <v>0</v>
      </c>
      <c r="O2589">
        <v>218487</v>
      </c>
      <c r="P2589">
        <v>801142</v>
      </c>
      <c r="Q2589" t="s">
        <v>30</v>
      </c>
      <c r="R2589" t="s">
        <v>92</v>
      </c>
      <c r="S2589" t="str">
        <v>#N/A</v>
      </c>
      <c r="T2589" t="str">
        <v>31</v>
      </c>
    </row>
    <row r="2590" spans="1:20" ht="13.7" customHeight="1" x14ac:dyDescent="0.25">
      <c r="A2590" t="s">
        <v>26</v>
      </c>
      <c r="B2590" t="s">
        <v>27</v>
      </c>
      <c r="C2590" t="s">
        <v>40</v>
      </c>
      <c r="D2590">
        <v>13</v>
      </c>
      <c r="E2590" s="5">
        <v>43745</v>
      </c>
      <c r="F2590">
        <v>24081005</v>
      </c>
      <c r="G2590" t="s">
        <v>729</v>
      </c>
      <c r="H2590" t="s">
        <v>1113</v>
      </c>
      <c r="I2590" t="s">
        <v>1114</v>
      </c>
      <c r="J2590">
        <v>1005</v>
      </c>
      <c r="K2590" t="s">
        <v>693</v>
      </c>
      <c r="L2590" s="3">
        <v>801142</v>
      </c>
      <c r="M2590" s="3">
        <v>6275</v>
      </c>
      <c r="N2590">
        <v>0</v>
      </c>
      <c r="O2590">
        <v>33025</v>
      </c>
      <c r="P2590">
        <v>807417</v>
      </c>
      <c r="Q2590" t="s">
        <v>30</v>
      </c>
      <c r="R2590" t="s">
        <v>145</v>
      </c>
      <c r="S2590" t="str">
        <v>#N/A</v>
      </c>
      <c r="T2590" t="str">
        <v>31</v>
      </c>
    </row>
    <row r="2591" spans="1:20" ht="13.7" customHeight="1" x14ac:dyDescent="0.25">
      <c r="A2591" t="s">
        <v>26</v>
      </c>
      <c r="B2591" t="s">
        <v>27</v>
      </c>
      <c r="C2591" t="s">
        <v>40</v>
      </c>
      <c r="D2591">
        <v>25</v>
      </c>
      <c r="E2591" s="5">
        <v>43753</v>
      </c>
      <c r="F2591">
        <v>24081005</v>
      </c>
      <c r="G2591" t="s">
        <v>729</v>
      </c>
      <c r="H2591" t="s">
        <v>1113</v>
      </c>
      <c r="I2591" t="s">
        <v>1114</v>
      </c>
      <c r="J2591">
        <v>1005</v>
      </c>
      <c r="K2591" t="s">
        <v>693</v>
      </c>
      <c r="L2591" s="3">
        <v>807417</v>
      </c>
      <c r="M2591" s="3">
        <v>12933</v>
      </c>
      <c r="N2591">
        <v>0</v>
      </c>
      <c r="O2591">
        <v>68067</v>
      </c>
      <c r="P2591">
        <v>820350</v>
      </c>
      <c r="Q2591" t="s">
        <v>30</v>
      </c>
      <c r="R2591" t="s">
        <v>145</v>
      </c>
      <c r="S2591" t="str">
        <v>#N/A</v>
      </c>
      <c r="T2591" t="str">
        <v>31</v>
      </c>
    </row>
    <row r="2592" spans="1:20" ht="13.7" customHeight="1" x14ac:dyDescent="0.25">
      <c r="A2592" t="s">
        <v>26</v>
      </c>
      <c r="B2592" t="s">
        <v>27</v>
      </c>
      <c r="C2592" t="s">
        <v>40</v>
      </c>
      <c r="D2592">
        <v>45</v>
      </c>
      <c r="E2592" s="5">
        <v>43762</v>
      </c>
      <c r="F2592">
        <v>24081005</v>
      </c>
      <c r="G2592" t="s">
        <v>729</v>
      </c>
      <c r="H2592" t="s">
        <v>1113</v>
      </c>
      <c r="I2592" t="s">
        <v>1114</v>
      </c>
      <c r="J2592">
        <v>1005</v>
      </c>
      <c r="K2592" t="s">
        <v>693</v>
      </c>
      <c r="L2592" s="3">
        <v>820350</v>
      </c>
      <c r="M2592" s="3">
        <v>10226</v>
      </c>
      <c r="N2592">
        <v>0</v>
      </c>
      <c r="O2592">
        <v>53823</v>
      </c>
      <c r="P2592">
        <v>830576</v>
      </c>
      <c r="Q2592" t="s">
        <v>30</v>
      </c>
      <c r="R2592" t="s">
        <v>145</v>
      </c>
      <c r="S2592" t="str">
        <v>#N/A</v>
      </c>
      <c r="T2592" t="str">
        <v>31</v>
      </c>
    </row>
    <row r="2593" spans="1:20" ht="13.7" customHeight="1" x14ac:dyDescent="0.25">
      <c r="A2593" t="s">
        <v>26</v>
      </c>
      <c r="B2593" t="s">
        <v>27</v>
      </c>
      <c r="C2593" t="s">
        <v>40</v>
      </c>
      <c r="D2593">
        <v>54</v>
      </c>
      <c r="E2593" s="5">
        <v>43767</v>
      </c>
      <c r="F2593">
        <v>24081005</v>
      </c>
      <c r="G2593" t="s">
        <v>729</v>
      </c>
      <c r="H2593" t="s">
        <v>1113</v>
      </c>
      <c r="I2593" t="s">
        <v>1114</v>
      </c>
      <c r="J2593">
        <v>1005</v>
      </c>
      <c r="K2593" t="s">
        <v>693</v>
      </c>
      <c r="L2593" s="3">
        <v>830576</v>
      </c>
      <c r="M2593" s="3">
        <v>115078</v>
      </c>
      <c r="N2593">
        <v>0</v>
      </c>
      <c r="O2593">
        <v>605675</v>
      </c>
      <c r="P2593">
        <v>945654</v>
      </c>
      <c r="Q2593" t="s">
        <v>30</v>
      </c>
      <c r="R2593" t="s">
        <v>169</v>
      </c>
      <c r="S2593" t="str">
        <v>#N/A</v>
      </c>
      <c r="T2593" t="str">
        <v>31</v>
      </c>
    </row>
    <row r="2594" spans="1:20" ht="13.7" customHeight="1" x14ac:dyDescent="0.25">
      <c r="A2594" t="s">
        <v>26</v>
      </c>
      <c r="B2594" t="s">
        <v>27</v>
      </c>
      <c r="C2594" t="s">
        <v>40</v>
      </c>
      <c r="D2594">
        <v>55</v>
      </c>
      <c r="E2594" s="5">
        <v>43768</v>
      </c>
      <c r="F2594">
        <v>24081005</v>
      </c>
      <c r="G2594" t="s">
        <v>729</v>
      </c>
      <c r="H2594" t="s">
        <v>1113</v>
      </c>
      <c r="I2594" t="s">
        <v>1114</v>
      </c>
      <c r="J2594">
        <v>1005</v>
      </c>
      <c r="K2594" t="s">
        <v>693</v>
      </c>
      <c r="L2594" s="3">
        <v>945654</v>
      </c>
      <c r="M2594" s="3">
        <v>8382</v>
      </c>
      <c r="N2594">
        <v>0</v>
      </c>
      <c r="O2594">
        <v>44118</v>
      </c>
      <c r="P2594">
        <v>954036</v>
      </c>
      <c r="Q2594" t="s">
        <v>30</v>
      </c>
      <c r="R2594" t="s">
        <v>145</v>
      </c>
      <c r="S2594" t="str">
        <v>#N/A</v>
      </c>
      <c r="T2594" t="str">
        <v>31</v>
      </c>
    </row>
    <row r="2595" spans="1:20" ht="13.7" customHeight="1" x14ac:dyDescent="0.25">
      <c r="A2595" t="s">
        <v>26</v>
      </c>
      <c r="B2595" t="s">
        <v>27</v>
      </c>
      <c r="C2595" t="s">
        <v>41</v>
      </c>
      <c r="D2595">
        <v>13</v>
      </c>
      <c r="E2595" s="5">
        <v>43775</v>
      </c>
      <c r="F2595">
        <v>24081005</v>
      </c>
      <c r="G2595" t="s">
        <v>729</v>
      </c>
      <c r="H2595" t="s">
        <v>1113</v>
      </c>
      <c r="I2595" t="s">
        <v>1114</v>
      </c>
      <c r="J2595">
        <v>1005</v>
      </c>
      <c r="K2595" t="s">
        <v>693</v>
      </c>
      <c r="L2595" s="3">
        <v>954036</v>
      </c>
      <c r="M2595" s="3">
        <v>5687</v>
      </c>
      <c r="N2595">
        <v>0</v>
      </c>
      <c r="O2595">
        <v>29933</v>
      </c>
      <c r="P2595">
        <v>959723</v>
      </c>
      <c r="Q2595" t="s">
        <v>30</v>
      </c>
      <c r="R2595" t="s">
        <v>145</v>
      </c>
      <c r="S2595" t="str">
        <v>#N/A</v>
      </c>
      <c r="T2595" t="str">
        <v>31</v>
      </c>
    </row>
    <row r="2596" spans="1:20" ht="13.7" customHeight="1" x14ac:dyDescent="0.25">
      <c r="A2596" t="s">
        <v>26</v>
      </c>
      <c r="B2596" t="s">
        <v>27</v>
      </c>
      <c r="C2596" t="s">
        <v>41</v>
      </c>
      <c r="D2596">
        <v>26</v>
      </c>
      <c r="E2596" s="5">
        <v>43781</v>
      </c>
      <c r="F2596">
        <v>24081005</v>
      </c>
      <c r="G2596" t="s">
        <v>729</v>
      </c>
      <c r="H2596" t="s">
        <v>1113</v>
      </c>
      <c r="I2596" t="s">
        <v>1114</v>
      </c>
      <c r="J2596">
        <v>1005</v>
      </c>
      <c r="K2596" t="s">
        <v>693</v>
      </c>
      <c r="L2596" s="3">
        <v>959723</v>
      </c>
      <c r="M2596" s="3">
        <v>12454</v>
      </c>
      <c r="N2596">
        <v>0</v>
      </c>
      <c r="O2596">
        <v>65546</v>
      </c>
      <c r="P2596">
        <v>972177</v>
      </c>
      <c r="Q2596" t="s">
        <v>30</v>
      </c>
      <c r="R2596" t="s">
        <v>145</v>
      </c>
      <c r="S2596" t="str">
        <v>#N/A</v>
      </c>
      <c r="T2596" t="str">
        <v>31</v>
      </c>
    </row>
    <row r="2597" spans="1:20" ht="13.7" customHeight="1" x14ac:dyDescent="0.25">
      <c r="A2597" t="s">
        <v>26</v>
      </c>
      <c r="B2597" t="s">
        <v>27</v>
      </c>
      <c r="C2597" t="s">
        <v>180</v>
      </c>
      <c r="D2597">
        <v>24</v>
      </c>
      <c r="E2597" s="5">
        <v>43811</v>
      </c>
      <c r="F2597">
        <v>24081005</v>
      </c>
      <c r="G2597" t="s">
        <v>729</v>
      </c>
      <c r="H2597" t="s">
        <v>1113</v>
      </c>
      <c r="I2597" t="s">
        <v>1114</v>
      </c>
      <c r="J2597">
        <v>1005</v>
      </c>
      <c r="K2597" t="s">
        <v>693</v>
      </c>
      <c r="L2597" s="3">
        <v>972177</v>
      </c>
      <c r="M2597" s="3">
        <v>20692</v>
      </c>
      <c r="N2597">
        <v>0</v>
      </c>
      <c r="O2597">
        <v>108905</v>
      </c>
      <c r="P2597">
        <v>992869</v>
      </c>
      <c r="Q2597" t="s">
        <v>30</v>
      </c>
      <c r="R2597" t="s">
        <v>145</v>
      </c>
      <c r="S2597" t="str">
        <v>#N/A</v>
      </c>
      <c r="T2597" t="str">
        <v>31</v>
      </c>
    </row>
    <row r="2598" spans="1:20" ht="13.7" customHeight="1" x14ac:dyDescent="0.25">
      <c r="A2598" t="s">
        <v>26</v>
      </c>
      <c r="B2598" t="s">
        <v>27</v>
      </c>
      <c r="C2598" t="s">
        <v>180</v>
      </c>
      <c r="D2598">
        <v>25</v>
      </c>
      <c r="E2598" s="5">
        <v>43811</v>
      </c>
      <c r="F2598">
        <v>24081005</v>
      </c>
      <c r="G2598" t="s">
        <v>729</v>
      </c>
      <c r="H2598" t="s">
        <v>1113</v>
      </c>
      <c r="I2598" t="s">
        <v>1114</v>
      </c>
      <c r="J2598">
        <v>1005</v>
      </c>
      <c r="K2598" t="s">
        <v>693</v>
      </c>
      <c r="L2598" s="3">
        <v>992869</v>
      </c>
      <c r="M2598" s="3">
        <v>8274</v>
      </c>
      <c r="N2598">
        <v>0</v>
      </c>
      <c r="O2598">
        <v>43548</v>
      </c>
      <c r="P2598">
        <v>1001143</v>
      </c>
      <c r="Q2598" t="s">
        <v>30</v>
      </c>
      <c r="R2598" t="s">
        <v>182</v>
      </c>
      <c r="S2598" t="str">
        <v>#N/A</v>
      </c>
      <c r="T2598" t="str">
        <v>31</v>
      </c>
    </row>
    <row r="2599" spans="1:20" ht="13.7" customHeight="1" x14ac:dyDescent="0.25">
      <c r="A2599" t="s">
        <v>26</v>
      </c>
      <c r="B2599" t="s">
        <v>27</v>
      </c>
      <c r="C2599" t="s">
        <v>180</v>
      </c>
      <c r="D2599">
        <v>26</v>
      </c>
      <c r="E2599" s="5">
        <v>43811</v>
      </c>
      <c r="F2599">
        <v>24081005</v>
      </c>
      <c r="G2599" t="s">
        <v>729</v>
      </c>
      <c r="H2599" t="s">
        <v>1113</v>
      </c>
      <c r="I2599" t="s">
        <v>1114</v>
      </c>
      <c r="J2599">
        <v>1005</v>
      </c>
      <c r="K2599" t="s">
        <v>693</v>
      </c>
      <c r="L2599" s="3">
        <v>1001143</v>
      </c>
      <c r="M2599" s="3">
        <v>31322</v>
      </c>
      <c r="N2599">
        <v>0</v>
      </c>
      <c r="O2599">
        <v>164850</v>
      </c>
      <c r="P2599">
        <v>1032465</v>
      </c>
      <c r="Q2599" t="s">
        <v>30</v>
      </c>
      <c r="R2599" t="s">
        <v>183</v>
      </c>
      <c r="S2599" t="str">
        <v>#N/A</v>
      </c>
      <c r="T2599" t="str">
        <v>31</v>
      </c>
    </row>
    <row r="2600" spans="1:20" ht="13.7" customHeight="1" x14ac:dyDescent="0.25">
      <c r="A2600" t="s">
        <v>26</v>
      </c>
      <c r="B2600" t="s">
        <v>27</v>
      </c>
      <c r="C2600" t="s">
        <v>180</v>
      </c>
      <c r="D2600">
        <v>50</v>
      </c>
      <c r="E2600" s="5">
        <v>43817</v>
      </c>
      <c r="F2600">
        <v>24081005</v>
      </c>
      <c r="G2600" t="s">
        <v>729</v>
      </c>
      <c r="H2600" t="s">
        <v>1113</v>
      </c>
      <c r="I2600" t="s">
        <v>1114</v>
      </c>
      <c r="J2600">
        <v>1005</v>
      </c>
      <c r="K2600" t="s">
        <v>693</v>
      </c>
      <c r="L2600" s="3">
        <v>1032465</v>
      </c>
      <c r="M2600" s="3">
        <v>5173</v>
      </c>
      <c r="N2600">
        <v>0</v>
      </c>
      <c r="O2600">
        <v>27228</v>
      </c>
      <c r="P2600">
        <v>1037638</v>
      </c>
      <c r="Q2600" t="s">
        <v>30</v>
      </c>
      <c r="R2600" t="s">
        <v>145</v>
      </c>
      <c r="S2600" t="str">
        <v>#N/A</v>
      </c>
      <c r="T2600" t="str">
        <v>31</v>
      </c>
    </row>
    <row r="2601" spans="1:20" ht="13.7" customHeight="1" x14ac:dyDescent="0.25">
      <c r="E2601" s="5">
        <v>43465</v>
      </c>
      <c r="F2601">
        <v>24081005</v>
      </c>
      <c r="G2601" t="s">
        <v>729</v>
      </c>
      <c r="H2601" t="s">
        <v>1619</v>
      </c>
      <c r="I2601" t="s">
        <v>1620</v>
      </c>
      <c r="J2601">
        <v>0</v>
      </c>
      <c r="K2601">
        <v>0</v>
      </c>
      <c r="L2601" s="3">
        <v>0</v>
      </c>
      <c r="M2601" s="3">
        <v>0</v>
      </c>
      <c r="N2601">
        <v>0</v>
      </c>
      <c r="O2601">
        <v>0</v>
      </c>
      <c r="P2601">
        <v>0</v>
      </c>
      <c r="R2601" t="s">
        <v>1100</v>
      </c>
      <c r="S2601" t="str">
        <v>#N/A</v>
      </c>
      <c r="T2601" t="str">
        <v>#N/A</v>
      </c>
    </row>
    <row r="2602" spans="1:20" ht="13.7" customHeight="1" x14ac:dyDescent="0.25">
      <c r="A2602" t="s">
        <v>26</v>
      </c>
      <c r="B2602" t="s">
        <v>27</v>
      </c>
      <c r="C2602" t="s">
        <v>180</v>
      </c>
      <c r="D2602">
        <v>83</v>
      </c>
      <c r="E2602" s="5">
        <v>43827</v>
      </c>
      <c r="F2602">
        <v>24081005</v>
      </c>
      <c r="G2602" t="s">
        <v>729</v>
      </c>
      <c r="H2602" t="s">
        <v>1619</v>
      </c>
      <c r="I2602" t="s">
        <v>1620</v>
      </c>
      <c r="J2602">
        <v>1005</v>
      </c>
      <c r="K2602" t="s">
        <v>693</v>
      </c>
      <c r="L2602" s="3">
        <v>0</v>
      </c>
      <c r="M2602" s="3">
        <v>11178</v>
      </c>
      <c r="N2602">
        <v>0</v>
      </c>
      <c r="O2602">
        <v>58832</v>
      </c>
      <c r="P2602">
        <v>11178</v>
      </c>
      <c r="Q2602" t="s">
        <v>30</v>
      </c>
      <c r="R2602" t="s">
        <v>193</v>
      </c>
      <c r="S2602" t="str">
        <v>#N/A</v>
      </c>
      <c r="T2602" t="str">
        <v>#N/A</v>
      </c>
    </row>
    <row r="2603" spans="1:20" ht="13.7" customHeight="1" x14ac:dyDescent="0.25">
      <c r="E2603" s="5">
        <v>43465</v>
      </c>
      <c r="F2603">
        <v>24081005</v>
      </c>
      <c r="G2603" t="s">
        <v>729</v>
      </c>
      <c r="H2603" t="s">
        <v>1121</v>
      </c>
      <c r="I2603" t="s">
        <v>1122</v>
      </c>
      <c r="J2603">
        <v>0</v>
      </c>
      <c r="K2603">
        <v>0</v>
      </c>
      <c r="L2603" s="3">
        <v>38000</v>
      </c>
      <c r="M2603" s="3">
        <v>0</v>
      </c>
      <c r="N2603">
        <v>0</v>
      </c>
      <c r="O2603">
        <v>200000</v>
      </c>
      <c r="P2603">
        <v>38000</v>
      </c>
      <c r="R2603" t="s">
        <v>1100</v>
      </c>
      <c r="S2603" t="str">
        <v>#N/A</v>
      </c>
      <c r="T2603" t="str">
        <v>31</v>
      </c>
    </row>
    <row r="2604" spans="1:20" ht="13.7" customHeight="1" x14ac:dyDescent="0.25">
      <c r="E2604" s="5">
        <v>43465</v>
      </c>
      <c r="F2604">
        <v>24081005</v>
      </c>
      <c r="G2604" t="s">
        <v>729</v>
      </c>
      <c r="H2604" t="s">
        <v>1393</v>
      </c>
      <c r="I2604" t="s">
        <v>1394</v>
      </c>
      <c r="J2604">
        <v>0</v>
      </c>
      <c r="K2604">
        <v>0</v>
      </c>
      <c r="L2604" s="3">
        <v>0</v>
      </c>
      <c r="M2604" s="3">
        <v>0</v>
      </c>
      <c r="N2604">
        <v>0</v>
      </c>
      <c r="O2604">
        <v>0</v>
      </c>
      <c r="P2604">
        <v>0</v>
      </c>
      <c r="R2604" t="s">
        <v>1100</v>
      </c>
      <c r="S2604" t="str">
        <v>#N/A</v>
      </c>
      <c r="T2604" t="str">
        <v>#N/A</v>
      </c>
    </row>
    <row r="2605" spans="1:20" ht="13.7" customHeight="1" x14ac:dyDescent="0.25">
      <c r="A2605" t="s">
        <v>26</v>
      </c>
      <c r="B2605" t="s">
        <v>27</v>
      </c>
      <c r="C2605" t="s">
        <v>36</v>
      </c>
      <c r="D2605">
        <v>33</v>
      </c>
      <c r="E2605" s="5">
        <v>43631</v>
      </c>
      <c r="F2605">
        <v>24081005</v>
      </c>
      <c r="G2605" t="s">
        <v>729</v>
      </c>
      <c r="H2605" t="s">
        <v>1393</v>
      </c>
      <c r="I2605" t="s">
        <v>1394</v>
      </c>
      <c r="J2605">
        <v>1005</v>
      </c>
      <c r="K2605" t="s">
        <v>693</v>
      </c>
      <c r="L2605" s="3">
        <v>0</v>
      </c>
      <c r="M2605" s="3">
        <v>20756</v>
      </c>
      <c r="N2605">
        <v>0</v>
      </c>
      <c r="O2605">
        <v>109243</v>
      </c>
      <c r="P2605">
        <v>20756</v>
      </c>
      <c r="Q2605" t="s">
        <v>30</v>
      </c>
      <c r="R2605" t="s">
        <v>548</v>
      </c>
      <c r="S2605" t="str">
        <v>#N/A</v>
      </c>
      <c r="T2605" t="str">
        <v>#N/A</v>
      </c>
    </row>
    <row r="2606" spans="1:20" ht="13.7" customHeight="1" x14ac:dyDescent="0.25">
      <c r="E2606" s="5">
        <v>43465</v>
      </c>
      <c r="F2606">
        <v>24081005</v>
      </c>
      <c r="G2606" t="s">
        <v>729</v>
      </c>
      <c r="H2606" t="s">
        <v>1621</v>
      </c>
      <c r="I2606" t="s">
        <v>1622</v>
      </c>
      <c r="J2606">
        <v>0</v>
      </c>
      <c r="K2606">
        <v>0</v>
      </c>
      <c r="L2606" s="3">
        <v>718</v>
      </c>
      <c r="M2606" s="3">
        <v>0</v>
      </c>
      <c r="N2606">
        <v>0</v>
      </c>
      <c r="O2606">
        <v>3782</v>
      </c>
      <c r="P2606">
        <v>718</v>
      </c>
      <c r="R2606" t="s">
        <v>1100</v>
      </c>
      <c r="S2606" t="str">
        <v>#N/A</v>
      </c>
      <c r="T2606" t="str">
        <v>#N/A</v>
      </c>
    </row>
    <row r="2607" spans="1:20" ht="13.7" customHeight="1" x14ac:dyDescent="0.25">
      <c r="E2607" s="5">
        <v>43465</v>
      </c>
      <c r="F2607">
        <v>24081005</v>
      </c>
      <c r="G2607" t="s">
        <v>729</v>
      </c>
      <c r="H2607" t="s">
        <v>1623</v>
      </c>
      <c r="I2607" t="s">
        <v>1624</v>
      </c>
      <c r="J2607">
        <v>0</v>
      </c>
      <c r="K2607">
        <v>0</v>
      </c>
      <c r="L2607" s="3">
        <v>0</v>
      </c>
      <c r="M2607" s="3">
        <v>0</v>
      </c>
      <c r="N2607">
        <v>0</v>
      </c>
      <c r="O2607">
        <v>0</v>
      </c>
      <c r="P2607">
        <v>0</v>
      </c>
      <c r="R2607" t="s">
        <v>1100</v>
      </c>
      <c r="S2607" t="str">
        <v>#N/A</v>
      </c>
      <c r="T2607" t="str">
        <v>#N/A</v>
      </c>
    </row>
    <row r="2608" spans="1:20" ht="13.7" customHeight="1" x14ac:dyDescent="0.25">
      <c r="A2608" t="s">
        <v>26</v>
      </c>
      <c r="B2608" t="s">
        <v>27</v>
      </c>
      <c r="C2608" t="s">
        <v>32</v>
      </c>
      <c r="D2608">
        <v>7</v>
      </c>
      <c r="E2608" s="5">
        <v>43499</v>
      </c>
      <c r="F2608">
        <v>24081005</v>
      </c>
      <c r="G2608" t="s">
        <v>729</v>
      </c>
      <c r="H2608" t="s">
        <v>1623</v>
      </c>
      <c r="I2608" t="s">
        <v>1624</v>
      </c>
      <c r="J2608">
        <v>1005</v>
      </c>
      <c r="K2608" t="s">
        <v>693</v>
      </c>
      <c r="L2608" s="3">
        <v>0</v>
      </c>
      <c r="M2608" s="3">
        <v>1549</v>
      </c>
      <c r="N2608">
        <v>0</v>
      </c>
      <c r="O2608">
        <v>8151.28</v>
      </c>
      <c r="P2608">
        <v>1549</v>
      </c>
      <c r="Q2608" t="s">
        <v>30</v>
      </c>
      <c r="R2608" t="s">
        <v>70</v>
      </c>
      <c r="S2608" t="str">
        <v>#N/A</v>
      </c>
      <c r="T2608" t="str">
        <v>#N/A</v>
      </c>
    </row>
    <row r="2609" spans="1:20" ht="13.7" customHeight="1" x14ac:dyDescent="0.25">
      <c r="E2609" s="5">
        <v>43465</v>
      </c>
      <c r="F2609">
        <v>24081005</v>
      </c>
      <c r="G2609" t="s">
        <v>729</v>
      </c>
      <c r="H2609" t="s">
        <v>1625</v>
      </c>
      <c r="I2609" t="s">
        <v>1626</v>
      </c>
      <c r="J2609">
        <v>0</v>
      </c>
      <c r="K2609">
        <v>0</v>
      </c>
      <c r="L2609" s="3">
        <v>5700</v>
      </c>
      <c r="M2609" s="3">
        <v>0</v>
      </c>
      <c r="N2609">
        <v>0</v>
      </c>
      <c r="O2609">
        <v>30000</v>
      </c>
      <c r="P2609">
        <v>5700</v>
      </c>
      <c r="R2609" t="s">
        <v>1100</v>
      </c>
      <c r="S2609" t="str">
        <v>#N/A</v>
      </c>
      <c r="T2609" t="str">
        <v>#N/A</v>
      </c>
    </row>
    <row r="2610" spans="1:20" ht="13.7" customHeight="1" x14ac:dyDescent="0.25">
      <c r="A2610" t="s">
        <v>26</v>
      </c>
      <c r="B2610" t="s">
        <v>27</v>
      </c>
      <c r="C2610" t="s">
        <v>38</v>
      </c>
      <c r="D2610">
        <v>14</v>
      </c>
      <c r="E2610" s="5">
        <v>43686</v>
      </c>
      <c r="F2610">
        <v>24081005</v>
      </c>
      <c r="G2610" t="s">
        <v>729</v>
      </c>
      <c r="H2610" t="s">
        <v>1625</v>
      </c>
      <c r="I2610" t="s">
        <v>1626</v>
      </c>
      <c r="J2610">
        <v>1005</v>
      </c>
      <c r="K2610" t="s">
        <v>693</v>
      </c>
      <c r="L2610" s="3">
        <v>5700</v>
      </c>
      <c r="M2610" s="3">
        <v>6650</v>
      </c>
      <c r="N2610">
        <v>0</v>
      </c>
      <c r="O2610">
        <v>35000</v>
      </c>
      <c r="P2610">
        <v>12350</v>
      </c>
      <c r="Q2610" t="s">
        <v>30</v>
      </c>
      <c r="R2610" t="s">
        <v>155</v>
      </c>
      <c r="S2610" t="str">
        <v>#N/A</v>
      </c>
      <c r="T2610" t="str">
        <v>#N/A</v>
      </c>
    </row>
    <row r="2611" spans="1:20" ht="13.7" customHeight="1" x14ac:dyDescent="0.25">
      <c r="E2611" s="5">
        <v>43465</v>
      </c>
      <c r="F2611">
        <v>24081005</v>
      </c>
      <c r="G2611" t="s">
        <v>729</v>
      </c>
      <c r="H2611" t="s">
        <v>1331</v>
      </c>
      <c r="I2611" t="s">
        <v>1332</v>
      </c>
      <c r="J2611">
        <v>0</v>
      </c>
      <c r="K2611">
        <v>0</v>
      </c>
      <c r="L2611" s="3">
        <v>0</v>
      </c>
      <c r="M2611" s="3">
        <v>0</v>
      </c>
      <c r="N2611">
        <v>0</v>
      </c>
      <c r="O2611">
        <v>0</v>
      </c>
      <c r="P2611">
        <v>0</v>
      </c>
      <c r="R2611" t="s">
        <v>1100</v>
      </c>
      <c r="S2611" t="str">
        <v>#N/A</v>
      </c>
      <c r="T2611" t="str">
        <v>#N/A</v>
      </c>
    </row>
    <row r="2612" spans="1:20" ht="13.7" customHeight="1" x14ac:dyDescent="0.25">
      <c r="A2612" t="s">
        <v>26</v>
      </c>
      <c r="B2612" t="s">
        <v>27</v>
      </c>
      <c r="C2612" t="s">
        <v>36</v>
      </c>
      <c r="D2612">
        <v>37</v>
      </c>
      <c r="E2612" s="5">
        <v>43633</v>
      </c>
      <c r="F2612">
        <v>24081005</v>
      </c>
      <c r="G2612" t="s">
        <v>729</v>
      </c>
      <c r="H2612" t="s">
        <v>1331</v>
      </c>
      <c r="I2612" t="s">
        <v>1332</v>
      </c>
      <c r="J2612">
        <v>1005</v>
      </c>
      <c r="K2612" t="s">
        <v>693</v>
      </c>
      <c r="L2612" s="3">
        <v>0</v>
      </c>
      <c r="M2612" s="3">
        <v>1916</v>
      </c>
      <c r="N2612">
        <v>0</v>
      </c>
      <c r="O2612">
        <v>10084</v>
      </c>
      <c r="P2612">
        <v>1916</v>
      </c>
      <c r="Q2612" t="s">
        <v>30</v>
      </c>
      <c r="R2612" t="s">
        <v>151</v>
      </c>
      <c r="S2612" t="str">
        <v>#N/A</v>
      </c>
      <c r="T2612" t="str">
        <v>#N/A</v>
      </c>
    </row>
    <row r="2613" spans="1:20" ht="13.7" customHeight="1" x14ac:dyDescent="0.25">
      <c r="A2613" t="s">
        <v>26</v>
      </c>
      <c r="B2613" t="s">
        <v>27</v>
      </c>
      <c r="C2613" t="s">
        <v>37</v>
      </c>
      <c r="D2613">
        <v>41</v>
      </c>
      <c r="E2613" s="5">
        <v>43661</v>
      </c>
      <c r="F2613">
        <v>24081005</v>
      </c>
      <c r="G2613" t="s">
        <v>729</v>
      </c>
      <c r="H2613" t="s">
        <v>1331</v>
      </c>
      <c r="I2613" t="s">
        <v>1332</v>
      </c>
      <c r="J2613">
        <v>1005</v>
      </c>
      <c r="K2613" t="s">
        <v>693</v>
      </c>
      <c r="L2613" s="3">
        <v>1916</v>
      </c>
      <c r="M2613" s="3">
        <v>1948</v>
      </c>
      <c r="N2613">
        <v>0</v>
      </c>
      <c r="O2613">
        <v>10252</v>
      </c>
      <c r="P2613">
        <v>3864</v>
      </c>
      <c r="Q2613" t="s">
        <v>30</v>
      </c>
      <c r="R2613" t="s">
        <v>70</v>
      </c>
      <c r="S2613" t="str">
        <v>#N/A</v>
      </c>
      <c r="T2613" t="str">
        <v>#N/A</v>
      </c>
    </row>
    <row r="2614" spans="1:20" ht="13.7" customHeight="1" x14ac:dyDescent="0.25">
      <c r="A2614" t="s">
        <v>26</v>
      </c>
      <c r="B2614" t="s">
        <v>27</v>
      </c>
      <c r="C2614" t="s">
        <v>38</v>
      </c>
      <c r="D2614">
        <v>42</v>
      </c>
      <c r="E2614" s="5">
        <v>43700</v>
      </c>
      <c r="F2614">
        <v>24081005</v>
      </c>
      <c r="G2614" t="s">
        <v>729</v>
      </c>
      <c r="H2614" t="s">
        <v>1331</v>
      </c>
      <c r="I2614" t="s">
        <v>1332</v>
      </c>
      <c r="J2614">
        <v>1005</v>
      </c>
      <c r="K2614" t="s">
        <v>693</v>
      </c>
      <c r="L2614" s="3">
        <v>3864</v>
      </c>
      <c r="M2614" s="3">
        <v>2171</v>
      </c>
      <c r="N2614">
        <v>0</v>
      </c>
      <c r="O2614">
        <v>11429</v>
      </c>
      <c r="P2614">
        <v>6035</v>
      </c>
      <c r="Q2614" t="s">
        <v>30</v>
      </c>
      <c r="R2614" t="s">
        <v>70</v>
      </c>
      <c r="S2614" t="str">
        <v>#N/A</v>
      </c>
      <c r="T2614" t="str">
        <v>#N/A</v>
      </c>
    </row>
    <row r="2615" spans="1:20" ht="13.7" customHeight="1" x14ac:dyDescent="0.25">
      <c r="A2615" t="s">
        <v>26</v>
      </c>
      <c r="B2615" t="s">
        <v>27</v>
      </c>
      <c r="C2615" t="s">
        <v>40</v>
      </c>
      <c r="D2615">
        <v>11</v>
      </c>
      <c r="E2615" s="5">
        <v>43745</v>
      </c>
      <c r="F2615">
        <v>24081005</v>
      </c>
      <c r="G2615" t="s">
        <v>729</v>
      </c>
      <c r="H2615" t="s">
        <v>1331</v>
      </c>
      <c r="I2615" t="s">
        <v>1332</v>
      </c>
      <c r="J2615">
        <v>1005</v>
      </c>
      <c r="K2615" t="s">
        <v>693</v>
      </c>
      <c r="L2615" s="3">
        <v>6035</v>
      </c>
      <c r="M2615" s="3">
        <v>1597</v>
      </c>
      <c r="N2615">
        <v>0</v>
      </c>
      <c r="O2615">
        <v>8403</v>
      </c>
      <c r="P2615">
        <v>7632</v>
      </c>
      <c r="Q2615" t="s">
        <v>30</v>
      </c>
      <c r="R2615" t="s">
        <v>151</v>
      </c>
      <c r="S2615" t="str">
        <v>#N/A</v>
      </c>
      <c r="T2615" t="str">
        <v>#N/A</v>
      </c>
    </row>
    <row r="2616" spans="1:20" ht="13.7" customHeight="1" x14ac:dyDescent="0.25">
      <c r="A2616" t="s">
        <v>26</v>
      </c>
      <c r="B2616" t="s">
        <v>27</v>
      </c>
      <c r="C2616" t="s">
        <v>40</v>
      </c>
      <c r="D2616">
        <v>51</v>
      </c>
      <c r="E2616" s="5">
        <v>43766</v>
      </c>
      <c r="F2616">
        <v>24081005</v>
      </c>
      <c r="G2616" t="s">
        <v>729</v>
      </c>
      <c r="H2616" t="s">
        <v>1331</v>
      </c>
      <c r="I2616" t="s">
        <v>1332</v>
      </c>
      <c r="J2616">
        <v>1005</v>
      </c>
      <c r="K2616" t="s">
        <v>693</v>
      </c>
      <c r="L2616" s="3">
        <v>7632</v>
      </c>
      <c r="M2616" s="3">
        <v>239</v>
      </c>
      <c r="N2616">
        <v>0</v>
      </c>
      <c r="O2616">
        <v>1261</v>
      </c>
      <c r="P2616">
        <v>7871</v>
      </c>
      <c r="Q2616" t="s">
        <v>30</v>
      </c>
      <c r="R2616" t="s">
        <v>168</v>
      </c>
      <c r="S2616" t="str">
        <v>#N/A</v>
      </c>
      <c r="T2616" t="str">
        <v>#N/A</v>
      </c>
    </row>
    <row r="2617" spans="1:20" ht="13.7" customHeight="1" x14ac:dyDescent="0.25">
      <c r="A2617" t="s">
        <v>26</v>
      </c>
      <c r="B2617" t="s">
        <v>27</v>
      </c>
      <c r="C2617" t="s">
        <v>40</v>
      </c>
      <c r="D2617">
        <v>52</v>
      </c>
      <c r="E2617" s="5">
        <v>43766</v>
      </c>
      <c r="F2617">
        <v>24081005</v>
      </c>
      <c r="G2617" t="s">
        <v>729</v>
      </c>
      <c r="H2617" t="s">
        <v>1331</v>
      </c>
      <c r="I2617" t="s">
        <v>1332</v>
      </c>
      <c r="J2617">
        <v>1005</v>
      </c>
      <c r="K2617" t="s">
        <v>693</v>
      </c>
      <c r="L2617" s="3">
        <v>7871</v>
      </c>
      <c r="M2617" s="3">
        <v>2299</v>
      </c>
      <c r="N2617">
        <v>0</v>
      </c>
      <c r="O2617">
        <v>12101</v>
      </c>
      <c r="P2617">
        <v>10170</v>
      </c>
      <c r="Q2617" t="s">
        <v>30</v>
      </c>
      <c r="R2617" t="s">
        <v>151</v>
      </c>
      <c r="S2617" t="str">
        <v>#N/A</v>
      </c>
      <c r="T2617" t="str">
        <v>#N/A</v>
      </c>
    </row>
    <row r="2618" spans="1:20" ht="13.7" customHeight="1" x14ac:dyDescent="0.25">
      <c r="A2618" t="s">
        <v>26</v>
      </c>
      <c r="B2618" t="s">
        <v>27</v>
      </c>
      <c r="C2618" t="s">
        <v>41</v>
      </c>
      <c r="D2618">
        <v>33</v>
      </c>
      <c r="E2618" s="5">
        <v>43783</v>
      </c>
      <c r="F2618">
        <v>24081005</v>
      </c>
      <c r="G2618" t="s">
        <v>729</v>
      </c>
      <c r="H2618" t="s">
        <v>1331</v>
      </c>
      <c r="I2618" t="s">
        <v>1332</v>
      </c>
      <c r="J2618">
        <v>1005</v>
      </c>
      <c r="K2618" t="s">
        <v>693</v>
      </c>
      <c r="L2618" s="3">
        <v>10170</v>
      </c>
      <c r="M2618" s="3">
        <v>2954</v>
      </c>
      <c r="N2618">
        <v>0</v>
      </c>
      <c r="O2618">
        <v>15546</v>
      </c>
      <c r="P2618">
        <v>13124</v>
      </c>
      <c r="Q2618" t="s">
        <v>30</v>
      </c>
      <c r="R2618" t="s">
        <v>151</v>
      </c>
      <c r="S2618" t="str">
        <v>#N/A</v>
      </c>
      <c r="T2618" t="str">
        <v>#N/A</v>
      </c>
    </row>
    <row r="2619" spans="1:20" ht="13.7" customHeight="1" x14ac:dyDescent="0.25">
      <c r="A2619" t="s">
        <v>26</v>
      </c>
      <c r="B2619" t="s">
        <v>27</v>
      </c>
      <c r="C2619" t="s">
        <v>41</v>
      </c>
      <c r="D2619">
        <v>59</v>
      </c>
      <c r="E2619" s="5">
        <v>43794</v>
      </c>
      <c r="F2619">
        <v>24081005</v>
      </c>
      <c r="G2619" t="s">
        <v>729</v>
      </c>
      <c r="H2619" t="s">
        <v>1331</v>
      </c>
      <c r="I2619" t="s">
        <v>1332</v>
      </c>
      <c r="J2619">
        <v>1005</v>
      </c>
      <c r="K2619" t="s">
        <v>693</v>
      </c>
      <c r="L2619" s="3">
        <v>13124</v>
      </c>
      <c r="M2619" s="3">
        <v>2571</v>
      </c>
      <c r="N2619">
        <v>0</v>
      </c>
      <c r="O2619">
        <v>13529</v>
      </c>
      <c r="P2619">
        <v>15695</v>
      </c>
      <c r="Q2619" t="s">
        <v>30</v>
      </c>
      <c r="R2619" t="s">
        <v>151</v>
      </c>
      <c r="S2619" t="str">
        <v>#N/A</v>
      </c>
      <c r="T2619" t="str">
        <v>#N/A</v>
      </c>
    </row>
    <row r="2620" spans="1:20" ht="13.7" customHeight="1" x14ac:dyDescent="0.25">
      <c r="E2620" s="5">
        <v>43465</v>
      </c>
      <c r="F2620">
        <v>24081005</v>
      </c>
      <c r="G2620" t="s">
        <v>729</v>
      </c>
      <c r="H2620" t="s">
        <v>1327</v>
      </c>
      <c r="I2620" t="s">
        <v>1328</v>
      </c>
      <c r="J2620">
        <v>0</v>
      </c>
      <c r="K2620">
        <v>0</v>
      </c>
      <c r="L2620" s="3">
        <v>0</v>
      </c>
      <c r="M2620" s="3">
        <v>0</v>
      </c>
      <c r="N2620">
        <v>0</v>
      </c>
      <c r="O2620">
        <v>0</v>
      </c>
      <c r="P2620">
        <v>0</v>
      </c>
      <c r="R2620" t="s">
        <v>1100</v>
      </c>
      <c r="S2620" t="str">
        <v>#N/A</v>
      </c>
      <c r="T2620" t="str">
        <v>31</v>
      </c>
    </row>
    <row r="2621" spans="1:20" ht="13.7" customHeight="1" x14ac:dyDescent="0.25">
      <c r="A2621" t="s">
        <v>26</v>
      </c>
      <c r="B2621" t="s">
        <v>27</v>
      </c>
      <c r="C2621" t="s">
        <v>34</v>
      </c>
      <c r="D2621">
        <v>49</v>
      </c>
      <c r="E2621" s="5">
        <v>43575</v>
      </c>
      <c r="F2621">
        <v>24081005</v>
      </c>
      <c r="G2621" t="s">
        <v>729</v>
      </c>
      <c r="H2621" t="s">
        <v>1327</v>
      </c>
      <c r="I2621" t="s">
        <v>1328</v>
      </c>
      <c r="J2621">
        <v>1005</v>
      </c>
      <c r="K2621" t="s">
        <v>693</v>
      </c>
      <c r="L2621" s="3">
        <v>0</v>
      </c>
      <c r="M2621" s="3">
        <v>1549</v>
      </c>
      <c r="N2621">
        <v>0</v>
      </c>
      <c r="O2621">
        <v>8151</v>
      </c>
      <c r="P2621">
        <v>1549</v>
      </c>
      <c r="Q2621" t="s">
        <v>30</v>
      </c>
      <c r="R2621" t="s">
        <v>70</v>
      </c>
      <c r="S2621" t="str">
        <v>#N/A</v>
      </c>
      <c r="T2621" t="str">
        <v>31</v>
      </c>
    </row>
    <row r="2622" spans="1:20" ht="13.7" customHeight="1" x14ac:dyDescent="0.25">
      <c r="A2622" t="s">
        <v>26</v>
      </c>
      <c r="B2622" t="s">
        <v>27</v>
      </c>
      <c r="C2622" t="s">
        <v>37</v>
      </c>
      <c r="D2622">
        <v>13</v>
      </c>
      <c r="E2622" s="5">
        <v>43652</v>
      </c>
      <c r="F2622">
        <v>24081005</v>
      </c>
      <c r="G2622" t="s">
        <v>729</v>
      </c>
      <c r="H2622" t="s">
        <v>1327</v>
      </c>
      <c r="I2622" t="s">
        <v>1328</v>
      </c>
      <c r="J2622">
        <v>1005</v>
      </c>
      <c r="K2622" t="s">
        <v>693</v>
      </c>
      <c r="L2622" s="3">
        <v>1549</v>
      </c>
      <c r="M2622" s="3">
        <v>4502</v>
      </c>
      <c r="N2622">
        <v>0</v>
      </c>
      <c r="O2622">
        <v>23697</v>
      </c>
      <c r="P2622">
        <v>6051</v>
      </c>
      <c r="Q2622" t="s">
        <v>30</v>
      </c>
      <c r="R2622" t="s">
        <v>70</v>
      </c>
      <c r="S2622" t="str">
        <v>#N/A</v>
      </c>
      <c r="T2622" t="str">
        <v>31</v>
      </c>
    </row>
    <row r="2623" spans="1:20" ht="13.7" customHeight="1" x14ac:dyDescent="0.25">
      <c r="A2623" t="s">
        <v>26</v>
      </c>
      <c r="B2623" t="s">
        <v>27</v>
      </c>
      <c r="C2623" t="s">
        <v>180</v>
      </c>
      <c r="D2623">
        <v>13</v>
      </c>
      <c r="E2623" s="5">
        <v>43812</v>
      </c>
      <c r="F2623">
        <v>24081005</v>
      </c>
      <c r="G2623" t="s">
        <v>729</v>
      </c>
      <c r="H2623" t="s">
        <v>1327</v>
      </c>
      <c r="I2623" t="s">
        <v>1328</v>
      </c>
      <c r="J2623">
        <v>1005</v>
      </c>
      <c r="K2623" t="s">
        <v>693</v>
      </c>
      <c r="L2623" s="3">
        <v>6051</v>
      </c>
      <c r="M2623" s="3">
        <v>1549</v>
      </c>
      <c r="N2623">
        <v>0</v>
      </c>
      <c r="O2623">
        <v>8151</v>
      </c>
      <c r="P2623">
        <v>7600</v>
      </c>
      <c r="Q2623" t="s">
        <v>30</v>
      </c>
      <c r="R2623" t="s">
        <v>70</v>
      </c>
      <c r="S2623" t="str">
        <v>#N/A</v>
      </c>
      <c r="T2623" t="str">
        <v>31</v>
      </c>
    </row>
    <row r="2624" spans="1:20" ht="13.7" customHeight="1" x14ac:dyDescent="0.25">
      <c r="E2624" s="5">
        <v>43465</v>
      </c>
      <c r="F2624">
        <v>24081005</v>
      </c>
      <c r="G2624" t="s">
        <v>729</v>
      </c>
      <c r="H2624" t="s">
        <v>1627</v>
      </c>
      <c r="I2624" t="s">
        <v>1628</v>
      </c>
      <c r="J2624">
        <v>0</v>
      </c>
      <c r="K2624">
        <v>0</v>
      </c>
      <c r="L2624" s="3">
        <v>32843</v>
      </c>
      <c r="M2624" s="3">
        <v>0</v>
      </c>
      <c r="N2624">
        <v>0</v>
      </c>
      <c r="O2624">
        <v>172857</v>
      </c>
      <c r="P2624">
        <v>32843</v>
      </c>
      <c r="R2624" t="s">
        <v>1100</v>
      </c>
      <c r="S2624" t="str">
        <v>#N/A</v>
      </c>
      <c r="T2624" t="str">
        <v>#N/A</v>
      </c>
    </row>
    <row r="2625" spans="1:20" ht="13.7" customHeight="1" x14ac:dyDescent="0.25">
      <c r="E2625" s="5">
        <v>43465</v>
      </c>
      <c r="F2625">
        <v>24081005</v>
      </c>
      <c r="G2625" t="s">
        <v>729</v>
      </c>
      <c r="H2625" t="s">
        <v>1352</v>
      </c>
      <c r="I2625" t="s">
        <v>1353</v>
      </c>
      <c r="J2625">
        <v>0</v>
      </c>
      <c r="K2625">
        <v>0</v>
      </c>
      <c r="L2625" s="3">
        <v>0</v>
      </c>
      <c r="M2625" s="3">
        <v>0</v>
      </c>
      <c r="N2625">
        <v>0</v>
      </c>
      <c r="O2625">
        <v>0</v>
      </c>
      <c r="P2625">
        <v>0</v>
      </c>
      <c r="R2625" t="s">
        <v>1100</v>
      </c>
      <c r="S2625" t="str">
        <v>#N/A</v>
      </c>
      <c r="T2625" t="str">
        <v>#N/A</v>
      </c>
    </row>
    <row r="2626" spans="1:20" ht="13.7" customHeight="1" x14ac:dyDescent="0.25">
      <c r="A2626" t="s">
        <v>26</v>
      </c>
      <c r="B2626" t="s">
        <v>27</v>
      </c>
      <c r="C2626" t="s">
        <v>28</v>
      </c>
      <c r="D2626">
        <v>21</v>
      </c>
      <c r="E2626" s="5">
        <v>43476</v>
      </c>
      <c r="F2626">
        <v>24081005</v>
      </c>
      <c r="G2626" t="s">
        <v>729</v>
      </c>
      <c r="H2626" t="s">
        <v>1352</v>
      </c>
      <c r="I2626" t="s">
        <v>1353</v>
      </c>
      <c r="J2626">
        <v>1005</v>
      </c>
      <c r="K2626" t="s">
        <v>693</v>
      </c>
      <c r="L2626" s="3">
        <v>0</v>
      </c>
      <c r="M2626" s="3">
        <v>1596</v>
      </c>
      <c r="N2626">
        <v>0</v>
      </c>
      <c r="O2626">
        <v>8400</v>
      </c>
      <c r="P2626">
        <v>1596</v>
      </c>
      <c r="Q2626" t="s">
        <v>30</v>
      </c>
      <c r="R2626" t="s">
        <v>48</v>
      </c>
      <c r="S2626" t="str">
        <v>#N/A</v>
      </c>
      <c r="T2626" t="str">
        <v>#N/A</v>
      </c>
    </row>
    <row r="2627" spans="1:20" ht="13.7" customHeight="1" x14ac:dyDescent="0.25">
      <c r="A2627" t="s">
        <v>26</v>
      </c>
      <c r="B2627" t="s">
        <v>27</v>
      </c>
      <c r="C2627" t="s">
        <v>28</v>
      </c>
      <c r="D2627">
        <v>22</v>
      </c>
      <c r="E2627" s="5">
        <v>43476</v>
      </c>
      <c r="F2627">
        <v>24081005</v>
      </c>
      <c r="G2627" t="s">
        <v>729</v>
      </c>
      <c r="H2627" t="s">
        <v>1352</v>
      </c>
      <c r="I2627" t="s">
        <v>1353</v>
      </c>
      <c r="J2627">
        <v>1005</v>
      </c>
      <c r="K2627" t="s">
        <v>693</v>
      </c>
      <c r="L2627" s="3">
        <v>1596</v>
      </c>
      <c r="M2627" s="3">
        <v>8075</v>
      </c>
      <c r="N2627">
        <v>0</v>
      </c>
      <c r="O2627">
        <v>42500</v>
      </c>
      <c r="P2627">
        <v>9671</v>
      </c>
      <c r="Q2627" t="s">
        <v>30</v>
      </c>
      <c r="R2627" t="s">
        <v>49</v>
      </c>
      <c r="S2627" t="str">
        <v>#N/A</v>
      </c>
      <c r="T2627" t="str">
        <v>#N/A</v>
      </c>
    </row>
    <row r="2628" spans="1:20" ht="13.7" customHeight="1" x14ac:dyDescent="0.25">
      <c r="A2628" t="s">
        <v>26</v>
      </c>
      <c r="B2628" t="s">
        <v>27</v>
      </c>
      <c r="C2628" t="s">
        <v>91</v>
      </c>
      <c r="D2628">
        <v>32</v>
      </c>
      <c r="E2628" s="5">
        <v>43536</v>
      </c>
      <c r="F2628">
        <v>24081005</v>
      </c>
      <c r="G2628" t="s">
        <v>729</v>
      </c>
      <c r="H2628" t="s">
        <v>1352</v>
      </c>
      <c r="I2628" t="s">
        <v>1353</v>
      </c>
      <c r="J2628">
        <v>1005</v>
      </c>
      <c r="K2628" t="s">
        <v>693</v>
      </c>
      <c r="L2628" s="3">
        <v>9671</v>
      </c>
      <c r="M2628" s="3">
        <v>29640</v>
      </c>
      <c r="N2628">
        <v>0</v>
      </c>
      <c r="O2628">
        <v>156000</v>
      </c>
      <c r="P2628">
        <v>39311</v>
      </c>
      <c r="Q2628" t="s">
        <v>30</v>
      </c>
      <c r="R2628" t="s">
        <v>98</v>
      </c>
      <c r="S2628" t="str">
        <v>#N/A</v>
      </c>
      <c r="T2628" t="str">
        <v>#N/A</v>
      </c>
    </row>
    <row r="2629" spans="1:20" ht="13.7" customHeight="1" x14ac:dyDescent="0.25">
      <c r="E2629" s="5">
        <v>43465</v>
      </c>
      <c r="F2629">
        <v>24081005</v>
      </c>
      <c r="G2629" t="s">
        <v>729</v>
      </c>
      <c r="H2629" t="s">
        <v>1629</v>
      </c>
      <c r="I2629" t="s">
        <v>1630</v>
      </c>
      <c r="J2629">
        <v>0</v>
      </c>
      <c r="K2629">
        <v>0</v>
      </c>
      <c r="L2629" s="3">
        <v>926</v>
      </c>
      <c r="M2629" s="3">
        <v>0</v>
      </c>
      <c r="N2629">
        <v>0</v>
      </c>
      <c r="O2629">
        <v>4874</v>
      </c>
      <c r="P2629">
        <v>926</v>
      </c>
      <c r="R2629" t="s">
        <v>1100</v>
      </c>
      <c r="S2629" t="str">
        <v>#N/A</v>
      </c>
      <c r="T2629" t="str">
        <v>#N/A</v>
      </c>
    </row>
    <row r="2630" spans="1:20" ht="13.7" customHeight="1" x14ac:dyDescent="0.25">
      <c r="E2630" s="5">
        <v>43465</v>
      </c>
      <c r="F2630">
        <v>24081005</v>
      </c>
      <c r="G2630" t="s">
        <v>729</v>
      </c>
      <c r="H2630" t="s">
        <v>1631</v>
      </c>
      <c r="I2630" t="s">
        <v>1632</v>
      </c>
      <c r="J2630">
        <v>0</v>
      </c>
      <c r="K2630">
        <v>0</v>
      </c>
      <c r="L2630" s="3">
        <v>40546.46</v>
      </c>
      <c r="M2630" s="3">
        <v>0</v>
      </c>
      <c r="N2630">
        <v>0</v>
      </c>
      <c r="O2630">
        <v>213403.7</v>
      </c>
      <c r="P2630">
        <v>40546.46</v>
      </c>
      <c r="R2630" t="s">
        <v>1100</v>
      </c>
      <c r="S2630" t="str">
        <v>#N/A</v>
      </c>
      <c r="T2630" t="str">
        <v>#N/A</v>
      </c>
    </row>
    <row r="2631" spans="1:20" ht="13.7" customHeight="1" x14ac:dyDescent="0.25">
      <c r="E2631" s="5">
        <v>43465</v>
      </c>
      <c r="F2631">
        <v>24081005</v>
      </c>
      <c r="G2631" t="s">
        <v>729</v>
      </c>
      <c r="H2631" t="s">
        <v>1131</v>
      </c>
      <c r="I2631" t="s">
        <v>1132</v>
      </c>
      <c r="J2631">
        <v>0</v>
      </c>
      <c r="K2631">
        <v>0</v>
      </c>
      <c r="L2631" s="3">
        <v>-300447</v>
      </c>
      <c r="M2631" s="3">
        <v>0</v>
      </c>
      <c r="N2631">
        <v>0</v>
      </c>
      <c r="O2631">
        <v>-1581300</v>
      </c>
      <c r="P2631">
        <v>-300447</v>
      </c>
      <c r="R2631" t="s">
        <v>1100</v>
      </c>
      <c r="S2631" t="str">
        <v>#N/A</v>
      </c>
      <c r="T2631" t="str">
        <v>#N/A</v>
      </c>
    </row>
    <row r="2632" spans="1:20" ht="13.7" customHeight="1" x14ac:dyDescent="0.25">
      <c r="E2632" s="5">
        <v>43465</v>
      </c>
      <c r="F2632">
        <v>24081005</v>
      </c>
      <c r="G2632" t="s">
        <v>729</v>
      </c>
      <c r="H2632" t="s">
        <v>1633</v>
      </c>
      <c r="I2632" t="s">
        <v>1634</v>
      </c>
      <c r="J2632">
        <v>0</v>
      </c>
      <c r="K2632">
        <v>0</v>
      </c>
      <c r="L2632" s="3">
        <v>380000</v>
      </c>
      <c r="M2632" s="3">
        <v>0</v>
      </c>
      <c r="N2632">
        <v>0</v>
      </c>
      <c r="O2632">
        <v>2000000</v>
      </c>
      <c r="P2632">
        <v>380000</v>
      </c>
      <c r="R2632" t="s">
        <v>1100</v>
      </c>
      <c r="S2632" t="str">
        <v>#N/A</v>
      </c>
      <c r="T2632" t="str">
        <v>#N/A</v>
      </c>
    </row>
    <row r="2633" spans="1:20" ht="13.7" customHeight="1" x14ac:dyDescent="0.25">
      <c r="E2633" s="5">
        <v>43465</v>
      </c>
      <c r="F2633">
        <v>24081005</v>
      </c>
      <c r="G2633" t="s">
        <v>729</v>
      </c>
      <c r="H2633" t="s">
        <v>1635</v>
      </c>
      <c r="I2633" t="s">
        <v>1636</v>
      </c>
      <c r="J2633">
        <v>0</v>
      </c>
      <c r="K2633">
        <v>0</v>
      </c>
      <c r="L2633" s="3">
        <v>0</v>
      </c>
      <c r="M2633" s="3">
        <v>0</v>
      </c>
      <c r="N2633">
        <v>0</v>
      </c>
      <c r="O2633">
        <v>0</v>
      </c>
      <c r="P2633">
        <v>0</v>
      </c>
      <c r="R2633" t="s">
        <v>1100</v>
      </c>
      <c r="S2633" t="str">
        <v>#N/A</v>
      </c>
      <c r="T2633" t="str">
        <v>#N/A</v>
      </c>
    </row>
    <row r="2634" spans="1:20" ht="13.7" customHeight="1" x14ac:dyDescent="0.25">
      <c r="A2634" t="s">
        <v>26</v>
      </c>
      <c r="B2634" t="s">
        <v>27</v>
      </c>
      <c r="C2634" t="s">
        <v>40</v>
      </c>
      <c r="D2634">
        <v>35</v>
      </c>
      <c r="E2634" s="5">
        <v>43755</v>
      </c>
      <c r="F2634">
        <v>24081005</v>
      </c>
      <c r="G2634" t="s">
        <v>729</v>
      </c>
      <c r="H2634" t="s">
        <v>1635</v>
      </c>
      <c r="I2634" t="s">
        <v>1636</v>
      </c>
      <c r="J2634">
        <v>1005</v>
      </c>
      <c r="K2634" t="s">
        <v>693</v>
      </c>
      <c r="L2634" s="3">
        <v>0</v>
      </c>
      <c r="M2634" s="3">
        <v>6355</v>
      </c>
      <c r="N2634">
        <v>0</v>
      </c>
      <c r="O2634">
        <v>33445</v>
      </c>
      <c r="P2634">
        <v>6355</v>
      </c>
      <c r="Q2634" t="s">
        <v>30</v>
      </c>
      <c r="R2634" t="s">
        <v>70</v>
      </c>
      <c r="S2634" t="str">
        <v>#N/A</v>
      </c>
      <c r="T2634" t="str">
        <v>#N/A</v>
      </c>
    </row>
    <row r="2635" spans="1:20" ht="13.7" customHeight="1" x14ac:dyDescent="0.25">
      <c r="E2635" s="5">
        <v>43465</v>
      </c>
      <c r="F2635">
        <v>24081005</v>
      </c>
      <c r="G2635" t="s">
        <v>729</v>
      </c>
      <c r="H2635" t="s">
        <v>1280</v>
      </c>
      <c r="I2635" t="s">
        <v>1281</v>
      </c>
      <c r="J2635">
        <v>0</v>
      </c>
      <c r="K2635">
        <v>0</v>
      </c>
      <c r="L2635" s="3">
        <v>0</v>
      </c>
      <c r="M2635" s="3">
        <v>0</v>
      </c>
      <c r="N2635">
        <v>0</v>
      </c>
      <c r="O2635">
        <v>0</v>
      </c>
      <c r="P2635">
        <v>0</v>
      </c>
      <c r="R2635" t="s">
        <v>1100</v>
      </c>
      <c r="S2635" t="str">
        <v>#N/A</v>
      </c>
      <c r="T2635" t="str">
        <v>#N/A</v>
      </c>
    </row>
    <row r="2636" spans="1:20" ht="13.7" customHeight="1" x14ac:dyDescent="0.25">
      <c r="A2636" t="s">
        <v>26</v>
      </c>
      <c r="B2636" t="s">
        <v>27</v>
      </c>
      <c r="C2636" t="s">
        <v>91</v>
      </c>
      <c r="D2636">
        <v>52</v>
      </c>
      <c r="E2636" s="5">
        <v>43547</v>
      </c>
      <c r="F2636">
        <v>24081005</v>
      </c>
      <c r="G2636" t="s">
        <v>729</v>
      </c>
      <c r="H2636" t="s">
        <v>1280</v>
      </c>
      <c r="I2636" t="s">
        <v>1281</v>
      </c>
      <c r="J2636">
        <v>1005</v>
      </c>
      <c r="K2636" t="s">
        <v>693</v>
      </c>
      <c r="L2636" s="3">
        <v>0</v>
      </c>
      <c r="M2636" s="3">
        <v>23950</v>
      </c>
      <c r="N2636">
        <v>0</v>
      </c>
      <c r="O2636">
        <v>126050</v>
      </c>
      <c r="P2636">
        <v>23950</v>
      </c>
      <c r="Q2636" t="s">
        <v>30</v>
      </c>
      <c r="R2636" t="s">
        <v>106</v>
      </c>
      <c r="S2636" t="str">
        <v>#N/A</v>
      </c>
      <c r="T2636" t="str">
        <v>#N/A</v>
      </c>
    </row>
    <row r="2637" spans="1:20" ht="13.7" customHeight="1" x14ac:dyDescent="0.25">
      <c r="E2637" s="5">
        <v>43465</v>
      </c>
      <c r="F2637">
        <v>24081005</v>
      </c>
      <c r="G2637" t="s">
        <v>729</v>
      </c>
      <c r="H2637" t="s">
        <v>1637</v>
      </c>
      <c r="I2637" t="s">
        <v>1638</v>
      </c>
      <c r="J2637">
        <v>0</v>
      </c>
      <c r="K2637">
        <v>0</v>
      </c>
      <c r="L2637" s="3">
        <v>2395</v>
      </c>
      <c r="M2637" s="3">
        <v>0</v>
      </c>
      <c r="N2637">
        <v>0</v>
      </c>
      <c r="O2637">
        <v>12605</v>
      </c>
      <c r="P2637">
        <v>2395</v>
      </c>
      <c r="R2637" t="s">
        <v>1100</v>
      </c>
      <c r="S2637" t="str">
        <v>#N/A</v>
      </c>
      <c r="T2637" t="str">
        <v>#N/A</v>
      </c>
    </row>
    <row r="2638" spans="1:20" ht="13.7" customHeight="1" x14ac:dyDescent="0.25">
      <c r="A2638" t="s">
        <v>26</v>
      </c>
      <c r="B2638" t="s">
        <v>27</v>
      </c>
      <c r="C2638" t="s">
        <v>39</v>
      </c>
      <c r="D2638">
        <v>15</v>
      </c>
      <c r="E2638" s="5">
        <v>43715</v>
      </c>
      <c r="F2638">
        <v>24081005</v>
      </c>
      <c r="G2638" t="s">
        <v>729</v>
      </c>
      <c r="H2638" t="s">
        <v>1637</v>
      </c>
      <c r="I2638" t="s">
        <v>1638</v>
      </c>
      <c r="J2638">
        <v>1005</v>
      </c>
      <c r="K2638" t="s">
        <v>693</v>
      </c>
      <c r="L2638" s="3">
        <v>2395</v>
      </c>
      <c r="M2638" s="3">
        <v>6227</v>
      </c>
      <c r="N2638">
        <v>0</v>
      </c>
      <c r="O2638">
        <v>32773</v>
      </c>
      <c r="P2638">
        <v>8622</v>
      </c>
      <c r="Q2638" t="s">
        <v>30</v>
      </c>
      <c r="R2638" t="s">
        <v>566</v>
      </c>
      <c r="S2638" t="str">
        <v>#N/A</v>
      </c>
      <c r="T2638" t="str">
        <v>#N/A</v>
      </c>
    </row>
    <row r="2639" spans="1:20" ht="13.7" customHeight="1" x14ac:dyDescent="0.25">
      <c r="E2639" s="5">
        <v>43465</v>
      </c>
      <c r="F2639">
        <v>24081005</v>
      </c>
      <c r="G2639" t="s">
        <v>729</v>
      </c>
      <c r="H2639" t="s">
        <v>1235</v>
      </c>
      <c r="I2639" t="s">
        <v>1236</v>
      </c>
      <c r="J2639">
        <v>0</v>
      </c>
      <c r="K2639">
        <v>0</v>
      </c>
      <c r="L2639" s="3">
        <v>13331</v>
      </c>
      <c r="M2639" s="3">
        <v>0</v>
      </c>
      <c r="N2639">
        <v>0</v>
      </c>
      <c r="O2639">
        <v>70169</v>
      </c>
      <c r="P2639">
        <v>13331</v>
      </c>
      <c r="R2639" t="s">
        <v>1100</v>
      </c>
      <c r="S2639" t="str">
        <v>#N/A</v>
      </c>
      <c r="T2639" t="str">
        <v>#N/A</v>
      </c>
    </row>
    <row r="2640" spans="1:20" ht="13.7" customHeight="1" x14ac:dyDescent="0.25">
      <c r="A2640" t="s">
        <v>26</v>
      </c>
      <c r="B2640" t="s">
        <v>27</v>
      </c>
      <c r="C2640" t="s">
        <v>28</v>
      </c>
      <c r="D2640">
        <v>48</v>
      </c>
      <c r="E2640" s="5">
        <v>43483</v>
      </c>
      <c r="F2640">
        <v>24081005</v>
      </c>
      <c r="G2640" t="s">
        <v>729</v>
      </c>
      <c r="H2640" t="s">
        <v>1235</v>
      </c>
      <c r="I2640" t="s">
        <v>1236</v>
      </c>
      <c r="J2640">
        <v>1005</v>
      </c>
      <c r="K2640" t="s">
        <v>693</v>
      </c>
      <c r="L2640" s="3">
        <v>13331</v>
      </c>
      <c r="M2640" s="3">
        <v>1820</v>
      </c>
      <c r="N2640">
        <v>0</v>
      </c>
      <c r="O2640">
        <v>9579</v>
      </c>
      <c r="P2640">
        <v>15151</v>
      </c>
      <c r="Q2640" t="s">
        <v>30</v>
      </c>
      <c r="R2640" t="s">
        <v>63</v>
      </c>
      <c r="S2640" t="str">
        <v>#N/A</v>
      </c>
      <c r="T2640" t="str">
        <v>#N/A</v>
      </c>
    </row>
    <row r="2641" spans="1:20" ht="13.7" customHeight="1" x14ac:dyDescent="0.25">
      <c r="A2641" t="s">
        <v>26</v>
      </c>
      <c r="B2641" t="s">
        <v>27</v>
      </c>
      <c r="C2641" t="s">
        <v>34</v>
      </c>
      <c r="D2641">
        <v>26</v>
      </c>
      <c r="E2641" s="5">
        <v>43567</v>
      </c>
      <c r="F2641">
        <v>24081005</v>
      </c>
      <c r="G2641" t="s">
        <v>729</v>
      </c>
      <c r="H2641" t="s">
        <v>1235</v>
      </c>
      <c r="I2641" t="s">
        <v>1236</v>
      </c>
      <c r="J2641">
        <v>1005</v>
      </c>
      <c r="K2641" t="s">
        <v>693</v>
      </c>
      <c r="L2641" s="3">
        <v>15151</v>
      </c>
      <c r="M2641" s="3">
        <v>2395</v>
      </c>
      <c r="N2641">
        <v>0</v>
      </c>
      <c r="O2641">
        <v>12605</v>
      </c>
      <c r="P2641">
        <v>17546</v>
      </c>
      <c r="Q2641" t="s">
        <v>30</v>
      </c>
      <c r="R2641" t="s">
        <v>121</v>
      </c>
      <c r="S2641" t="str">
        <v>#N/A</v>
      </c>
      <c r="T2641" t="str">
        <v>#N/A</v>
      </c>
    </row>
    <row r="2642" spans="1:20" ht="13.7" customHeight="1" x14ac:dyDescent="0.25">
      <c r="A2642" t="s">
        <v>26</v>
      </c>
      <c r="B2642" t="s">
        <v>27</v>
      </c>
      <c r="C2642" t="s">
        <v>35</v>
      </c>
      <c r="D2642">
        <v>89</v>
      </c>
      <c r="E2642" s="5">
        <v>43612</v>
      </c>
      <c r="F2642">
        <v>24081005</v>
      </c>
      <c r="G2642" t="s">
        <v>729</v>
      </c>
      <c r="H2642" t="s">
        <v>1235</v>
      </c>
      <c r="I2642" t="s">
        <v>1236</v>
      </c>
      <c r="J2642">
        <v>1005</v>
      </c>
      <c r="K2642" t="s">
        <v>693</v>
      </c>
      <c r="L2642" s="3">
        <v>17546</v>
      </c>
      <c r="M2642" s="3">
        <v>2235</v>
      </c>
      <c r="N2642">
        <v>0</v>
      </c>
      <c r="O2642">
        <v>11765</v>
      </c>
      <c r="P2642">
        <v>19781</v>
      </c>
      <c r="Q2642" t="s">
        <v>30</v>
      </c>
      <c r="R2642" t="s">
        <v>141</v>
      </c>
      <c r="S2642" t="str">
        <v>#N/A</v>
      </c>
      <c r="T2642" t="str">
        <v>#N/A</v>
      </c>
    </row>
    <row r="2643" spans="1:20" ht="13.7" customHeight="1" x14ac:dyDescent="0.25">
      <c r="A2643" t="s">
        <v>26</v>
      </c>
      <c r="B2643" t="s">
        <v>27</v>
      </c>
      <c r="C2643" t="s">
        <v>41</v>
      </c>
      <c r="D2643">
        <v>30</v>
      </c>
      <c r="E2643" s="5">
        <v>43783</v>
      </c>
      <c r="F2643">
        <v>24081005</v>
      </c>
      <c r="G2643" t="s">
        <v>729</v>
      </c>
      <c r="H2643" t="s">
        <v>1235</v>
      </c>
      <c r="I2643" t="s">
        <v>1236</v>
      </c>
      <c r="J2643">
        <v>1005</v>
      </c>
      <c r="K2643" t="s">
        <v>693</v>
      </c>
      <c r="L2643" s="3">
        <v>19781</v>
      </c>
      <c r="M2643" s="3">
        <v>1277</v>
      </c>
      <c r="N2643">
        <v>0</v>
      </c>
      <c r="O2643">
        <v>6723</v>
      </c>
      <c r="P2643">
        <v>21058</v>
      </c>
      <c r="Q2643" t="s">
        <v>30</v>
      </c>
      <c r="R2643" t="s">
        <v>171</v>
      </c>
      <c r="S2643" t="str">
        <v>#N/A</v>
      </c>
      <c r="T2643" t="str">
        <v>#N/A</v>
      </c>
    </row>
    <row r="2644" spans="1:20" ht="13.7" customHeight="1" x14ac:dyDescent="0.25">
      <c r="E2644" s="5">
        <v>43465</v>
      </c>
      <c r="F2644">
        <v>24081005</v>
      </c>
      <c r="G2644" t="s">
        <v>729</v>
      </c>
      <c r="H2644" t="s">
        <v>1639</v>
      </c>
      <c r="I2644" t="s">
        <v>1640</v>
      </c>
      <c r="J2644">
        <v>0</v>
      </c>
      <c r="K2644">
        <v>0</v>
      </c>
      <c r="L2644" s="3">
        <v>2089886</v>
      </c>
      <c r="M2644" s="3">
        <v>0</v>
      </c>
      <c r="N2644">
        <v>0</v>
      </c>
      <c r="O2644">
        <v>10999400</v>
      </c>
      <c r="P2644">
        <v>2089886</v>
      </c>
      <c r="R2644" t="s">
        <v>1100</v>
      </c>
      <c r="S2644" t="str">
        <v>#N/A</v>
      </c>
      <c r="T2644" t="str">
        <v>#N/A</v>
      </c>
    </row>
    <row r="2645" spans="1:20" ht="13.7" customHeight="1" x14ac:dyDescent="0.25">
      <c r="E2645" s="5">
        <v>43465</v>
      </c>
      <c r="F2645">
        <v>24081005</v>
      </c>
      <c r="G2645" t="s">
        <v>729</v>
      </c>
      <c r="H2645" t="s">
        <v>1366</v>
      </c>
      <c r="I2645" t="s">
        <v>1367</v>
      </c>
      <c r="J2645">
        <v>0</v>
      </c>
      <c r="K2645">
        <v>0</v>
      </c>
      <c r="L2645" s="3">
        <v>3911.56</v>
      </c>
      <c r="M2645" s="3">
        <v>0</v>
      </c>
      <c r="N2645">
        <v>0</v>
      </c>
      <c r="O2645">
        <v>20588</v>
      </c>
      <c r="P2645">
        <v>3911.56</v>
      </c>
      <c r="R2645" t="s">
        <v>1100</v>
      </c>
      <c r="S2645" t="str">
        <v>#N/A</v>
      </c>
      <c r="T2645" t="str">
        <v>#N/A</v>
      </c>
    </row>
    <row r="2646" spans="1:20" ht="13.7" customHeight="1" x14ac:dyDescent="0.25">
      <c r="A2646" t="s">
        <v>26</v>
      </c>
      <c r="B2646" t="s">
        <v>27</v>
      </c>
      <c r="C2646" t="s">
        <v>40</v>
      </c>
      <c r="D2646">
        <v>21</v>
      </c>
      <c r="E2646" s="5">
        <v>43750</v>
      </c>
      <c r="F2646">
        <v>24081005</v>
      </c>
      <c r="G2646" t="s">
        <v>729</v>
      </c>
      <c r="H2646" t="s">
        <v>1366</v>
      </c>
      <c r="I2646" t="s">
        <v>1367</v>
      </c>
      <c r="J2646">
        <v>1005</v>
      </c>
      <c r="K2646" t="s">
        <v>693</v>
      </c>
      <c r="L2646" s="3">
        <v>3911.56</v>
      </c>
      <c r="M2646" s="3">
        <v>307</v>
      </c>
      <c r="N2646">
        <v>0</v>
      </c>
      <c r="O2646">
        <v>1616</v>
      </c>
      <c r="P2646">
        <v>4218.5600000000004</v>
      </c>
      <c r="Q2646" t="s">
        <v>30</v>
      </c>
      <c r="R2646" t="s">
        <v>167</v>
      </c>
      <c r="S2646" t="str">
        <v>#N/A</v>
      </c>
      <c r="T2646" t="str">
        <v>#N/A</v>
      </c>
    </row>
    <row r="2647" spans="1:20" ht="13.7" customHeight="1" x14ac:dyDescent="0.25">
      <c r="E2647" s="5">
        <v>43465</v>
      </c>
      <c r="F2647">
        <v>24081005</v>
      </c>
      <c r="G2647" t="s">
        <v>729</v>
      </c>
      <c r="H2647" t="s">
        <v>1641</v>
      </c>
      <c r="I2647" t="s">
        <v>1642</v>
      </c>
      <c r="J2647">
        <v>0</v>
      </c>
      <c r="K2647">
        <v>0</v>
      </c>
      <c r="L2647" s="3">
        <v>622.82000000000005</v>
      </c>
      <c r="M2647" s="3">
        <v>0</v>
      </c>
      <c r="N2647">
        <v>0</v>
      </c>
      <c r="O2647">
        <v>3278</v>
      </c>
      <c r="P2647">
        <v>622.82000000000005</v>
      </c>
      <c r="R2647" t="s">
        <v>1100</v>
      </c>
      <c r="S2647" t="str">
        <v>#N/A</v>
      </c>
      <c r="T2647" t="str">
        <v>#N/A</v>
      </c>
    </row>
    <row r="2648" spans="1:20" ht="13.7" customHeight="1" x14ac:dyDescent="0.25">
      <c r="E2648" s="5">
        <v>43465</v>
      </c>
      <c r="F2648">
        <v>24081005</v>
      </c>
      <c r="G2648" t="s">
        <v>729</v>
      </c>
      <c r="H2648" t="s">
        <v>1378</v>
      </c>
      <c r="I2648" t="s">
        <v>1379</v>
      </c>
      <c r="J2648">
        <v>0</v>
      </c>
      <c r="K2648">
        <v>0</v>
      </c>
      <c r="L2648" s="3">
        <v>0</v>
      </c>
      <c r="M2648" s="3">
        <v>0</v>
      </c>
      <c r="N2648">
        <v>0</v>
      </c>
      <c r="O2648">
        <v>0</v>
      </c>
      <c r="P2648">
        <v>0</v>
      </c>
      <c r="R2648" t="s">
        <v>1100</v>
      </c>
      <c r="S2648" t="str">
        <v>#N/A</v>
      </c>
      <c r="T2648" t="str">
        <v>#N/A</v>
      </c>
    </row>
    <row r="2649" spans="1:20" ht="13.7" customHeight="1" x14ac:dyDescent="0.25">
      <c r="A2649" t="s">
        <v>26</v>
      </c>
      <c r="B2649" t="s">
        <v>27</v>
      </c>
      <c r="C2649" t="s">
        <v>35</v>
      </c>
      <c r="D2649">
        <v>56</v>
      </c>
      <c r="E2649" s="5">
        <v>43602</v>
      </c>
      <c r="F2649">
        <v>24081005</v>
      </c>
      <c r="G2649" t="s">
        <v>729</v>
      </c>
      <c r="H2649" t="s">
        <v>1378</v>
      </c>
      <c r="I2649" t="s">
        <v>1379</v>
      </c>
      <c r="J2649">
        <v>1005</v>
      </c>
      <c r="K2649" t="s">
        <v>693</v>
      </c>
      <c r="L2649" s="3">
        <v>0</v>
      </c>
      <c r="M2649" s="3">
        <v>6452</v>
      </c>
      <c r="N2649">
        <v>0</v>
      </c>
      <c r="O2649">
        <v>33960</v>
      </c>
      <c r="P2649">
        <v>6452</v>
      </c>
      <c r="Q2649" t="s">
        <v>30</v>
      </c>
      <c r="R2649" t="s">
        <v>135</v>
      </c>
      <c r="S2649" t="str">
        <v>#N/A</v>
      </c>
      <c r="T2649" t="str">
        <v>#N/A</v>
      </c>
    </row>
    <row r="2650" spans="1:20" ht="13.7" customHeight="1" x14ac:dyDescent="0.25">
      <c r="E2650" s="5">
        <v>43465</v>
      </c>
      <c r="F2650">
        <v>24081005</v>
      </c>
      <c r="G2650" t="s">
        <v>729</v>
      </c>
      <c r="H2650" t="s">
        <v>1643</v>
      </c>
      <c r="I2650" t="s">
        <v>1644</v>
      </c>
      <c r="J2650">
        <v>0</v>
      </c>
      <c r="K2650">
        <v>0</v>
      </c>
      <c r="L2650" s="3">
        <v>1740</v>
      </c>
      <c r="M2650" s="3">
        <v>0</v>
      </c>
      <c r="N2650">
        <v>0</v>
      </c>
      <c r="O2650">
        <v>9160</v>
      </c>
      <c r="P2650">
        <v>1740</v>
      </c>
      <c r="R2650" t="s">
        <v>1100</v>
      </c>
      <c r="S2650" t="str">
        <v>#N/A</v>
      </c>
      <c r="T2650" t="str">
        <v>#N/A</v>
      </c>
    </row>
    <row r="2651" spans="1:20" ht="13.7" customHeight="1" x14ac:dyDescent="0.25">
      <c r="E2651" s="5">
        <v>43465</v>
      </c>
      <c r="F2651">
        <v>24081005</v>
      </c>
      <c r="G2651" t="s">
        <v>729</v>
      </c>
      <c r="H2651" t="s">
        <v>1645</v>
      </c>
      <c r="I2651" t="s">
        <v>1646</v>
      </c>
      <c r="J2651">
        <v>0</v>
      </c>
      <c r="K2651">
        <v>0</v>
      </c>
      <c r="L2651" s="3">
        <v>4790</v>
      </c>
      <c r="M2651" s="3">
        <v>0</v>
      </c>
      <c r="N2651">
        <v>0</v>
      </c>
      <c r="O2651">
        <v>25210</v>
      </c>
      <c r="P2651">
        <v>4790</v>
      </c>
      <c r="R2651" t="s">
        <v>1100</v>
      </c>
      <c r="S2651" t="str">
        <v>#N/A</v>
      </c>
      <c r="T2651" t="str">
        <v>#N/A</v>
      </c>
    </row>
    <row r="2652" spans="1:20" ht="13.7" customHeight="1" x14ac:dyDescent="0.25">
      <c r="E2652" s="5">
        <v>43465</v>
      </c>
      <c r="F2652">
        <v>24081005</v>
      </c>
      <c r="G2652" t="s">
        <v>729</v>
      </c>
      <c r="H2652" t="s">
        <v>1647</v>
      </c>
      <c r="I2652" t="s">
        <v>1648</v>
      </c>
      <c r="J2652">
        <v>0</v>
      </c>
      <c r="K2652">
        <v>0</v>
      </c>
      <c r="L2652" s="3">
        <v>1915</v>
      </c>
      <c r="M2652" s="3">
        <v>0</v>
      </c>
      <c r="N2652">
        <v>0</v>
      </c>
      <c r="O2652">
        <v>10084</v>
      </c>
      <c r="P2652">
        <v>1915</v>
      </c>
      <c r="R2652" t="s">
        <v>1100</v>
      </c>
      <c r="S2652" t="str">
        <v>#N/A</v>
      </c>
      <c r="T2652" t="str">
        <v>#N/A</v>
      </c>
    </row>
    <row r="2653" spans="1:20" ht="13.7" customHeight="1" x14ac:dyDescent="0.25">
      <c r="E2653" s="5">
        <v>43465</v>
      </c>
      <c r="F2653">
        <v>24081005</v>
      </c>
      <c r="G2653" t="s">
        <v>729</v>
      </c>
      <c r="H2653" t="s">
        <v>1519</v>
      </c>
      <c r="I2653" t="s">
        <v>1520</v>
      </c>
      <c r="J2653">
        <v>0</v>
      </c>
      <c r="K2653">
        <v>0</v>
      </c>
      <c r="L2653" s="3">
        <v>399</v>
      </c>
      <c r="M2653" s="3">
        <v>0</v>
      </c>
      <c r="N2653">
        <v>0</v>
      </c>
      <c r="O2653">
        <v>2100</v>
      </c>
      <c r="P2653">
        <v>399</v>
      </c>
      <c r="R2653" t="s">
        <v>1100</v>
      </c>
      <c r="S2653" t="str">
        <v>#N/A</v>
      </c>
      <c r="T2653" t="str">
        <v>#N/A</v>
      </c>
    </row>
    <row r="2654" spans="1:20" ht="13.7" customHeight="1" x14ac:dyDescent="0.25">
      <c r="E2654" s="5">
        <v>43465</v>
      </c>
      <c r="F2654">
        <v>24081005</v>
      </c>
      <c r="G2654" t="s">
        <v>729</v>
      </c>
      <c r="H2654" t="s">
        <v>1649</v>
      </c>
      <c r="I2654" t="s">
        <v>1650</v>
      </c>
      <c r="J2654">
        <v>0</v>
      </c>
      <c r="K2654">
        <v>0</v>
      </c>
      <c r="L2654" s="3">
        <v>1677</v>
      </c>
      <c r="M2654" s="3">
        <v>0</v>
      </c>
      <c r="N2654">
        <v>0</v>
      </c>
      <c r="O2654">
        <v>8823</v>
      </c>
      <c r="P2654">
        <v>1677</v>
      </c>
      <c r="R2654" t="s">
        <v>1100</v>
      </c>
      <c r="S2654" t="str">
        <v>#N/A</v>
      </c>
      <c r="T2654" t="str">
        <v>#N/A</v>
      </c>
    </row>
    <row r="2655" spans="1:20" ht="13.7" customHeight="1" x14ac:dyDescent="0.25">
      <c r="A2655" t="s">
        <v>26</v>
      </c>
      <c r="B2655" t="s">
        <v>27</v>
      </c>
      <c r="C2655" t="s">
        <v>91</v>
      </c>
      <c r="D2655">
        <v>39</v>
      </c>
      <c r="E2655" s="5">
        <v>43539</v>
      </c>
      <c r="F2655">
        <v>24081005</v>
      </c>
      <c r="G2655" t="s">
        <v>729</v>
      </c>
      <c r="H2655" t="s">
        <v>1649</v>
      </c>
      <c r="I2655" t="s">
        <v>1650</v>
      </c>
      <c r="J2655">
        <v>1005</v>
      </c>
      <c r="K2655" t="s">
        <v>693</v>
      </c>
      <c r="L2655" s="3">
        <v>1677</v>
      </c>
      <c r="M2655" s="3">
        <v>3353</v>
      </c>
      <c r="N2655">
        <v>0</v>
      </c>
      <c r="O2655">
        <v>17647</v>
      </c>
      <c r="P2655">
        <v>5030</v>
      </c>
      <c r="Q2655" t="s">
        <v>30</v>
      </c>
      <c r="R2655" t="s">
        <v>100</v>
      </c>
      <c r="S2655" t="str">
        <v>#N/A</v>
      </c>
      <c r="T2655" t="str">
        <v>#N/A</v>
      </c>
    </row>
    <row r="2656" spans="1:20" ht="13.7" customHeight="1" x14ac:dyDescent="0.25">
      <c r="E2656" s="5">
        <v>43465</v>
      </c>
      <c r="F2656">
        <v>24081005</v>
      </c>
      <c r="G2656" t="s">
        <v>729</v>
      </c>
      <c r="H2656" t="s">
        <v>1321</v>
      </c>
      <c r="I2656" t="s">
        <v>1322</v>
      </c>
      <c r="J2656">
        <v>0</v>
      </c>
      <c r="K2656">
        <v>0</v>
      </c>
      <c r="L2656" s="3">
        <v>0</v>
      </c>
      <c r="M2656" s="3">
        <v>0</v>
      </c>
      <c r="N2656">
        <v>0</v>
      </c>
      <c r="O2656">
        <v>0</v>
      </c>
      <c r="P2656">
        <v>0</v>
      </c>
      <c r="R2656" t="s">
        <v>1100</v>
      </c>
      <c r="S2656" t="str">
        <v>#N/A</v>
      </c>
      <c r="T2656" t="str">
        <v>#N/A</v>
      </c>
    </row>
    <row r="2657" spans="1:20" ht="13.7" customHeight="1" x14ac:dyDescent="0.25">
      <c r="A2657" t="s">
        <v>26</v>
      </c>
      <c r="B2657" t="s">
        <v>27</v>
      </c>
      <c r="C2657" t="s">
        <v>34</v>
      </c>
      <c r="D2657">
        <v>14</v>
      </c>
      <c r="E2657" s="5">
        <v>43561</v>
      </c>
      <c r="F2657">
        <v>24081005</v>
      </c>
      <c r="G2657" t="s">
        <v>729</v>
      </c>
      <c r="H2657" t="s">
        <v>1321</v>
      </c>
      <c r="I2657" t="s">
        <v>1322</v>
      </c>
      <c r="J2657">
        <v>1005</v>
      </c>
      <c r="K2657" t="s">
        <v>693</v>
      </c>
      <c r="L2657" s="3">
        <v>0</v>
      </c>
      <c r="M2657" s="3">
        <v>2203</v>
      </c>
      <c r="N2657">
        <v>0</v>
      </c>
      <c r="O2657">
        <v>11597</v>
      </c>
      <c r="P2657">
        <v>2203</v>
      </c>
      <c r="Q2657" t="s">
        <v>30</v>
      </c>
      <c r="R2657" t="s">
        <v>116</v>
      </c>
      <c r="S2657" t="str">
        <v>#N/A</v>
      </c>
      <c r="T2657" t="str">
        <v>#N/A</v>
      </c>
    </row>
    <row r="2658" spans="1:20" ht="13.7" customHeight="1" x14ac:dyDescent="0.25">
      <c r="E2658" s="5">
        <v>43465</v>
      </c>
      <c r="F2658">
        <v>24081005</v>
      </c>
      <c r="G2658" t="s">
        <v>729</v>
      </c>
      <c r="H2658" t="s">
        <v>1651</v>
      </c>
      <c r="I2658" t="s">
        <v>1652</v>
      </c>
      <c r="J2658">
        <v>0</v>
      </c>
      <c r="K2658">
        <v>0</v>
      </c>
      <c r="L2658" s="3">
        <v>559</v>
      </c>
      <c r="M2658" s="3">
        <v>0</v>
      </c>
      <c r="N2658">
        <v>0</v>
      </c>
      <c r="O2658">
        <v>2941</v>
      </c>
      <c r="P2658">
        <v>559</v>
      </c>
      <c r="R2658" t="s">
        <v>1100</v>
      </c>
      <c r="S2658" t="str">
        <v>#N/A</v>
      </c>
      <c r="T2658" t="str">
        <v>#N/A</v>
      </c>
    </row>
    <row r="2659" spans="1:20" ht="13.7" customHeight="1" x14ac:dyDescent="0.25">
      <c r="E2659" s="5">
        <v>43465</v>
      </c>
      <c r="F2659">
        <v>24081005</v>
      </c>
      <c r="G2659" t="s">
        <v>729</v>
      </c>
      <c r="H2659" t="s">
        <v>1653</v>
      </c>
      <c r="I2659" t="s">
        <v>1654</v>
      </c>
      <c r="J2659">
        <v>0</v>
      </c>
      <c r="K2659">
        <v>0</v>
      </c>
      <c r="L2659" s="3">
        <v>24269</v>
      </c>
      <c r="M2659" s="3">
        <v>0</v>
      </c>
      <c r="N2659">
        <v>0</v>
      </c>
      <c r="O2659">
        <v>127731</v>
      </c>
      <c r="P2659">
        <v>24269</v>
      </c>
      <c r="R2659" t="s">
        <v>1100</v>
      </c>
      <c r="S2659" t="str">
        <v>#N/A</v>
      </c>
      <c r="T2659" t="str">
        <v>#N/A</v>
      </c>
    </row>
    <row r="2660" spans="1:20" ht="13.7" customHeight="1" x14ac:dyDescent="0.25">
      <c r="E2660" s="5">
        <v>43465</v>
      </c>
      <c r="F2660">
        <v>24081020</v>
      </c>
      <c r="G2660" t="s">
        <v>730</v>
      </c>
      <c r="H2660" t="s">
        <v>1175</v>
      </c>
      <c r="I2660" t="s">
        <v>1176</v>
      </c>
      <c r="J2660">
        <v>0</v>
      </c>
      <c r="K2660">
        <v>0</v>
      </c>
      <c r="L2660" s="3">
        <v>0</v>
      </c>
      <c r="M2660" s="3">
        <v>0</v>
      </c>
      <c r="N2660">
        <v>0</v>
      </c>
      <c r="O2660">
        <v>0</v>
      </c>
      <c r="P2660">
        <v>0</v>
      </c>
      <c r="R2660" t="s">
        <v>1100</v>
      </c>
      <c r="S2660" t="str">
        <v>#N/A</v>
      </c>
      <c r="T2660" t="str">
        <v>#N/A</v>
      </c>
    </row>
    <row r="2661" spans="1:20" ht="13.7" customHeight="1" x14ac:dyDescent="0.25">
      <c r="A2661" t="s">
        <v>26</v>
      </c>
      <c r="B2661" t="s">
        <v>27</v>
      </c>
      <c r="C2661" t="s">
        <v>36</v>
      </c>
      <c r="D2661">
        <v>38</v>
      </c>
      <c r="E2661" s="5">
        <v>43633</v>
      </c>
      <c r="F2661">
        <v>24081020</v>
      </c>
      <c r="G2661" t="s">
        <v>730</v>
      </c>
      <c r="H2661" t="s">
        <v>1175</v>
      </c>
      <c r="I2661" t="s">
        <v>1176</v>
      </c>
      <c r="J2661">
        <v>1005</v>
      </c>
      <c r="K2661" t="s">
        <v>693</v>
      </c>
      <c r="L2661" s="3">
        <v>0</v>
      </c>
      <c r="M2661" s="3">
        <v>45600</v>
      </c>
      <c r="N2661">
        <v>0</v>
      </c>
      <c r="O2661">
        <v>240000</v>
      </c>
      <c r="P2661">
        <v>45600</v>
      </c>
      <c r="Q2661" t="s">
        <v>30</v>
      </c>
      <c r="R2661" t="s">
        <v>64</v>
      </c>
      <c r="S2661" t="str">
        <v>#N/A</v>
      </c>
      <c r="T2661" t="str">
        <v>#N/A</v>
      </c>
    </row>
    <row r="2662" spans="1:20" ht="13.7" customHeight="1" x14ac:dyDescent="0.25">
      <c r="A2662" t="s">
        <v>26</v>
      </c>
      <c r="B2662" t="s">
        <v>27</v>
      </c>
      <c r="C2662" t="s">
        <v>36</v>
      </c>
      <c r="D2662">
        <v>60</v>
      </c>
      <c r="E2662" s="5">
        <v>43643</v>
      </c>
      <c r="F2662">
        <v>24081020</v>
      </c>
      <c r="G2662" t="s">
        <v>730</v>
      </c>
      <c r="H2662" t="s">
        <v>1175</v>
      </c>
      <c r="I2662" t="s">
        <v>1176</v>
      </c>
      <c r="J2662">
        <v>1005</v>
      </c>
      <c r="K2662" t="s">
        <v>693</v>
      </c>
      <c r="L2662" s="3">
        <v>45600</v>
      </c>
      <c r="M2662" s="3">
        <v>91200</v>
      </c>
      <c r="N2662">
        <v>0</v>
      </c>
      <c r="O2662">
        <v>480000</v>
      </c>
      <c r="P2662">
        <v>136800</v>
      </c>
      <c r="Q2662" t="s">
        <v>30</v>
      </c>
      <c r="R2662" t="s">
        <v>64</v>
      </c>
      <c r="S2662" t="str">
        <v>#N/A</v>
      </c>
      <c r="T2662" t="str">
        <v>#N/A</v>
      </c>
    </row>
    <row r="2663" spans="1:20" ht="13.7" customHeight="1" x14ac:dyDescent="0.25">
      <c r="E2663" s="5">
        <v>43465</v>
      </c>
      <c r="F2663">
        <v>24081020</v>
      </c>
      <c r="G2663" t="s">
        <v>730</v>
      </c>
      <c r="H2663" t="s">
        <v>1115</v>
      </c>
      <c r="I2663" t="s">
        <v>1116</v>
      </c>
      <c r="J2663">
        <v>0</v>
      </c>
      <c r="K2663">
        <v>0</v>
      </c>
      <c r="L2663" s="3">
        <v>371089</v>
      </c>
      <c r="M2663" s="3">
        <v>0</v>
      </c>
      <c r="N2663">
        <v>0</v>
      </c>
      <c r="O2663">
        <v>1953100</v>
      </c>
      <c r="P2663">
        <v>371089</v>
      </c>
      <c r="R2663" t="s">
        <v>1100</v>
      </c>
      <c r="S2663" t="str">
        <v>#N/A</v>
      </c>
      <c r="T2663" t="str">
        <v>13</v>
      </c>
    </row>
    <row r="2664" spans="1:20" ht="13.7" customHeight="1" x14ac:dyDescent="0.25">
      <c r="E2664" s="5">
        <v>43465</v>
      </c>
      <c r="F2664">
        <v>24081020</v>
      </c>
      <c r="G2664" t="s">
        <v>730</v>
      </c>
      <c r="H2664" t="s">
        <v>1197</v>
      </c>
      <c r="I2664" t="s">
        <v>1198</v>
      </c>
      <c r="J2664">
        <v>0</v>
      </c>
      <c r="K2664">
        <v>0</v>
      </c>
      <c r="L2664" s="3">
        <v>0</v>
      </c>
      <c r="M2664" s="3">
        <v>0</v>
      </c>
      <c r="N2664">
        <v>0</v>
      </c>
      <c r="O2664">
        <v>0</v>
      </c>
      <c r="P2664">
        <v>0</v>
      </c>
      <c r="R2664" t="s">
        <v>1100</v>
      </c>
      <c r="S2664" t="str">
        <v>#N/A</v>
      </c>
      <c r="T2664" t="str">
        <v>13</v>
      </c>
    </row>
    <row r="2665" spans="1:20" ht="13.7" customHeight="1" x14ac:dyDescent="0.25">
      <c r="A2665" t="s">
        <v>26</v>
      </c>
      <c r="B2665" t="s">
        <v>27</v>
      </c>
      <c r="C2665" t="s">
        <v>91</v>
      </c>
      <c r="D2665">
        <v>43</v>
      </c>
      <c r="E2665" s="5">
        <v>43542</v>
      </c>
      <c r="F2665">
        <v>24081020</v>
      </c>
      <c r="G2665" t="s">
        <v>730</v>
      </c>
      <c r="H2665" t="s">
        <v>1197</v>
      </c>
      <c r="I2665" t="s">
        <v>1198</v>
      </c>
      <c r="J2665">
        <v>1005</v>
      </c>
      <c r="K2665" t="s">
        <v>693</v>
      </c>
      <c r="L2665" s="3">
        <v>0</v>
      </c>
      <c r="M2665" s="3">
        <v>511</v>
      </c>
      <c r="N2665">
        <v>0</v>
      </c>
      <c r="O2665">
        <v>2689</v>
      </c>
      <c r="P2665">
        <v>511</v>
      </c>
      <c r="Q2665" t="s">
        <v>30</v>
      </c>
      <c r="R2665" t="s">
        <v>102</v>
      </c>
      <c r="S2665" t="str">
        <v>#N/A</v>
      </c>
      <c r="T2665" t="str">
        <v>13</v>
      </c>
    </row>
    <row r="2666" spans="1:20" ht="13.7" customHeight="1" x14ac:dyDescent="0.25">
      <c r="E2666" s="5">
        <v>43465</v>
      </c>
      <c r="F2666">
        <v>24081020</v>
      </c>
      <c r="G2666" t="s">
        <v>730</v>
      </c>
      <c r="H2666" t="s">
        <v>1231</v>
      </c>
      <c r="I2666" t="s">
        <v>1232</v>
      </c>
      <c r="J2666">
        <v>0</v>
      </c>
      <c r="K2666">
        <v>0</v>
      </c>
      <c r="L2666" s="3">
        <v>942</v>
      </c>
      <c r="M2666" s="3">
        <v>0</v>
      </c>
      <c r="N2666">
        <v>0</v>
      </c>
      <c r="O2666">
        <v>4957</v>
      </c>
      <c r="P2666">
        <v>942</v>
      </c>
      <c r="R2666" t="s">
        <v>1100</v>
      </c>
      <c r="S2666" t="str">
        <v>#N/A</v>
      </c>
      <c r="T2666" t="str">
        <v>#N/A</v>
      </c>
    </row>
    <row r="2667" spans="1:20" ht="13.7" customHeight="1" x14ac:dyDescent="0.25">
      <c r="E2667" s="5">
        <v>43465</v>
      </c>
      <c r="F2667">
        <v>24081020</v>
      </c>
      <c r="G2667" t="s">
        <v>730</v>
      </c>
      <c r="H2667" t="s">
        <v>1655</v>
      </c>
      <c r="I2667" t="s">
        <v>1656</v>
      </c>
      <c r="J2667">
        <v>0</v>
      </c>
      <c r="K2667">
        <v>0</v>
      </c>
      <c r="L2667" s="3">
        <v>479</v>
      </c>
      <c r="M2667" s="3">
        <v>0</v>
      </c>
      <c r="N2667">
        <v>0</v>
      </c>
      <c r="O2667">
        <v>2521</v>
      </c>
      <c r="P2667">
        <v>479</v>
      </c>
      <c r="R2667" t="s">
        <v>1100</v>
      </c>
      <c r="S2667" t="str">
        <v>#N/A</v>
      </c>
      <c r="T2667" t="str">
        <v>#N/A</v>
      </c>
    </row>
    <row r="2668" spans="1:20" ht="13.7" customHeight="1" x14ac:dyDescent="0.25">
      <c r="E2668" s="5">
        <v>43465</v>
      </c>
      <c r="F2668">
        <v>24081020</v>
      </c>
      <c r="G2668" t="s">
        <v>730</v>
      </c>
      <c r="H2668" t="s">
        <v>1237</v>
      </c>
      <c r="I2668" t="s">
        <v>1238</v>
      </c>
      <c r="J2668">
        <v>0</v>
      </c>
      <c r="K2668">
        <v>0</v>
      </c>
      <c r="L2668" s="3">
        <v>43614</v>
      </c>
      <c r="M2668" s="3">
        <v>0</v>
      </c>
      <c r="N2668">
        <v>0</v>
      </c>
      <c r="O2668">
        <v>229548</v>
      </c>
      <c r="P2668">
        <v>43614</v>
      </c>
      <c r="R2668" t="s">
        <v>1100</v>
      </c>
      <c r="S2668" t="str">
        <v>#N/A</v>
      </c>
      <c r="T2668" t="str">
        <v>31</v>
      </c>
    </row>
    <row r="2669" spans="1:20" ht="13.7" customHeight="1" x14ac:dyDescent="0.25">
      <c r="A2669" t="s">
        <v>26</v>
      </c>
      <c r="B2669" t="s">
        <v>27</v>
      </c>
      <c r="C2669" t="s">
        <v>28</v>
      </c>
      <c r="D2669">
        <v>70</v>
      </c>
      <c r="E2669" s="5">
        <v>43493</v>
      </c>
      <c r="F2669">
        <v>24081020</v>
      </c>
      <c r="G2669" t="s">
        <v>730</v>
      </c>
      <c r="H2669" t="s">
        <v>1237</v>
      </c>
      <c r="I2669" t="s">
        <v>1238</v>
      </c>
      <c r="J2669">
        <v>1005</v>
      </c>
      <c r="K2669" t="s">
        <v>693</v>
      </c>
      <c r="L2669" s="3">
        <v>43614</v>
      </c>
      <c r="M2669" s="3">
        <v>4202</v>
      </c>
      <c r="N2669">
        <v>0</v>
      </c>
      <c r="O2669">
        <v>22120</v>
      </c>
      <c r="P2669">
        <v>47816</v>
      </c>
      <c r="Q2669" t="s">
        <v>30</v>
      </c>
      <c r="R2669" t="s">
        <v>203</v>
      </c>
      <c r="S2669" t="str">
        <v>#N/A</v>
      </c>
      <c r="T2669" t="str">
        <v>31</v>
      </c>
    </row>
    <row r="2670" spans="1:20" ht="13.7" customHeight="1" x14ac:dyDescent="0.25">
      <c r="A2670" t="s">
        <v>26</v>
      </c>
      <c r="B2670" t="s">
        <v>27</v>
      </c>
      <c r="C2670" t="s">
        <v>32</v>
      </c>
      <c r="D2670">
        <v>46</v>
      </c>
      <c r="E2670" s="5">
        <v>43519</v>
      </c>
      <c r="F2670">
        <v>24081020</v>
      </c>
      <c r="G2670" t="s">
        <v>730</v>
      </c>
      <c r="H2670" t="s">
        <v>1237</v>
      </c>
      <c r="I2670" t="s">
        <v>1238</v>
      </c>
      <c r="J2670">
        <v>1005</v>
      </c>
      <c r="K2670" t="s">
        <v>693</v>
      </c>
      <c r="L2670" s="3">
        <v>47816</v>
      </c>
      <c r="M2670" s="3">
        <v>4203</v>
      </c>
      <c r="N2670">
        <v>0</v>
      </c>
      <c r="O2670">
        <v>22120</v>
      </c>
      <c r="P2670">
        <v>52019</v>
      </c>
      <c r="Q2670" t="s">
        <v>30</v>
      </c>
      <c r="R2670" t="s">
        <v>203</v>
      </c>
      <c r="S2670" t="str">
        <v>#N/A</v>
      </c>
      <c r="T2670" t="str">
        <v>31</v>
      </c>
    </row>
    <row r="2671" spans="1:20" ht="13.7" customHeight="1" x14ac:dyDescent="0.25">
      <c r="A2671" t="s">
        <v>26</v>
      </c>
      <c r="B2671" t="s">
        <v>27</v>
      </c>
      <c r="C2671" t="s">
        <v>91</v>
      </c>
      <c r="D2671">
        <v>38</v>
      </c>
      <c r="E2671" s="5">
        <v>43565</v>
      </c>
      <c r="F2671">
        <v>24081020</v>
      </c>
      <c r="G2671" t="s">
        <v>730</v>
      </c>
      <c r="H2671" t="s">
        <v>1237</v>
      </c>
      <c r="I2671" t="s">
        <v>1238</v>
      </c>
      <c r="J2671">
        <v>1005</v>
      </c>
      <c r="K2671" t="s">
        <v>693</v>
      </c>
      <c r="L2671" s="3">
        <v>52019</v>
      </c>
      <c r="M2671" s="3">
        <v>4203</v>
      </c>
      <c r="N2671">
        <v>0</v>
      </c>
      <c r="O2671">
        <v>22120</v>
      </c>
      <c r="P2671">
        <v>56222</v>
      </c>
      <c r="Q2671" t="s">
        <v>30</v>
      </c>
      <c r="R2671" t="s">
        <v>250</v>
      </c>
      <c r="S2671" t="str">
        <v>#N/A</v>
      </c>
      <c r="T2671" t="str">
        <v>31</v>
      </c>
    </row>
    <row r="2672" spans="1:20" ht="13.7" customHeight="1" x14ac:dyDescent="0.25">
      <c r="A2672" t="s">
        <v>26</v>
      </c>
      <c r="B2672" t="s">
        <v>27</v>
      </c>
      <c r="C2672" t="s">
        <v>34</v>
      </c>
      <c r="D2672">
        <v>33</v>
      </c>
      <c r="E2672" s="5">
        <v>43570</v>
      </c>
      <c r="F2672">
        <v>24081020</v>
      </c>
      <c r="G2672" t="s">
        <v>730</v>
      </c>
      <c r="H2672" t="s">
        <v>1237</v>
      </c>
      <c r="I2672" t="s">
        <v>1238</v>
      </c>
      <c r="J2672">
        <v>1005</v>
      </c>
      <c r="K2672" t="s">
        <v>693</v>
      </c>
      <c r="L2672" s="3">
        <v>56222</v>
      </c>
      <c r="M2672" s="3">
        <v>4203</v>
      </c>
      <c r="N2672">
        <v>0</v>
      </c>
      <c r="O2672">
        <v>22120</v>
      </c>
      <c r="P2672">
        <v>60425</v>
      </c>
      <c r="Q2672" t="s">
        <v>30</v>
      </c>
      <c r="R2672" t="s">
        <v>203</v>
      </c>
      <c r="S2672" t="str">
        <v>#N/A</v>
      </c>
      <c r="T2672" t="str">
        <v>31</v>
      </c>
    </row>
    <row r="2673" spans="1:20" ht="13.7" customHeight="1" x14ac:dyDescent="0.25">
      <c r="A2673" t="s">
        <v>26</v>
      </c>
      <c r="B2673" t="s">
        <v>27</v>
      </c>
      <c r="C2673" t="s">
        <v>35</v>
      </c>
      <c r="D2673">
        <v>52</v>
      </c>
      <c r="E2673" s="5">
        <v>43601</v>
      </c>
      <c r="F2673">
        <v>24081020</v>
      </c>
      <c r="G2673" t="s">
        <v>730</v>
      </c>
      <c r="H2673" t="s">
        <v>1237</v>
      </c>
      <c r="I2673" t="s">
        <v>1238</v>
      </c>
      <c r="J2673">
        <v>1005</v>
      </c>
      <c r="K2673" t="s">
        <v>693</v>
      </c>
      <c r="L2673" s="3">
        <v>60425</v>
      </c>
      <c r="M2673" s="3">
        <v>4203</v>
      </c>
      <c r="N2673">
        <v>0</v>
      </c>
      <c r="O2673">
        <v>22120</v>
      </c>
      <c r="P2673">
        <v>64628</v>
      </c>
      <c r="Q2673" t="s">
        <v>30</v>
      </c>
      <c r="R2673" t="s">
        <v>203</v>
      </c>
      <c r="S2673" t="str">
        <v>#N/A</v>
      </c>
      <c r="T2673" t="str">
        <v>31</v>
      </c>
    </row>
    <row r="2674" spans="1:20" ht="13.7" customHeight="1" x14ac:dyDescent="0.25">
      <c r="A2674" t="s">
        <v>26</v>
      </c>
      <c r="B2674" t="s">
        <v>27</v>
      </c>
      <c r="C2674" t="s">
        <v>36</v>
      </c>
      <c r="D2674">
        <v>41</v>
      </c>
      <c r="E2674" s="5">
        <v>43634</v>
      </c>
      <c r="F2674">
        <v>24081020</v>
      </c>
      <c r="G2674" t="s">
        <v>730</v>
      </c>
      <c r="H2674" t="s">
        <v>1237</v>
      </c>
      <c r="I2674" t="s">
        <v>1238</v>
      </c>
      <c r="J2674">
        <v>1005</v>
      </c>
      <c r="K2674" t="s">
        <v>693</v>
      </c>
      <c r="L2674" s="3">
        <v>64628</v>
      </c>
      <c r="M2674" s="3">
        <v>4203</v>
      </c>
      <c r="N2674">
        <v>0</v>
      </c>
      <c r="O2674">
        <v>22120</v>
      </c>
      <c r="P2674">
        <v>68831</v>
      </c>
      <c r="Q2674" t="s">
        <v>30</v>
      </c>
      <c r="R2674" t="s">
        <v>203</v>
      </c>
      <c r="S2674" t="str">
        <v>#N/A</v>
      </c>
      <c r="T2674" t="str">
        <v>31</v>
      </c>
    </row>
    <row r="2675" spans="1:20" ht="13.7" customHeight="1" x14ac:dyDescent="0.25">
      <c r="A2675" t="s">
        <v>26</v>
      </c>
      <c r="B2675" t="s">
        <v>27</v>
      </c>
      <c r="C2675" t="s">
        <v>37</v>
      </c>
      <c r="D2675">
        <v>47</v>
      </c>
      <c r="E2675" s="5">
        <v>43664</v>
      </c>
      <c r="F2675">
        <v>24081020</v>
      </c>
      <c r="G2675" t="s">
        <v>730</v>
      </c>
      <c r="H2675" t="s">
        <v>1237</v>
      </c>
      <c r="I2675" t="s">
        <v>1238</v>
      </c>
      <c r="J2675">
        <v>1005</v>
      </c>
      <c r="K2675" t="s">
        <v>693</v>
      </c>
      <c r="L2675" s="3">
        <v>68831</v>
      </c>
      <c r="M2675" s="3">
        <v>4203</v>
      </c>
      <c r="N2675">
        <v>0</v>
      </c>
      <c r="O2675">
        <v>22120</v>
      </c>
      <c r="P2675">
        <v>73034</v>
      </c>
      <c r="Q2675" t="s">
        <v>30</v>
      </c>
      <c r="R2675" t="s">
        <v>203</v>
      </c>
      <c r="S2675" t="str">
        <v>#N/A</v>
      </c>
      <c r="T2675" t="str">
        <v>31</v>
      </c>
    </row>
    <row r="2676" spans="1:20" ht="13.7" customHeight="1" x14ac:dyDescent="0.25">
      <c r="A2676" t="s">
        <v>26</v>
      </c>
      <c r="B2676" t="s">
        <v>27</v>
      </c>
      <c r="C2676" t="s">
        <v>38</v>
      </c>
      <c r="D2676">
        <v>31</v>
      </c>
      <c r="E2676" s="5">
        <v>43694</v>
      </c>
      <c r="F2676">
        <v>24081020</v>
      </c>
      <c r="G2676" t="s">
        <v>730</v>
      </c>
      <c r="H2676" t="s">
        <v>1237</v>
      </c>
      <c r="I2676" t="s">
        <v>1238</v>
      </c>
      <c r="J2676">
        <v>1005</v>
      </c>
      <c r="K2676" t="s">
        <v>693</v>
      </c>
      <c r="L2676" s="3">
        <v>73034</v>
      </c>
      <c r="M2676" s="3">
        <v>4203</v>
      </c>
      <c r="N2676">
        <v>0</v>
      </c>
      <c r="O2676">
        <v>22120</v>
      </c>
      <c r="P2676">
        <v>77237</v>
      </c>
      <c r="Q2676" t="s">
        <v>30</v>
      </c>
      <c r="R2676" t="s">
        <v>203</v>
      </c>
      <c r="S2676" t="str">
        <v>#N/A</v>
      </c>
      <c r="T2676" t="str">
        <v>31</v>
      </c>
    </row>
    <row r="2677" spans="1:20" ht="13.7" customHeight="1" x14ac:dyDescent="0.25">
      <c r="A2677" t="s">
        <v>26</v>
      </c>
      <c r="B2677" t="s">
        <v>27</v>
      </c>
      <c r="C2677" t="s">
        <v>39</v>
      </c>
      <c r="D2677">
        <v>61</v>
      </c>
      <c r="E2677" s="5">
        <v>43736</v>
      </c>
      <c r="F2677">
        <v>24081020</v>
      </c>
      <c r="G2677" t="s">
        <v>730</v>
      </c>
      <c r="H2677" t="s">
        <v>1237</v>
      </c>
      <c r="I2677" t="s">
        <v>1238</v>
      </c>
      <c r="J2677">
        <v>1005</v>
      </c>
      <c r="K2677" t="s">
        <v>693</v>
      </c>
      <c r="L2677" s="3">
        <v>77237</v>
      </c>
      <c r="M2677" s="3">
        <v>4203</v>
      </c>
      <c r="N2677">
        <v>0</v>
      </c>
      <c r="O2677">
        <v>22120</v>
      </c>
      <c r="P2677">
        <v>81440</v>
      </c>
      <c r="Q2677" t="s">
        <v>30</v>
      </c>
      <c r="R2677" t="s">
        <v>203</v>
      </c>
      <c r="S2677" t="str">
        <v>#N/A</v>
      </c>
      <c r="T2677" t="str">
        <v>31</v>
      </c>
    </row>
    <row r="2678" spans="1:20" ht="13.7" customHeight="1" x14ac:dyDescent="0.25">
      <c r="A2678" t="s">
        <v>26</v>
      </c>
      <c r="B2678" t="s">
        <v>27</v>
      </c>
      <c r="C2678" t="s">
        <v>40</v>
      </c>
      <c r="D2678">
        <v>32</v>
      </c>
      <c r="E2678" s="5">
        <v>43756</v>
      </c>
      <c r="F2678">
        <v>24081020</v>
      </c>
      <c r="G2678" t="s">
        <v>730</v>
      </c>
      <c r="H2678" t="s">
        <v>1237</v>
      </c>
      <c r="I2678" t="s">
        <v>1238</v>
      </c>
      <c r="J2678">
        <v>1005</v>
      </c>
      <c r="K2678" t="s">
        <v>693</v>
      </c>
      <c r="L2678" s="3">
        <v>81440</v>
      </c>
      <c r="M2678" s="3">
        <v>4203</v>
      </c>
      <c r="N2678">
        <v>0</v>
      </c>
      <c r="O2678">
        <v>22120</v>
      </c>
      <c r="P2678">
        <v>85643</v>
      </c>
      <c r="Q2678" t="s">
        <v>30</v>
      </c>
      <c r="R2678" t="s">
        <v>203</v>
      </c>
      <c r="S2678" t="str">
        <v>#N/A</v>
      </c>
      <c r="T2678" t="str">
        <v>31</v>
      </c>
    </row>
    <row r="2679" spans="1:20" ht="13.7" customHeight="1" x14ac:dyDescent="0.25">
      <c r="A2679" t="s">
        <v>26</v>
      </c>
      <c r="B2679" t="s">
        <v>27</v>
      </c>
      <c r="C2679" t="s">
        <v>41</v>
      </c>
      <c r="D2679">
        <v>50</v>
      </c>
      <c r="E2679" s="5">
        <v>43758</v>
      </c>
      <c r="F2679">
        <v>24081020</v>
      </c>
      <c r="G2679" t="s">
        <v>730</v>
      </c>
      <c r="H2679" t="s">
        <v>1237</v>
      </c>
      <c r="I2679" t="s">
        <v>1238</v>
      </c>
      <c r="J2679">
        <v>1005</v>
      </c>
      <c r="K2679" t="s">
        <v>693</v>
      </c>
      <c r="L2679" s="3">
        <v>85643</v>
      </c>
      <c r="M2679" s="3">
        <v>4203</v>
      </c>
      <c r="N2679">
        <v>0</v>
      </c>
      <c r="O2679">
        <v>22120</v>
      </c>
      <c r="P2679">
        <v>89846</v>
      </c>
      <c r="Q2679" t="s">
        <v>30</v>
      </c>
      <c r="R2679" t="s">
        <v>203</v>
      </c>
      <c r="S2679" t="str">
        <v>#N/A</v>
      </c>
      <c r="T2679" t="str">
        <v>31</v>
      </c>
    </row>
    <row r="2680" spans="1:20" ht="13.7" customHeight="1" x14ac:dyDescent="0.25">
      <c r="A2680" t="s">
        <v>26</v>
      </c>
      <c r="B2680" t="s">
        <v>27</v>
      </c>
      <c r="C2680" t="s">
        <v>180</v>
      </c>
      <c r="D2680">
        <v>48</v>
      </c>
      <c r="E2680" s="5">
        <v>43817</v>
      </c>
      <c r="F2680">
        <v>24081020</v>
      </c>
      <c r="G2680" t="s">
        <v>730</v>
      </c>
      <c r="H2680" t="s">
        <v>1237</v>
      </c>
      <c r="I2680" t="s">
        <v>1238</v>
      </c>
      <c r="J2680">
        <v>1005</v>
      </c>
      <c r="K2680" t="s">
        <v>693</v>
      </c>
      <c r="L2680" s="3">
        <v>89846</v>
      </c>
      <c r="M2680" s="3">
        <v>4203</v>
      </c>
      <c r="N2680">
        <v>0</v>
      </c>
      <c r="O2680">
        <v>22120</v>
      </c>
      <c r="P2680">
        <v>94049</v>
      </c>
      <c r="Q2680" t="s">
        <v>30</v>
      </c>
      <c r="R2680" t="s">
        <v>203</v>
      </c>
      <c r="S2680" t="str">
        <v>#N/A</v>
      </c>
      <c r="T2680" t="str">
        <v>31</v>
      </c>
    </row>
    <row r="2681" spans="1:20" ht="13.7" customHeight="1" x14ac:dyDescent="0.25">
      <c r="E2681" s="5">
        <v>43465</v>
      </c>
      <c r="F2681">
        <v>24081020</v>
      </c>
      <c r="G2681" t="s">
        <v>730</v>
      </c>
      <c r="H2681" t="s">
        <v>1657</v>
      </c>
      <c r="I2681" t="s">
        <v>1658</v>
      </c>
      <c r="J2681">
        <v>0</v>
      </c>
      <c r="K2681">
        <v>0</v>
      </c>
      <c r="L2681" s="3">
        <v>655</v>
      </c>
      <c r="M2681" s="3">
        <v>0</v>
      </c>
      <c r="N2681">
        <v>0</v>
      </c>
      <c r="O2681">
        <v>3445</v>
      </c>
      <c r="P2681">
        <v>655</v>
      </c>
      <c r="R2681" t="s">
        <v>1100</v>
      </c>
      <c r="S2681" t="str">
        <v>#N/A</v>
      </c>
      <c r="T2681" t="str">
        <v>#N/A</v>
      </c>
    </row>
    <row r="2682" spans="1:20" ht="13.7" customHeight="1" x14ac:dyDescent="0.25">
      <c r="E2682" s="5">
        <v>43465</v>
      </c>
      <c r="F2682">
        <v>24081020</v>
      </c>
      <c r="G2682" t="s">
        <v>730</v>
      </c>
      <c r="H2682" t="s">
        <v>1257</v>
      </c>
      <c r="I2682" t="s">
        <v>1258</v>
      </c>
      <c r="J2682">
        <v>0</v>
      </c>
      <c r="K2682">
        <v>0</v>
      </c>
      <c r="L2682" s="3">
        <v>0</v>
      </c>
      <c r="M2682" s="3">
        <v>0</v>
      </c>
      <c r="N2682">
        <v>0</v>
      </c>
      <c r="O2682">
        <v>0</v>
      </c>
      <c r="P2682">
        <v>0</v>
      </c>
      <c r="R2682" t="s">
        <v>1100</v>
      </c>
      <c r="S2682" t="str">
        <v>#N/A</v>
      </c>
      <c r="T2682" t="str">
        <v>#N/A</v>
      </c>
    </row>
    <row r="2683" spans="1:20" ht="13.7" customHeight="1" x14ac:dyDescent="0.25">
      <c r="A2683" t="s">
        <v>26</v>
      </c>
      <c r="B2683" t="s">
        <v>27</v>
      </c>
      <c r="C2683" t="s">
        <v>37</v>
      </c>
      <c r="D2683">
        <v>22</v>
      </c>
      <c r="E2683" s="5">
        <v>43652</v>
      </c>
      <c r="F2683">
        <v>24081020</v>
      </c>
      <c r="G2683" t="s">
        <v>730</v>
      </c>
      <c r="H2683" t="s">
        <v>1257</v>
      </c>
      <c r="I2683" t="s">
        <v>1258</v>
      </c>
      <c r="J2683">
        <v>1005</v>
      </c>
      <c r="K2683" t="s">
        <v>693</v>
      </c>
      <c r="L2683" s="3">
        <v>0</v>
      </c>
      <c r="M2683" s="3">
        <v>958</v>
      </c>
      <c r="N2683">
        <v>0</v>
      </c>
      <c r="O2683">
        <v>5042</v>
      </c>
      <c r="P2683">
        <v>958</v>
      </c>
      <c r="Q2683" t="s">
        <v>30</v>
      </c>
      <c r="R2683" t="s">
        <v>150</v>
      </c>
      <c r="S2683" t="str">
        <v>#N/A</v>
      </c>
      <c r="T2683" t="str">
        <v>#N/A</v>
      </c>
    </row>
    <row r="2684" spans="1:20" ht="13.7" customHeight="1" x14ac:dyDescent="0.25">
      <c r="E2684" s="5">
        <v>43465</v>
      </c>
      <c r="F2684">
        <v>24081020</v>
      </c>
      <c r="G2684" t="s">
        <v>730</v>
      </c>
      <c r="H2684" t="s">
        <v>1161</v>
      </c>
      <c r="I2684" t="s">
        <v>1162</v>
      </c>
      <c r="J2684">
        <v>0</v>
      </c>
      <c r="K2684">
        <v>0</v>
      </c>
      <c r="L2684" s="3">
        <v>1254</v>
      </c>
      <c r="M2684" s="3">
        <v>0</v>
      </c>
      <c r="N2684">
        <v>0</v>
      </c>
      <c r="O2684">
        <v>6600</v>
      </c>
      <c r="P2684">
        <v>1254</v>
      </c>
      <c r="R2684" t="s">
        <v>1100</v>
      </c>
      <c r="S2684" t="str">
        <v>#N/A</v>
      </c>
      <c r="T2684" t="str">
        <v>#N/A</v>
      </c>
    </row>
    <row r="2685" spans="1:20" ht="13.7" customHeight="1" x14ac:dyDescent="0.25">
      <c r="A2685" t="s">
        <v>26</v>
      </c>
      <c r="B2685" t="s">
        <v>27</v>
      </c>
      <c r="C2685" t="s">
        <v>91</v>
      </c>
      <c r="D2685">
        <v>76</v>
      </c>
      <c r="E2685" s="5">
        <v>43552</v>
      </c>
      <c r="F2685">
        <v>24081020</v>
      </c>
      <c r="G2685" t="s">
        <v>730</v>
      </c>
      <c r="H2685" t="s">
        <v>1161</v>
      </c>
      <c r="I2685" t="s">
        <v>1162</v>
      </c>
      <c r="J2685">
        <v>1005</v>
      </c>
      <c r="K2685" t="s">
        <v>693</v>
      </c>
      <c r="L2685" s="3">
        <v>1254</v>
      </c>
      <c r="M2685" s="3">
        <v>627</v>
      </c>
      <c r="N2685">
        <v>0</v>
      </c>
      <c r="O2685">
        <v>3300</v>
      </c>
      <c r="P2685">
        <v>1881</v>
      </c>
      <c r="Q2685" t="s">
        <v>30</v>
      </c>
      <c r="R2685" t="s">
        <v>246</v>
      </c>
      <c r="S2685" t="str">
        <v>#N/A</v>
      </c>
      <c r="T2685" t="str">
        <v>#N/A</v>
      </c>
    </row>
    <row r="2686" spans="1:20" ht="13.7" customHeight="1" x14ac:dyDescent="0.25">
      <c r="A2686" t="s">
        <v>26</v>
      </c>
      <c r="B2686" t="s">
        <v>27</v>
      </c>
      <c r="C2686" t="s">
        <v>35</v>
      </c>
      <c r="D2686">
        <v>35</v>
      </c>
      <c r="E2686" s="5">
        <v>43596</v>
      </c>
      <c r="F2686">
        <v>24081020</v>
      </c>
      <c r="G2686" t="s">
        <v>730</v>
      </c>
      <c r="H2686" t="s">
        <v>1161</v>
      </c>
      <c r="I2686" t="s">
        <v>1162</v>
      </c>
      <c r="J2686">
        <v>1005</v>
      </c>
      <c r="K2686" t="s">
        <v>693</v>
      </c>
      <c r="L2686" s="3">
        <v>1881</v>
      </c>
      <c r="M2686" s="3">
        <v>627</v>
      </c>
      <c r="N2686">
        <v>0</v>
      </c>
      <c r="O2686">
        <v>3300</v>
      </c>
      <c r="P2686">
        <v>2508</v>
      </c>
      <c r="Q2686" t="s">
        <v>30</v>
      </c>
      <c r="R2686" t="s">
        <v>241</v>
      </c>
      <c r="S2686" t="str">
        <v>#N/A</v>
      </c>
      <c r="T2686" t="str">
        <v>#N/A</v>
      </c>
    </row>
    <row r="2687" spans="1:20" ht="13.7" customHeight="1" x14ac:dyDescent="0.25">
      <c r="A2687" t="s">
        <v>26</v>
      </c>
      <c r="B2687" t="s">
        <v>27</v>
      </c>
      <c r="C2687" t="s">
        <v>36</v>
      </c>
      <c r="D2687">
        <v>25</v>
      </c>
      <c r="E2687" s="5">
        <v>43629</v>
      </c>
      <c r="F2687">
        <v>24081020</v>
      </c>
      <c r="G2687" t="s">
        <v>730</v>
      </c>
      <c r="H2687" t="s">
        <v>1161</v>
      </c>
      <c r="I2687" t="s">
        <v>1162</v>
      </c>
      <c r="J2687">
        <v>1005</v>
      </c>
      <c r="K2687" t="s">
        <v>693</v>
      </c>
      <c r="L2687" s="3">
        <v>2508</v>
      </c>
      <c r="M2687" s="3">
        <v>627</v>
      </c>
      <c r="N2687">
        <v>0</v>
      </c>
      <c r="O2687">
        <v>3300</v>
      </c>
      <c r="P2687">
        <v>3135</v>
      </c>
      <c r="Q2687" t="s">
        <v>30</v>
      </c>
      <c r="R2687" t="s">
        <v>241</v>
      </c>
      <c r="S2687" t="str">
        <v>#N/A</v>
      </c>
      <c r="T2687" t="str">
        <v>#N/A</v>
      </c>
    </row>
    <row r="2688" spans="1:20" ht="13.7" customHeight="1" x14ac:dyDescent="0.25">
      <c r="A2688" t="s">
        <v>26</v>
      </c>
      <c r="B2688" t="s">
        <v>27</v>
      </c>
      <c r="C2688" t="s">
        <v>37</v>
      </c>
      <c r="D2688">
        <v>61</v>
      </c>
      <c r="E2688" s="5">
        <v>43675</v>
      </c>
      <c r="F2688">
        <v>24081020</v>
      </c>
      <c r="G2688" t="s">
        <v>730</v>
      </c>
      <c r="H2688" t="s">
        <v>1161</v>
      </c>
      <c r="I2688" t="s">
        <v>1162</v>
      </c>
      <c r="J2688">
        <v>1005</v>
      </c>
      <c r="K2688" t="s">
        <v>693</v>
      </c>
      <c r="L2688" s="3">
        <v>3135</v>
      </c>
      <c r="M2688" s="3">
        <v>627</v>
      </c>
      <c r="N2688">
        <v>0</v>
      </c>
      <c r="O2688">
        <v>3300</v>
      </c>
      <c r="P2688">
        <v>3762</v>
      </c>
      <c r="Q2688" t="s">
        <v>30</v>
      </c>
      <c r="R2688" t="s">
        <v>241</v>
      </c>
      <c r="S2688" t="str">
        <v>#N/A</v>
      </c>
      <c r="T2688" t="str">
        <v>#N/A</v>
      </c>
    </row>
    <row r="2689" spans="1:20" ht="13.7" customHeight="1" x14ac:dyDescent="0.25">
      <c r="A2689" t="s">
        <v>26</v>
      </c>
      <c r="B2689" t="s">
        <v>27</v>
      </c>
      <c r="C2689" t="s">
        <v>38</v>
      </c>
      <c r="D2689">
        <v>34</v>
      </c>
      <c r="E2689" s="5">
        <v>43699</v>
      </c>
      <c r="F2689">
        <v>24081020</v>
      </c>
      <c r="G2689" t="s">
        <v>730</v>
      </c>
      <c r="H2689" t="s">
        <v>1161</v>
      </c>
      <c r="I2689" t="s">
        <v>1162</v>
      </c>
      <c r="J2689">
        <v>1005</v>
      </c>
      <c r="K2689" t="s">
        <v>693</v>
      </c>
      <c r="L2689" s="3">
        <v>3762</v>
      </c>
      <c r="M2689" s="3">
        <v>627</v>
      </c>
      <c r="N2689">
        <v>0</v>
      </c>
      <c r="O2689">
        <v>3300</v>
      </c>
      <c r="P2689">
        <v>4389</v>
      </c>
      <c r="Q2689" t="s">
        <v>30</v>
      </c>
      <c r="R2689" t="s">
        <v>241</v>
      </c>
      <c r="S2689" t="str">
        <v>#N/A</v>
      </c>
      <c r="T2689" t="str">
        <v>#N/A</v>
      </c>
    </row>
    <row r="2690" spans="1:20" ht="13.7" customHeight="1" x14ac:dyDescent="0.25">
      <c r="A2690" t="s">
        <v>26</v>
      </c>
      <c r="B2690" t="s">
        <v>27</v>
      </c>
      <c r="C2690" t="s">
        <v>39</v>
      </c>
      <c r="D2690">
        <v>62</v>
      </c>
      <c r="E2690" s="5">
        <v>43722</v>
      </c>
      <c r="F2690">
        <v>24081020</v>
      </c>
      <c r="G2690" t="s">
        <v>730</v>
      </c>
      <c r="H2690" t="s">
        <v>1161</v>
      </c>
      <c r="I2690" t="s">
        <v>1162</v>
      </c>
      <c r="J2690">
        <v>1005</v>
      </c>
      <c r="K2690" t="s">
        <v>693</v>
      </c>
      <c r="L2690" s="3">
        <v>4389</v>
      </c>
      <c r="M2690" s="3">
        <v>627</v>
      </c>
      <c r="N2690">
        <v>0</v>
      </c>
      <c r="O2690">
        <v>3300</v>
      </c>
      <c r="P2690">
        <v>5016</v>
      </c>
      <c r="Q2690" t="s">
        <v>30</v>
      </c>
      <c r="R2690" t="s">
        <v>241</v>
      </c>
      <c r="S2690" t="str">
        <v>#N/A</v>
      </c>
      <c r="T2690" t="str">
        <v>#N/A</v>
      </c>
    </row>
    <row r="2691" spans="1:20" ht="13.7" customHeight="1" x14ac:dyDescent="0.25">
      <c r="E2691" s="5">
        <v>43465</v>
      </c>
      <c r="F2691">
        <v>24081020</v>
      </c>
      <c r="G2691" t="s">
        <v>730</v>
      </c>
      <c r="H2691" t="s">
        <v>1241</v>
      </c>
      <c r="I2691" t="s">
        <v>1242</v>
      </c>
      <c r="J2691">
        <v>0</v>
      </c>
      <c r="K2691">
        <v>0</v>
      </c>
      <c r="L2691" s="3">
        <v>0</v>
      </c>
      <c r="M2691" s="3">
        <v>0</v>
      </c>
      <c r="N2691">
        <v>0</v>
      </c>
      <c r="O2691">
        <v>0</v>
      </c>
      <c r="P2691">
        <v>0</v>
      </c>
      <c r="R2691" t="s">
        <v>1100</v>
      </c>
      <c r="S2691" t="str">
        <v>#N/A</v>
      </c>
      <c r="T2691" t="str">
        <v>#N/A</v>
      </c>
    </row>
    <row r="2692" spans="1:20" ht="13.7" customHeight="1" x14ac:dyDescent="0.25">
      <c r="A2692" t="s">
        <v>26</v>
      </c>
      <c r="B2692" t="s">
        <v>27</v>
      </c>
      <c r="C2692" t="s">
        <v>28</v>
      </c>
      <c r="D2692">
        <v>67</v>
      </c>
      <c r="E2692" s="5">
        <v>43491</v>
      </c>
      <c r="F2692">
        <v>24081020</v>
      </c>
      <c r="G2692" t="s">
        <v>730</v>
      </c>
      <c r="H2692" t="s">
        <v>1241</v>
      </c>
      <c r="I2692" t="s">
        <v>1242</v>
      </c>
      <c r="J2692">
        <v>1005</v>
      </c>
      <c r="K2692" t="s">
        <v>693</v>
      </c>
      <c r="L2692" s="3">
        <v>0</v>
      </c>
      <c r="M2692" s="3">
        <v>990</v>
      </c>
      <c r="N2692">
        <v>0</v>
      </c>
      <c r="O2692">
        <v>5210</v>
      </c>
      <c r="P2692">
        <v>990</v>
      </c>
      <c r="Q2692" t="s">
        <v>30</v>
      </c>
      <c r="R2692" t="s">
        <v>68</v>
      </c>
      <c r="S2692" t="str">
        <v>#N/A</v>
      </c>
      <c r="T2692" t="str">
        <v>#N/A</v>
      </c>
    </row>
    <row r="2693" spans="1:20" ht="13.7" customHeight="1" x14ac:dyDescent="0.25">
      <c r="E2693" s="5">
        <v>43465</v>
      </c>
      <c r="F2693">
        <v>24081020</v>
      </c>
      <c r="G2693" t="s">
        <v>730</v>
      </c>
      <c r="H2693" t="s">
        <v>1509</v>
      </c>
      <c r="I2693" t="s">
        <v>1510</v>
      </c>
      <c r="J2693">
        <v>0</v>
      </c>
      <c r="K2693">
        <v>0</v>
      </c>
      <c r="L2693" s="3">
        <v>559</v>
      </c>
      <c r="M2693" s="3">
        <v>0</v>
      </c>
      <c r="N2693">
        <v>0</v>
      </c>
      <c r="O2693">
        <v>2941</v>
      </c>
      <c r="P2693">
        <v>559</v>
      </c>
      <c r="R2693" t="s">
        <v>1100</v>
      </c>
      <c r="S2693" t="str">
        <v>#N/A</v>
      </c>
      <c r="T2693" t="str">
        <v>#N/A</v>
      </c>
    </row>
    <row r="2694" spans="1:20" ht="13.7" customHeight="1" x14ac:dyDescent="0.25">
      <c r="E2694" s="5">
        <v>43465</v>
      </c>
      <c r="F2694">
        <v>24081020</v>
      </c>
      <c r="G2694" t="s">
        <v>730</v>
      </c>
      <c r="H2694" t="s">
        <v>1253</v>
      </c>
      <c r="I2694" t="s">
        <v>1254</v>
      </c>
      <c r="J2694">
        <v>0</v>
      </c>
      <c r="K2694">
        <v>0</v>
      </c>
      <c r="L2694" s="3">
        <v>478</v>
      </c>
      <c r="M2694" s="3">
        <v>0</v>
      </c>
      <c r="N2694">
        <v>0</v>
      </c>
      <c r="O2694">
        <v>2522</v>
      </c>
      <c r="P2694">
        <v>478</v>
      </c>
      <c r="R2694" t="s">
        <v>1100</v>
      </c>
      <c r="S2694" t="str">
        <v>#N/A</v>
      </c>
      <c r="T2694" t="str">
        <v>#N/A</v>
      </c>
    </row>
    <row r="2695" spans="1:20" ht="13.7" customHeight="1" x14ac:dyDescent="0.25">
      <c r="A2695" t="s">
        <v>26</v>
      </c>
      <c r="B2695" t="s">
        <v>27</v>
      </c>
      <c r="C2695" t="s">
        <v>91</v>
      </c>
      <c r="D2695">
        <v>67</v>
      </c>
      <c r="E2695" s="5">
        <v>43554</v>
      </c>
      <c r="F2695">
        <v>24081020</v>
      </c>
      <c r="G2695" t="s">
        <v>730</v>
      </c>
      <c r="H2695" t="s">
        <v>1253</v>
      </c>
      <c r="I2695" t="s">
        <v>1254</v>
      </c>
      <c r="J2695">
        <v>1005</v>
      </c>
      <c r="K2695" t="s">
        <v>693</v>
      </c>
      <c r="L2695" s="3">
        <v>478</v>
      </c>
      <c r="M2695" s="3">
        <v>415</v>
      </c>
      <c r="N2695">
        <v>0</v>
      </c>
      <c r="O2695">
        <v>2185</v>
      </c>
      <c r="P2695">
        <v>893</v>
      </c>
      <c r="Q2695" t="s">
        <v>30</v>
      </c>
      <c r="R2695" t="s">
        <v>112</v>
      </c>
      <c r="S2695" t="str">
        <v>#N/A</v>
      </c>
      <c r="T2695" t="str">
        <v>#N/A</v>
      </c>
    </row>
    <row r="2696" spans="1:20" ht="13.7" customHeight="1" x14ac:dyDescent="0.25">
      <c r="A2696" t="s">
        <v>26</v>
      </c>
      <c r="B2696" t="s">
        <v>27</v>
      </c>
      <c r="C2696" t="s">
        <v>35</v>
      </c>
      <c r="D2696">
        <v>80</v>
      </c>
      <c r="E2696" s="5">
        <v>43609</v>
      </c>
      <c r="F2696">
        <v>24081020</v>
      </c>
      <c r="G2696" t="s">
        <v>730</v>
      </c>
      <c r="H2696" t="s">
        <v>1253</v>
      </c>
      <c r="I2696" t="s">
        <v>1254</v>
      </c>
      <c r="J2696">
        <v>1005</v>
      </c>
      <c r="K2696" t="s">
        <v>693</v>
      </c>
      <c r="L2696" s="3">
        <v>893</v>
      </c>
      <c r="M2696" s="3">
        <v>1150</v>
      </c>
      <c r="N2696">
        <v>0</v>
      </c>
      <c r="O2696">
        <v>6050</v>
      </c>
      <c r="P2696">
        <v>2043</v>
      </c>
      <c r="Q2696" t="s">
        <v>30</v>
      </c>
      <c r="R2696" t="s">
        <v>68</v>
      </c>
      <c r="S2696" t="str">
        <v>#N/A</v>
      </c>
      <c r="T2696" t="str">
        <v>#N/A</v>
      </c>
    </row>
    <row r="2697" spans="1:20" ht="13.7" customHeight="1" x14ac:dyDescent="0.25">
      <c r="E2697" s="5">
        <v>43465</v>
      </c>
      <c r="F2697">
        <v>24081020</v>
      </c>
      <c r="G2697" t="s">
        <v>730</v>
      </c>
      <c r="H2697" t="s">
        <v>1167</v>
      </c>
      <c r="I2697" t="s">
        <v>1168</v>
      </c>
      <c r="J2697">
        <v>0</v>
      </c>
      <c r="K2697">
        <v>0</v>
      </c>
      <c r="L2697" s="3">
        <v>139079</v>
      </c>
      <c r="M2697" s="3">
        <v>0</v>
      </c>
      <c r="N2697">
        <v>0</v>
      </c>
      <c r="O2697">
        <v>732001</v>
      </c>
      <c r="P2697">
        <v>139079</v>
      </c>
      <c r="R2697" t="s">
        <v>1100</v>
      </c>
      <c r="S2697" t="str">
        <v>#N/A</v>
      </c>
      <c r="T2697" t="str">
        <v>31</v>
      </c>
    </row>
    <row r="2698" spans="1:20" ht="13.7" customHeight="1" x14ac:dyDescent="0.25">
      <c r="A2698" t="s">
        <v>26</v>
      </c>
      <c r="B2698" t="s">
        <v>27</v>
      </c>
      <c r="C2698" t="s">
        <v>28</v>
      </c>
      <c r="D2698">
        <v>71</v>
      </c>
      <c r="E2698" s="5">
        <v>43493</v>
      </c>
      <c r="F2698">
        <v>24081020</v>
      </c>
      <c r="G2698" t="s">
        <v>730</v>
      </c>
      <c r="H2698" t="s">
        <v>1167</v>
      </c>
      <c r="I2698" t="s">
        <v>1168</v>
      </c>
      <c r="J2698">
        <v>1005</v>
      </c>
      <c r="K2698" t="s">
        <v>693</v>
      </c>
      <c r="L2698" s="3">
        <v>139079</v>
      </c>
      <c r="M2698" s="3">
        <v>12051</v>
      </c>
      <c r="N2698">
        <v>0</v>
      </c>
      <c r="O2698">
        <v>63425</v>
      </c>
      <c r="P2698">
        <v>151130</v>
      </c>
      <c r="Q2698" t="s">
        <v>30</v>
      </c>
      <c r="R2698" t="s">
        <v>204</v>
      </c>
      <c r="S2698" t="str">
        <v>#N/A</v>
      </c>
      <c r="T2698" t="str">
        <v>31</v>
      </c>
    </row>
    <row r="2699" spans="1:20" ht="13.7" customHeight="1" x14ac:dyDescent="0.25">
      <c r="A2699" t="s">
        <v>26</v>
      </c>
      <c r="B2699" t="s">
        <v>27</v>
      </c>
      <c r="C2699" t="s">
        <v>32</v>
      </c>
      <c r="D2699">
        <v>50</v>
      </c>
      <c r="E2699" s="5">
        <v>43521</v>
      </c>
      <c r="F2699">
        <v>24081020</v>
      </c>
      <c r="G2699" t="s">
        <v>730</v>
      </c>
      <c r="H2699" t="s">
        <v>1167</v>
      </c>
      <c r="I2699" t="s">
        <v>1168</v>
      </c>
      <c r="J2699">
        <v>1005</v>
      </c>
      <c r="K2699" t="s">
        <v>693</v>
      </c>
      <c r="L2699" s="3">
        <v>151130</v>
      </c>
      <c r="M2699" s="3">
        <v>12051</v>
      </c>
      <c r="N2699">
        <v>0</v>
      </c>
      <c r="O2699">
        <v>63425</v>
      </c>
      <c r="P2699">
        <v>163181</v>
      </c>
      <c r="Q2699" t="s">
        <v>30</v>
      </c>
      <c r="R2699" t="s">
        <v>204</v>
      </c>
      <c r="S2699" t="str">
        <v>#N/A</v>
      </c>
      <c r="T2699" t="str">
        <v>31</v>
      </c>
    </row>
    <row r="2700" spans="1:20" ht="13.7" customHeight="1" x14ac:dyDescent="0.25">
      <c r="A2700" t="s">
        <v>26</v>
      </c>
      <c r="B2700" t="s">
        <v>27</v>
      </c>
      <c r="C2700" t="s">
        <v>34</v>
      </c>
      <c r="D2700">
        <v>58</v>
      </c>
      <c r="E2700" s="5">
        <v>43581</v>
      </c>
      <c r="F2700">
        <v>24081020</v>
      </c>
      <c r="G2700" t="s">
        <v>730</v>
      </c>
      <c r="H2700" t="s">
        <v>1167</v>
      </c>
      <c r="I2700" t="s">
        <v>1168</v>
      </c>
      <c r="J2700">
        <v>1005</v>
      </c>
      <c r="K2700" t="s">
        <v>693</v>
      </c>
      <c r="L2700" s="3">
        <v>163181</v>
      </c>
      <c r="M2700" s="3">
        <v>12658</v>
      </c>
      <c r="N2700">
        <v>0</v>
      </c>
      <c r="O2700">
        <v>66618</v>
      </c>
      <c r="P2700">
        <v>175839</v>
      </c>
      <c r="Q2700" t="s">
        <v>30</v>
      </c>
      <c r="R2700" t="s">
        <v>204</v>
      </c>
      <c r="S2700" t="str">
        <v>#N/A</v>
      </c>
      <c r="T2700" t="str">
        <v>31</v>
      </c>
    </row>
    <row r="2701" spans="1:20" ht="13.7" customHeight="1" x14ac:dyDescent="0.25">
      <c r="A2701" t="s">
        <v>26</v>
      </c>
      <c r="B2701" t="s">
        <v>27</v>
      </c>
      <c r="C2701" t="s">
        <v>35</v>
      </c>
      <c r="D2701">
        <v>87</v>
      </c>
      <c r="E2701" s="5">
        <v>43612</v>
      </c>
      <c r="F2701">
        <v>24081020</v>
      </c>
      <c r="G2701" t="s">
        <v>730</v>
      </c>
      <c r="H2701" t="s">
        <v>1167</v>
      </c>
      <c r="I2701" t="s">
        <v>1168</v>
      </c>
      <c r="J2701">
        <v>1005</v>
      </c>
      <c r="K2701" t="s">
        <v>693</v>
      </c>
      <c r="L2701" s="3">
        <v>175839</v>
      </c>
      <c r="M2701" s="3">
        <v>10327</v>
      </c>
      <c r="N2701">
        <v>0</v>
      </c>
      <c r="O2701">
        <v>54349</v>
      </c>
      <c r="P2701">
        <v>186166</v>
      </c>
      <c r="Q2701" t="s">
        <v>30</v>
      </c>
      <c r="R2701" t="s">
        <v>204</v>
      </c>
      <c r="S2701" t="str">
        <v>#N/A</v>
      </c>
      <c r="T2701" t="str">
        <v>31</v>
      </c>
    </row>
    <row r="2702" spans="1:20" ht="13.7" customHeight="1" x14ac:dyDescent="0.25">
      <c r="A2702" t="s">
        <v>26</v>
      </c>
      <c r="B2702" t="s">
        <v>27</v>
      </c>
      <c r="C2702" t="s">
        <v>36</v>
      </c>
      <c r="D2702">
        <v>59</v>
      </c>
      <c r="E2702" s="5">
        <v>43642</v>
      </c>
      <c r="F2702">
        <v>24081020</v>
      </c>
      <c r="G2702" t="s">
        <v>730</v>
      </c>
      <c r="H2702" t="s">
        <v>1167</v>
      </c>
      <c r="I2702" t="s">
        <v>1168</v>
      </c>
      <c r="J2702">
        <v>1005</v>
      </c>
      <c r="K2702" t="s">
        <v>693</v>
      </c>
      <c r="L2702" s="3">
        <v>186166</v>
      </c>
      <c r="M2702" s="3">
        <v>10326</v>
      </c>
      <c r="N2702">
        <v>0</v>
      </c>
      <c r="O2702">
        <v>54349</v>
      </c>
      <c r="P2702">
        <v>196492</v>
      </c>
      <c r="Q2702" t="s">
        <v>30</v>
      </c>
      <c r="R2702" t="s">
        <v>204</v>
      </c>
      <c r="S2702" t="str">
        <v>#N/A</v>
      </c>
      <c r="T2702" t="str">
        <v>31</v>
      </c>
    </row>
    <row r="2703" spans="1:20" ht="13.7" customHeight="1" x14ac:dyDescent="0.25">
      <c r="A2703" t="s">
        <v>26</v>
      </c>
      <c r="B2703" t="s">
        <v>27</v>
      </c>
      <c r="C2703" t="s">
        <v>38</v>
      </c>
      <c r="D2703">
        <v>1</v>
      </c>
      <c r="E2703" s="5">
        <v>43679</v>
      </c>
      <c r="F2703">
        <v>24081020</v>
      </c>
      <c r="G2703" t="s">
        <v>730</v>
      </c>
      <c r="H2703" t="s">
        <v>1167</v>
      </c>
      <c r="I2703" t="s">
        <v>1168</v>
      </c>
      <c r="J2703">
        <v>1005</v>
      </c>
      <c r="K2703" t="s">
        <v>693</v>
      </c>
      <c r="L2703" s="3">
        <v>196492</v>
      </c>
      <c r="M2703" s="3">
        <v>10327</v>
      </c>
      <c r="N2703">
        <v>0</v>
      </c>
      <c r="O2703">
        <v>54349</v>
      </c>
      <c r="P2703">
        <v>206819</v>
      </c>
      <c r="Q2703" t="s">
        <v>30</v>
      </c>
      <c r="R2703" t="s">
        <v>204</v>
      </c>
      <c r="S2703" t="str">
        <v>#N/A</v>
      </c>
      <c r="T2703" t="str">
        <v>31</v>
      </c>
    </row>
    <row r="2704" spans="1:20" ht="13.7" customHeight="1" x14ac:dyDescent="0.25">
      <c r="A2704" t="s">
        <v>26</v>
      </c>
      <c r="B2704" t="s">
        <v>27</v>
      </c>
      <c r="C2704" t="s">
        <v>39</v>
      </c>
      <c r="D2704">
        <v>65</v>
      </c>
      <c r="E2704" s="5">
        <v>43738</v>
      </c>
      <c r="F2704">
        <v>24081020</v>
      </c>
      <c r="G2704" t="s">
        <v>730</v>
      </c>
      <c r="H2704" t="s">
        <v>1167</v>
      </c>
      <c r="I2704" t="s">
        <v>1168</v>
      </c>
      <c r="J2704">
        <v>1005</v>
      </c>
      <c r="K2704" t="s">
        <v>693</v>
      </c>
      <c r="L2704" s="3">
        <v>206819</v>
      </c>
      <c r="M2704" s="3">
        <v>10329</v>
      </c>
      <c r="N2704">
        <v>0</v>
      </c>
      <c r="O2704">
        <v>54361</v>
      </c>
      <c r="P2704">
        <v>217148</v>
      </c>
      <c r="Q2704" t="s">
        <v>30</v>
      </c>
      <c r="R2704" t="s">
        <v>204</v>
      </c>
      <c r="S2704" t="str">
        <v>#N/A</v>
      </c>
      <c r="T2704" t="str">
        <v>31</v>
      </c>
    </row>
    <row r="2705" spans="1:20" ht="13.7" customHeight="1" x14ac:dyDescent="0.25">
      <c r="A2705" t="s">
        <v>26</v>
      </c>
      <c r="B2705" t="s">
        <v>27</v>
      </c>
      <c r="C2705" t="s">
        <v>41</v>
      </c>
      <c r="D2705">
        <v>61</v>
      </c>
      <c r="E2705" s="5">
        <v>43794</v>
      </c>
      <c r="F2705">
        <v>24081020</v>
      </c>
      <c r="G2705" t="s">
        <v>730</v>
      </c>
      <c r="H2705" t="s">
        <v>1167</v>
      </c>
      <c r="I2705" t="s">
        <v>1168</v>
      </c>
      <c r="J2705">
        <v>1005</v>
      </c>
      <c r="K2705" t="s">
        <v>693</v>
      </c>
      <c r="L2705" s="3">
        <v>217148</v>
      </c>
      <c r="M2705" s="3">
        <v>10326</v>
      </c>
      <c r="N2705">
        <v>0</v>
      </c>
      <c r="O2705">
        <v>54349</v>
      </c>
      <c r="P2705">
        <v>227474</v>
      </c>
      <c r="Q2705" t="s">
        <v>30</v>
      </c>
      <c r="R2705" t="s">
        <v>204</v>
      </c>
      <c r="S2705" t="str">
        <v>#N/A</v>
      </c>
      <c r="T2705" t="str">
        <v>31</v>
      </c>
    </row>
    <row r="2706" spans="1:20" ht="13.7" customHeight="1" x14ac:dyDescent="0.25">
      <c r="E2706" s="5">
        <v>43465</v>
      </c>
      <c r="F2706">
        <v>24081020</v>
      </c>
      <c r="G2706" t="s">
        <v>730</v>
      </c>
      <c r="H2706" t="s">
        <v>1245</v>
      </c>
      <c r="I2706" t="s">
        <v>1246</v>
      </c>
      <c r="J2706">
        <v>0</v>
      </c>
      <c r="K2706">
        <v>0</v>
      </c>
      <c r="L2706" s="3">
        <v>0</v>
      </c>
      <c r="M2706" s="3">
        <v>0</v>
      </c>
      <c r="N2706">
        <v>0</v>
      </c>
      <c r="O2706">
        <v>0</v>
      </c>
      <c r="P2706">
        <v>0</v>
      </c>
      <c r="R2706" t="s">
        <v>1100</v>
      </c>
      <c r="S2706" t="str">
        <v>#N/A</v>
      </c>
      <c r="T2706" t="str">
        <v>#N/A</v>
      </c>
    </row>
    <row r="2707" spans="1:20" ht="13.7" customHeight="1" x14ac:dyDescent="0.25">
      <c r="A2707" t="s">
        <v>26</v>
      </c>
      <c r="B2707" t="s">
        <v>27</v>
      </c>
      <c r="C2707" t="s">
        <v>41</v>
      </c>
      <c r="D2707">
        <v>49</v>
      </c>
      <c r="E2707" s="5">
        <v>43789</v>
      </c>
      <c r="F2707">
        <v>24081020</v>
      </c>
      <c r="G2707" t="s">
        <v>730</v>
      </c>
      <c r="H2707" t="s">
        <v>1245</v>
      </c>
      <c r="I2707" t="s">
        <v>1246</v>
      </c>
      <c r="J2707">
        <v>1005</v>
      </c>
      <c r="K2707" t="s">
        <v>693</v>
      </c>
      <c r="L2707" s="3">
        <v>0</v>
      </c>
      <c r="M2707" s="3">
        <v>230376.89</v>
      </c>
      <c r="N2707">
        <v>0</v>
      </c>
      <c r="O2707">
        <v>1212509.94</v>
      </c>
      <c r="P2707">
        <v>230376.89</v>
      </c>
      <c r="Q2707" t="s">
        <v>30</v>
      </c>
      <c r="R2707" t="s">
        <v>307</v>
      </c>
      <c r="S2707" t="str">
        <v>#N/A</v>
      </c>
      <c r="T2707" t="str">
        <v>#N/A</v>
      </c>
    </row>
    <row r="2708" spans="1:20" ht="13.7" customHeight="1" x14ac:dyDescent="0.25">
      <c r="E2708" s="5">
        <v>43465</v>
      </c>
      <c r="F2708">
        <v>24081020</v>
      </c>
      <c r="G2708" t="s">
        <v>730</v>
      </c>
      <c r="H2708" t="s">
        <v>1251</v>
      </c>
      <c r="I2708" t="s">
        <v>1252</v>
      </c>
      <c r="J2708">
        <v>0</v>
      </c>
      <c r="K2708">
        <v>0</v>
      </c>
      <c r="L2708" s="3">
        <v>0</v>
      </c>
      <c r="M2708" s="3">
        <v>0</v>
      </c>
      <c r="N2708">
        <v>0</v>
      </c>
      <c r="O2708">
        <v>0</v>
      </c>
      <c r="P2708">
        <v>0</v>
      </c>
      <c r="R2708" t="s">
        <v>1100</v>
      </c>
      <c r="S2708" t="str">
        <v>#N/A</v>
      </c>
      <c r="T2708" t="str">
        <v>#N/A</v>
      </c>
    </row>
    <row r="2709" spans="1:20" ht="13.7" customHeight="1" x14ac:dyDescent="0.25">
      <c r="A2709" t="s">
        <v>26</v>
      </c>
      <c r="B2709" t="s">
        <v>27</v>
      </c>
      <c r="C2709" t="s">
        <v>34</v>
      </c>
      <c r="D2709">
        <v>46</v>
      </c>
      <c r="E2709" s="5">
        <v>43575</v>
      </c>
      <c r="F2709">
        <v>24081020</v>
      </c>
      <c r="G2709" t="s">
        <v>730</v>
      </c>
      <c r="H2709" t="s">
        <v>1251</v>
      </c>
      <c r="I2709" t="s">
        <v>1252</v>
      </c>
      <c r="J2709">
        <v>1005</v>
      </c>
      <c r="K2709" t="s">
        <v>693</v>
      </c>
      <c r="L2709" s="3">
        <v>0</v>
      </c>
      <c r="M2709" s="3">
        <v>495</v>
      </c>
      <c r="N2709">
        <v>0</v>
      </c>
      <c r="O2709">
        <v>2605</v>
      </c>
      <c r="P2709">
        <v>495</v>
      </c>
      <c r="Q2709" t="s">
        <v>30</v>
      </c>
      <c r="R2709" t="s">
        <v>68</v>
      </c>
      <c r="S2709" t="str">
        <v>#N/A</v>
      </c>
      <c r="T2709" t="str">
        <v>#N/A</v>
      </c>
    </row>
    <row r="2710" spans="1:20" ht="13.7" customHeight="1" x14ac:dyDescent="0.25">
      <c r="A2710" t="s">
        <v>26</v>
      </c>
      <c r="B2710" t="s">
        <v>27</v>
      </c>
      <c r="C2710" t="s">
        <v>35</v>
      </c>
      <c r="D2710">
        <v>66</v>
      </c>
      <c r="E2710" s="5">
        <v>43605</v>
      </c>
      <c r="F2710">
        <v>24081020</v>
      </c>
      <c r="G2710" t="s">
        <v>730</v>
      </c>
      <c r="H2710" t="s">
        <v>1251</v>
      </c>
      <c r="I2710" t="s">
        <v>1252</v>
      </c>
      <c r="J2710">
        <v>1005</v>
      </c>
      <c r="K2710" t="s">
        <v>693</v>
      </c>
      <c r="L2710" s="3">
        <v>495</v>
      </c>
      <c r="M2710" s="3">
        <v>495</v>
      </c>
      <c r="N2710">
        <v>0</v>
      </c>
      <c r="O2710">
        <v>2605</v>
      </c>
      <c r="P2710">
        <v>990</v>
      </c>
      <c r="Q2710" t="s">
        <v>30</v>
      </c>
      <c r="R2710" t="s">
        <v>68</v>
      </c>
      <c r="S2710" t="str">
        <v>#N/A</v>
      </c>
      <c r="T2710" t="str">
        <v>#N/A</v>
      </c>
    </row>
    <row r="2711" spans="1:20" ht="13.7" customHeight="1" x14ac:dyDescent="0.25">
      <c r="A2711" t="s">
        <v>26</v>
      </c>
      <c r="B2711" t="s">
        <v>27</v>
      </c>
      <c r="C2711" t="s">
        <v>41</v>
      </c>
      <c r="D2711">
        <v>60</v>
      </c>
      <c r="E2711" s="5">
        <v>43794</v>
      </c>
      <c r="F2711">
        <v>24081020</v>
      </c>
      <c r="G2711" t="s">
        <v>730</v>
      </c>
      <c r="H2711" t="s">
        <v>1251</v>
      </c>
      <c r="I2711" t="s">
        <v>1252</v>
      </c>
      <c r="J2711">
        <v>1005</v>
      </c>
      <c r="K2711" t="s">
        <v>693</v>
      </c>
      <c r="L2711" s="3">
        <v>990</v>
      </c>
      <c r="M2711" s="3">
        <v>494.96</v>
      </c>
      <c r="N2711">
        <v>0</v>
      </c>
      <c r="O2711">
        <v>2605.04</v>
      </c>
      <c r="P2711">
        <v>1484.96</v>
      </c>
      <c r="Q2711" t="s">
        <v>30</v>
      </c>
      <c r="R2711" t="s">
        <v>68</v>
      </c>
      <c r="S2711" t="str">
        <v>#N/A</v>
      </c>
      <c r="T2711" t="str">
        <v>#N/A</v>
      </c>
    </row>
    <row r="2712" spans="1:20" ht="13.7" customHeight="1" x14ac:dyDescent="0.25">
      <c r="A2712" t="s">
        <v>26</v>
      </c>
      <c r="B2712" t="s">
        <v>27</v>
      </c>
      <c r="C2712" t="s">
        <v>180</v>
      </c>
      <c r="D2712">
        <v>62</v>
      </c>
      <c r="E2712" s="5">
        <v>43823</v>
      </c>
      <c r="F2712">
        <v>24081020</v>
      </c>
      <c r="G2712" t="s">
        <v>730</v>
      </c>
      <c r="H2712" t="s">
        <v>1251</v>
      </c>
      <c r="I2712" t="s">
        <v>1252</v>
      </c>
      <c r="J2712">
        <v>1005</v>
      </c>
      <c r="K2712" t="s">
        <v>693</v>
      </c>
      <c r="L2712" s="3">
        <v>1484.96</v>
      </c>
      <c r="M2712" s="3">
        <v>495</v>
      </c>
      <c r="N2712">
        <v>0</v>
      </c>
      <c r="O2712">
        <v>2605</v>
      </c>
      <c r="P2712">
        <v>1979.96</v>
      </c>
      <c r="Q2712" t="s">
        <v>30</v>
      </c>
      <c r="R2712" t="s">
        <v>68</v>
      </c>
      <c r="S2712" t="str">
        <v>#N/A</v>
      </c>
      <c r="T2712" t="str">
        <v>#N/A</v>
      </c>
    </row>
    <row r="2713" spans="1:20" ht="13.7" customHeight="1" x14ac:dyDescent="0.25">
      <c r="E2713" s="5">
        <v>43465</v>
      </c>
      <c r="F2713">
        <v>24081020</v>
      </c>
      <c r="G2713" t="s">
        <v>730</v>
      </c>
      <c r="H2713" t="s">
        <v>1659</v>
      </c>
      <c r="I2713" t="s">
        <v>1660</v>
      </c>
      <c r="J2713">
        <v>0</v>
      </c>
      <c r="K2713">
        <v>0</v>
      </c>
      <c r="L2713" s="3">
        <v>511</v>
      </c>
      <c r="M2713" s="3">
        <v>0</v>
      </c>
      <c r="N2713">
        <v>0</v>
      </c>
      <c r="O2713">
        <v>2689</v>
      </c>
      <c r="P2713">
        <v>511</v>
      </c>
      <c r="R2713" t="s">
        <v>1100</v>
      </c>
      <c r="S2713" t="str">
        <v>#N/A</v>
      </c>
      <c r="T2713" t="str">
        <v>#N/A</v>
      </c>
    </row>
    <row r="2714" spans="1:20" ht="13.7" customHeight="1" x14ac:dyDescent="0.25">
      <c r="A2714" t="s">
        <v>26</v>
      </c>
      <c r="B2714" t="s">
        <v>27</v>
      </c>
      <c r="C2714" t="s">
        <v>34</v>
      </c>
      <c r="D2714">
        <v>60</v>
      </c>
      <c r="E2714" s="5">
        <v>43582</v>
      </c>
      <c r="F2714">
        <v>24081020</v>
      </c>
      <c r="G2714" t="s">
        <v>730</v>
      </c>
      <c r="H2714" t="s">
        <v>1659</v>
      </c>
      <c r="I2714" t="s">
        <v>1660</v>
      </c>
      <c r="J2714">
        <v>1005</v>
      </c>
      <c r="K2714" t="s">
        <v>693</v>
      </c>
      <c r="L2714" s="3">
        <v>511</v>
      </c>
      <c r="M2714" s="3">
        <v>559</v>
      </c>
      <c r="N2714">
        <v>0</v>
      </c>
      <c r="O2714">
        <v>2941</v>
      </c>
      <c r="P2714">
        <v>1070</v>
      </c>
      <c r="Q2714" t="s">
        <v>30</v>
      </c>
      <c r="R2714" t="s">
        <v>68</v>
      </c>
      <c r="S2714" t="str">
        <v>#N/A</v>
      </c>
      <c r="T2714" t="str">
        <v>#N/A</v>
      </c>
    </row>
    <row r="2715" spans="1:20" ht="13.7" customHeight="1" x14ac:dyDescent="0.25">
      <c r="A2715" t="s">
        <v>26</v>
      </c>
      <c r="B2715" t="s">
        <v>27</v>
      </c>
      <c r="C2715" t="s">
        <v>34</v>
      </c>
      <c r="D2715">
        <v>66</v>
      </c>
      <c r="E2715" s="5">
        <v>43585</v>
      </c>
      <c r="F2715">
        <v>24081020</v>
      </c>
      <c r="G2715" t="s">
        <v>730</v>
      </c>
      <c r="H2715" t="s">
        <v>1659</v>
      </c>
      <c r="I2715" t="s">
        <v>1660</v>
      </c>
      <c r="J2715">
        <v>1005</v>
      </c>
      <c r="K2715" t="s">
        <v>693</v>
      </c>
      <c r="L2715" s="3">
        <v>1070</v>
      </c>
      <c r="M2715" s="3">
        <v>559</v>
      </c>
      <c r="N2715">
        <v>0</v>
      </c>
      <c r="O2715">
        <v>2941</v>
      </c>
      <c r="P2715">
        <v>1629</v>
      </c>
      <c r="Q2715" t="s">
        <v>30</v>
      </c>
      <c r="R2715" t="s">
        <v>68</v>
      </c>
      <c r="S2715" t="str">
        <v>#N/A</v>
      </c>
      <c r="T2715" t="str">
        <v>#N/A</v>
      </c>
    </row>
    <row r="2716" spans="1:20" ht="13.7" customHeight="1" x14ac:dyDescent="0.25">
      <c r="E2716" s="5">
        <v>43465</v>
      </c>
      <c r="F2716">
        <v>24081020</v>
      </c>
      <c r="G2716" t="s">
        <v>730</v>
      </c>
      <c r="H2716" t="s">
        <v>1247</v>
      </c>
      <c r="I2716" t="s">
        <v>1248</v>
      </c>
      <c r="J2716">
        <v>0</v>
      </c>
      <c r="K2716">
        <v>0</v>
      </c>
      <c r="L2716" s="3">
        <v>0</v>
      </c>
      <c r="M2716" s="3">
        <v>0</v>
      </c>
      <c r="N2716">
        <v>0</v>
      </c>
      <c r="O2716">
        <v>0</v>
      </c>
      <c r="P2716">
        <v>0</v>
      </c>
      <c r="R2716" t="s">
        <v>1100</v>
      </c>
      <c r="S2716" t="str">
        <v>#N/A</v>
      </c>
      <c r="T2716" t="str">
        <v>#N/A</v>
      </c>
    </row>
    <row r="2717" spans="1:20" ht="13.7" customHeight="1" x14ac:dyDescent="0.25">
      <c r="A2717" t="s">
        <v>26</v>
      </c>
      <c r="B2717" t="s">
        <v>27</v>
      </c>
      <c r="C2717" t="s">
        <v>34</v>
      </c>
      <c r="D2717">
        <v>16</v>
      </c>
      <c r="E2717" s="5">
        <v>43563</v>
      </c>
      <c r="F2717">
        <v>24081020</v>
      </c>
      <c r="G2717" t="s">
        <v>730</v>
      </c>
      <c r="H2717" t="s">
        <v>1247</v>
      </c>
      <c r="I2717" t="s">
        <v>1248</v>
      </c>
      <c r="J2717">
        <v>1005</v>
      </c>
      <c r="K2717" t="s">
        <v>693</v>
      </c>
      <c r="L2717" s="3">
        <v>0</v>
      </c>
      <c r="M2717" s="3">
        <v>591</v>
      </c>
      <c r="N2717">
        <v>0</v>
      </c>
      <c r="O2717">
        <v>3109</v>
      </c>
      <c r="P2717">
        <v>591</v>
      </c>
      <c r="Q2717" t="s">
        <v>30</v>
      </c>
      <c r="R2717" t="s">
        <v>68</v>
      </c>
      <c r="S2717" t="str">
        <v>#N/A</v>
      </c>
      <c r="T2717" t="str">
        <v>#N/A</v>
      </c>
    </row>
    <row r="2718" spans="1:20" ht="13.7" customHeight="1" x14ac:dyDescent="0.25">
      <c r="E2718" s="5">
        <v>43465</v>
      </c>
      <c r="F2718">
        <v>24081020</v>
      </c>
      <c r="G2718" t="s">
        <v>730</v>
      </c>
      <c r="H2718" t="s">
        <v>1165</v>
      </c>
      <c r="I2718" t="s">
        <v>1166</v>
      </c>
      <c r="J2718">
        <v>0</v>
      </c>
      <c r="K2718">
        <v>0</v>
      </c>
      <c r="L2718" s="3">
        <v>0</v>
      </c>
      <c r="M2718" s="3">
        <v>0</v>
      </c>
      <c r="N2718">
        <v>0</v>
      </c>
      <c r="O2718">
        <v>0</v>
      </c>
      <c r="P2718">
        <v>0</v>
      </c>
      <c r="R2718" t="s">
        <v>1100</v>
      </c>
      <c r="S2718" t="str">
        <v>#N/A</v>
      </c>
      <c r="T2718" t="str">
        <v>31</v>
      </c>
    </row>
    <row r="2719" spans="1:20" ht="13.7" customHeight="1" x14ac:dyDescent="0.25">
      <c r="A2719" t="s">
        <v>26</v>
      </c>
      <c r="B2719" t="s">
        <v>27</v>
      </c>
      <c r="C2719" t="s">
        <v>36</v>
      </c>
      <c r="D2719">
        <v>45</v>
      </c>
      <c r="E2719" s="5">
        <v>43636</v>
      </c>
      <c r="F2719">
        <v>24081020</v>
      </c>
      <c r="G2719" t="s">
        <v>730</v>
      </c>
      <c r="H2719" t="s">
        <v>1165</v>
      </c>
      <c r="I2719" t="s">
        <v>1166</v>
      </c>
      <c r="J2719">
        <v>1005</v>
      </c>
      <c r="K2719" t="s">
        <v>693</v>
      </c>
      <c r="L2719" s="3">
        <v>0</v>
      </c>
      <c r="M2719" s="3">
        <v>9580</v>
      </c>
      <c r="N2719">
        <v>0</v>
      </c>
      <c r="O2719">
        <v>50420</v>
      </c>
      <c r="P2719">
        <v>9580</v>
      </c>
      <c r="Q2719" t="s">
        <v>30</v>
      </c>
      <c r="R2719" t="s">
        <v>148</v>
      </c>
      <c r="S2719" t="str">
        <v>#N/A</v>
      </c>
      <c r="T2719" t="str">
        <v>31</v>
      </c>
    </row>
    <row r="2720" spans="1:20" ht="13.7" customHeight="1" x14ac:dyDescent="0.25">
      <c r="E2720" s="5">
        <v>43465</v>
      </c>
      <c r="F2720">
        <v>24081020</v>
      </c>
      <c r="G2720" t="s">
        <v>730</v>
      </c>
      <c r="H2720" t="s">
        <v>1098</v>
      </c>
      <c r="I2720" t="s">
        <v>1099</v>
      </c>
      <c r="J2720">
        <v>0</v>
      </c>
      <c r="K2720">
        <v>0</v>
      </c>
      <c r="L2720" s="3">
        <v>199658.77</v>
      </c>
      <c r="M2720" s="3">
        <v>0</v>
      </c>
      <c r="N2720">
        <v>0</v>
      </c>
      <c r="O2720">
        <v>1049339.25</v>
      </c>
      <c r="P2720">
        <v>199658.77</v>
      </c>
      <c r="R2720" t="s">
        <v>1100</v>
      </c>
      <c r="S2720" t="str">
        <v>#N/A</v>
      </c>
      <c r="T2720" t="str">
        <v>31</v>
      </c>
    </row>
    <row r="2721" spans="1:20" ht="13.7" customHeight="1" x14ac:dyDescent="0.25">
      <c r="A2721" t="s">
        <v>26</v>
      </c>
      <c r="B2721" t="s">
        <v>27</v>
      </c>
      <c r="C2721" t="s">
        <v>32</v>
      </c>
      <c r="D2721">
        <v>43</v>
      </c>
      <c r="E2721" s="5">
        <v>43519</v>
      </c>
      <c r="F2721">
        <v>24081020</v>
      </c>
      <c r="G2721" t="s">
        <v>730</v>
      </c>
      <c r="H2721" t="s">
        <v>1098</v>
      </c>
      <c r="I2721" t="s">
        <v>1099</v>
      </c>
      <c r="J2721">
        <v>1005</v>
      </c>
      <c r="K2721" t="s">
        <v>693</v>
      </c>
      <c r="L2721" s="3">
        <v>199658.77</v>
      </c>
      <c r="M2721" s="3">
        <v>21007</v>
      </c>
      <c r="N2721">
        <v>0</v>
      </c>
      <c r="O2721">
        <v>110565</v>
      </c>
      <c r="P2721">
        <v>220665.77</v>
      </c>
      <c r="Q2721" t="s">
        <v>30</v>
      </c>
      <c r="R2721" t="s">
        <v>225</v>
      </c>
      <c r="S2721" t="str">
        <v>#N/A</v>
      </c>
      <c r="T2721" t="str">
        <v>31</v>
      </c>
    </row>
    <row r="2722" spans="1:20" ht="13.7" customHeight="1" x14ac:dyDescent="0.25">
      <c r="A2722" t="s">
        <v>26</v>
      </c>
      <c r="B2722" t="s">
        <v>27</v>
      </c>
      <c r="C2722" t="s">
        <v>91</v>
      </c>
      <c r="D2722">
        <v>78</v>
      </c>
      <c r="E2722" s="5">
        <v>43544</v>
      </c>
      <c r="F2722">
        <v>24081020</v>
      </c>
      <c r="G2722" t="s">
        <v>730</v>
      </c>
      <c r="H2722" t="s">
        <v>1098</v>
      </c>
      <c r="I2722" t="s">
        <v>1099</v>
      </c>
      <c r="J2722">
        <v>1005</v>
      </c>
      <c r="K2722" t="s">
        <v>693</v>
      </c>
      <c r="L2722" s="3">
        <v>220665.77</v>
      </c>
      <c r="M2722" s="3">
        <v>20948</v>
      </c>
      <c r="N2722">
        <v>0</v>
      </c>
      <c r="O2722">
        <v>110252</v>
      </c>
      <c r="P2722">
        <v>241613.77</v>
      </c>
      <c r="Q2722" t="s">
        <v>30</v>
      </c>
      <c r="R2722" t="s">
        <v>225</v>
      </c>
      <c r="S2722" t="str">
        <v>#N/A</v>
      </c>
      <c r="T2722" t="str">
        <v>31</v>
      </c>
    </row>
    <row r="2723" spans="1:20" ht="13.7" customHeight="1" x14ac:dyDescent="0.25">
      <c r="A2723" t="s">
        <v>26</v>
      </c>
      <c r="B2723" t="s">
        <v>27</v>
      </c>
      <c r="C2723" t="s">
        <v>34</v>
      </c>
      <c r="D2723">
        <v>51</v>
      </c>
      <c r="E2723" s="5">
        <v>43578</v>
      </c>
      <c r="F2723">
        <v>24081020</v>
      </c>
      <c r="G2723" t="s">
        <v>730</v>
      </c>
      <c r="H2723" t="s">
        <v>1098</v>
      </c>
      <c r="I2723" t="s">
        <v>1099</v>
      </c>
      <c r="J2723">
        <v>1005</v>
      </c>
      <c r="K2723" t="s">
        <v>693</v>
      </c>
      <c r="L2723" s="3">
        <v>241613.77</v>
      </c>
      <c r="M2723" s="3">
        <v>20948</v>
      </c>
      <c r="N2723">
        <v>0</v>
      </c>
      <c r="O2723">
        <v>110252</v>
      </c>
      <c r="P2723">
        <v>262561.77</v>
      </c>
      <c r="Q2723" t="s">
        <v>30</v>
      </c>
      <c r="R2723" t="s">
        <v>225</v>
      </c>
      <c r="S2723" t="str">
        <v>#N/A</v>
      </c>
      <c r="T2723" t="str">
        <v>31</v>
      </c>
    </row>
    <row r="2724" spans="1:20" ht="13.7" customHeight="1" x14ac:dyDescent="0.25">
      <c r="A2724" t="s">
        <v>26</v>
      </c>
      <c r="B2724" t="s">
        <v>27</v>
      </c>
      <c r="C2724" t="s">
        <v>35</v>
      </c>
      <c r="D2724">
        <v>69</v>
      </c>
      <c r="E2724" s="5">
        <v>43606</v>
      </c>
      <c r="F2724">
        <v>24081020</v>
      </c>
      <c r="G2724" t="s">
        <v>730</v>
      </c>
      <c r="H2724" t="s">
        <v>1098</v>
      </c>
      <c r="I2724" t="s">
        <v>1099</v>
      </c>
      <c r="J2724">
        <v>1005</v>
      </c>
      <c r="K2724" t="s">
        <v>693</v>
      </c>
      <c r="L2724" s="3">
        <v>262561.77</v>
      </c>
      <c r="M2724" s="3">
        <v>20948</v>
      </c>
      <c r="N2724">
        <v>0</v>
      </c>
      <c r="O2724">
        <v>110252</v>
      </c>
      <c r="P2724">
        <v>283509.77</v>
      </c>
      <c r="Q2724" t="s">
        <v>30</v>
      </c>
      <c r="R2724" t="s">
        <v>225</v>
      </c>
      <c r="S2724" t="str">
        <v>#N/A</v>
      </c>
      <c r="T2724" t="str">
        <v>31</v>
      </c>
    </row>
    <row r="2725" spans="1:20" ht="13.7" customHeight="1" x14ac:dyDescent="0.25">
      <c r="A2725" t="s">
        <v>26</v>
      </c>
      <c r="B2725" t="s">
        <v>27</v>
      </c>
      <c r="C2725" t="s">
        <v>36</v>
      </c>
      <c r="D2725">
        <v>58</v>
      </c>
      <c r="E2725" s="5">
        <v>43642</v>
      </c>
      <c r="F2725">
        <v>24081020</v>
      </c>
      <c r="G2725" t="s">
        <v>730</v>
      </c>
      <c r="H2725" t="s">
        <v>1098</v>
      </c>
      <c r="I2725" t="s">
        <v>1099</v>
      </c>
      <c r="J2725">
        <v>1005</v>
      </c>
      <c r="K2725" t="s">
        <v>693</v>
      </c>
      <c r="L2725" s="3">
        <v>283509.77</v>
      </c>
      <c r="M2725" s="3">
        <v>20948</v>
      </c>
      <c r="N2725">
        <v>0</v>
      </c>
      <c r="O2725">
        <v>110252</v>
      </c>
      <c r="P2725">
        <v>304457.77</v>
      </c>
      <c r="Q2725" t="s">
        <v>30</v>
      </c>
      <c r="R2725" t="s">
        <v>225</v>
      </c>
      <c r="S2725" t="str">
        <v>#N/A</v>
      </c>
      <c r="T2725" t="str">
        <v>31</v>
      </c>
    </row>
    <row r="2726" spans="1:20" ht="13.7" customHeight="1" x14ac:dyDescent="0.25">
      <c r="A2726" t="s">
        <v>26</v>
      </c>
      <c r="B2726" t="s">
        <v>27</v>
      </c>
      <c r="C2726" t="s">
        <v>37</v>
      </c>
      <c r="D2726">
        <v>55</v>
      </c>
      <c r="E2726" s="5">
        <v>43672</v>
      </c>
      <c r="F2726">
        <v>24081020</v>
      </c>
      <c r="G2726" t="s">
        <v>730</v>
      </c>
      <c r="H2726" t="s">
        <v>1098</v>
      </c>
      <c r="I2726" t="s">
        <v>1099</v>
      </c>
      <c r="J2726">
        <v>1005</v>
      </c>
      <c r="K2726" t="s">
        <v>693</v>
      </c>
      <c r="L2726" s="3">
        <v>304457.77</v>
      </c>
      <c r="M2726" s="3">
        <v>20948</v>
      </c>
      <c r="N2726">
        <v>0</v>
      </c>
      <c r="O2726">
        <v>110252</v>
      </c>
      <c r="P2726">
        <v>325405.77</v>
      </c>
      <c r="Q2726" t="s">
        <v>30</v>
      </c>
      <c r="R2726" t="s">
        <v>225</v>
      </c>
      <c r="S2726" t="str">
        <v>#N/A</v>
      </c>
      <c r="T2726" t="str">
        <v>31</v>
      </c>
    </row>
    <row r="2727" spans="1:20" ht="13.7" customHeight="1" x14ac:dyDescent="0.25">
      <c r="A2727" t="s">
        <v>26</v>
      </c>
      <c r="B2727" t="s">
        <v>27</v>
      </c>
      <c r="C2727" t="s">
        <v>38</v>
      </c>
      <c r="D2727">
        <v>50</v>
      </c>
      <c r="E2727" s="5">
        <v>43704</v>
      </c>
      <c r="F2727">
        <v>24081020</v>
      </c>
      <c r="G2727" t="s">
        <v>730</v>
      </c>
      <c r="H2727" t="s">
        <v>1098</v>
      </c>
      <c r="I2727" t="s">
        <v>1099</v>
      </c>
      <c r="J2727">
        <v>1005</v>
      </c>
      <c r="K2727" t="s">
        <v>693</v>
      </c>
      <c r="L2727" s="3">
        <v>325405.77</v>
      </c>
      <c r="M2727" s="3">
        <v>20948</v>
      </c>
      <c r="N2727">
        <v>0</v>
      </c>
      <c r="O2727">
        <v>110252</v>
      </c>
      <c r="P2727">
        <v>346353.77</v>
      </c>
      <c r="Q2727" t="s">
        <v>30</v>
      </c>
      <c r="R2727" t="s">
        <v>225</v>
      </c>
      <c r="S2727" t="str">
        <v>#N/A</v>
      </c>
      <c r="T2727" t="str">
        <v>31</v>
      </c>
    </row>
    <row r="2728" spans="1:20" ht="13.7" customHeight="1" x14ac:dyDescent="0.25">
      <c r="A2728" t="s">
        <v>26</v>
      </c>
      <c r="B2728" t="s">
        <v>27</v>
      </c>
      <c r="C2728" t="s">
        <v>39</v>
      </c>
      <c r="D2728">
        <v>60</v>
      </c>
      <c r="E2728" s="5">
        <v>43736</v>
      </c>
      <c r="F2728">
        <v>24081020</v>
      </c>
      <c r="G2728" t="s">
        <v>730</v>
      </c>
      <c r="H2728" t="s">
        <v>1098</v>
      </c>
      <c r="I2728" t="s">
        <v>1099</v>
      </c>
      <c r="J2728">
        <v>1005</v>
      </c>
      <c r="K2728" t="s">
        <v>693</v>
      </c>
      <c r="L2728" s="3">
        <v>346353.77</v>
      </c>
      <c r="M2728" s="3">
        <v>20963</v>
      </c>
      <c r="N2728">
        <v>0</v>
      </c>
      <c r="O2728">
        <v>110331</v>
      </c>
      <c r="P2728">
        <v>367316.77</v>
      </c>
      <c r="Q2728" t="s">
        <v>30</v>
      </c>
      <c r="R2728" t="s">
        <v>225</v>
      </c>
      <c r="S2728" t="str">
        <v>#N/A</v>
      </c>
      <c r="T2728" t="str">
        <v>31</v>
      </c>
    </row>
    <row r="2729" spans="1:20" ht="13.7" customHeight="1" x14ac:dyDescent="0.25">
      <c r="A2729" t="s">
        <v>26</v>
      </c>
      <c r="B2729" t="s">
        <v>27</v>
      </c>
      <c r="C2729" t="s">
        <v>40</v>
      </c>
      <c r="D2729">
        <v>30</v>
      </c>
      <c r="E2729" s="5">
        <v>43756</v>
      </c>
      <c r="F2729">
        <v>24081020</v>
      </c>
      <c r="G2729" t="s">
        <v>730</v>
      </c>
      <c r="H2729" t="s">
        <v>1098</v>
      </c>
      <c r="I2729" t="s">
        <v>1099</v>
      </c>
      <c r="J2729">
        <v>1005</v>
      </c>
      <c r="K2729" t="s">
        <v>693</v>
      </c>
      <c r="L2729" s="3">
        <v>367316.77</v>
      </c>
      <c r="M2729" s="3">
        <v>20978</v>
      </c>
      <c r="N2729">
        <v>0</v>
      </c>
      <c r="O2729">
        <v>110410</v>
      </c>
      <c r="P2729">
        <v>388294.77</v>
      </c>
      <c r="Q2729" t="s">
        <v>30</v>
      </c>
      <c r="R2729" t="s">
        <v>225</v>
      </c>
      <c r="S2729" t="str">
        <v>#N/A</v>
      </c>
      <c r="T2729" t="str">
        <v>31</v>
      </c>
    </row>
    <row r="2730" spans="1:20" ht="13.7" customHeight="1" x14ac:dyDescent="0.25">
      <c r="A2730" t="s">
        <v>26</v>
      </c>
      <c r="B2730" t="s">
        <v>27</v>
      </c>
      <c r="C2730" t="s">
        <v>41</v>
      </c>
      <c r="D2730">
        <v>62</v>
      </c>
      <c r="E2730" s="5">
        <v>43794</v>
      </c>
      <c r="F2730">
        <v>24081020</v>
      </c>
      <c r="G2730" t="s">
        <v>730</v>
      </c>
      <c r="H2730" t="s">
        <v>1098</v>
      </c>
      <c r="I2730" t="s">
        <v>1099</v>
      </c>
      <c r="J2730">
        <v>1005</v>
      </c>
      <c r="K2730" t="s">
        <v>693</v>
      </c>
      <c r="L2730" s="3">
        <v>388294.77</v>
      </c>
      <c r="M2730" s="3">
        <v>20947.900000000001</v>
      </c>
      <c r="N2730">
        <v>0</v>
      </c>
      <c r="O2730">
        <v>110252</v>
      </c>
      <c r="P2730">
        <v>409242.67</v>
      </c>
      <c r="Q2730" t="s">
        <v>30</v>
      </c>
      <c r="R2730" t="s">
        <v>225</v>
      </c>
      <c r="S2730" t="str">
        <v>#N/A</v>
      </c>
      <c r="T2730" t="str">
        <v>31</v>
      </c>
    </row>
    <row r="2731" spans="1:20" ht="13.7" customHeight="1" x14ac:dyDescent="0.25">
      <c r="E2731" s="5">
        <v>43465</v>
      </c>
      <c r="F2731">
        <v>24081020</v>
      </c>
      <c r="G2731" t="s">
        <v>730</v>
      </c>
      <c r="H2731" t="s">
        <v>1239</v>
      </c>
      <c r="I2731" t="s">
        <v>1240</v>
      </c>
      <c r="J2731">
        <v>0</v>
      </c>
      <c r="K2731">
        <v>0</v>
      </c>
      <c r="L2731" s="3">
        <v>0</v>
      </c>
      <c r="M2731" s="3">
        <v>0</v>
      </c>
      <c r="N2731">
        <v>0</v>
      </c>
      <c r="O2731">
        <v>0</v>
      </c>
      <c r="P2731">
        <v>0</v>
      </c>
      <c r="R2731" t="s">
        <v>1100</v>
      </c>
      <c r="S2731" t="str">
        <v>#N/A</v>
      </c>
      <c r="T2731" t="str">
        <v>#N/A</v>
      </c>
    </row>
    <row r="2732" spans="1:20" ht="13.7" customHeight="1" x14ac:dyDescent="0.25">
      <c r="A2732" t="s">
        <v>26</v>
      </c>
      <c r="B2732" t="s">
        <v>27</v>
      </c>
      <c r="C2732" t="s">
        <v>28</v>
      </c>
      <c r="D2732">
        <v>46</v>
      </c>
      <c r="E2732" s="5">
        <v>43483</v>
      </c>
      <c r="F2732">
        <v>24081020</v>
      </c>
      <c r="G2732" t="s">
        <v>730</v>
      </c>
      <c r="H2732" t="s">
        <v>1239</v>
      </c>
      <c r="I2732" t="s">
        <v>1240</v>
      </c>
      <c r="J2732">
        <v>1005</v>
      </c>
      <c r="K2732" t="s">
        <v>693</v>
      </c>
      <c r="L2732" s="3">
        <v>0</v>
      </c>
      <c r="M2732" s="3">
        <v>26424</v>
      </c>
      <c r="N2732">
        <v>0</v>
      </c>
      <c r="O2732">
        <v>139075</v>
      </c>
      <c r="P2732">
        <v>26424</v>
      </c>
      <c r="Q2732" t="s">
        <v>30</v>
      </c>
      <c r="R2732" t="s">
        <v>61</v>
      </c>
      <c r="S2732" t="str">
        <v>#N/A</v>
      </c>
      <c r="T2732" t="str">
        <v>#N/A</v>
      </c>
    </row>
    <row r="2733" spans="1:20" ht="13.7" customHeight="1" x14ac:dyDescent="0.25">
      <c r="A2733" t="s">
        <v>26</v>
      </c>
      <c r="B2733" t="s">
        <v>27</v>
      </c>
      <c r="C2733" t="s">
        <v>28</v>
      </c>
      <c r="D2733">
        <v>63</v>
      </c>
      <c r="E2733" s="5">
        <v>43489</v>
      </c>
      <c r="F2733">
        <v>24081020</v>
      </c>
      <c r="G2733" t="s">
        <v>730</v>
      </c>
      <c r="H2733" t="s">
        <v>1239</v>
      </c>
      <c r="I2733" t="s">
        <v>1240</v>
      </c>
      <c r="J2733">
        <v>1005</v>
      </c>
      <c r="K2733" t="s">
        <v>693</v>
      </c>
      <c r="L2733" s="3">
        <v>26424</v>
      </c>
      <c r="M2733" s="3">
        <v>21555</v>
      </c>
      <c r="N2733">
        <v>0</v>
      </c>
      <c r="O2733">
        <v>133455</v>
      </c>
      <c r="P2733">
        <v>47979</v>
      </c>
      <c r="Q2733" t="s">
        <v>30</v>
      </c>
      <c r="R2733" t="s">
        <v>67</v>
      </c>
      <c r="S2733" t="str">
        <v>#N/A</v>
      </c>
      <c r="T2733" t="str">
        <v>#N/A</v>
      </c>
    </row>
    <row r="2734" spans="1:20" ht="13.7" customHeight="1" x14ac:dyDescent="0.25">
      <c r="E2734" s="5">
        <v>43465</v>
      </c>
      <c r="F2734">
        <v>24081020</v>
      </c>
      <c r="G2734" t="s">
        <v>730</v>
      </c>
      <c r="H2734" t="s">
        <v>1348</v>
      </c>
      <c r="I2734" t="s">
        <v>1349</v>
      </c>
      <c r="J2734">
        <v>0</v>
      </c>
      <c r="K2734">
        <v>0</v>
      </c>
      <c r="L2734" s="3">
        <v>26360</v>
      </c>
      <c r="M2734" s="3">
        <v>0</v>
      </c>
      <c r="N2734">
        <v>0</v>
      </c>
      <c r="O2734">
        <v>138738</v>
      </c>
      <c r="P2734">
        <v>26360</v>
      </c>
      <c r="R2734" t="s">
        <v>1100</v>
      </c>
      <c r="S2734" t="str">
        <v>#N/A</v>
      </c>
      <c r="T2734" t="str">
        <v>#N/A</v>
      </c>
    </row>
    <row r="2735" spans="1:20" ht="13.7" customHeight="1" x14ac:dyDescent="0.25">
      <c r="E2735" s="5">
        <v>43465</v>
      </c>
      <c r="F2735">
        <v>24081020</v>
      </c>
      <c r="G2735" t="s">
        <v>730</v>
      </c>
      <c r="H2735" t="s">
        <v>1243</v>
      </c>
      <c r="I2735" t="s">
        <v>1244</v>
      </c>
      <c r="J2735">
        <v>0</v>
      </c>
      <c r="K2735">
        <v>0</v>
      </c>
      <c r="L2735" s="3">
        <v>0</v>
      </c>
      <c r="M2735" s="3">
        <v>0</v>
      </c>
      <c r="N2735">
        <v>0</v>
      </c>
      <c r="O2735">
        <v>0</v>
      </c>
      <c r="P2735">
        <v>0</v>
      </c>
      <c r="R2735" t="s">
        <v>1100</v>
      </c>
      <c r="S2735" t="str">
        <v>#N/A</v>
      </c>
      <c r="T2735" t="str">
        <v>#N/A</v>
      </c>
    </row>
    <row r="2736" spans="1:20" ht="13.7" customHeight="1" x14ac:dyDescent="0.25">
      <c r="A2736" t="s">
        <v>26</v>
      </c>
      <c r="B2736" t="s">
        <v>27</v>
      </c>
      <c r="C2736" t="s">
        <v>91</v>
      </c>
      <c r="D2736">
        <v>23</v>
      </c>
      <c r="E2736" s="5">
        <v>43531</v>
      </c>
      <c r="F2736">
        <v>24081020</v>
      </c>
      <c r="G2736" t="s">
        <v>730</v>
      </c>
      <c r="H2736" t="s">
        <v>1243</v>
      </c>
      <c r="I2736" t="s">
        <v>1244</v>
      </c>
      <c r="J2736">
        <v>1005</v>
      </c>
      <c r="K2736" t="s">
        <v>693</v>
      </c>
      <c r="L2736" s="3">
        <v>0</v>
      </c>
      <c r="M2736" s="3">
        <v>26066</v>
      </c>
      <c r="N2736">
        <v>0</v>
      </c>
      <c r="O2736">
        <v>137192</v>
      </c>
      <c r="P2736">
        <v>26066</v>
      </c>
      <c r="Q2736" t="s">
        <v>30</v>
      </c>
      <c r="R2736" t="s">
        <v>235</v>
      </c>
      <c r="S2736" t="str">
        <v>#N/A</v>
      </c>
      <c r="T2736" t="str">
        <v>#N/A</v>
      </c>
    </row>
    <row r="2737" spans="1:20" ht="13.7" customHeight="1" x14ac:dyDescent="0.25">
      <c r="E2737" s="5">
        <v>43465</v>
      </c>
      <c r="F2737">
        <v>24081020</v>
      </c>
      <c r="G2737" t="s">
        <v>730</v>
      </c>
      <c r="H2737" t="s">
        <v>1661</v>
      </c>
      <c r="I2737" t="s">
        <v>1662</v>
      </c>
      <c r="J2737">
        <v>0</v>
      </c>
      <c r="K2737">
        <v>0</v>
      </c>
      <c r="L2737" s="3">
        <v>447</v>
      </c>
      <c r="M2737" s="3">
        <v>0</v>
      </c>
      <c r="N2737">
        <v>0</v>
      </c>
      <c r="O2737">
        <v>2353</v>
      </c>
      <c r="P2737">
        <v>447</v>
      </c>
      <c r="R2737" t="s">
        <v>1100</v>
      </c>
      <c r="S2737" t="str">
        <v>#N/A</v>
      </c>
      <c r="T2737" t="str">
        <v>#N/A</v>
      </c>
    </row>
    <row r="2738" spans="1:20" ht="13.7" customHeight="1" x14ac:dyDescent="0.25">
      <c r="A2738" t="s">
        <v>26</v>
      </c>
      <c r="B2738" t="s">
        <v>27</v>
      </c>
      <c r="C2738" t="s">
        <v>91</v>
      </c>
      <c r="D2738">
        <v>49</v>
      </c>
      <c r="E2738" s="5">
        <v>43546</v>
      </c>
      <c r="F2738">
        <v>24081020</v>
      </c>
      <c r="G2738" t="s">
        <v>730</v>
      </c>
      <c r="H2738" t="s">
        <v>1661</v>
      </c>
      <c r="I2738" t="s">
        <v>1662</v>
      </c>
      <c r="J2738">
        <v>1005</v>
      </c>
      <c r="K2738" t="s">
        <v>693</v>
      </c>
      <c r="L2738" s="3">
        <v>447</v>
      </c>
      <c r="M2738" s="3">
        <v>255</v>
      </c>
      <c r="N2738">
        <v>0</v>
      </c>
      <c r="O2738">
        <v>1345</v>
      </c>
      <c r="P2738">
        <v>702</v>
      </c>
      <c r="Q2738" t="s">
        <v>30</v>
      </c>
      <c r="R2738" t="s">
        <v>105</v>
      </c>
      <c r="S2738" t="str">
        <v>#N/A</v>
      </c>
      <c r="T2738" t="str">
        <v>#N/A</v>
      </c>
    </row>
    <row r="2739" spans="1:20" ht="13.7" customHeight="1" x14ac:dyDescent="0.25">
      <c r="E2739" s="5">
        <v>43465</v>
      </c>
      <c r="F2739">
        <v>24081020</v>
      </c>
      <c r="G2739" t="s">
        <v>730</v>
      </c>
      <c r="H2739" t="s">
        <v>1261</v>
      </c>
      <c r="I2739" t="s">
        <v>1262</v>
      </c>
      <c r="J2739">
        <v>0</v>
      </c>
      <c r="K2739">
        <v>0</v>
      </c>
      <c r="L2739" s="3">
        <v>0</v>
      </c>
      <c r="M2739" s="3">
        <v>0</v>
      </c>
      <c r="N2739">
        <v>0</v>
      </c>
      <c r="O2739">
        <v>0</v>
      </c>
      <c r="P2739">
        <v>0</v>
      </c>
      <c r="R2739" t="s">
        <v>1100</v>
      </c>
      <c r="S2739" t="str">
        <v>#N/A</v>
      </c>
      <c r="T2739" t="str">
        <v>#N/A</v>
      </c>
    </row>
    <row r="2740" spans="1:20" ht="13.7" customHeight="1" x14ac:dyDescent="0.25">
      <c r="A2740" t="s">
        <v>26</v>
      </c>
      <c r="B2740" t="s">
        <v>27</v>
      </c>
      <c r="C2740" t="s">
        <v>39</v>
      </c>
      <c r="D2740">
        <v>55</v>
      </c>
      <c r="E2740" s="5">
        <v>43736</v>
      </c>
      <c r="F2740">
        <v>24081020</v>
      </c>
      <c r="G2740" t="s">
        <v>730</v>
      </c>
      <c r="H2740" t="s">
        <v>1261</v>
      </c>
      <c r="I2740" t="s">
        <v>1262</v>
      </c>
      <c r="J2740">
        <v>1005</v>
      </c>
      <c r="K2740" t="s">
        <v>693</v>
      </c>
      <c r="L2740" s="3">
        <v>0</v>
      </c>
      <c r="M2740" s="3">
        <v>14370</v>
      </c>
      <c r="N2740">
        <v>0</v>
      </c>
      <c r="O2740">
        <v>75630</v>
      </c>
      <c r="P2740">
        <v>14370</v>
      </c>
      <c r="Q2740" t="s">
        <v>30</v>
      </c>
      <c r="R2740" t="s">
        <v>45</v>
      </c>
      <c r="S2740" t="str">
        <v>#N/A</v>
      </c>
      <c r="T2740" t="str">
        <v>#N/A</v>
      </c>
    </row>
    <row r="2741" spans="1:20" ht="13.7" customHeight="1" x14ac:dyDescent="0.25">
      <c r="A2741" t="s">
        <v>26</v>
      </c>
      <c r="B2741" t="s">
        <v>27</v>
      </c>
      <c r="C2741" t="s">
        <v>41</v>
      </c>
      <c r="D2741">
        <v>64</v>
      </c>
      <c r="E2741" s="5">
        <v>43795</v>
      </c>
      <c r="F2741">
        <v>24081020</v>
      </c>
      <c r="G2741" t="s">
        <v>730</v>
      </c>
      <c r="H2741" t="s">
        <v>1261</v>
      </c>
      <c r="I2741" t="s">
        <v>1262</v>
      </c>
      <c r="J2741">
        <v>1005</v>
      </c>
      <c r="K2741" t="s">
        <v>693</v>
      </c>
      <c r="L2741" s="3">
        <v>14370</v>
      </c>
      <c r="M2741" s="3">
        <v>3193</v>
      </c>
      <c r="N2741">
        <v>0</v>
      </c>
      <c r="O2741">
        <v>16807</v>
      </c>
      <c r="P2741">
        <v>17563</v>
      </c>
      <c r="Q2741" t="s">
        <v>30</v>
      </c>
      <c r="R2741" t="s">
        <v>45</v>
      </c>
      <c r="S2741" t="str">
        <v>#N/A</v>
      </c>
      <c r="T2741" t="str">
        <v>#N/A</v>
      </c>
    </row>
    <row r="2742" spans="1:20" ht="13.7" customHeight="1" x14ac:dyDescent="0.25">
      <c r="A2742" t="s">
        <v>26</v>
      </c>
      <c r="B2742" t="s">
        <v>27</v>
      </c>
      <c r="C2742" t="s">
        <v>180</v>
      </c>
      <c r="D2742">
        <v>19</v>
      </c>
      <c r="E2742" s="5">
        <v>43808</v>
      </c>
      <c r="F2742">
        <v>24081020</v>
      </c>
      <c r="G2742" t="s">
        <v>730</v>
      </c>
      <c r="H2742" t="s">
        <v>1261</v>
      </c>
      <c r="I2742" t="s">
        <v>1262</v>
      </c>
      <c r="J2742">
        <v>1005</v>
      </c>
      <c r="K2742" t="s">
        <v>693</v>
      </c>
      <c r="L2742" s="3">
        <v>17563</v>
      </c>
      <c r="M2742" s="3">
        <v>3193</v>
      </c>
      <c r="N2742">
        <v>0</v>
      </c>
      <c r="O2742">
        <v>16806</v>
      </c>
      <c r="P2742">
        <v>20756</v>
      </c>
      <c r="Q2742" t="s">
        <v>30</v>
      </c>
      <c r="R2742" t="s">
        <v>45</v>
      </c>
      <c r="S2742" t="str">
        <v>#N/A</v>
      </c>
      <c r="T2742" t="str">
        <v>#N/A</v>
      </c>
    </row>
    <row r="2743" spans="1:20" ht="13.7" customHeight="1" x14ac:dyDescent="0.25">
      <c r="E2743" s="5">
        <v>43465</v>
      </c>
      <c r="F2743">
        <v>24081020</v>
      </c>
      <c r="G2743" t="s">
        <v>730</v>
      </c>
      <c r="H2743" t="s">
        <v>1121</v>
      </c>
      <c r="I2743" t="s">
        <v>1122</v>
      </c>
      <c r="J2743">
        <v>0</v>
      </c>
      <c r="K2743">
        <v>0</v>
      </c>
      <c r="L2743" s="3">
        <v>258400</v>
      </c>
      <c r="M2743" s="3">
        <v>0</v>
      </c>
      <c r="N2743">
        <v>0</v>
      </c>
      <c r="O2743">
        <v>1360000</v>
      </c>
      <c r="P2743">
        <v>258400</v>
      </c>
      <c r="R2743" t="s">
        <v>1100</v>
      </c>
      <c r="S2743" t="str">
        <v>#N/A</v>
      </c>
      <c r="T2743" t="str">
        <v>31</v>
      </c>
    </row>
    <row r="2744" spans="1:20" ht="13.7" customHeight="1" x14ac:dyDescent="0.25">
      <c r="A2744" t="s">
        <v>26</v>
      </c>
      <c r="B2744" t="s">
        <v>27</v>
      </c>
      <c r="C2744" t="s">
        <v>32</v>
      </c>
      <c r="D2744">
        <v>1</v>
      </c>
      <c r="E2744" s="5">
        <v>43497</v>
      </c>
      <c r="F2744">
        <v>24081020</v>
      </c>
      <c r="G2744" t="s">
        <v>730</v>
      </c>
      <c r="H2744" t="s">
        <v>1121</v>
      </c>
      <c r="I2744" t="s">
        <v>1122</v>
      </c>
      <c r="J2744">
        <v>1005</v>
      </c>
      <c r="K2744" t="s">
        <v>693</v>
      </c>
      <c r="L2744" s="3">
        <v>258400</v>
      </c>
      <c r="M2744" s="3">
        <v>19000</v>
      </c>
      <c r="N2744">
        <v>0</v>
      </c>
      <c r="O2744">
        <v>100000</v>
      </c>
      <c r="P2744">
        <v>277400</v>
      </c>
      <c r="Q2744" t="s">
        <v>30</v>
      </c>
      <c r="R2744" t="s">
        <v>210</v>
      </c>
      <c r="S2744" t="str">
        <v>#N/A</v>
      </c>
      <c r="T2744" t="str">
        <v>31</v>
      </c>
    </row>
    <row r="2745" spans="1:20" ht="13.7" customHeight="1" x14ac:dyDescent="0.25">
      <c r="A2745" t="s">
        <v>26</v>
      </c>
      <c r="B2745" t="s">
        <v>27</v>
      </c>
      <c r="C2745" t="s">
        <v>38</v>
      </c>
      <c r="D2745">
        <v>13</v>
      </c>
      <c r="E2745" s="5">
        <v>43685</v>
      </c>
      <c r="F2745">
        <v>24081020</v>
      </c>
      <c r="G2745" t="s">
        <v>730</v>
      </c>
      <c r="H2745" t="s">
        <v>1121</v>
      </c>
      <c r="I2745" t="s">
        <v>1122</v>
      </c>
      <c r="J2745">
        <v>1005</v>
      </c>
      <c r="K2745" t="s">
        <v>693</v>
      </c>
      <c r="L2745" s="3">
        <v>277400</v>
      </c>
      <c r="M2745" s="3">
        <v>19000</v>
      </c>
      <c r="N2745">
        <v>0</v>
      </c>
      <c r="O2745">
        <v>100000</v>
      </c>
      <c r="P2745">
        <v>296400</v>
      </c>
      <c r="Q2745" t="s">
        <v>30</v>
      </c>
      <c r="R2745" t="s">
        <v>210</v>
      </c>
      <c r="S2745" t="str">
        <v>#N/A</v>
      </c>
      <c r="T2745" t="str">
        <v>31</v>
      </c>
    </row>
    <row r="2746" spans="1:20" ht="13.7" customHeight="1" x14ac:dyDescent="0.25">
      <c r="E2746" s="5">
        <v>43465</v>
      </c>
      <c r="F2746">
        <v>24081020</v>
      </c>
      <c r="G2746" t="s">
        <v>730</v>
      </c>
      <c r="H2746" t="s">
        <v>1439</v>
      </c>
      <c r="I2746" t="s">
        <v>1440</v>
      </c>
      <c r="J2746">
        <v>0</v>
      </c>
      <c r="K2746">
        <v>0</v>
      </c>
      <c r="L2746" s="3">
        <v>0</v>
      </c>
      <c r="M2746" s="3">
        <v>0</v>
      </c>
      <c r="N2746">
        <v>0</v>
      </c>
      <c r="O2746">
        <v>0</v>
      </c>
      <c r="P2746">
        <v>0</v>
      </c>
      <c r="R2746" t="s">
        <v>1100</v>
      </c>
      <c r="S2746" t="str">
        <v>#N/A</v>
      </c>
      <c r="T2746" t="str">
        <v>#N/A</v>
      </c>
    </row>
    <row r="2747" spans="1:20" ht="13.7" customHeight="1" x14ac:dyDescent="0.25">
      <c r="A2747" t="s">
        <v>26</v>
      </c>
      <c r="B2747" t="s">
        <v>27</v>
      </c>
      <c r="C2747" t="s">
        <v>35</v>
      </c>
      <c r="D2747">
        <v>70</v>
      </c>
      <c r="E2747" s="5">
        <v>43606</v>
      </c>
      <c r="F2747">
        <v>24081020</v>
      </c>
      <c r="G2747" t="s">
        <v>730</v>
      </c>
      <c r="H2747" t="s">
        <v>1439</v>
      </c>
      <c r="I2747" t="s">
        <v>1440</v>
      </c>
      <c r="J2747">
        <v>1005</v>
      </c>
      <c r="K2747" t="s">
        <v>693</v>
      </c>
      <c r="L2747" s="3">
        <v>0</v>
      </c>
      <c r="M2747" s="3">
        <v>22800</v>
      </c>
      <c r="N2747">
        <v>0</v>
      </c>
      <c r="O2747">
        <v>120000</v>
      </c>
      <c r="P2747">
        <v>22800</v>
      </c>
      <c r="Q2747" t="s">
        <v>30</v>
      </c>
      <c r="R2747" t="s">
        <v>262</v>
      </c>
      <c r="S2747" t="str">
        <v>#N/A</v>
      </c>
      <c r="T2747" t="str">
        <v>#N/A</v>
      </c>
    </row>
    <row r="2748" spans="1:20" ht="13.7" customHeight="1" x14ac:dyDescent="0.25">
      <c r="E2748" s="5">
        <v>43465</v>
      </c>
      <c r="F2748">
        <v>24081020</v>
      </c>
      <c r="G2748" t="s">
        <v>730</v>
      </c>
      <c r="H2748" t="s">
        <v>1177</v>
      </c>
      <c r="I2748" t="s">
        <v>1178</v>
      </c>
      <c r="J2748">
        <v>0</v>
      </c>
      <c r="K2748">
        <v>0</v>
      </c>
      <c r="L2748" s="3">
        <v>0</v>
      </c>
      <c r="M2748" s="3">
        <v>0</v>
      </c>
      <c r="N2748">
        <v>0</v>
      </c>
      <c r="O2748">
        <v>0</v>
      </c>
      <c r="P2748">
        <v>0</v>
      </c>
      <c r="R2748" t="s">
        <v>1100</v>
      </c>
      <c r="S2748" t="str">
        <v>#N/A</v>
      </c>
      <c r="T2748" t="str">
        <v>#N/A</v>
      </c>
    </row>
    <row r="2749" spans="1:20" ht="13.7" customHeight="1" x14ac:dyDescent="0.25">
      <c r="A2749" t="s">
        <v>26</v>
      </c>
      <c r="B2749" t="s">
        <v>27</v>
      </c>
      <c r="C2749" t="s">
        <v>41</v>
      </c>
      <c r="D2749">
        <v>37</v>
      </c>
      <c r="E2749" s="5">
        <v>43784</v>
      </c>
      <c r="F2749">
        <v>24081020</v>
      </c>
      <c r="G2749" t="s">
        <v>730</v>
      </c>
      <c r="H2749" t="s">
        <v>1177</v>
      </c>
      <c r="I2749" t="s">
        <v>1178</v>
      </c>
      <c r="J2749">
        <v>1005</v>
      </c>
      <c r="K2749" t="s">
        <v>693</v>
      </c>
      <c r="L2749" s="3">
        <v>0</v>
      </c>
      <c r="M2749" s="3">
        <v>28500</v>
      </c>
      <c r="N2749">
        <v>0</v>
      </c>
      <c r="O2749">
        <v>150000</v>
      </c>
      <c r="P2749">
        <v>28500</v>
      </c>
      <c r="Q2749" t="s">
        <v>30</v>
      </c>
      <c r="R2749" t="s">
        <v>173</v>
      </c>
      <c r="S2749" t="str">
        <v>#N/A</v>
      </c>
      <c r="T2749" t="str">
        <v>#N/A</v>
      </c>
    </row>
    <row r="2750" spans="1:20" ht="13.7" customHeight="1" x14ac:dyDescent="0.25">
      <c r="A2750" t="s">
        <v>26</v>
      </c>
      <c r="B2750" t="s">
        <v>27</v>
      </c>
      <c r="C2750" t="s">
        <v>41</v>
      </c>
      <c r="D2750">
        <v>68</v>
      </c>
      <c r="E2750" s="5">
        <v>43796</v>
      </c>
      <c r="F2750">
        <v>24081020</v>
      </c>
      <c r="G2750" t="s">
        <v>730</v>
      </c>
      <c r="H2750" t="s">
        <v>1177</v>
      </c>
      <c r="I2750" t="s">
        <v>1178</v>
      </c>
      <c r="J2750">
        <v>1005</v>
      </c>
      <c r="K2750" t="s">
        <v>693</v>
      </c>
      <c r="L2750" s="3">
        <v>28500</v>
      </c>
      <c r="M2750" s="3">
        <v>22800</v>
      </c>
      <c r="N2750">
        <v>0</v>
      </c>
      <c r="O2750">
        <v>120000</v>
      </c>
      <c r="P2750">
        <v>51300</v>
      </c>
      <c r="Q2750" t="s">
        <v>30</v>
      </c>
      <c r="R2750" t="s">
        <v>179</v>
      </c>
      <c r="S2750" t="str">
        <v>#N/A</v>
      </c>
      <c r="T2750" t="str">
        <v>#N/A</v>
      </c>
    </row>
    <row r="2751" spans="1:20" ht="13.7" customHeight="1" x14ac:dyDescent="0.25">
      <c r="E2751" s="5">
        <v>43465</v>
      </c>
      <c r="F2751">
        <v>24081020</v>
      </c>
      <c r="G2751" t="s">
        <v>730</v>
      </c>
      <c r="H2751" t="s">
        <v>1255</v>
      </c>
      <c r="I2751" t="s">
        <v>1256</v>
      </c>
      <c r="J2751">
        <v>0</v>
      </c>
      <c r="K2751">
        <v>0</v>
      </c>
      <c r="L2751" s="3">
        <v>0</v>
      </c>
      <c r="M2751" s="3">
        <v>0</v>
      </c>
      <c r="N2751">
        <v>0</v>
      </c>
      <c r="O2751">
        <v>0</v>
      </c>
      <c r="P2751">
        <v>0</v>
      </c>
      <c r="R2751" t="s">
        <v>1100</v>
      </c>
      <c r="S2751" t="str">
        <v>#N/A</v>
      </c>
      <c r="T2751" t="str">
        <v>#N/A</v>
      </c>
    </row>
    <row r="2752" spans="1:20" ht="13.7" customHeight="1" x14ac:dyDescent="0.25">
      <c r="A2752" t="s">
        <v>26</v>
      </c>
      <c r="B2752" t="s">
        <v>27</v>
      </c>
      <c r="C2752" t="s">
        <v>37</v>
      </c>
      <c r="D2752">
        <v>5</v>
      </c>
      <c r="E2752" s="5">
        <v>43649</v>
      </c>
      <c r="F2752">
        <v>24081020</v>
      </c>
      <c r="G2752" t="s">
        <v>730</v>
      </c>
      <c r="H2752" t="s">
        <v>1255</v>
      </c>
      <c r="I2752" t="s">
        <v>1256</v>
      </c>
      <c r="J2752">
        <v>1005</v>
      </c>
      <c r="K2752" t="s">
        <v>693</v>
      </c>
      <c r="L2752" s="3">
        <v>0</v>
      </c>
      <c r="M2752" s="3">
        <v>15200</v>
      </c>
      <c r="N2752">
        <v>0</v>
      </c>
      <c r="O2752">
        <v>80000</v>
      </c>
      <c r="P2752">
        <v>15200</v>
      </c>
      <c r="Q2752" t="s">
        <v>30</v>
      </c>
      <c r="R2752" t="s">
        <v>64</v>
      </c>
      <c r="S2752" t="str">
        <v>#N/A</v>
      </c>
      <c r="T2752" t="str">
        <v>#N/A</v>
      </c>
    </row>
    <row r="2753" spans="1:20" ht="13.7" customHeight="1" x14ac:dyDescent="0.25">
      <c r="E2753" s="5">
        <v>43465</v>
      </c>
      <c r="F2753">
        <v>24081020</v>
      </c>
      <c r="G2753" t="s">
        <v>730</v>
      </c>
      <c r="H2753" t="s">
        <v>1259</v>
      </c>
      <c r="I2753" t="s">
        <v>1260</v>
      </c>
      <c r="J2753">
        <v>0</v>
      </c>
      <c r="K2753">
        <v>0</v>
      </c>
      <c r="L2753" s="3">
        <v>0</v>
      </c>
      <c r="M2753" s="3">
        <v>0</v>
      </c>
      <c r="N2753">
        <v>0</v>
      </c>
      <c r="O2753">
        <v>0</v>
      </c>
      <c r="P2753">
        <v>0</v>
      </c>
      <c r="R2753" t="s">
        <v>1100</v>
      </c>
      <c r="S2753" t="str">
        <v>#N/A</v>
      </c>
      <c r="T2753" t="str">
        <v>#N/A</v>
      </c>
    </row>
    <row r="2754" spans="1:20" ht="13.7" customHeight="1" x14ac:dyDescent="0.25">
      <c r="A2754" t="s">
        <v>26</v>
      </c>
      <c r="B2754" t="s">
        <v>27</v>
      </c>
      <c r="C2754" t="s">
        <v>41</v>
      </c>
      <c r="D2754">
        <v>3</v>
      </c>
      <c r="E2754" s="5">
        <v>43770</v>
      </c>
      <c r="F2754">
        <v>24081020</v>
      </c>
      <c r="G2754" t="s">
        <v>730</v>
      </c>
      <c r="H2754" t="s">
        <v>1259</v>
      </c>
      <c r="I2754" t="s">
        <v>1260</v>
      </c>
      <c r="J2754">
        <v>1005</v>
      </c>
      <c r="K2754" t="s">
        <v>693</v>
      </c>
      <c r="L2754" s="3">
        <v>0</v>
      </c>
      <c r="M2754" s="3">
        <v>168578</v>
      </c>
      <c r="N2754">
        <v>0</v>
      </c>
      <c r="O2754">
        <v>887250</v>
      </c>
      <c r="P2754">
        <v>168578</v>
      </c>
      <c r="Q2754" t="s">
        <v>30</v>
      </c>
      <c r="R2754" t="s">
        <v>300</v>
      </c>
      <c r="S2754" t="str">
        <v>#N/A</v>
      </c>
      <c r="T2754" t="str">
        <v>#N/A</v>
      </c>
    </row>
    <row r="2755" spans="1:20" ht="13.7" customHeight="1" x14ac:dyDescent="0.25">
      <c r="E2755" s="5">
        <v>43465</v>
      </c>
      <c r="F2755">
        <v>24081020</v>
      </c>
      <c r="G2755" t="s">
        <v>730</v>
      </c>
      <c r="H2755" t="s">
        <v>1249</v>
      </c>
      <c r="I2755" t="s">
        <v>1250</v>
      </c>
      <c r="J2755">
        <v>0</v>
      </c>
      <c r="K2755">
        <v>0</v>
      </c>
      <c r="L2755" s="3">
        <v>0</v>
      </c>
      <c r="M2755" s="3">
        <v>0</v>
      </c>
      <c r="N2755">
        <v>0</v>
      </c>
      <c r="O2755">
        <v>0</v>
      </c>
      <c r="P2755">
        <v>0</v>
      </c>
      <c r="R2755" t="s">
        <v>1100</v>
      </c>
      <c r="S2755" t="str">
        <v>#N/A</v>
      </c>
      <c r="T2755" t="str">
        <v>#N/A</v>
      </c>
    </row>
    <row r="2756" spans="1:20" ht="13.7" customHeight="1" x14ac:dyDescent="0.25">
      <c r="A2756" t="s">
        <v>26</v>
      </c>
      <c r="B2756" t="s">
        <v>27</v>
      </c>
      <c r="C2756" t="s">
        <v>34</v>
      </c>
      <c r="D2756">
        <v>20</v>
      </c>
      <c r="E2756" s="5">
        <v>43565</v>
      </c>
      <c r="F2756">
        <v>24081020</v>
      </c>
      <c r="G2756" t="s">
        <v>730</v>
      </c>
      <c r="H2756" t="s">
        <v>1249</v>
      </c>
      <c r="I2756" t="s">
        <v>1250</v>
      </c>
      <c r="J2756">
        <v>1005</v>
      </c>
      <c r="K2756" t="s">
        <v>693</v>
      </c>
      <c r="L2756" s="3">
        <v>0</v>
      </c>
      <c r="M2756" s="3">
        <v>38000</v>
      </c>
      <c r="N2756">
        <v>0</v>
      </c>
      <c r="O2756">
        <v>200000</v>
      </c>
      <c r="P2756">
        <v>38000</v>
      </c>
      <c r="Q2756" t="s">
        <v>30</v>
      </c>
      <c r="R2756" t="s">
        <v>251</v>
      </c>
      <c r="S2756" t="str">
        <v>#N/A</v>
      </c>
      <c r="T2756" t="str">
        <v>#N/A</v>
      </c>
    </row>
    <row r="2757" spans="1:20" ht="13.7" customHeight="1" x14ac:dyDescent="0.25">
      <c r="E2757" s="5">
        <v>43465</v>
      </c>
      <c r="F2757">
        <v>24081020</v>
      </c>
      <c r="G2757" t="s">
        <v>730</v>
      </c>
      <c r="H2757" t="s">
        <v>1105</v>
      </c>
      <c r="I2757" t="s">
        <v>1106</v>
      </c>
      <c r="J2757">
        <v>0</v>
      </c>
      <c r="K2757">
        <v>0</v>
      </c>
      <c r="L2757" s="3">
        <v>3965</v>
      </c>
      <c r="M2757" s="3">
        <v>0</v>
      </c>
      <c r="N2757">
        <v>0</v>
      </c>
      <c r="O2757">
        <v>20868</v>
      </c>
      <c r="P2757">
        <v>3965</v>
      </c>
      <c r="R2757" t="s">
        <v>1100</v>
      </c>
      <c r="S2757" t="str">
        <v>#N/A</v>
      </c>
      <c r="T2757" t="str">
        <v>#N/A</v>
      </c>
    </row>
    <row r="2758" spans="1:20" ht="13.7" customHeight="1" x14ac:dyDescent="0.25">
      <c r="A2758" t="s">
        <v>26</v>
      </c>
      <c r="B2758" t="s">
        <v>27</v>
      </c>
      <c r="C2758" t="s">
        <v>28</v>
      </c>
      <c r="D2758">
        <v>35</v>
      </c>
      <c r="E2758" s="5">
        <v>43480</v>
      </c>
      <c r="F2758">
        <v>24081020</v>
      </c>
      <c r="G2758" t="s">
        <v>730</v>
      </c>
      <c r="H2758" t="s">
        <v>1105</v>
      </c>
      <c r="I2758" t="s">
        <v>1106</v>
      </c>
      <c r="J2758">
        <v>1005</v>
      </c>
      <c r="K2758" t="s">
        <v>693</v>
      </c>
      <c r="L2758" s="3">
        <v>3965</v>
      </c>
      <c r="M2758" s="3">
        <v>627</v>
      </c>
      <c r="N2758">
        <v>0</v>
      </c>
      <c r="O2758">
        <v>3300</v>
      </c>
      <c r="P2758">
        <v>4592</v>
      </c>
      <c r="Q2758" t="s">
        <v>30</v>
      </c>
      <c r="R2758" t="s">
        <v>196</v>
      </c>
      <c r="S2758" t="str">
        <v>#N/A</v>
      </c>
      <c r="T2758" t="str">
        <v>#N/A</v>
      </c>
    </row>
    <row r="2759" spans="1:20" ht="13.7" customHeight="1" x14ac:dyDescent="0.25">
      <c r="A2759" t="s">
        <v>26</v>
      </c>
      <c r="B2759" t="s">
        <v>27</v>
      </c>
      <c r="C2759" t="s">
        <v>91</v>
      </c>
      <c r="D2759">
        <v>70</v>
      </c>
      <c r="E2759" s="5">
        <v>43544</v>
      </c>
      <c r="F2759">
        <v>24081020</v>
      </c>
      <c r="G2759" t="s">
        <v>730</v>
      </c>
      <c r="H2759" t="s">
        <v>1105</v>
      </c>
      <c r="I2759" t="s">
        <v>1106</v>
      </c>
      <c r="J2759">
        <v>1005</v>
      </c>
      <c r="K2759" t="s">
        <v>693</v>
      </c>
      <c r="L2759" s="3">
        <v>4592</v>
      </c>
      <c r="M2759" s="3">
        <v>4522</v>
      </c>
      <c r="N2759">
        <v>0</v>
      </c>
      <c r="O2759">
        <v>23800</v>
      </c>
      <c r="P2759">
        <v>9114</v>
      </c>
      <c r="Q2759" t="s">
        <v>30</v>
      </c>
      <c r="R2759" t="s">
        <v>241</v>
      </c>
      <c r="S2759" t="str">
        <v>#N/A</v>
      </c>
      <c r="T2759" t="str">
        <v>#N/A</v>
      </c>
    </row>
    <row r="2760" spans="1:20" ht="13.7" customHeight="1" x14ac:dyDescent="0.25">
      <c r="E2760" s="5">
        <v>43465</v>
      </c>
      <c r="F2760">
        <v>24081035</v>
      </c>
      <c r="G2760" t="s">
        <v>731</v>
      </c>
      <c r="H2760" t="s">
        <v>1121</v>
      </c>
      <c r="I2760" t="s">
        <v>1122</v>
      </c>
      <c r="J2760">
        <v>0</v>
      </c>
      <c r="K2760">
        <v>0</v>
      </c>
      <c r="L2760" s="3">
        <v>125400</v>
      </c>
      <c r="M2760" s="3">
        <v>0</v>
      </c>
      <c r="N2760">
        <v>0</v>
      </c>
      <c r="O2760">
        <v>660000</v>
      </c>
      <c r="P2760">
        <v>125400</v>
      </c>
      <c r="R2760" t="s">
        <v>1100</v>
      </c>
      <c r="S2760" t="str">
        <v>#N/A</v>
      </c>
      <c r="T2760" t="str">
        <v>31</v>
      </c>
    </row>
    <row r="2761" spans="1:20" ht="13.7" customHeight="1" x14ac:dyDescent="0.25">
      <c r="A2761" t="s">
        <v>26</v>
      </c>
      <c r="B2761" t="s">
        <v>27</v>
      </c>
      <c r="C2761" t="s">
        <v>34</v>
      </c>
      <c r="D2761">
        <v>4</v>
      </c>
      <c r="E2761" s="5">
        <v>43558</v>
      </c>
      <c r="F2761">
        <v>24081035</v>
      </c>
      <c r="G2761" t="s">
        <v>731</v>
      </c>
      <c r="H2761" t="s">
        <v>1121</v>
      </c>
      <c r="I2761" t="s">
        <v>1122</v>
      </c>
      <c r="J2761">
        <v>1005</v>
      </c>
      <c r="K2761" t="s">
        <v>693</v>
      </c>
      <c r="L2761" s="3">
        <v>125400</v>
      </c>
      <c r="M2761" s="3">
        <v>19000</v>
      </c>
      <c r="N2761">
        <v>0</v>
      </c>
      <c r="O2761">
        <v>100000</v>
      </c>
      <c r="P2761">
        <v>144400</v>
      </c>
      <c r="Q2761" t="s">
        <v>30</v>
      </c>
      <c r="R2761" t="s">
        <v>210</v>
      </c>
      <c r="S2761" t="str">
        <v>#N/A</v>
      </c>
      <c r="T2761" t="str">
        <v>31</v>
      </c>
    </row>
    <row r="2762" spans="1:20" ht="13.7" customHeight="1" x14ac:dyDescent="0.25">
      <c r="A2762" t="s">
        <v>26</v>
      </c>
      <c r="B2762" t="s">
        <v>27</v>
      </c>
      <c r="C2762" t="s">
        <v>35</v>
      </c>
      <c r="D2762">
        <v>2</v>
      </c>
      <c r="E2762" s="5">
        <v>43588</v>
      </c>
      <c r="F2762">
        <v>24081035</v>
      </c>
      <c r="G2762" t="s">
        <v>731</v>
      </c>
      <c r="H2762" t="s">
        <v>1121</v>
      </c>
      <c r="I2762" t="s">
        <v>1122</v>
      </c>
      <c r="J2762">
        <v>1005</v>
      </c>
      <c r="K2762" t="s">
        <v>693</v>
      </c>
      <c r="L2762" s="3">
        <v>144400</v>
      </c>
      <c r="M2762" s="3">
        <v>19000</v>
      </c>
      <c r="N2762">
        <v>0</v>
      </c>
      <c r="O2762">
        <v>100000</v>
      </c>
      <c r="P2762">
        <v>163400</v>
      </c>
      <c r="Q2762" t="s">
        <v>30</v>
      </c>
      <c r="R2762" t="s">
        <v>210</v>
      </c>
      <c r="S2762" t="str">
        <v>#N/A</v>
      </c>
      <c r="T2762" t="str">
        <v>31</v>
      </c>
    </row>
    <row r="2763" spans="1:20" ht="13.7" customHeight="1" x14ac:dyDescent="0.25">
      <c r="A2763" t="s">
        <v>26</v>
      </c>
      <c r="B2763" t="s">
        <v>27</v>
      </c>
      <c r="C2763" t="s">
        <v>36</v>
      </c>
      <c r="D2763">
        <v>35</v>
      </c>
      <c r="E2763" s="5">
        <v>43633</v>
      </c>
      <c r="F2763">
        <v>24081035</v>
      </c>
      <c r="G2763" t="s">
        <v>731</v>
      </c>
      <c r="H2763" t="s">
        <v>1121</v>
      </c>
      <c r="I2763" t="s">
        <v>1122</v>
      </c>
      <c r="J2763">
        <v>1005</v>
      </c>
      <c r="K2763" t="s">
        <v>693</v>
      </c>
      <c r="L2763" s="3">
        <v>163400</v>
      </c>
      <c r="M2763" s="3">
        <v>19000</v>
      </c>
      <c r="N2763">
        <v>0</v>
      </c>
      <c r="O2763">
        <v>100000</v>
      </c>
      <c r="P2763">
        <v>182400</v>
      </c>
      <c r="Q2763" t="s">
        <v>30</v>
      </c>
      <c r="R2763" t="s">
        <v>210</v>
      </c>
      <c r="S2763" t="str">
        <v>#N/A</v>
      </c>
      <c r="T2763" t="str">
        <v>31</v>
      </c>
    </row>
    <row r="2764" spans="1:20" ht="13.7" customHeight="1" x14ac:dyDescent="0.25">
      <c r="A2764" t="s">
        <v>26</v>
      </c>
      <c r="B2764" t="s">
        <v>27</v>
      </c>
      <c r="C2764" t="s">
        <v>37</v>
      </c>
      <c r="D2764">
        <v>12</v>
      </c>
      <c r="E2764" s="5">
        <v>43652</v>
      </c>
      <c r="F2764">
        <v>24081035</v>
      </c>
      <c r="G2764" t="s">
        <v>731</v>
      </c>
      <c r="H2764" t="s">
        <v>1121</v>
      </c>
      <c r="I2764" t="s">
        <v>1122</v>
      </c>
      <c r="J2764">
        <v>1005</v>
      </c>
      <c r="K2764" t="s">
        <v>693</v>
      </c>
      <c r="L2764" s="3">
        <v>182400</v>
      </c>
      <c r="M2764" s="3">
        <v>19000</v>
      </c>
      <c r="N2764">
        <v>0</v>
      </c>
      <c r="O2764">
        <v>100000</v>
      </c>
      <c r="P2764">
        <v>201400</v>
      </c>
      <c r="Q2764" t="s">
        <v>30</v>
      </c>
      <c r="R2764" t="s">
        <v>210</v>
      </c>
      <c r="S2764" t="str">
        <v>#N/A</v>
      </c>
      <c r="T2764" t="str">
        <v>31</v>
      </c>
    </row>
    <row r="2765" spans="1:20" ht="13.7" customHeight="1" x14ac:dyDescent="0.25">
      <c r="E2765" s="5">
        <v>43465</v>
      </c>
      <c r="F2765">
        <v>24950101</v>
      </c>
      <c r="G2765">
        <v>0</v>
      </c>
      <c r="H2765" t="s">
        <v>1167</v>
      </c>
      <c r="I2765" t="s">
        <v>1168</v>
      </c>
      <c r="J2765">
        <v>0</v>
      </c>
      <c r="K2765">
        <v>0</v>
      </c>
      <c r="L2765" s="3">
        <v>641</v>
      </c>
      <c r="M2765" s="3">
        <v>0</v>
      </c>
      <c r="N2765">
        <v>0</v>
      </c>
      <c r="O2765">
        <v>16016</v>
      </c>
      <c r="P2765">
        <v>641</v>
      </c>
      <c r="R2765" t="s">
        <v>1100</v>
      </c>
      <c r="S2765" t="str">
        <v>#N/A</v>
      </c>
      <c r="T2765" t="str">
        <v>31</v>
      </c>
    </row>
    <row r="2766" spans="1:20" ht="13.7" customHeight="1" x14ac:dyDescent="0.25">
      <c r="E2766" s="5">
        <v>43465</v>
      </c>
      <c r="F2766">
        <v>24950101</v>
      </c>
      <c r="G2766">
        <v>0</v>
      </c>
      <c r="H2766" t="s">
        <v>1098</v>
      </c>
      <c r="I2766" t="s">
        <v>1099</v>
      </c>
      <c r="J2766">
        <v>0</v>
      </c>
      <c r="K2766">
        <v>0</v>
      </c>
      <c r="L2766" s="3">
        <v>19478.990000000002</v>
      </c>
      <c r="M2766" s="3">
        <v>0</v>
      </c>
      <c r="N2766">
        <v>0</v>
      </c>
      <c r="O2766">
        <v>102521</v>
      </c>
      <c r="P2766">
        <v>19478.990000000002</v>
      </c>
      <c r="R2766" t="s">
        <v>1100</v>
      </c>
      <c r="S2766" t="str">
        <v>#N/A</v>
      </c>
      <c r="T2766" t="str">
        <v>31</v>
      </c>
    </row>
    <row r="2767" spans="1:20" ht="13.7" customHeight="1" x14ac:dyDescent="0.25">
      <c r="E2767" s="5">
        <v>43465</v>
      </c>
      <c r="F2767">
        <v>24950102</v>
      </c>
      <c r="G2767">
        <v>0</v>
      </c>
      <c r="H2767" t="s">
        <v>1167</v>
      </c>
      <c r="I2767" t="s">
        <v>1168</v>
      </c>
      <c r="J2767">
        <v>0</v>
      </c>
      <c r="K2767">
        <v>0</v>
      </c>
      <c r="L2767" s="3">
        <v>4043.2</v>
      </c>
      <c r="M2767" s="3">
        <v>0</v>
      </c>
      <c r="N2767">
        <v>0</v>
      </c>
      <c r="O2767">
        <v>100974</v>
      </c>
      <c r="P2767">
        <v>4043.2</v>
      </c>
      <c r="R2767" t="s">
        <v>1100</v>
      </c>
      <c r="S2767" t="str">
        <v>#N/A</v>
      </c>
      <c r="T2767" t="str">
        <v>31</v>
      </c>
    </row>
    <row r="2768" spans="1:20" ht="13.7" customHeight="1" x14ac:dyDescent="0.25">
      <c r="E2768" s="5">
        <v>43465</v>
      </c>
      <c r="F2768">
        <v>25050101</v>
      </c>
      <c r="G2768" t="s">
        <v>732</v>
      </c>
      <c r="H2768" t="s">
        <v>1263</v>
      </c>
      <c r="I2768" t="s">
        <v>1264</v>
      </c>
      <c r="J2768">
        <v>0</v>
      </c>
      <c r="K2768">
        <v>0</v>
      </c>
      <c r="L2768" s="3">
        <v>0</v>
      </c>
      <c r="M2768" s="3">
        <v>0</v>
      </c>
      <c r="N2768">
        <v>0</v>
      </c>
      <c r="O2768">
        <v>0</v>
      </c>
      <c r="P2768">
        <v>0</v>
      </c>
      <c r="R2768" t="s">
        <v>1100</v>
      </c>
      <c r="S2768" t="str">
        <v>#N/A</v>
      </c>
      <c r="T2768" t="str">
        <v>#N/A</v>
      </c>
    </row>
    <row r="2769" spans="1:20" ht="13.7" customHeight="1" x14ac:dyDescent="0.25">
      <c r="A2769" t="s">
        <v>219</v>
      </c>
      <c r="B2769" t="s">
        <v>220</v>
      </c>
      <c r="C2769" t="s">
        <v>32</v>
      </c>
      <c r="D2769">
        <v>1</v>
      </c>
      <c r="E2769" s="5">
        <v>43497</v>
      </c>
      <c r="F2769">
        <v>25050101</v>
      </c>
      <c r="G2769" t="s">
        <v>732</v>
      </c>
      <c r="H2769" t="s">
        <v>1263</v>
      </c>
      <c r="I2769" t="s">
        <v>1264</v>
      </c>
      <c r="J2769" t="e">
        <v>#N/A</v>
      </c>
      <c r="K2769" t="e">
        <v>#N/A</v>
      </c>
      <c r="L2769" s="3">
        <v>0</v>
      </c>
      <c r="M2769" s="3">
        <v>932482</v>
      </c>
      <c r="N2769">
        <v>0</v>
      </c>
      <c r="O2769">
        <v>0</v>
      </c>
      <c r="P2769">
        <v>932482</v>
      </c>
      <c r="Q2769" t="s">
        <v>30</v>
      </c>
      <c r="R2769" t="s">
        <v>212</v>
      </c>
      <c r="S2769" t="str">
        <v>#N/A</v>
      </c>
      <c r="T2769" t="str">
        <v>#N/A</v>
      </c>
    </row>
    <row r="2770" spans="1:20" ht="13.7" customHeight="1" x14ac:dyDescent="0.25">
      <c r="A2770" t="s">
        <v>199</v>
      </c>
      <c r="B2770" t="s">
        <v>200</v>
      </c>
      <c r="C2770" t="s">
        <v>32</v>
      </c>
      <c r="D2770">
        <v>1</v>
      </c>
      <c r="E2770" s="5">
        <v>43497</v>
      </c>
      <c r="F2770">
        <v>25050101</v>
      </c>
      <c r="G2770" t="s">
        <v>732</v>
      </c>
      <c r="H2770" t="s">
        <v>1263</v>
      </c>
      <c r="I2770" t="s">
        <v>1264</v>
      </c>
      <c r="J2770">
        <v>1009</v>
      </c>
      <c r="K2770">
        <v>1005</v>
      </c>
      <c r="L2770" s="3">
        <v>932482</v>
      </c>
      <c r="M2770" s="3">
        <v>0</v>
      </c>
      <c r="N2770">
        <v>932482</v>
      </c>
      <c r="O2770">
        <v>0</v>
      </c>
      <c r="P2770">
        <v>0</v>
      </c>
      <c r="Q2770" t="s">
        <v>30</v>
      </c>
      <c r="R2770" t="s">
        <v>212</v>
      </c>
      <c r="S2770" t="str">
        <v>#N/A</v>
      </c>
      <c r="T2770" t="str">
        <v>#N/A</v>
      </c>
    </row>
    <row r="2771" spans="1:20" ht="13.7" customHeight="1" x14ac:dyDescent="0.25">
      <c r="E2771" s="5">
        <v>43465</v>
      </c>
      <c r="F2771">
        <v>41350101</v>
      </c>
      <c r="G2771" t="s">
        <v>733</v>
      </c>
      <c r="H2771" t="s">
        <v>1145</v>
      </c>
      <c r="I2771" t="s">
        <v>1146</v>
      </c>
      <c r="J2771">
        <v>0</v>
      </c>
      <c r="K2771">
        <v>0</v>
      </c>
      <c r="L2771" s="3">
        <v>-407000</v>
      </c>
      <c r="M2771" s="3">
        <v>0</v>
      </c>
      <c r="N2771">
        <v>0</v>
      </c>
      <c r="O2771">
        <v>0</v>
      </c>
      <c r="P2771">
        <v>-407000</v>
      </c>
      <c r="R2771" t="s">
        <v>1100</v>
      </c>
      <c r="S2771" t="str">
        <v>#N/A</v>
      </c>
      <c r="T2771" t="str">
        <v>#N/A</v>
      </c>
    </row>
    <row r="2772" spans="1:20" ht="13.7" customHeight="1" x14ac:dyDescent="0.25">
      <c r="E2772" s="5">
        <v>43465</v>
      </c>
      <c r="F2772">
        <v>41350101</v>
      </c>
      <c r="G2772" t="s">
        <v>733</v>
      </c>
      <c r="H2772" t="s">
        <v>1127</v>
      </c>
      <c r="I2772" t="s">
        <v>1128</v>
      </c>
      <c r="J2772">
        <v>0</v>
      </c>
      <c r="K2772">
        <v>0</v>
      </c>
      <c r="L2772" s="3">
        <v>-47528490</v>
      </c>
      <c r="M2772" s="3">
        <v>0</v>
      </c>
      <c r="N2772">
        <v>0</v>
      </c>
      <c r="O2772">
        <v>0</v>
      </c>
      <c r="P2772">
        <v>-47528490</v>
      </c>
      <c r="R2772" t="s">
        <v>1100</v>
      </c>
      <c r="S2772" t="str">
        <v>#N/A</v>
      </c>
      <c r="T2772" t="str">
        <v>#N/A</v>
      </c>
    </row>
    <row r="2773" spans="1:20" ht="13.7" customHeight="1" x14ac:dyDescent="0.25">
      <c r="A2773" t="s">
        <v>320</v>
      </c>
      <c r="B2773" t="s">
        <v>321</v>
      </c>
      <c r="C2773" t="s">
        <v>142</v>
      </c>
      <c r="D2773">
        <v>335</v>
      </c>
      <c r="E2773" s="5">
        <v>43466</v>
      </c>
      <c r="F2773">
        <v>41350101</v>
      </c>
      <c r="G2773" t="s">
        <v>733</v>
      </c>
      <c r="H2773" t="s">
        <v>1127</v>
      </c>
      <c r="I2773" t="s">
        <v>1128</v>
      </c>
      <c r="J2773">
        <v>1007</v>
      </c>
      <c r="K2773">
        <v>4001</v>
      </c>
      <c r="L2773" s="3">
        <v>-47528490</v>
      </c>
      <c r="M2773" s="3">
        <v>0</v>
      </c>
      <c r="N2773">
        <v>251680</v>
      </c>
      <c r="O2773">
        <v>0</v>
      </c>
      <c r="P2773">
        <v>-47780170</v>
      </c>
      <c r="Q2773" t="s">
        <v>30</v>
      </c>
      <c r="R2773" t="s">
        <v>747</v>
      </c>
      <c r="S2773" t="str">
        <v>#N/A</v>
      </c>
      <c r="T2773" t="str">
        <v>#N/A</v>
      </c>
    </row>
    <row r="2774" spans="1:20" ht="13.7" customHeight="1" x14ac:dyDescent="0.25">
      <c r="A2774" t="s">
        <v>320</v>
      </c>
      <c r="B2774" t="s">
        <v>321</v>
      </c>
      <c r="C2774" t="s">
        <v>142</v>
      </c>
      <c r="D2774">
        <v>337</v>
      </c>
      <c r="E2774" s="5">
        <v>43481</v>
      </c>
      <c r="F2774">
        <v>41350101</v>
      </c>
      <c r="G2774" t="s">
        <v>733</v>
      </c>
      <c r="H2774" t="s">
        <v>1127</v>
      </c>
      <c r="I2774" t="s">
        <v>1128</v>
      </c>
      <c r="J2774">
        <v>1007</v>
      </c>
      <c r="K2774">
        <v>4001</v>
      </c>
      <c r="L2774" s="3">
        <v>-47780170</v>
      </c>
      <c r="M2774" s="3">
        <v>0</v>
      </c>
      <c r="N2774">
        <v>398112</v>
      </c>
      <c r="O2774">
        <v>0</v>
      </c>
      <c r="P2774">
        <v>-48178282</v>
      </c>
      <c r="Q2774" t="s">
        <v>30</v>
      </c>
      <c r="R2774" t="s">
        <v>750</v>
      </c>
      <c r="S2774" t="str">
        <v>#N/A</v>
      </c>
      <c r="T2774" t="str">
        <v>#N/A</v>
      </c>
    </row>
    <row r="2775" spans="1:20" ht="13.7" customHeight="1" x14ac:dyDescent="0.25">
      <c r="A2775" t="s">
        <v>320</v>
      </c>
      <c r="B2775" t="s">
        <v>321</v>
      </c>
      <c r="C2775" t="s">
        <v>142</v>
      </c>
      <c r="D2775">
        <v>340</v>
      </c>
      <c r="E2775" s="5">
        <v>43482</v>
      </c>
      <c r="F2775">
        <v>41350101</v>
      </c>
      <c r="G2775" t="s">
        <v>733</v>
      </c>
      <c r="H2775" t="s">
        <v>1127</v>
      </c>
      <c r="I2775" t="s">
        <v>1128</v>
      </c>
      <c r="J2775">
        <v>1007</v>
      </c>
      <c r="K2775">
        <v>4001</v>
      </c>
      <c r="L2775" s="3">
        <v>-48178282</v>
      </c>
      <c r="M2775" s="3">
        <v>0</v>
      </c>
      <c r="N2775">
        <v>271488</v>
      </c>
      <c r="O2775">
        <v>0</v>
      </c>
      <c r="P2775">
        <v>-48449770</v>
      </c>
      <c r="Q2775" t="s">
        <v>30</v>
      </c>
      <c r="R2775" t="s">
        <v>755</v>
      </c>
      <c r="S2775" t="str">
        <v>#N/A</v>
      </c>
      <c r="T2775" t="str">
        <v>#N/A</v>
      </c>
    </row>
    <row r="2776" spans="1:20" ht="13.7" customHeight="1" x14ac:dyDescent="0.25">
      <c r="A2776" t="s">
        <v>320</v>
      </c>
      <c r="B2776" t="s">
        <v>321</v>
      </c>
      <c r="C2776" t="s">
        <v>142</v>
      </c>
      <c r="D2776">
        <v>342</v>
      </c>
      <c r="E2776" s="5">
        <v>43484</v>
      </c>
      <c r="F2776">
        <v>41350101</v>
      </c>
      <c r="G2776" t="s">
        <v>733</v>
      </c>
      <c r="H2776" t="s">
        <v>1127</v>
      </c>
      <c r="I2776" t="s">
        <v>1128</v>
      </c>
      <c r="J2776">
        <v>1007</v>
      </c>
      <c r="K2776">
        <v>4001</v>
      </c>
      <c r="L2776" s="3">
        <v>-48449770</v>
      </c>
      <c r="M2776" s="3">
        <v>0</v>
      </c>
      <c r="N2776">
        <v>277200</v>
      </c>
      <c r="O2776">
        <v>0</v>
      </c>
      <c r="P2776">
        <v>-48726970</v>
      </c>
      <c r="Q2776" t="s">
        <v>30</v>
      </c>
      <c r="R2776" t="s">
        <v>763</v>
      </c>
      <c r="S2776" t="str">
        <v>#N/A</v>
      </c>
      <c r="T2776" t="str">
        <v>#N/A</v>
      </c>
    </row>
    <row r="2777" spans="1:20" ht="13.7" customHeight="1" x14ac:dyDescent="0.25">
      <c r="A2777" t="s">
        <v>320</v>
      </c>
      <c r="B2777" t="s">
        <v>321</v>
      </c>
      <c r="C2777" t="s">
        <v>142</v>
      </c>
      <c r="D2777">
        <v>343</v>
      </c>
      <c r="E2777" s="5">
        <v>43486</v>
      </c>
      <c r="F2777">
        <v>41350101</v>
      </c>
      <c r="G2777" t="s">
        <v>733</v>
      </c>
      <c r="H2777" t="s">
        <v>1127</v>
      </c>
      <c r="I2777" t="s">
        <v>1128</v>
      </c>
      <c r="J2777">
        <v>1007</v>
      </c>
      <c r="K2777">
        <v>4001</v>
      </c>
      <c r="L2777" s="3">
        <v>-48726970</v>
      </c>
      <c r="M2777" s="3">
        <v>0</v>
      </c>
      <c r="N2777">
        <v>236360</v>
      </c>
      <c r="O2777">
        <v>0</v>
      </c>
      <c r="P2777">
        <v>-48963330</v>
      </c>
      <c r="Q2777" t="s">
        <v>30</v>
      </c>
      <c r="R2777" t="s">
        <v>764</v>
      </c>
      <c r="S2777" t="str">
        <v>#N/A</v>
      </c>
      <c r="T2777" t="str">
        <v>#N/A</v>
      </c>
    </row>
    <row r="2778" spans="1:20" ht="13.7" customHeight="1" x14ac:dyDescent="0.25">
      <c r="A2778" t="s">
        <v>320</v>
      </c>
      <c r="B2778" t="s">
        <v>321</v>
      </c>
      <c r="C2778" t="s">
        <v>142</v>
      </c>
      <c r="D2778">
        <v>343</v>
      </c>
      <c r="E2778" s="5">
        <v>43486</v>
      </c>
      <c r="F2778">
        <v>41350101</v>
      </c>
      <c r="G2778" t="s">
        <v>733</v>
      </c>
      <c r="H2778" t="s">
        <v>1127</v>
      </c>
      <c r="I2778" t="s">
        <v>1128</v>
      </c>
      <c r="J2778">
        <v>1007</v>
      </c>
      <c r="K2778">
        <v>4001</v>
      </c>
      <c r="L2778" s="3">
        <v>-48963330</v>
      </c>
      <c r="M2778" s="3">
        <v>0</v>
      </c>
      <c r="N2778">
        <v>120000</v>
      </c>
      <c r="O2778">
        <v>0</v>
      </c>
      <c r="P2778">
        <v>-49083330</v>
      </c>
      <c r="Q2778" t="s">
        <v>30</v>
      </c>
      <c r="R2778" t="s">
        <v>765</v>
      </c>
      <c r="S2778" t="str">
        <v>#N/A</v>
      </c>
      <c r="T2778" t="str">
        <v>#N/A</v>
      </c>
    </row>
    <row r="2779" spans="1:20" ht="13.7" customHeight="1" x14ac:dyDescent="0.25">
      <c r="A2779" t="s">
        <v>320</v>
      </c>
      <c r="B2779" t="s">
        <v>321</v>
      </c>
      <c r="C2779" t="s">
        <v>142</v>
      </c>
      <c r="D2779">
        <v>343</v>
      </c>
      <c r="E2779" s="5">
        <v>43486</v>
      </c>
      <c r="F2779">
        <v>41350101</v>
      </c>
      <c r="G2779" t="s">
        <v>733</v>
      </c>
      <c r="H2779" t="s">
        <v>1127</v>
      </c>
      <c r="I2779" t="s">
        <v>1128</v>
      </c>
      <c r="J2779">
        <v>1007</v>
      </c>
      <c r="K2779">
        <v>4001</v>
      </c>
      <c r="L2779" s="3">
        <v>-49083330</v>
      </c>
      <c r="M2779" s="3">
        <v>0</v>
      </c>
      <c r="N2779">
        <v>98040</v>
      </c>
      <c r="O2779">
        <v>0</v>
      </c>
      <c r="P2779">
        <v>-49181370</v>
      </c>
      <c r="Q2779" t="s">
        <v>30</v>
      </c>
      <c r="R2779" t="s">
        <v>766</v>
      </c>
      <c r="S2779" t="str">
        <v>#N/A</v>
      </c>
      <c r="T2779" t="str">
        <v>#N/A</v>
      </c>
    </row>
    <row r="2780" spans="1:20" ht="13.7" customHeight="1" x14ac:dyDescent="0.25">
      <c r="A2780" t="s">
        <v>320</v>
      </c>
      <c r="B2780" t="s">
        <v>321</v>
      </c>
      <c r="C2780" t="s">
        <v>142</v>
      </c>
      <c r="D2780">
        <v>343</v>
      </c>
      <c r="E2780" s="5">
        <v>43486</v>
      </c>
      <c r="F2780">
        <v>41350101</v>
      </c>
      <c r="G2780" t="s">
        <v>733</v>
      </c>
      <c r="H2780" t="s">
        <v>1127</v>
      </c>
      <c r="I2780" t="s">
        <v>1128</v>
      </c>
      <c r="J2780">
        <v>1007</v>
      </c>
      <c r="K2780">
        <v>4001</v>
      </c>
      <c r="L2780" s="3">
        <v>-49181370</v>
      </c>
      <c r="M2780" s="3">
        <v>0</v>
      </c>
      <c r="N2780">
        <v>5000</v>
      </c>
      <c r="O2780">
        <v>0</v>
      </c>
      <c r="P2780">
        <v>-49186370</v>
      </c>
      <c r="Q2780" t="s">
        <v>30</v>
      </c>
      <c r="R2780" t="s">
        <v>767</v>
      </c>
      <c r="S2780" t="str">
        <v>#N/A</v>
      </c>
      <c r="T2780" t="str">
        <v>#N/A</v>
      </c>
    </row>
    <row r="2781" spans="1:20" ht="13.7" customHeight="1" x14ac:dyDescent="0.25">
      <c r="A2781" t="s">
        <v>320</v>
      </c>
      <c r="B2781" t="s">
        <v>321</v>
      </c>
      <c r="C2781" t="s">
        <v>142</v>
      </c>
      <c r="D2781">
        <v>345</v>
      </c>
      <c r="E2781" s="5">
        <v>43487</v>
      </c>
      <c r="F2781">
        <v>41350101</v>
      </c>
      <c r="G2781" t="s">
        <v>733</v>
      </c>
      <c r="H2781" t="s">
        <v>1127</v>
      </c>
      <c r="I2781" t="s">
        <v>1128</v>
      </c>
      <c r="J2781">
        <v>1007</v>
      </c>
      <c r="K2781">
        <v>4001</v>
      </c>
      <c r="L2781" s="3">
        <v>-49186370</v>
      </c>
      <c r="M2781" s="3">
        <v>0</v>
      </c>
      <c r="N2781">
        <v>194400</v>
      </c>
      <c r="O2781">
        <v>0</v>
      </c>
      <c r="P2781">
        <v>-49380770</v>
      </c>
      <c r="Q2781" t="s">
        <v>30</v>
      </c>
      <c r="R2781" t="s">
        <v>769</v>
      </c>
      <c r="S2781" t="str">
        <v>#N/A</v>
      </c>
      <c r="T2781" t="str">
        <v>#N/A</v>
      </c>
    </row>
    <row r="2782" spans="1:20" ht="13.7" customHeight="1" x14ac:dyDescent="0.25">
      <c r="A2782" t="s">
        <v>320</v>
      </c>
      <c r="B2782" t="s">
        <v>321</v>
      </c>
      <c r="C2782" t="s">
        <v>142</v>
      </c>
      <c r="D2782">
        <v>345</v>
      </c>
      <c r="E2782" s="5">
        <v>43487</v>
      </c>
      <c r="F2782">
        <v>41350101</v>
      </c>
      <c r="G2782" t="s">
        <v>733</v>
      </c>
      <c r="H2782" t="s">
        <v>1127</v>
      </c>
      <c r="I2782" t="s">
        <v>1128</v>
      </c>
      <c r="J2782">
        <v>1007</v>
      </c>
      <c r="K2782">
        <v>4001</v>
      </c>
      <c r="L2782" s="3">
        <v>-49380770</v>
      </c>
      <c r="M2782" s="3">
        <v>0</v>
      </c>
      <c r="N2782">
        <v>206400</v>
      </c>
      <c r="O2782">
        <v>0</v>
      </c>
      <c r="P2782">
        <v>-49587170</v>
      </c>
      <c r="Q2782" t="s">
        <v>30</v>
      </c>
      <c r="R2782" t="s">
        <v>770</v>
      </c>
      <c r="S2782" t="str">
        <v>#N/A</v>
      </c>
      <c r="T2782" t="str">
        <v>#N/A</v>
      </c>
    </row>
    <row r="2783" spans="1:20" ht="13.7" customHeight="1" x14ac:dyDescent="0.25">
      <c r="A2783" t="s">
        <v>320</v>
      </c>
      <c r="B2783" t="s">
        <v>321</v>
      </c>
      <c r="C2783" t="s">
        <v>142</v>
      </c>
      <c r="D2783">
        <v>346</v>
      </c>
      <c r="E2783" s="5">
        <v>43489</v>
      </c>
      <c r="F2783">
        <v>41350101</v>
      </c>
      <c r="G2783" t="s">
        <v>733</v>
      </c>
      <c r="H2783" t="s">
        <v>1127</v>
      </c>
      <c r="I2783" t="s">
        <v>1128</v>
      </c>
      <c r="J2783">
        <v>1007</v>
      </c>
      <c r="K2783">
        <v>4001</v>
      </c>
      <c r="L2783" s="3">
        <v>-49587170</v>
      </c>
      <c r="M2783" s="3">
        <v>0</v>
      </c>
      <c r="N2783">
        <v>237880</v>
      </c>
      <c r="O2783">
        <v>0</v>
      </c>
      <c r="P2783">
        <v>-49825050</v>
      </c>
      <c r="Q2783" t="s">
        <v>30</v>
      </c>
      <c r="R2783" t="s">
        <v>771</v>
      </c>
      <c r="S2783" t="str">
        <v>#N/A</v>
      </c>
      <c r="T2783" t="str">
        <v>#N/A</v>
      </c>
    </row>
    <row r="2784" spans="1:20" ht="13.7" customHeight="1" x14ac:dyDescent="0.25">
      <c r="A2784" t="s">
        <v>320</v>
      </c>
      <c r="B2784" t="s">
        <v>321</v>
      </c>
      <c r="C2784" t="s">
        <v>142</v>
      </c>
      <c r="D2784">
        <v>346</v>
      </c>
      <c r="E2784" s="5">
        <v>43489</v>
      </c>
      <c r="F2784">
        <v>41350101</v>
      </c>
      <c r="G2784" t="s">
        <v>733</v>
      </c>
      <c r="H2784" t="s">
        <v>1127</v>
      </c>
      <c r="I2784" t="s">
        <v>1128</v>
      </c>
      <c r="J2784">
        <v>1007</v>
      </c>
      <c r="K2784">
        <v>4001</v>
      </c>
      <c r="L2784" s="3">
        <v>-49825050</v>
      </c>
      <c r="M2784" s="3">
        <v>0</v>
      </c>
      <c r="N2784">
        <v>150000</v>
      </c>
      <c r="O2784">
        <v>0</v>
      </c>
      <c r="P2784">
        <v>-49975050</v>
      </c>
      <c r="Q2784" t="s">
        <v>30</v>
      </c>
      <c r="R2784" t="s">
        <v>772</v>
      </c>
      <c r="S2784" t="str">
        <v>#N/A</v>
      </c>
      <c r="T2784" t="str">
        <v>#N/A</v>
      </c>
    </row>
    <row r="2785" spans="1:20" ht="13.7" customHeight="1" x14ac:dyDescent="0.25">
      <c r="A2785" t="s">
        <v>320</v>
      </c>
      <c r="B2785" t="s">
        <v>321</v>
      </c>
      <c r="C2785" t="s">
        <v>142</v>
      </c>
      <c r="D2785">
        <v>347</v>
      </c>
      <c r="E2785" s="5">
        <v>43490</v>
      </c>
      <c r="F2785">
        <v>41350101</v>
      </c>
      <c r="G2785" t="s">
        <v>733</v>
      </c>
      <c r="H2785" t="s">
        <v>1127</v>
      </c>
      <c r="I2785" t="s">
        <v>1128</v>
      </c>
      <c r="J2785">
        <v>1007</v>
      </c>
      <c r="K2785">
        <v>4001</v>
      </c>
      <c r="L2785" s="3">
        <v>-49975050</v>
      </c>
      <c r="M2785" s="3">
        <v>0</v>
      </c>
      <c r="N2785">
        <v>61440</v>
      </c>
      <c r="O2785">
        <v>0</v>
      </c>
      <c r="P2785">
        <v>-50036490</v>
      </c>
      <c r="Q2785" t="s">
        <v>30</v>
      </c>
      <c r="R2785" t="s">
        <v>773</v>
      </c>
      <c r="S2785" t="str">
        <v>#N/A</v>
      </c>
      <c r="T2785" t="str">
        <v>#N/A</v>
      </c>
    </row>
    <row r="2786" spans="1:20" ht="13.7" customHeight="1" x14ac:dyDescent="0.25">
      <c r="A2786" t="s">
        <v>320</v>
      </c>
      <c r="B2786" t="s">
        <v>321</v>
      </c>
      <c r="C2786" t="s">
        <v>142</v>
      </c>
      <c r="D2786">
        <v>347</v>
      </c>
      <c r="E2786" s="5">
        <v>43490</v>
      </c>
      <c r="F2786">
        <v>41350101</v>
      </c>
      <c r="G2786" t="s">
        <v>733</v>
      </c>
      <c r="H2786" t="s">
        <v>1127</v>
      </c>
      <c r="I2786" t="s">
        <v>1128</v>
      </c>
      <c r="J2786">
        <v>1007</v>
      </c>
      <c r="K2786">
        <v>4001</v>
      </c>
      <c r="L2786" s="3">
        <v>-50036490</v>
      </c>
      <c r="M2786" s="3">
        <v>0</v>
      </c>
      <c r="N2786">
        <v>20000</v>
      </c>
      <c r="O2786">
        <v>0</v>
      </c>
      <c r="P2786">
        <v>-50056490</v>
      </c>
      <c r="Q2786" t="s">
        <v>30</v>
      </c>
      <c r="R2786" t="s">
        <v>774</v>
      </c>
      <c r="S2786" t="str">
        <v>#N/A</v>
      </c>
      <c r="T2786" t="str">
        <v>#N/A</v>
      </c>
    </row>
    <row r="2787" spans="1:20" ht="13.7" customHeight="1" x14ac:dyDescent="0.25">
      <c r="A2787" t="s">
        <v>320</v>
      </c>
      <c r="B2787" t="s">
        <v>321</v>
      </c>
      <c r="C2787" t="s">
        <v>142</v>
      </c>
      <c r="D2787">
        <v>350</v>
      </c>
      <c r="E2787" s="5">
        <v>43495</v>
      </c>
      <c r="F2787">
        <v>41350101</v>
      </c>
      <c r="G2787" t="s">
        <v>733</v>
      </c>
      <c r="H2787" t="s">
        <v>1127</v>
      </c>
      <c r="I2787" t="s">
        <v>1128</v>
      </c>
      <c r="J2787">
        <v>1007</v>
      </c>
      <c r="K2787">
        <v>4001</v>
      </c>
      <c r="L2787" s="3">
        <v>-50056490</v>
      </c>
      <c r="M2787" s="3">
        <v>0</v>
      </c>
      <c r="N2787">
        <v>408880</v>
      </c>
      <c r="O2787">
        <v>0</v>
      </c>
      <c r="P2787">
        <v>-50465370</v>
      </c>
      <c r="Q2787" t="s">
        <v>30</v>
      </c>
      <c r="R2787" t="s">
        <v>775</v>
      </c>
      <c r="S2787" t="str">
        <v>#N/A</v>
      </c>
      <c r="T2787" t="str">
        <v>#N/A</v>
      </c>
    </row>
    <row r="2788" spans="1:20" ht="13.7" customHeight="1" x14ac:dyDescent="0.25">
      <c r="A2788" t="s">
        <v>320</v>
      </c>
      <c r="B2788" t="s">
        <v>321</v>
      </c>
      <c r="C2788" t="s">
        <v>142</v>
      </c>
      <c r="D2788">
        <v>350</v>
      </c>
      <c r="E2788" s="5">
        <v>43495</v>
      </c>
      <c r="F2788">
        <v>41350101</v>
      </c>
      <c r="G2788" t="s">
        <v>733</v>
      </c>
      <c r="H2788" t="s">
        <v>1127</v>
      </c>
      <c r="I2788" t="s">
        <v>1128</v>
      </c>
      <c r="J2788">
        <v>1007</v>
      </c>
      <c r="K2788">
        <v>4001</v>
      </c>
      <c r="L2788" s="3">
        <v>-50465370</v>
      </c>
      <c r="M2788" s="3">
        <v>0</v>
      </c>
      <c r="N2788">
        <v>81600</v>
      </c>
      <c r="O2788">
        <v>0</v>
      </c>
      <c r="P2788">
        <v>-50546970</v>
      </c>
      <c r="Q2788" t="s">
        <v>30</v>
      </c>
      <c r="R2788" t="s">
        <v>776</v>
      </c>
      <c r="S2788" t="str">
        <v>#N/A</v>
      </c>
      <c r="T2788" t="str">
        <v>#N/A</v>
      </c>
    </row>
    <row r="2789" spans="1:20" ht="13.7" customHeight="1" x14ac:dyDescent="0.25">
      <c r="A2789" t="s">
        <v>320</v>
      </c>
      <c r="B2789" t="s">
        <v>321</v>
      </c>
      <c r="C2789" t="s">
        <v>142</v>
      </c>
      <c r="D2789">
        <v>355</v>
      </c>
      <c r="E2789" s="5">
        <v>43501</v>
      </c>
      <c r="F2789">
        <v>41350101</v>
      </c>
      <c r="G2789" t="s">
        <v>733</v>
      </c>
      <c r="H2789" t="s">
        <v>1127</v>
      </c>
      <c r="I2789" t="s">
        <v>1128</v>
      </c>
      <c r="J2789">
        <v>1007</v>
      </c>
      <c r="K2789">
        <v>4001</v>
      </c>
      <c r="L2789" s="3">
        <v>-50546970</v>
      </c>
      <c r="M2789" s="3">
        <v>0</v>
      </c>
      <c r="N2789">
        <v>252000</v>
      </c>
      <c r="O2789">
        <v>0</v>
      </c>
      <c r="P2789">
        <v>-50798970</v>
      </c>
      <c r="Q2789" t="s">
        <v>30</v>
      </c>
      <c r="R2789" t="s">
        <v>790</v>
      </c>
      <c r="S2789" t="str">
        <v>#N/A</v>
      </c>
      <c r="T2789" t="str">
        <v>#N/A</v>
      </c>
    </row>
    <row r="2790" spans="1:20" ht="13.7" customHeight="1" x14ac:dyDescent="0.25">
      <c r="A2790" t="s">
        <v>320</v>
      </c>
      <c r="B2790" t="s">
        <v>321</v>
      </c>
      <c r="C2790" t="s">
        <v>142</v>
      </c>
      <c r="D2790">
        <v>355</v>
      </c>
      <c r="E2790" s="5">
        <v>43501</v>
      </c>
      <c r="F2790">
        <v>41350101</v>
      </c>
      <c r="G2790" t="s">
        <v>733</v>
      </c>
      <c r="H2790" t="s">
        <v>1127</v>
      </c>
      <c r="I2790" t="s">
        <v>1128</v>
      </c>
      <c r="J2790">
        <v>1007</v>
      </c>
      <c r="K2790">
        <v>4001</v>
      </c>
      <c r="L2790" s="3">
        <v>-50798970</v>
      </c>
      <c r="M2790" s="3">
        <v>0</v>
      </c>
      <c r="N2790">
        <v>200000</v>
      </c>
      <c r="O2790">
        <v>0</v>
      </c>
      <c r="P2790">
        <v>-50998970</v>
      </c>
      <c r="Q2790" t="s">
        <v>30</v>
      </c>
      <c r="R2790" t="s">
        <v>791</v>
      </c>
      <c r="S2790" t="str">
        <v>#N/A</v>
      </c>
      <c r="T2790" t="str">
        <v>#N/A</v>
      </c>
    </row>
    <row r="2791" spans="1:20" ht="13.7" customHeight="1" x14ac:dyDescent="0.25">
      <c r="A2791" t="s">
        <v>320</v>
      </c>
      <c r="B2791" t="s">
        <v>321</v>
      </c>
      <c r="C2791" t="s">
        <v>142</v>
      </c>
      <c r="D2791">
        <v>355</v>
      </c>
      <c r="E2791" s="5">
        <v>43501</v>
      </c>
      <c r="F2791">
        <v>41350101</v>
      </c>
      <c r="G2791" t="s">
        <v>733</v>
      </c>
      <c r="H2791" t="s">
        <v>1127</v>
      </c>
      <c r="I2791" t="s">
        <v>1128</v>
      </c>
      <c r="J2791">
        <v>1007</v>
      </c>
      <c r="K2791">
        <v>4001</v>
      </c>
      <c r="L2791" s="3">
        <v>-50998970</v>
      </c>
      <c r="M2791" s="3">
        <v>0</v>
      </c>
      <c r="N2791">
        <v>80000</v>
      </c>
      <c r="O2791">
        <v>0</v>
      </c>
      <c r="P2791">
        <v>-51078970</v>
      </c>
      <c r="Q2791" t="s">
        <v>30</v>
      </c>
      <c r="R2791" t="s">
        <v>792</v>
      </c>
      <c r="S2791" t="str">
        <v>#N/A</v>
      </c>
      <c r="T2791" t="str">
        <v>#N/A</v>
      </c>
    </row>
    <row r="2792" spans="1:20" ht="13.7" customHeight="1" x14ac:dyDescent="0.25">
      <c r="A2792" t="s">
        <v>320</v>
      </c>
      <c r="B2792" t="s">
        <v>321</v>
      </c>
      <c r="C2792" t="s">
        <v>142</v>
      </c>
      <c r="D2792">
        <v>355</v>
      </c>
      <c r="E2792" s="5">
        <v>43501</v>
      </c>
      <c r="F2792">
        <v>41350101</v>
      </c>
      <c r="G2792" t="s">
        <v>733</v>
      </c>
      <c r="H2792" t="s">
        <v>1127</v>
      </c>
      <c r="I2792" t="s">
        <v>1128</v>
      </c>
      <c r="J2792">
        <v>1007</v>
      </c>
      <c r="K2792">
        <v>4001</v>
      </c>
      <c r="L2792" s="3">
        <v>-51078970</v>
      </c>
      <c r="M2792" s="3">
        <v>0</v>
      </c>
      <c r="N2792">
        <v>350000</v>
      </c>
      <c r="O2792">
        <v>0</v>
      </c>
      <c r="P2792">
        <v>-51428970</v>
      </c>
      <c r="Q2792" t="s">
        <v>30</v>
      </c>
      <c r="R2792" t="s">
        <v>793</v>
      </c>
      <c r="S2792" t="str">
        <v>#N/A</v>
      </c>
      <c r="T2792" t="str">
        <v>#N/A</v>
      </c>
    </row>
    <row r="2793" spans="1:20" ht="13.7" customHeight="1" x14ac:dyDescent="0.25">
      <c r="A2793" t="s">
        <v>320</v>
      </c>
      <c r="B2793" t="s">
        <v>321</v>
      </c>
      <c r="C2793" t="s">
        <v>142</v>
      </c>
      <c r="D2793">
        <v>356</v>
      </c>
      <c r="E2793" s="5">
        <v>43504</v>
      </c>
      <c r="F2793">
        <v>41350101</v>
      </c>
      <c r="G2793" t="s">
        <v>733</v>
      </c>
      <c r="H2793" t="s">
        <v>1127</v>
      </c>
      <c r="I2793" t="s">
        <v>1128</v>
      </c>
      <c r="J2793">
        <v>1007</v>
      </c>
      <c r="K2793">
        <v>4001</v>
      </c>
      <c r="L2793" s="3">
        <v>-51428970</v>
      </c>
      <c r="M2793" s="3">
        <v>0</v>
      </c>
      <c r="N2793">
        <v>40000</v>
      </c>
      <c r="O2793">
        <v>0</v>
      </c>
      <c r="P2793">
        <v>-51468970</v>
      </c>
      <c r="Q2793" t="s">
        <v>30</v>
      </c>
      <c r="R2793" t="s">
        <v>794</v>
      </c>
      <c r="S2793" t="str">
        <v>#N/A</v>
      </c>
      <c r="T2793" t="str">
        <v>#N/A</v>
      </c>
    </row>
    <row r="2794" spans="1:20" ht="13.7" customHeight="1" x14ac:dyDescent="0.25">
      <c r="A2794" t="s">
        <v>320</v>
      </c>
      <c r="B2794" t="s">
        <v>321</v>
      </c>
      <c r="C2794" t="s">
        <v>142</v>
      </c>
      <c r="D2794">
        <v>356</v>
      </c>
      <c r="E2794" s="5">
        <v>43504</v>
      </c>
      <c r="F2794">
        <v>41350101</v>
      </c>
      <c r="G2794" t="s">
        <v>733</v>
      </c>
      <c r="H2794" t="s">
        <v>1127</v>
      </c>
      <c r="I2794" t="s">
        <v>1128</v>
      </c>
      <c r="J2794">
        <v>1007</v>
      </c>
      <c r="K2794">
        <v>4001</v>
      </c>
      <c r="L2794" s="3">
        <v>-51468970</v>
      </c>
      <c r="M2794" s="3">
        <v>0</v>
      </c>
      <c r="N2794">
        <v>325000</v>
      </c>
      <c r="O2794">
        <v>0</v>
      </c>
      <c r="P2794">
        <v>-51793970</v>
      </c>
      <c r="Q2794" t="s">
        <v>30</v>
      </c>
      <c r="R2794" t="s">
        <v>795</v>
      </c>
      <c r="S2794" t="str">
        <v>#N/A</v>
      </c>
      <c r="T2794" t="str">
        <v>#N/A</v>
      </c>
    </row>
    <row r="2795" spans="1:20" ht="13.7" customHeight="1" x14ac:dyDescent="0.25">
      <c r="A2795" t="s">
        <v>320</v>
      </c>
      <c r="B2795" t="s">
        <v>321</v>
      </c>
      <c r="C2795" t="s">
        <v>142</v>
      </c>
      <c r="D2795">
        <v>356</v>
      </c>
      <c r="E2795" s="5">
        <v>43504</v>
      </c>
      <c r="F2795">
        <v>41350101</v>
      </c>
      <c r="G2795" t="s">
        <v>733</v>
      </c>
      <c r="H2795" t="s">
        <v>1127</v>
      </c>
      <c r="I2795" t="s">
        <v>1128</v>
      </c>
      <c r="J2795">
        <v>1007</v>
      </c>
      <c r="K2795">
        <v>4001</v>
      </c>
      <c r="L2795" s="3">
        <v>-51793970</v>
      </c>
      <c r="M2795" s="3">
        <v>0</v>
      </c>
      <c r="N2795">
        <v>180600</v>
      </c>
      <c r="O2795">
        <v>0</v>
      </c>
      <c r="P2795">
        <v>-51974570</v>
      </c>
      <c r="Q2795" t="s">
        <v>30</v>
      </c>
      <c r="R2795" t="s">
        <v>796</v>
      </c>
      <c r="S2795" t="str">
        <v>#N/A</v>
      </c>
      <c r="T2795" t="str">
        <v>#N/A</v>
      </c>
    </row>
    <row r="2796" spans="1:20" ht="13.7" customHeight="1" x14ac:dyDescent="0.25">
      <c r="A2796" t="s">
        <v>320</v>
      </c>
      <c r="B2796" t="s">
        <v>321</v>
      </c>
      <c r="C2796" t="s">
        <v>142</v>
      </c>
      <c r="D2796">
        <v>365</v>
      </c>
      <c r="E2796" s="5">
        <v>43511</v>
      </c>
      <c r="F2796">
        <v>41350101</v>
      </c>
      <c r="G2796" t="s">
        <v>733</v>
      </c>
      <c r="H2796" t="s">
        <v>1127</v>
      </c>
      <c r="I2796" t="s">
        <v>1128</v>
      </c>
      <c r="J2796">
        <v>1007</v>
      </c>
      <c r="K2796">
        <v>4001</v>
      </c>
      <c r="L2796" s="3">
        <v>-51974570</v>
      </c>
      <c r="M2796" s="3">
        <v>0</v>
      </c>
      <c r="N2796">
        <v>2716240</v>
      </c>
      <c r="O2796">
        <v>0</v>
      </c>
      <c r="P2796">
        <v>-54690810</v>
      </c>
      <c r="Q2796" t="s">
        <v>30</v>
      </c>
      <c r="R2796" t="s">
        <v>806</v>
      </c>
      <c r="S2796" t="str">
        <v>#N/A</v>
      </c>
      <c r="T2796" t="str">
        <v>#N/A</v>
      </c>
    </row>
    <row r="2797" spans="1:20" ht="13.7" customHeight="1" x14ac:dyDescent="0.25">
      <c r="A2797" t="s">
        <v>320</v>
      </c>
      <c r="B2797" t="s">
        <v>321</v>
      </c>
      <c r="C2797" t="s">
        <v>142</v>
      </c>
      <c r="D2797">
        <v>366</v>
      </c>
      <c r="E2797" s="5">
        <v>43512</v>
      </c>
      <c r="F2797">
        <v>41350101</v>
      </c>
      <c r="G2797" t="s">
        <v>733</v>
      </c>
      <c r="H2797" t="s">
        <v>1127</v>
      </c>
      <c r="I2797" t="s">
        <v>1128</v>
      </c>
      <c r="J2797">
        <v>1007</v>
      </c>
      <c r="K2797">
        <v>4001</v>
      </c>
      <c r="L2797" s="3">
        <v>-54690810</v>
      </c>
      <c r="M2797" s="3">
        <v>0</v>
      </c>
      <c r="N2797">
        <v>403200</v>
      </c>
      <c r="O2797">
        <v>0</v>
      </c>
      <c r="P2797">
        <v>-55094010</v>
      </c>
      <c r="Q2797" t="s">
        <v>30</v>
      </c>
      <c r="R2797" t="s">
        <v>807</v>
      </c>
      <c r="S2797" t="str">
        <v>#N/A</v>
      </c>
      <c r="T2797" t="str">
        <v>#N/A</v>
      </c>
    </row>
    <row r="2798" spans="1:20" ht="13.7" customHeight="1" x14ac:dyDescent="0.25">
      <c r="A2798" t="s">
        <v>320</v>
      </c>
      <c r="B2798" t="s">
        <v>321</v>
      </c>
      <c r="C2798" t="s">
        <v>142</v>
      </c>
      <c r="D2798">
        <v>372</v>
      </c>
      <c r="E2798" s="5">
        <v>43517</v>
      </c>
      <c r="F2798">
        <v>41350101</v>
      </c>
      <c r="G2798" t="s">
        <v>733</v>
      </c>
      <c r="H2798" t="s">
        <v>1127</v>
      </c>
      <c r="I2798" t="s">
        <v>1128</v>
      </c>
      <c r="J2798">
        <v>1007</v>
      </c>
      <c r="K2798">
        <v>4001</v>
      </c>
      <c r="L2798" s="3">
        <v>-55094010</v>
      </c>
      <c r="M2798" s="3">
        <v>0</v>
      </c>
      <c r="N2798">
        <v>143400</v>
      </c>
      <c r="O2798">
        <v>0</v>
      </c>
      <c r="P2798">
        <v>-55237410</v>
      </c>
      <c r="Q2798" t="s">
        <v>30</v>
      </c>
      <c r="R2798" t="s">
        <v>818</v>
      </c>
      <c r="S2798" t="str">
        <v>#N/A</v>
      </c>
      <c r="T2798" t="str">
        <v>#N/A</v>
      </c>
    </row>
    <row r="2799" spans="1:20" ht="13.7" customHeight="1" x14ac:dyDescent="0.25">
      <c r="A2799" t="s">
        <v>320</v>
      </c>
      <c r="B2799" t="s">
        <v>321</v>
      </c>
      <c r="C2799" t="s">
        <v>142</v>
      </c>
      <c r="D2799">
        <v>378</v>
      </c>
      <c r="E2799" s="5">
        <v>43530</v>
      </c>
      <c r="F2799">
        <v>41350101</v>
      </c>
      <c r="G2799" t="s">
        <v>733</v>
      </c>
      <c r="H2799" t="s">
        <v>1127</v>
      </c>
      <c r="I2799" t="s">
        <v>1128</v>
      </c>
      <c r="J2799">
        <v>1007</v>
      </c>
      <c r="K2799">
        <v>4001</v>
      </c>
      <c r="L2799" s="3">
        <v>-55237410</v>
      </c>
      <c r="M2799" s="3">
        <v>0</v>
      </c>
      <c r="N2799">
        <v>1335950</v>
      </c>
      <c r="O2799">
        <v>0</v>
      </c>
      <c r="P2799">
        <v>-56573360</v>
      </c>
      <c r="Q2799" t="s">
        <v>30</v>
      </c>
      <c r="R2799" t="s">
        <v>829</v>
      </c>
      <c r="S2799" t="str">
        <v>#N/A</v>
      </c>
      <c r="T2799" t="str">
        <v>#N/A</v>
      </c>
    </row>
    <row r="2800" spans="1:20" ht="13.7" customHeight="1" x14ac:dyDescent="0.25">
      <c r="A2800" t="s">
        <v>320</v>
      </c>
      <c r="B2800" t="s">
        <v>321</v>
      </c>
      <c r="C2800" t="s">
        <v>142</v>
      </c>
      <c r="D2800">
        <v>380</v>
      </c>
      <c r="E2800" s="5">
        <v>43533</v>
      </c>
      <c r="F2800">
        <v>41350101</v>
      </c>
      <c r="G2800" t="s">
        <v>733</v>
      </c>
      <c r="H2800" t="s">
        <v>1127</v>
      </c>
      <c r="I2800" t="s">
        <v>1128</v>
      </c>
      <c r="J2800">
        <v>1007</v>
      </c>
      <c r="K2800">
        <v>4001</v>
      </c>
      <c r="L2800" s="3">
        <v>-56573360</v>
      </c>
      <c r="M2800" s="3">
        <v>0</v>
      </c>
      <c r="N2800">
        <v>140400</v>
      </c>
      <c r="O2800">
        <v>0</v>
      </c>
      <c r="P2800">
        <v>-56713760</v>
      </c>
      <c r="Q2800" t="s">
        <v>30</v>
      </c>
      <c r="R2800" t="s">
        <v>831</v>
      </c>
      <c r="S2800" t="str">
        <v>#N/A</v>
      </c>
      <c r="T2800" t="str">
        <v>#N/A</v>
      </c>
    </row>
    <row r="2801" spans="1:20" ht="13.7" customHeight="1" x14ac:dyDescent="0.25">
      <c r="A2801" t="s">
        <v>320</v>
      </c>
      <c r="B2801" t="s">
        <v>321</v>
      </c>
      <c r="C2801" t="s">
        <v>142</v>
      </c>
      <c r="D2801">
        <v>380</v>
      </c>
      <c r="E2801" s="5">
        <v>43533</v>
      </c>
      <c r="F2801">
        <v>41350101</v>
      </c>
      <c r="G2801" t="s">
        <v>733</v>
      </c>
      <c r="H2801" t="s">
        <v>1127</v>
      </c>
      <c r="I2801" t="s">
        <v>1128</v>
      </c>
      <c r="J2801">
        <v>1007</v>
      </c>
      <c r="K2801">
        <v>4001</v>
      </c>
      <c r="L2801" s="3">
        <v>-56713760</v>
      </c>
      <c r="M2801" s="3">
        <v>0</v>
      </c>
      <c r="N2801">
        <v>1166000</v>
      </c>
      <c r="O2801">
        <v>0</v>
      </c>
      <c r="P2801">
        <v>-57879760</v>
      </c>
      <c r="Q2801" t="s">
        <v>30</v>
      </c>
      <c r="R2801" t="s">
        <v>398</v>
      </c>
      <c r="S2801" t="str">
        <v>#N/A</v>
      </c>
      <c r="T2801" t="str">
        <v>#N/A</v>
      </c>
    </row>
    <row r="2802" spans="1:20" ht="13.7" customHeight="1" x14ac:dyDescent="0.25">
      <c r="A2802" t="s">
        <v>320</v>
      </c>
      <c r="B2802" t="s">
        <v>321</v>
      </c>
      <c r="C2802" t="s">
        <v>142</v>
      </c>
      <c r="D2802">
        <v>382</v>
      </c>
      <c r="E2802" s="5">
        <v>43536</v>
      </c>
      <c r="F2802">
        <v>41350101</v>
      </c>
      <c r="G2802" t="s">
        <v>733</v>
      </c>
      <c r="H2802" t="s">
        <v>1127</v>
      </c>
      <c r="I2802" t="s">
        <v>1128</v>
      </c>
      <c r="J2802">
        <v>1007</v>
      </c>
      <c r="K2802">
        <v>4001</v>
      </c>
      <c r="L2802" s="3">
        <v>-57879760</v>
      </c>
      <c r="M2802" s="3">
        <v>0</v>
      </c>
      <c r="N2802">
        <v>360000</v>
      </c>
      <c r="O2802">
        <v>0</v>
      </c>
      <c r="P2802">
        <v>-58239760</v>
      </c>
      <c r="Q2802" t="s">
        <v>30</v>
      </c>
      <c r="R2802" t="s">
        <v>832</v>
      </c>
      <c r="S2802" t="str">
        <v>#N/A</v>
      </c>
      <c r="T2802" t="str">
        <v>#N/A</v>
      </c>
    </row>
    <row r="2803" spans="1:20" ht="13.7" customHeight="1" x14ac:dyDescent="0.25">
      <c r="A2803" t="s">
        <v>320</v>
      </c>
      <c r="B2803" t="s">
        <v>321</v>
      </c>
      <c r="C2803" t="s">
        <v>142</v>
      </c>
      <c r="D2803">
        <v>382</v>
      </c>
      <c r="E2803" s="5">
        <v>43536</v>
      </c>
      <c r="F2803">
        <v>41350101</v>
      </c>
      <c r="G2803" t="s">
        <v>733</v>
      </c>
      <c r="H2803" t="s">
        <v>1127</v>
      </c>
      <c r="I2803" t="s">
        <v>1128</v>
      </c>
      <c r="J2803">
        <v>1007</v>
      </c>
      <c r="K2803">
        <v>4001</v>
      </c>
      <c r="L2803" s="3">
        <v>-58239760</v>
      </c>
      <c r="M2803" s="3">
        <v>0</v>
      </c>
      <c r="N2803">
        <v>138000</v>
      </c>
      <c r="O2803">
        <v>0</v>
      </c>
      <c r="P2803">
        <v>-58377760</v>
      </c>
      <c r="Q2803" t="s">
        <v>30</v>
      </c>
      <c r="R2803" t="s">
        <v>833</v>
      </c>
      <c r="S2803" t="str">
        <v>#N/A</v>
      </c>
      <c r="T2803" t="str">
        <v>#N/A</v>
      </c>
    </row>
    <row r="2804" spans="1:20" ht="13.7" customHeight="1" x14ac:dyDescent="0.25">
      <c r="A2804" t="s">
        <v>320</v>
      </c>
      <c r="B2804" t="s">
        <v>321</v>
      </c>
      <c r="C2804" t="s">
        <v>142</v>
      </c>
      <c r="D2804">
        <v>384</v>
      </c>
      <c r="E2804" s="5">
        <v>43542</v>
      </c>
      <c r="F2804">
        <v>41350101</v>
      </c>
      <c r="G2804" t="s">
        <v>733</v>
      </c>
      <c r="H2804" t="s">
        <v>1127</v>
      </c>
      <c r="I2804" t="s">
        <v>1128</v>
      </c>
      <c r="J2804">
        <v>1007</v>
      </c>
      <c r="K2804">
        <v>4001</v>
      </c>
      <c r="L2804" s="3">
        <v>-58377760</v>
      </c>
      <c r="M2804" s="3">
        <v>0</v>
      </c>
      <c r="N2804">
        <v>64900</v>
      </c>
      <c r="O2804">
        <v>0</v>
      </c>
      <c r="P2804">
        <v>-58442660</v>
      </c>
      <c r="Q2804" t="s">
        <v>30</v>
      </c>
      <c r="R2804" t="s">
        <v>834</v>
      </c>
      <c r="S2804" t="str">
        <v>#N/A</v>
      </c>
      <c r="T2804" t="str">
        <v>#N/A</v>
      </c>
    </row>
    <row r="2805" spans="1:20" ht="13.7" customHeight="1" x14ac:dyDescent="0.25">
      <c r="A2805" t="s">
        <v>320</v>
      </c>
      <c r="B2805" t="s">
        <v>321</v>
      </c>
      <c r="C2805" t="s">
        <v>142</v>
      </c>
      <c r="D2805">
        <v>392</v>
      </c>
      <c r="E2805" s="5">
        <v>43553</v>
      </c>
      <c r="F2805">
        <v>41350101</v>
      </c>
      <c r="G2805" t="s">
        <v>733</v>
      </c>
      <c r="H2805" t="s">
        <v>1127</v>
      </c>
      <c r="I2805" t="s">
        <v>1128</v>
      </c>
      <c r="J2805">
        <v>1007</v>
      </c>
      <c r="K2805">
        <v>4001</v>
      </c>
      <c r="L2805" s="3">
        <v>-58442660</v>
      </c>
      <c r="M2805" s="3">
        <v>0</v>
      </c>
      <c r="N2805">
        <v>125000</v>
      </c>
      <c r="O2805">
        <v>0</v>
      </c>
      <c r="P2805">
        <v>-58567660</v>
      </c>
      <c r="Q2805" t="s">
        <v>30</v>
      </c>
      <c r="R2805" t="s">
        <v>418</v>
      </c>
      <c r="S2805" t="str">
        <v>#N/A</v>
      </c>
      <c r="T2805" t="str">
        <v>#N/A</v>
      </c>
    </row>
    <row r="2806" spans="1:20" ht="13.7" customHeight="1" x14ac:dyDescent="0.25">
      <c r="A2806" t="s">
        <v>320</v>
      </c>
      <c r="B2806" t="s">
        <v>321</v>
      </c>
      <c r="C2806" t="s">
        <v>142</v>
      </c>
      <c r="D2806">
        <v>394</v>
      </c>
      <c r="E2806" s="5">
        <v>43554</v>
      </c>
      <c r="F2806">
        <v>41350101</v>
      </c>
      <c r="G2806" t="s">
        <v>733</v>
      </c>
      <c r="H2806" t="s">
        <v>1127</v>
      </c>
      <c r="I2806" t="s">
        <v>1128</v>
      </c>
      <c r="J2806">
        <v>1007</v>
      </c>
      <c r="K2806">
        <v>4001</v>
      </c>
      <c r="L2806" s="3">
        <v>-58567660</v>
      </c>
      <c r="M2806" s="3">
        <v>0</v>
      </c>
      <c r="N2806">
        <v>440200</v>
      </c>
      <c r="O2806">
        <v>0</v>
      </c>
      <c r="P2806">
        <v>-59007860</v>
      </c>
      <c r="Q2806" t="s">
        <v>30</v>
      </c>
      <c r="R2806" t="s">
        <v>420</v>
      </c>
      <c r="S2806" t="str">
        <v>#N/A</v>
      </c>
      <c r="T2806" t="str">
        <v>#N/A</v>
      </c>
    </row>
    <row r="2807" spans="1:20" ht="13.7" customHeight="1" x14ac:dyDescent="0.25">
      <c r="A2807" t="s">
        <v>320</v>
      </c>
      <c r="B2807" t="s">
        <v>321</v>
      </c>
      <c r="C2807" t="s">
        <v>142</v>
      </c>
      <c r="D2807">
        <v>408</v>
      </c>
      <c r="E2807" s="5">
        <v>43566</v>
      </c>
      <c r="F2807">
        <v>41350101</v>
      </c>
      <c r="G2807" t="s">
        <v>733</v>
      </c>
      <c r="H2807" t="s">
        <v>1127</v>
      </c>
      <c r="I2807" t="s">
        <v>1128</v>
      </c>
      <c r="J2807">
        <v>1007</v>
      </c>
      <c r="K2807">
        <v>4001</v>
      </c>
      <c r="L2807" s="3">
        <v>-59007860</v>
      </c>
      <c r="M2807" s="3">
        <v>0</v>
      </c>
      <c r="N2807">
        <v>254400</v>
      </c>
      <c r="O2807">
        <v>0</v>
      </c>
      <c r="P2807">
        <v>-59262260</v>
      </c>
      <c r="Q2807" t="s">
        <v>30</v>
      </c>
      <c r="R2807" t="s">
        <v>846</v>
      </c>
      <c r="S2807" t="str">
        <v>#N/A</v>
      </c>
      <c r="T2807" t="str">
        <v>#N/A</v>
      </c>
    </row>
    <row r="2808" spans="1:20" ht="13.7" customHeight="1" x14ac:dyDescent="0.25">
      <c r="A2808" t="s">
        <v>320</v>
      </c>
      <c r="B2808" t="s">
        <v>321</v>
      </c>
      <c r="C2808" t="s">
        <v>142</v>
      </c>
      <c r="D2808">
        <v>413</v>
      </c>
      <c r="E2808" s="5">
        <v>43572</v>
      </c>
      <c r="F2808">
        <v>41350101</v>
      </c>
      <c r="G2808" t="s">
        <v>733</v>
      </c>
      <c r="H2808" t="s">
        <v>1127</v>
      </c>
      <c r="I2808" t="s">
        <v>1128</v>
      </c>
      <c r="J2808">
        <v>1007</v>
      </c>
      <c r="K2808">
        <v>4001</v>
      </c>
      <c r="L2808" s="3">
        <v>-59262260</v>
      </c>
      <c r="M2808" s="3">
        <v>0</v>
      </c>
      <c r="N2808">
        <v>119350</v>
      </c>
      <c r="O2808">
        <v>0</v>
      </c>
      <c r="P2808">
        <v>-59381610</v>
      </c>
      <c r="Q2808" t="s">
        <v>30</v>
      </c>
      <c r="R2808" t="s">
        <v>854</v>
      </c>
      <c r="S2808" t="str">
        <v>#N/A</v>
      </c>
      <c r="T2808" t="str">
        <v>#N/A</v>
      </c>
    </row>
    <row r="2809" spans="1:20" ht="13.7" customHeight="1" x14ac:dyDescent="0.25">
      <c r="A2809" t="s">
        <v>320</v>
      </c>
      <c r="B2809" t="s">
        <v>321</v>
      </c>
      <c r="C2809" t="s">
        <v>142</v>
      </c>
      <c r="D2809">
        <v>413</v>
      </c>
      <c r="E2809" s="5">
        <v>43572</v>
      </c>
      <c r="F2809">
        <v>41350101</v>
      </c>
      <c r="G2809" t="s">
        <v>733</v>
      </c>
      <c r="H2809" t="s">
        <v>1127</v>
      </c>
      <c r="I2809" t="s">
        <v>1128</v>
      </c>
      <c r="J2809">
        <v>1007</v>
      </c>
      <c r="K2809">
        <v>4001</v>
      </c>
      <c r="L2809" s="3">
        <v>-59381610</v>
      </c>
      <c r="M2809" s="3">
        <v>0</v>
      </c>
      <c r="N2809">
        <v>1381800</v>
      </c>
      <c r="O2809">
        <v>0</v>
      </c>
      <c r="P2809">
        <v>-60763410</v>
      </c>
      <c r="Q2809" t="s">
        <v>30</v>
      </c>
      <c r="R2809" t="s">
        <v>855</v>
      </c>
      <c r="S2809" t="str">
        <v>#N/A</v>
      </c>
      <c r="T2809" t="str">
        <v>#N/A</v>
      </c>
    </row>
    <row r="2810" spans="1:20" ht="13.7" customHeight="1" x14ac:dyDescent="0.25">
      <c r="A2810" t="s">
        <v>320</v>
      </c>
      <c r="B2810" t="s">
        <v>321</v>
      </c>
      <c r="C2810" t="s">
        <v>142</v>
      </c>
      <c r="D2810">
        <v>418</v>
      </c>
      <c r="E2810" s="5">
        <v>43581</v>
      </c>
      <c r="F2810">
        <v>41350101</v>
      </c>
      <c r="G2810" t="s">
        <v>733</v>
      </c>
      <c r="H2810" t="s">
        <v>1127</v>
      </c>
      <c r="I2810" t="s">
        <v>1128</v>
      </c>
      <c r="J2810">
        <v>1007</v>
      </c>
      <c r="K2810">
        <v>4001</v>
      </c>
      <c r="L2810" s="3">
        <v>-60763410</v>
      </c>
      <c r="M2810" s="3">
        <v>0</v>
      </c>
      <c r="N2810">
        <v>946960</v>
      </c>
      <c r="O2810">
        <v>0</v>
      </c>
      <c r="P2810">
        <v>-61710370</v>
      </c>
      <c r="Q2810" t="s">
        <v>30</v>
      </c>
      <c r="R2810" t="s">
        <v>862</v>
      </c>
      <c r="S2810" t="str">
        <v>#N/A</v>
      </c>
      <c r="T2810" t="str">
        <v>#N/A</v>
      </c>
    </row>
    <row r="2811" spans="1:20" ht="13.7" customHeight="1" x14ac:dyDescent="0.25">
      <c r="A2811" t="s">
        <v>320</v>
      </c>
      <c r="B2811" t="s">
        <v>321</v>
      </c>
      <c r="C2811" t="s">
        <v>142</v>
      </c>
      <c r="D2811">
        <v>421</v>
      </c>
      <c r="E2811" s="5">
        <v>43589</v>
      </c>
      <c r="F2811">
        <v>41350101</v>
      </c>
      <c r="G2811" t="s">
        <v>733</v>
      </c>
      <c r="H2811" t="s">
        <v>1127</v>
      </c>
      <c r="I2811" t="s">
        <v>1128</v>
      </c>
      <c r="J2811">
        <v>1007</v>
      </c>
      <c r="K2811">
        <v>4001</v>
      </c>
      <c r="L2811" s="3">
        <v>-61710370</v>
      </c>
      <c r="M2811" s="3">
        <v>0</v>
      </c>
      <c r="N2811">
        <v>133200</v>
      </c>
      <c r="O2811">
        <v>0</v>
      </c>
      <c r="P2811">
        <v>-61843570</v>
      </c>
      <c r="Q2811" t="s">
        <v>30</v>
      </c>
      <c r="R2811" t="s">
        <v>870</v>
      </c>
      <c r="S2811" t="str">
        <v>#N/A</v>
      </c>
      <c r="T2811" t="str">
        <v>#N/A</v>
      </c>
    </row>
    <row r="2812" spans="1:20" ht="13.7" customHeight="1" x14ac:dyDescent="0.25">
      <c r="A2812" t="s">
        <v>320</v>
      </c>
      <c r="B2812" t="s">
        <v>321</v>
      </c>
      <c r="C2812" t="s">
        <v>142</v>
      </c>
      <c r="D2812">
        <v>424</v>
      </c>
      <c r="E2812" s="5">
        <v>43591</v>
      </c>
      <c r="F2812">
        <v>41350101</v>
      </c>
      <c r="G2812" t="s">
        <v>733</v>
      </c>
      <c r="H2812" t="s">
        <v>1127</v>
      </c>
      <c r="I2812" t="s">
        <v>1128</v>
      </c>
      <c r="J2812">
        <v>1007</v>
      </c>
      <c r="K2812">
        <v>4001</v>
      </c>
      <c r="L2812" s="3">
        <v>-61843570</v>
      </c>
      <c r="M2812" s="3">
        <v>0</v>
      </c>
      <c r="N2812">
        <v>346800</v>
      </c>
      <c r="O2812">
        <v>0</v>
      </c>
      <c r="P2812">
        <v>-62190370</v>
      </c>
      <c r="Q2812" t="s">
        <v>30</v>
      </c>
      <c r="R2812" t="s">
        <v>871</v>
      </c>
      <c r="S2812" t="str">
        <v>#N/A</v>
      </c>
      <c r="T2812" t="str">
        <v>#N/A</v>
      </c>
    </row>
    <row r="2813" spans="1:20" ht="13.7" customHeight="1" x14ac:dyDescent="0.25">
      <c r="A2813" t="s">
        <v>320</v>
      </c>
      <c r="B2813" t="s">
        <v>321</v>
      </c>
      <c r="C2813" t="s">
        <v>142</v>
      </c>
      <c r="D2813">
        <v>426</v>
      </c>
      <c r="E2813" s="5">
        <v>43593</v>
      </c>
      <c r="F2813">
        <v>41350101</v>
      </c>
      <c r="G2813" t="s">
        <v>733</v>
      </c>
      <c r="H2813" t="s">
        <v>1127</v>
      </c>
      <c r="I2813" t="s">
        <v>1128</v>
      </c>
      <c r="J2813">
        <v>1007</v>
      </c>
      <c r="K2813">
        <v>4001</v>
      </c>
      <c r="L2813" s="3">
        <v>-62190370</v>
      </c>
      <c r="M2813" s="3">
        <v>0</v>
      </c>
      <c r="N2813">
        <v>250200</v>
      </c>
      <c r="O2813">
        <v>0</v>
      </c>
      <c r="P2813">
        <v>-62440570</v>
      </c>
      <c r="Q2813" t="s">
        <v>30</v>
      </c>
      <c r="R2813" t="s">
        <v>872</v>
      </c>
      <c r="S2813" t="str">
        <v>#N/A</v>
      </c>
      <c r="T2813" t="str">
        <v>#N/A</v>
      </c>
    </row>
    <row r="2814" spans="1:20" ht="13.7" customHeight="1" x14ac:dyDescent="0.25">
      <c r="A2814" t="s">
        <v>320</v>
      </c>
      <c r="B2814" t="s">
        <v>321</v>
      </c>
      <c r="C2814" t="s">
        <v>142</v>
      </c>
      <c r="D2814">
        <v>431</v>
      </c>
      <c r="E2814" s="5">
        <v>43596</v>
      </c>
      <c r="F2814">
        <v>41350101</v>
      </c>
      <c r="G2814" t="s">
        <v>733</v>
      </c>
      <c r="H2814" t="s">
        <v>1127</v>
      </c>
      <c r="I2814" t="s">
        <v>1128</v>
      </c>
      <c r="J2814">
        <v>1007</v>
      </c>
      <c r="K2814">
        <v>4001</v>
      </c>
      <c r="L2814" s="3">
        <v>-62440570</v>
      </c>
      <c r="M2814" s="3">
        <v>0</v>
      </c>
      <c r="N2814">
        <v>131400</v>
      </c>
      <c r="O2814">
        <v>0</v>
      </c>
      <c r="P2814">
        <v>-62571970</v>
      </c>
      <c r="Q2814" t="s">
        <v>30</v>
      </c>
      <c r="R2814" t="s">
        <v>876</v>
      </c>
      <c r="S2814" t="str">
        <v>#N/A</v>
      </c>
      <c r="T2814" t="str">
        <v>#N/A</v>
      </c>
    </row>
    <row r="2815" spans="1:20" ht="13.7" customHeight="1" x14ac:dyDescent="0.25">
      <c r="A2815" t="s">
        <v>320</v>
      </c>
      <c r="B2815" t="s">
        <v>321</v>
      </c>
      <c r="C2815" t="s">
        <v>142</v>
      </c>
      <c r="D2815">
        <v>432</v>
      </c>
      <c r="E2815" s="5">
        <v>43599</v>
      </c>
      <c r="F2815">
        <v>41350101</v>
      </c>
      <c r="G2815" t="s">
        <v>733</v>
      </c>
      <c r="H2815" t="s">
        <v>1127</v>
      </c>
      <c r="I2815" t="s">
        <v>1128</v>
      </c>
      <c r="J2815">
        <v>1007</v>
      </c>
      <c r="K2815">
        <v>4001</v>
      </c>
      <c r="L2815" s="3">
        <v>-62571970</v>
      </c>
      <c r="M2815" s="3">
        <v>0</v>
      </c>
      <c r="N2815">
        <v>88200</v>
      </c>
      <c r="O2815">
        <v>0</v>
      </c>
      <c r="P2815">
        <v>-62660170</v>
      </c>
      <c r="Q2815" t="s">
        <v>30</v>
      </c>
      <c r="R2815" t="s">
        <v>877</v>
      </c>
      <c r="S2815" t="str">
        <v>#N/A</v>
      </c>
      <c r="T2815" t="str">
        <v>#N/A</v>
      </c>
    </row>
    <row r="2816" spans="1:20" ht="13.7" customHeight="1" x14ac:dyDescent="0.25">
      <c r="A2816" t="s">
        <v>320</v>
      </c>
      <c r="B2816" t="s">
        <v>321</v>
      </c>
      <c r="C2816" t="s">
        <v>142</v>
      </c>
      <c r="D2816">
        <v>433</v>
      </c>
      <c r="E2816" s="5">
        <v>43602</v>
      </c>
      <c r="F2816">
        <v>41350101</v>
      </c>
      <c r="G2816" t="s">
        <v>733</v>
      </c>
      <c r="H2816" t="s">
        <v>1127</v>
      </c>
      <c r="I2816" t="s">
        <v>1128</v>
      </c>
      <c r="J2816">
        <v>1007</v>
      </c>
      <c r="K2816">
        <v>4001</v>
      </c>
      <c r="L2816" s="3">
        <v>-62660170</v>
      </c>
      <c r="M2816" s="3">
        <v>0</v>
      </c>
      <c r="N2816">
        <v>261600</v>
      </c>
      <c r="O2816">
        <v>0</v>
      </c>
      <c r="P2816">
        <v>-62921770</v>
      </c>
      <c r="Q2816" t="s">
        <v>30</v>
      </c>
      <c r="R2816" t="s">
        <v>878</v>
      </c>
      <c r="S2816" t="str">
        <v>#N/A</v>
      </c>
      <c r="T2816" t="str">
        <v>#N/A</v>
      </c>
    </row>
    <row r="2817" spans="1:20" ht="13.7" customHeight="1" x14ac:dyDescent="0.25">
      <c r="A2817" t="s">
        <v>320</v>
      </c>
      <c r="B2817" t="s">
        <v>321</v>
      </c>
      <c r="C2817" t="s">
        <v>142</v>
      </c>
      <c r="D2817">
        <v>438</v>
      </c>
      <c r="E2817" s="5">
        <v>43607</v>
      </c>
      <c r="F2817">
        <v>41350101</v>
      </c>
      <c r="G2817" t="s">
        <v>733</v>
      </c>
      <c r="H2817" t="s">
        <v>1127</v>
      </c>
      <c r="I2817" t="s">
        <v>1128</v>
      </c>
      <c r="J2817">
        <v>1007</v>
      </c>
      <c r="K2817">
        <v>4001</v>
      </c>
      <c r="L2817" s="3">
        <v>-62921770</v>
      </c>
      <c r="M2817" s="3">
        <v>0</v>
      </c>
      <c r="N2817">
        <v>290400</v>
      </c>
      <c r="O2817">
        <v>0</v>
      </c>
      <c r="P2817">
        <v>-63212170</v>
      </c>
      <c r="Q2817" t="s">
        <v>30</v>
      </c>
      <c r="R2817" t="s">
        <v>452</v>
      </c>
      <c r="S2817" t="str">
        <v>#N/A</v>
      </c>
      <c r="T2817" t="str">
        <v>#N/A</v>
      </c>
    </row>
    <row r="2818" spans="1:20" ht="13.7" customHeight="1" x14ac:dyDescent="0.25">
      <c r="A2818" t="s">
        <v>320</v>
      </c>
      <c r="B2818" t="s">
        <v>321</v>
      </c>
      <c r="C2818" t="s">
        <v>142</v>
      </c>
      <c r="D2818">
        <v>460</v>
      </c>
      <c r="E2818" s="5">
        <v>43645</v>
      </c>
      <c r="F2818">
        <v>41350101</v>
      </c>
      <c r="G2818" t="s">
        <v>733</v>
      </c>
      <c r="H2818" t="s">
        <v>1127</v>
      </c>
      <c r="I2818" t="s">
        <v>1128</v>
      </c>
      <c r="J2818">
        <v>1007</v>
      </c>
      <c r="K2818">
        <v>4001</v>
      </c>
      <c r="L2818" s="3">
        <v>-63212170</v>
      </c>
      <c r="M2818" s="3">
        <v>0</v>
      </c>
      <c r="N2818">
        <v>139800</v>
      </c>
      <c r="O2818">
        <v>0</v>
      </c>
      <c r="P2818">
        <v>-63351970</v>
      </c>
      <c r="Q2818" t="s">
        <v>30</v>
      </c>
      <c r="R2818" t="s">
        <v>910</v>
      </c>
      <c r="S2818" t="str">
        <v>#N/A</v>
      </c>
      <c r="T2818" t="str">
        <v>#N/A</v>
      </c>
    </row>
    <row r="2819" spans="1:20" ht="13.7" customHeight="1" x14ac:dyDescent="0.25">
      <c r="A2819" t="s">
        <v>320</v>
      </c>
      <c r="B2819" t="s">
        <v>321</v>
      </c>
      <c r="C2819" t="s">
        <v>142</v>
      </c>
      <c r="D2819">
        <v>472</v>
      </c>
      <c r="E2819" s="5">
        <v>43676</v>
      </c>
      <c r="F2819">
        <v>41350101</v>
      </c>
      <c r="G2819" t="s">
        <v>733</v>
      </c>
      <c r="H2819" t="s">
        <v>1127</v>
      </c>
      <c r="I2819" t="s">
        <v>1128</v>
      </c>
      <c r="J2819">
        <v>1007</v>
      </c>
      <c r="K2819">
        <v>4001</v>
      </c>
      <c r="L2819" s="3">
        <v>-63351970</v>
      </c>
      <c r="M2819" s="3">
        <v>0</v>
      </c>
      <c r="N2819">
        <v>196200</v>
      </c>
      <c r="O2819">
        <v>0</v>
      </c>
      <c r="P2819">
        <v>-63548170</v>
      </c>
      <c r="Q2819" t="s">
        <v>30</v>
      </c>
      <c r="R2819" t="s">
        <v>931</v>
      </c>
      <c r="S2819" t="str">
        <v>#N/A</v>
      </c>
      <c r="T2819" t="str">
        <v>#N/A</v>
      </c>
    </row>
    <row r="2820" spans="1:20" ht="13.7" customHeight="1" x14ac:dyDescent="0.25">
      <c r="A2820" t="s">
        <v>320</v>
      </c>
      <c r="B2820" t="s">
        <v>321</v>
      </c>
      <c r="C2820" t="s">
        <v>142</v>
      </c>
      <c r="D2820">
        <v>472</v>
      </c>
      <c r="E2820" s="5">
        <v>43676</v>
      </c>
      <c r="F2820">
        <v>41350101</v>
      </c>
      <c r="G2820" t="s">
        <v>733</v>
      </c>
      <c r="H2820" t="s">
        <v>1127</v>
      </c>
      <c r="I2820" t="s">
        <v>1128</v>
      </c>
      <c r="J2820">
        <v>1007</v>
      </c>
      <c r="K2820">
        <v>4001</v>
      </c>
      <c r="L2820" s="3">
        <v>-63548170</v>
      </c>
      <c r="M2820" s="3">
        <v>0</v>
      </c>
      <c r="N2820">
        <v>266400</v>
      </c>
      <c r="O2820">
        <v>0</v>
      </c>
      <c r="P2820">
        <v>-63814570</v>
      </c>
      <c r="Q2820" t="s">
        <v>30</v>
      </c>
      <c r="R2820" t="s">
        <v>727</v>
      </c>
      <c r="S2820" t="str">
        <v>#N/A</v>
      </c>
      <c r="T2820" t="str">
        <v>#N/A</v>
      </c>
    </row>
    <row r="2821" spans="1:20" ht="13.7" customHeight="1" x14ac:dyDescent="0.25">
      <c r="A2821" t="s">
        <v>320</v>
      </c>
      <c r="B2821" t="s">
        <v>321</v>
      </c>
      <c r="C2821" t="s">
        <v>142</v>
      </c>
      <c r="D2821">
        <v>494</v>
      </c>
      <c r="E2821" s="5">
        <v>43722</v>
      </c>
      <c r="F2821">
        <v>41350101</v>
      </c>
      <c r="G2821" t="s">
        <v>733</v>
      </c>
      <c r="H2821" t="s">
        <v>1127</v>
      </c>
      <c r="I2821" t="s">
        <v>1128</v>
      </c>
      <c r="J2821">
        <v>1007</v>
      </c>
      <c r="K2821">
        <v>4001</v>
      </c>
      <c r="L2821" s="3">
        <v>-63814570</v>
      </c>
      <c r="M2821" s="3">
        <v>0</v>
      </c>
      <c r="N2821">
        <v>135000</v>
      </c>
      <c r="O2821">
        <v>0</v>
      </c>
      <c r="P2821">
        <v>-63949570</v>
      </c>
      <c r="Q2821" t="s">
        <v>30</v>
      </c>
      <c r="R2821" t="s">
        <v>948</v>
      </c>
      <c r="S2821" t="str">
        <v>#N/A</v>
      </c>
      <c r="T2821" t="str">
        <v>#N/A</v>
      </c>
    </row>
    <row r="2822" spans="1:20" ht="13.7" customHeight="1" x14ac:dyDescent="0.25">
      <c r="A2822" t="s">
        <v>320</v>
      </c>
      <c r="B2822" t="s">
        <v>321</v>
      </c>
      <c r="C2822" t="s">
        <v>142</v>
      </c>
      <c r="D2822">
        <v>499</v>
      </c>
      <c r="E2822" s="5">
        <v>43734</v>
      </c>
      <c r="F2822">
        <v>41350101</v>
      </c>
      <c r="G2822" t="s">
        <v>733</v>
      </c>
      <c r="H2822" t="s">
        <v>1127</v>
      </c>
      <c r="I2822" t="s">
        <v>1128</v>
      </c>
      <c r="J2822">
        <v>1007</v>
      </c>
      <c r="K2822">
        <v>4001</v>
      </c>
      <c r="L2822" s="3">
        <v>-63949570</v>
      </c>
      <c r="M2822" s="3">
        <v>0</v>
      </c>
      <c r="N2822">
        <v>279000</v>
      </c>
      <c r="O2822">
        <v>0</v>
      </c>
      <c r="P2822">
        <v>-64228570</v>
      </c>
      <c r="Q2822" t="s">
        <v>30</v>
      </c>
      <c r="R2822" t="s">
        <v>966</v>
      </c>
      <c r="S2822" t="str">
        <v>#N/A</v>
      </c>
      <c r="T2822" t="str">
        <v>#N/A</v>
      </c>
    </row>
    <row r="2823" spans="1:20" ht="13.7" customHeight="1" x14ac:dyDescent="0.25">
      <c r="A2823" t="s">
        <v>320</v>
      </c>
      <c r="B2823" t="s">
        <v>321</v>
      </c>
      <c r="C2823" t="s">
        <v>142</v>
      </c>
      <c r="D2823">
        <v>503</v>
      </c>
      <c r="E2823" s="5">
        <v>43739</v>
      </c>
      <c r="F2823">
        <v>41350101</v>
      </c>
      <c r="G2823" t="s">
        <v>733</v>
      </c>
      <c r="H2823" t="s">
        <v>1127</v>
      </c>
      <c r="I2823" t="s">
        <v>1128</v>
      </c>
      <c r="J2823">
        <v>1007</v>
      </c>
      <c r="K2823">
        <v>4001</v>
      </c>
      <c r="L2823" s="3">
        <v>-64228570</v>
      </c>
      <c r="M2823" s="3">
        <v>0</v>
      </c>
      <c r="N2823">
        <v>1112400</v>
      </c>
      <c r="O2823">
        <v>0</v>
      </c>
      <c r="P2823">
        <v>-65340970</v>
      </c>
      <c r="Q2823" t="s">
        <v>30</v>
      </c>
      <c r="R2823" t="s">
        <v>977</v>
      </c>
      <c r="S2823" t="str">
        <v>#N/A</v>
      </c>
      <c r="T2823" t="str">
        <v>#N/A</v>
      </c>
    </row>
    <row r="2824" spans="1:20" ht="13.7" customHeight="1" x14ac:dyDescent="0.25">
      <c r="A2824" t="s">
        <v>320</v>
      </c>
      <c r="B2824" t="s">
        <v>321</v>
      </c>
      <c r="C2824" t="s">
        <v>142</v>
      </c>
      <c r="D2824">
        <v>505</v>
      </c>
      <c r="E2824" s="5">
        <v>43742</v>
      </c>
      <c r="F2824">
        <v>41350101</v>
      </c>
      <c r="G2824" t="s">
        <v>733</v>
      </c>
      <c r="H2824" t="s">
        <v>1127</v>
      </c>
      <c r="I2824" t="s">
        <v>1128</v>
      </c>
      <c r="J2824">
        <v>1007</v>
      </c>
      <c r="K2824">
        <v>4001</v>
      </c>
      <c r="L2824" s="3">
        <v>-65340970</v>
      </c>
      <c r="M2824" s="3">
        <v>0</v>
      </c>
      <c r="N2824">
        <v>400000</v>
      </c>
      <c r="O2824">
        <v>0</v>
      </c>
      <c r="P2824">
        <v>-65740970</v>
      </c>
      <c r="Q2824" t="s">
        <v>30</v>
      </c>
      <c r="R2824" t="s">
        <v>978</v>
      </c>
      <c r="S2824" t="str">
        <v>#N/A</v>
      </c>
      <c r="T2824" t="str">
        <v>#N/A</v>
      </c>
    </row>
    <row r="2825" spans="1:20" ht="13.7" customHeight="1" x14ac:dyDescent="0.25">
      <c r="A2825" t="s">
        <v>320</v>
      </c>
      <c r="B2825" t="s">
        <v>321</v>
      </c>
      <c r="C2825" t="s">
        <v>142</v>
      </c>
      <c r="D2825">
        <v>509</v>
      </c>
      <c r="E2825" s="5">
        <v>43749</v>
      </c>
      <c r="F2825">
        <v>41350101</v>
      </c>
      <c r="G2825" t="s">
        <v>733</v>
      </c>
      <c r="H2825" t="s">
        <v>1127</v>
      </c>
      <c r="I2825" t="s">
        <v>1128</v>
      </c>
      <c r="J2825">
        <v>1007</v>
      </c>
      <c r="K2825">
        <v>4001</v>
      </c>
      <c r="L2825" s="3">
        <v>-65740970</v>
      </c>
      <c r="M2825" s="3">
        <v>0</v>
      </c>
      <c r="N2825">
        <v>253800</v>
      </c>
      <c r="O2825">
        <v>0</v>
      </c>
      <c r="P2825">
        <v>-65994770</v>
      </c>
      <c r="Q2825" t="s">
        <v>30</v>
      </c>
      <c r="R2825" t="s">
        <v>987</v>
      </c>
      <c r="S2825" t="str">
        <v>#N/A</v>
      </c>
      <c r="T2825" t="str">
        <v>#N/A</v>
      </c>
    </row>
    <row r="2826" spans="1:20" ht="13.7" customHeight="1" x14ac:dyDescent="0.25">
      <c r="A2826" t="s">
        <v>320</v>
      </c>
      <c r="B2826" t="s">
        <v>321</v>
      </c>
      <c r="C2826" t="s">
        <v>142</v>
      </c>
      <c r="D2826">
        <v>512</v>
      </c>
      <c r="E2826" s="5">
        <v>43755</v>
      </c>
      <c r="F2826">
        <v>41350101</v>
      </c>
      <c r="G2826" t="s">
        <v>733</v>
      </c>
      <c r="H2826" t="s">
        <v>1127</v>
      </c>
      <c r="I2826" t="s">
        <v>1128</v>
      </c>
      <c r="J2826">
        <v>1007</v>
      </c>
      <c r="K2826">
        <v>4001</v>
      </c>
      <c r="L2826" s="3">
        <v>-65994770</v>
      </c>
      <c r="M2826" s="3">
        <v>0</v>
      </c>
      <c r="N2826">
        <v>132000</v>
      </c>
      <c r="O2826">
        <v>0</v>
      </c>
      <c r="P2826">
        <v>-66126770</v>
      </c>
      <c r="Q2826" t="s">
        <v>30</v>
      </c>
      <c r="R2826" t="s">
        <v>995</v>
      </c>
      <c r="S2826" t="str">
        <v>#N/A</v>
      </c>
      <c r="T2826" t="str">
        <v>#N/A</v>
      </c>
    </row>
    <row r="2827" spans="1:20" ht="13.7" customHeight="1" x14ac:dyDescent="0.25">
      <c r="A2827" t="s">
        <v>320</v>
      </c>
      <c r="B2827" t="s">
        <v>321</v>
      </c>
      <c r="C2827" t="s">
        <v>142</v>
      </c>
      <c r="D2827">
        <v>519</v>
      </c>
      <c r="E2827" s="5">
        <v>43766</v>
      </c>
      <c r="F2827">
        <v>41350101</v>
      </c>
      <c r="G2827" t="s">
        <v>733</v>
      </c>
      <c r="H2827" t="s">
        <v>1127</v>
      </c>
      <c r="I2827" t="s">
        <v>1128</v>
      </c>
      <c r="J2827">
        <v>1007</v>
      </c>
      <c r="K2827">
        <v>4001</v>
      </c>
      <c r="L2827" s="3">
        <v>-66126770</v>
      </c>
      <c r="M2827" s="3">
        <v>0</v>
      </c>
      <c r="N2827">
        <v>126000</v>
      </c>
      <c r="O2827">
        <v>0</v>
      </c>
      <c r="P2827">
        <v>-66252770</v>
      </c>
      <c r="Q2827" t="s">
        <v>30</v>
      </c>
      <c r="R2827" t="s">
        <v>1005</v>
      </c>
      <c r="S2827" t="str">
        <v>#N/A</v>
      </c>
      <c r="T2827" t="str">
        <v>#N/A</v>
      </c>
    </row>
    <row r="2828" spans="1:20" ht="13.7" customHeight="1" x14ac:dyDescent="0.25">
      <c r="A2828" t="s">
        <v>320</v>
      </c>
      <c r="B2828" t="s">
        <v>321</v>
      </c>
      <c r="C2828" t="s">
        <v>142</v>
      </c>
      <c r="D2828">
        <v>519</v>
      </c>
      <c r="E2828" s="5">
        <v>43766</v>
      </c>
      <c r="F2828">
        <v>41350101</v>
      </c>
      <c r="G2828" t="s">
        <v>733</v>
      </c>
      <c r="H2828" t="s">
        <v>1127</v>
      </c>
      <c r="I2828" t="s">
        <v>1128</v>
      </c>
      <c r="J2828">
        <v>1007</v>
      </c>
      <c r="K2828">
        <v>4001</v>
      </c>
      <c r="L2828" s="3">
        <v>-66252770</v>
      </c>
      <c r="M2828" s="3">
        <v>0</v>
      </c>
      <c r="N2828">
        <v>373600</v>
      </c>
      <c r="O2828">
        <v>0</v>
      </c>
      <c r="P2828">
        <v>-66626370</v>
      </c>
      <c r="Q2828" t="s">
        <v>30</v>
      </c>
      <c r="R2828" t="s">
        <v>1006</v>
      </c>
      <c r="S2828" t="str">
        <v>#N/A</v>
      </c>
      <c r="T2828" t="str">
        <v>#N/A</v>
      </c>
    </row>
    <row r="2829" spans="1:20" ht="13.7" customHeight="1" x14ac:dyDescent="0.25">
      <c r="A2829" t="s">
        <v>320</v>
      </c>
      <c r="B2829" t="s">
        <v>321</v>
      </c>
      <c r="C2829" t="s">
        <v>142</v>
      </c>
      <c r="D2829">
        <v>519</v>
      </c>
      <c r="E2829" s="5">
        <v>43766</v>
      </c>
      <c r="F2829">
        <v>41350101</v>
      </c>
      <c r="G2829" t="s">
        <v>733</v>
      </c>
      <c r="H2829" t="s">
        <v>1127</v>
      </c>
      <c r="I2829" t="s">
        <v>1128</v>
      </c>
      <c r="J2829">
        <v>1007</v>
      </c>
      <c r="K2829">
        <v>4001</v>
      </c>
      <c r="L2829" s="3">
        <v>-66626370</v>
      </c>
      <c r="M2829" s="3">
        <v>0</v>
      </c>
      <c r="N2829">
        <v>560400</v>
      </c>
      <c r="O2829">
        <v>0</v>
      </c>
      <c r="P2829">
        <v>-67186770</v>
      </c>
      <c r="Q2829" t="s">
        <v>30</v>
      </c>
      <c r="R2829" t="s">
        <v>1007</v>
      </c>
      <c r="S2829" t="str">
        <v>#N/A</v>
      </c>
      <c r="T2829" t="str">
        <v>#N/A</v>
      </c>
    </row>
    <row r="2830" spans="1:20" ht="13.7" customHeight="1" x14ac:dyDescent="0.25">
      <c r="A2830" t="s">
        <v>320</v>
      </c>
      <c r="B2830" t="s">
        <v>321</v>
      </c>
      <c r="C2830" t="s">
        <v>142</v>
      </c>
      <c r="D2830">
        <v>526</v>
      </c>
      <c r="E2830" s="5">
        <v>43774</v>
      </c>
      <c r="F2830">
        <v>41350101</v>
      </c>
      <c r="G2830" t="s">
        <v>733</v>
      </c>
      <c r="H2830" t="s">
        <v>1127</v>
      </c>
      <c r="I2830" t="s">
        <v>1128</v>
      </c>
      <c r="J2830">
        <v>1007</v>
      </c>
      <c r="K2830">
        <v>4001</v>
      </c>
      <c r="L2830" s="3">
        <v>-67186770</v>
      </c>
      <c r="M2830" s="3">
        <v>0</v>
      </c>
      <c r="N2830">
        <v>525000</v>
      </c>
      <c r="O2830">
        <v>0</v>
      </c>
      <c r="P2830">
        <v>-67711770</v>
      </c>
      <c r="Q2830" t="s">
        <v>30</v>
      </c>
      <c r="R2830" t="s">
        <v>1022</v>
      </c>
      <c r="S2830" t="str">
        <v>#N/A</v>
      </c>
      <c r="T2830" t="str">
        <v>#N/A</v>
      </c>
    </row>
    <row r="2831" spans="1:20" ht="13.7" customHeight="1" x14ac:dyDescent="0.25">
      <c r="A2831" t="s">
        <v>320</v>
      </c>
      <c r="B2831" t="s">
        <v>321</v>
      </c>
      <c r="C2831" t="s">
        <v>142</v>
      </c>
      <c r="D2831">
        <v>528</v>
      </c>
      <c r="E2831" s="5">
        <v>43783</v>
      </c>
      <c r="F2831">
        <v>41350101</v>
      </c>
      <c r="G2831" t="s">
        <v>733</v>
      </c>
      <c r="H2831" t="s">
        <v>1127</v>
      </c>
      <c r="I2831" t="s">
        <v>1128</v>
      </c>
      <c r="J2831">
        <v>1007</v>
      </c>
      <c r="K2831">
        <v>4001</v>
      </c>
      <c r="L2831" s="3">
        <v>-67711770</v>
      </c>
      <c r="M2831" s="3">
        <v>0</v>
      </c>
      <c r="N2831">
        <v>130200</v>
      </c>
      <c r="O2831">
        <v>0</v>
      </c>
      <c r="P2831">
        <v>-67841970</v>
      </c>
      <c r="Q2831" t="s">
        <v>30</v>
      </c>
      <c r="R2831" t="s">
        <v>1028</v>
      </c>
      <c r="S2831" t="str">
        <v>#N/A</v>
      </c>
      <c r="T2831" t="str">
        <v>#N/A</v>
      </c>
    </row>
    <row r="2832" spans="1:20" ht="13.7" customHeight="1" x14ac:dyDescent="0.25">
      <c r="A2832" t="s">
        <v>518</v>
      </c>
      <c r="B2832" t="s">
        <v>519</v>
      </c>
      <c r="C2832" t="s">
        <v>520</v>
      </c>
      <c r="D2832">
        <v>2</v>
      </c>
      <c r="E2832" s="5">
        <v>43804</v>
      </c>
      <c r="F2832">
        <v>41350101</v>
      </c>
      <c r="G2832" t="s">
        <v>733</v>
      </c>
      <c r="H2832" t="s">
        <v>1127</v>
      </c>
      <c r="I2832" t="s">
        <v>1128</v>
      </c>
      <c r="J2832">
        <v>1007</v>
      </c>
      <c r="K2832">
        <v>4001</v>
      </c>
      <c r="L2832" s="3">
        <v>-67841970</v>
      </c>
      <c r="M2832" s="3">
        <v>0</v>
      </c>
      <c r="N2832">
        <v>752450</v>
      </c>
      <c r="O2832">
        <v>0</v>
      </c>
      <c r="P2832">
        <v>-68594420</v>
      </c>
      <c r="Q2832" t="s">
        <v>30</v>
      </c>
      <c r="R2832" t="s">
        <v>979</v>
      </c>
      <c r="S2832" t="str">
        <v>#N/A</v>
      </c>
      <c r="T2832" t="str">
        <v>#N/A</v>
      </c>
    </row>
    <row r="2833" spans="1:20" ht="13.7" customHeight="1" x14ac:dyDescent="0.25">
      <c r="A2833" t="s">
        <v>518</v>
      </c>
      <c r="B2833" t="s">
        <v>519</v>
      </c>
      <c r="C2833" t="s">
        <v>520</v>
      </c>
      <c r="D2833">
        <v>3</v>
      </c>
      <c r="E2833" s="5">
        <v>43806</v>
      </c>
      <c r="F2833">
        <v>41350101</v>
      </c>
      <c r="G2833" t="s">
        <v>733</v>
      </c>
      <c r="H2833" t="s">
        <v>1127</v>
      </c>
      <c r="I2833" t="s">
        <v>1128</v>
      </c>
      <c r="J2833">
        <v>1007</v>
      </c>
      <c r="K2833">
        <v>4001</v>
      </c>
      <c r="L2833" s="3">
        <v>-68594420</v>
      </c>
      <c r="M2833" s="3">
        <v>0</v>
      </c>
      <c r="N2833">
        <v>164250</v>
      </c>
      <c r="O2833">
        <v>0</v>
      </c>
      <c r="P2833">
        <v>-68758670</v>
      </c>
      <c r="Q2833" t="s">
        <v>30</v>
      </c>
      <c r="R2833" t="s">
        <v>979</v>
      </c>
      <c r="S2833" t="str">
        <v>#N/A</v>
      </c>
      <c r="T2833" t="str">
        <v>#N/A</v>
      </c>
    </row>
    <row r="2834" spans="1:20" ht="13.7" customHeight="1" x14ac:dyDescent="0.25">
      <c r="A2834" t="s">
        <v>518</v>
      </c>
      <c r="B2834" t="s">
        <v>519</v>
      </c>
      <c r="C2834" t="s">
        <v>520</v>
      </c>
      <c r="D2834">
        <v>5</v>
      </c>
      <c r="E2834" s="5">
        <v>43812</v>
      </c>
      <c r="F2834">
        <v>41350101</v>
      </c>
      <c r="G2834" t="s">
        <v>733</v>
      </c>
      <c r="H2834" t="s">
        <v>1127</v>
      </c>
      <c r="I2834" t="s">
        <v>1128</v>
      </c>
      <c r="J2834">
        <v>1007</v>
      </c>
      <c r="K2834">
        <v>4001</v>
      </c>
      <c r="L2834" s="3">
        <v>-68758670</v>
      </c>
      <c r="M2834" s="3">
        <v>0</v>
      </c>
      <c r="N2834">
        <v>152700</v>
      </c>
      <c r="O2834">
        <v>0</v>
      </c>
      <c r="P2834">
        <v>-68911370</v>
      </c>
      <c r="Q2834" t="s">
        <v>30</v>
      </c>
      <c r="R2834" t="s">
        <v>979</v>
      </c>
      <c r="S2834" t="str">
        <v>#N/A</v>
      </c>
      <c r="T2834" t="str">
        <v>#N/A</v>
      </c>
    </row>
    <row r="2835" spans="1:20" ht="13.7" customHeight="1" x14ac:dyDescent="0.25">
      <c r="A2835" t="s">
        <v>518</v>
      </c>
      <c r="B2835" t="s">
        <v>519</v>
      </c>
      <c r="C2835" t="s">
        <v>520</v>
      </c>
      <c r="D2835">
        <v>6</v>
      </c>
      <c r="E2835" s="5">
        <v>43813</v>
      </c>
      <c r="F2835">
        <v>41350101</v>
      </c>
      <c r="G2835" t="s">
        <v>733</v>
      </c>
      <c r="H2835" t="s">
        <v>1127</v>
      </c>
      <c r="I2835" t="s">
        <v>1128</v>
      </c>
      <c r="J2835">
        <v>1007</v>
      </c>
      <c r="K2835">
        <v>4001</v>
      </c>
      <c r="L2835" s="3">
        <v>-68911370</v>
      </c>
      <c r="M2835" s="3">
        <v>0</v>
      </c>
      <c r="N2835">
        <v>72000</v>
      </c>
      <c r="O2835">
        <v>0</v>
      </c>
      <c r="P2835">
        <v>-68983370</v>
      </c>
      <c r="Q2835" t="s">
        <v>30</v>
      </c>
      <c r="R2835" t="s">
        <v>979</v>
      </c>
      <c r="S2835" t="str">
        <v>#N/A</v>
      </c>
      <c r="T2835" t="str">
        <v>#N/A</v>
      </c>
    </row>
    <row r="2836" spans="1:20" ht="13.7" customHeight="1" x14ac:dyDescent="0.25">
      <c r="A2836" t="s">
        <v>518</v>
      </c>
      <c r="B2836" t="s">
        <v>519</v>
      </c>
      <c r="C2836" t="s">
        <v>520</v>
      </c>
      <c r="D2836">
        <v>9</v>
      </c>
      <c r="E2836" s="5">
        <v>43819</v>
      </c>
      <c r="F2836">
        <v>41350101</v>
      </c>
      <c r="G2836" t="s">
        <v>733</v>
      </c>
      <c r="H2836" t="s">
        <v>1127</v>
      </c>
      <c r="I2836" t="s">
        <v>1128</v>
      </c>
      <c r="J2836">
        <v>1007</v>
      </c>
      <c r="K2836">
        <v>4001</v>
      </c>
      <c r="L2836" s="3">
        <v>-68983370</v>
      </c>
      <c r="M2836" s="3">
        <v>0</v>
      </c>
      <c r="N2836">
        <v>184500</v>
      </c>
      <c r="O2836">
        <v>0</v>
      </c>
      <c r="P2836">
        <v>-69167870</v>
      </c>
      <c r="Q2836" t="s">
        <v>30</v>
      </c>
      <c r="R2836" t="s">
        <v>979</v>
      </c>
      <c r="S2836" t="str">
        <v>#N/A</v>
      </c>
      <c r="T2836" t="str">
        <v>#N/A</v>
      </c>
    </row>
    <row r="2837" spans="1:20" ht="13.7" customHeight="1" x14ac:dyDescent="0.25">
      <c r="E2837" s="5">
        <v>43465</v>
      </c>
      <c r="F2837">
        <v>41350101</v>
      </c>
      <c r="G2837" t="s">
        <v>733</v>
      </c>
      <c r="H2837" t="s">
        <v>1135</v>
      </c>
      <c r="I2837" t="s">
        <v>1136</v>
      </c>
      <c r="J2837">
        <v>0</v>
      </c>
      <c r="K2837">
        <v>0</v>
      </c>
      <c r="L2837" s="3">
        <v>-3368150</v>
      </c>
      <c r="M2837" s="3">
        <v>0</v>
      </c>
      <c r="N2837">
        <v>0</v>
      </c>
      <c r="O2837">
        <v>0</v>
      </c>
      <c r="P2837">
        <v>-3368150</v>
      </c>
      <c r="R2837" t="s">
        <v>1100</v>
      </c>
      <c r="S2837" t="str">
        <v>#N/A</v>
      </c>
      <c r="T2837" t="str">
        <v>#N/A</v>
      </c>
    </row>
    <row r="2838" spans="1:20" ht="13.7" customHeight="1" x14ac:dyDescent="0.25">
      <c r="A2838" t="s">
        <v>320</v>
      </c>
      <c r="B2838" t="s">
        <v>321</v>
      </c>
      <c r="C2838" t="s">
        <v>142</v>
      </c>
      <c r="D2838">
        <v>385</v>
      </c>
      <c r="E2838" s="5">
        <v>43543</v>
      </c>
      <c r="F2838">
        <v>41350101</v>
      </c>
      <c r="G2838" t="s">
        <v>733</v>
      </c>
      <c r="H2838" t="s">
        <v>1135</v>
      </c>
      <c r="I2838" t="s">
        <v>1136</v>
      </c>
      <c r="J2838">
        <v>1007</v>
      </c>
      <c r="K2838">
        <v>4001</v>
      </c>
      <c r="L2838" s="3">
        <v>-3368150</v>
      </c>
      <c r="M2838" s="3">
        <v>0</v>
      </c>
      <c r="N2838">
        <v>2182593</v>
      </c>
      <c r="O2838">
        <v>0</v>
      </c>
      <c r="P2838">
        <v>-5550743</v>
      </c>
      <c r="Q2838" t="s">
        <v>30</v>
      </c>
      <c r="R2838" t="s">
        <v>835</v>
      </c>
      <c r="S2838" t="str">
        <v>#N/A</v>
      </c>
      <c r="T2838" t="str">
        <v>#N/A</v>
      </c>
    </row>
    <row r="2839" spans="1:20" ht="13.7" customHeight="1" x14ac:dyDescent="0.25">
      <c r="A2839" t="s">
        <v>320</v>
      </c>
      <c r="B2839" t="s">
        <v>321</v>
      </c>
      <c r="C2839" t="s">
        <v>142</v>
      </c>
      <c r="D2839">
        <v>398</v>
      </c>
      <c r="E2839" s="5">
        <v>43556</v>
      </c>
      <c r="F2839">
        <v>41350101</v>
      </c>
      <c r="G2839" t="s">
        <v>733</v>
      </c>
      <c r="H2839" t="s">
        <v>1135</v>
      </c>
      <c r="I2839" t="s">
        <v>1136</v>
      </c>
      <c r="J2839">
        <v>1007</v>
      </c>
      <c r="K2839">
        <v>4001</v>
      </c>
      <c r="L2839" s="3">
        <v>-5550743</v>
      </c>
      <c r="M2839" s="3">
        <v>0</v>
      </c>
      <c r="N2839">
        <v>2148885</v>
      </c>
      <c r="O2839">
        <v>0</v>
      </c>
      <c r="P2839">
        <v>-7699628</v>
      </c>
      <c r="Q2839" t="s">
        <v>30</v>
      </c>
      <c r="R2839" t="s">
        <v>837</v>
      </c>
      <c r="S2839" t="str">
        <v>#N/A</v>
      </c>
      <c r="T2839" t="str">
        <v>#N/A</v>
      </c>
    </row>
    <row r="2840" spans="1:20" ht="13.7" customHeight="1" x14ac:dyDescent="0.25">
      <c r="E2840" s="5">
        <v>43465</v>
      </c>
      <c r="F2840">
        <v>41350101</v>
      </c>
      <c r="G2840" t="s">
        <v>733</v>
      </c>
      <c r="H2840" t="s">
        <v>1103</v>
      </c>
      <c r="I2840" t="s">
        <v>1104</v>
      </c>
      <c r="J2840">
        <v>0</v>
      </c>
      <c r="K2840">
        <v>0</v>
      </c>
      <c r="L2840" s="3">
        <v>0</v>
      </c>
      <c r="M2840" s="3">
        <v>0</v>
      </c>
      <c r="N2840">
        <v>0</v>
      </c>
      <c r="O2840">
        <v>0</v>
      </c>
      <c r="P2840">
        <v>0</v>
      </c>
      <c r="R2840" t="s">
        <v>1100</v>
      </c>
      <c r="S2840" t="str">
        <v>#N/A</v>
      </c>
      <c r="T2840" t="str">
        <v>31</v>
      </c>
    </row>
    <row r="2841" spans="1:20" ht="13.7" customHeight="1" x14ac:dyDescent="0.25">
      <c r="A2841" t="s">
        <v>320</v>
      </c>
      <c r="B2841" t="s">
        <v>321</v>
      </c>
      <c r="C2841" t="s">
        <v>142</v>
      </c>
      <c r="D2841">
        <v>491</v>
      </c>
      <c r="E2841" s="5">
        <v>43720</v>
      </c>
      <c r="F2841">
        <v>41350101</v>
      </c>
      <c r="G2841" t="s">
        <v>733</v>
      </c>
      <c r="H2841" t="s">
        <v>1103</v>
      </c>
      <c r="I2841" t="s">
        <v>1104</v>
      </c>
      <c r="J2841">
        <v>1007</v>
      </c>
      <c r="K2841">
        <v>4001</v>
      </c>
      <c r="L2841" s="3">
        <v>0</v>
      </c>
      <c r="M2841" s="3">
        <v>0</v>
      </c>
      <c r="N2841">
        <v>2054067</v>
      </c>
      <c r="O2841">
        <v>0</v>
      </c>
      <c r="P2841">
        <v>-2054067</v>
      </c>
      <c r="Q2841" t="s">
        <v>30</v>
      </c>
      <c r="R2841" t="s">
        <v>940</v>
      </c>
      <c r="S2841" t="str">
        <v>#N/A</v>
      </c>
      <c r="T2841" t="str">
        <v>31</v>
      </c>
    </row>
    <row r="2842" spans="1:20" ht="13.7" customHeight="1" x14ac:dyDescent="0.25">
      <c r="E2842" s="5">
        <v>43465</v>
      </c>
      <c r="F2842">
        <v>41350101</v>
      </c>
      <c r="G2842" t="s">
        <v>733</v>
      </c>
      <c r="H2842" t="s">
        <v>1129</v>
      </c>
      <c r="I2842" t="s">
        <v>1130</v>
      </c>
      <c r="J2842">
        <v>0</v>
      </c>
      <c r="K2842">
        <v>0</v>
      </c>
      <c r="L2842" s="3">
        <v>-101169500</v>
      </c>
      <c r="M2842" s="3">
        <v>0</v>
      </c>
      <c r="N2842">
        <v>0</v>
      </c>
      <c r="O2842">
        <v>0</v>
      </c>
      <c r="P2842">
        <v>-101169500</v>
      </c>
      <c r="R2842" t="s">
        <v>1100</v>
      </c>
      <c r="S2842" t="str">
        <v>#N/A</v>
      </c>
      <c r="T2842" t="str">
        <v>#N/A</v>
      </c>
    </row>
    <row r="2843" spans="1:20" ht="13.7" customHeight="1" x14ac:dyDescent="0.25">
      <c r="A2843" t="s">
        <v>320</v>
      </c>
      <c r="B2843" t="s">
        <v>321</v>
      </c>
      <c r="C2843" t="s">
        <v>142</v>
      </c>
      <c r="D2843">
        <v>336</v>
      </c>
      <c r="E2843" s="5">
        <v>43466</v>
      </c>
      <c r="F2843">
        <v>41350101</v>
      </c>
      <c r="G2843" t="s">
        <v>733</v>
      </c>
      <c r="H2843" t="s">
        <v>1129</v>
      </c>
      <c r="I2843" t="s">
        <v>1130</v>
      </c>
      <c r="J2843">
        <v>1007</v>
      </c>
      <c r="K2843">
        <v>4001</v>
      </c>
      <c r="L2843" s="3">
        <v>-101169500</v>
      </c>
      <c r="M2843" s="3">
        <v>0</v>
      </c>
      <c r="N2843">
        <v>4000000</v>
      </c>
      <c r="O2843">
        <v>0</v>
      </c>
      <c r="P2843">
        <v>-105169500</v>
      </c>
      <c r="Q2843" t="s">
        <v>30</v>
      </c>
      <c r="R2843" t="s">
        <v>748</v>
      </c>
      <c r="S2843" t="str">
        <v>#N/A</v>
      </c>
      <c r="T2843" t="str">
        <v>#N/A</v>
      </c>
    </row>
    <row r="2844" spans="1:20" ht="13.7" customHeight="1" x14ac:dyDescent="0.25">
      <c r="A2844" t="s">
        <v>320</v>
      </c>
      <c r="B2844" t="s">
        <v>321</v>
      </c>
      <c r="C2844" t="s">
        <v>142</v>
      </c>
      <c r="D2844">
        <v>336</v>
      </c>
      <c r="E2844" s="5">
        <v>43466</v>
      </c>
      <c r="F2844">
        <v>41350101</v>
      </c>
      <c r="G2844" t="s">
        <v>733</v>
      </c>
      <c r="H2844" t="s">
        <v>1129</v>
      </c>
      <c r="I2844" t="s">
        <v>1130</v>
      </c>
      <c r="J2844">
        <v>1007</v>
      </c>
      <c r="K2844">
        <v>4001</v>
      </c>
      <c r="L2844" s="3">
        <v>-105169500</v>
      </c>
      <c r="M2844" s="3">
        <v>0</v>
      </c>
      <c r="N2844">
        <v>3000000</v>
      </c>
      <c r="O2844">
        <v>0</v>
      </c>
      <c r="P2844">
        <v>-108169500</v>
      </c>
      <c r="Q2844" t="s">
        <v>30</v>
      </c>
      <c r="R2844" t="s">
        <v>749</v>
      </c>
      <c r="S2844" t="str">
        <v>#N/A</v>
      </c>
      <c r="T2844" t="str">
        <v>#N/A</v>
      </c>
    </row>
    <row r="2845" spans="1:20" ht="13.7" customHeight="1" x14ac:dyDescent="0.25">
      <c r="A2845" t="s">
        <v>320</v>
      </c>
      <c r="B2845" t="s">
        <v>321</v>
      </c>
      <c r="C2845" t="s">
        <v>142</v>
      </c>
      <c r="D2845">
        <v>338</v>
      </c>
      <c r="E2845" s="5">
        <v>43482</v>
      </c>
      <c r="F2845">
        <v>41350101</v>
      </c>
      <c r="G2845" t="s">
        <v>733</v>
      </c>
      <c r="H2845" t="s">
        <v>1129</v>
      </c>
      <c r="I2845" t="s">
        <v>1130</v>
      </c>
      <c r="J2845">
        <v>1007</v>
      </c>
      <c r="K2845">
        <v>4001</v>
      </c>
      <c r="L2845" s="3">
        <v>-108169500</v>
      </c>
      <c r="M2845" s="3">
        <v>0</v>
      </c>
      <c r="N2845">
        <v>1480000</v>
      </c>
      <c r="O2845">
        <v>0</v>
      </c>
      <c r="P2845">
        <v>-109649500</v>
      </c>
      <c r="Q2845" t="s">
        <v>30</v>
      </c>
      <c r="R2845" t="s">
        <v>751</v>
      </c>
      <c r="S2845" t="str">
        <v>#N/A</v>
      </c>
      <c r="T2845" t="str">
        <v>#N/A</v>
      </c>
    </row>
    <row r="2846" spans="1:20" ht="13.7" customHeight="1" x14ac:dyDescent="0.25">
      <c r="A2846" t="s">
        <v>320</v>
      </c>
      <c r="B2846" t="s">
        <v>321</v>
      </c>
      <c r="C2846" t="s">
        <v>142</v>
      </c>
      <c r="D2846">
        <v>338</v>
      </c>
      <c r="E2846" s="5">
        <v>43482</v>
      </c>
      <c r="F2846">
        <v>41350101</v>
      </c>
      <c r="G2846" t="s">
        <v>733</v>
      </c>
      <c r="H2846" t="s">
        <v>1129</v>
      </c>
      <c r="I2846" t="s">
        <v>1130</v>
      </c>
      <c r="J2846">
        <v>1007</v>
      </c>
      <c r="K2846">
        <v>4001</v>
      </c>
      <c r="L2846" s="3">
        <v>-109649500</v>
      </c>
      <c r="M2846" s="3">
        <v>0</v>
      </c>
      <c r="N2846">
        <v>1480000</v>
      </c>
      <c r="O2846">
        <v>0</v>
      </c>
      <c r="P2846">
        <v>-111129500</v>
      </c>
      <c r="Q2846" t="s">
        <v>30</v>
      </c>
      <c r="R2846" t="s">
        <v>752</v>
      </c>
      <c r="S2846" t="str">
        <v>#N/A</v>
      </c>
      <c r="T2846" t="str">
        <v>#N/A</v>
      </c>
    </row>
    <row r="2847" spans="1:20" ht="13.7" customHeight="1" x14ac:dyDescent="0.25">
      <c r="A2847" t="s">
        <v>320</v>
      </c>
      <c r="B2847" t="s">
        <v>321</v>
      </c>
      <c r="C2847" t="s">
        <v>142</v>
      </c>
      <c r="D2847">
        <v>338</v>
      </c>
      <c r="E2847" s="5">
        <v>43482</v>
      </c>
      <c r="F2847">
        <v>41350101</v>
      </c>
      <c r="G2847" t="s">
        <v>733</v>
      </c>
      <c r="H2847" t="s">
        <v>1129</v>
      </c>
      <c r="I2847" t="s">
        <v>1130</v>
      </c>
      <c r="J2847">
        <v>1007</v>
      </c>
      <c r="K2847">
        <v>4001</v>
      </c>
      <c r="L2847" s="3">
        <v>-111129500</v>
      </c>
      <c r="M2847" s="3">
        <v>0</v>
      </c>
      <c r="N2847">
        <v>990760</v>
      </c>
      <c r="O2847">
        <v>0</v>
      </c>
      <c r="P2847">
        <v>-112120260</v>
      </c>
      <c r="Q2847" t="s">
        <v>30</v>
      </c>
      <c r="R2847" t="s">
        <v>753</v>
      </c>
      <c r="S2847" t="str">
        <v>#N/A</v>
      </c>
      <c r="T2847" t="str">
        <v>#N/A</v>
      </c>
    </row>
    <row r="2848" spans="1:20" ht="13.7" customHeight="1" x14ac:dyDescent="0.25">
      <c r="A2848" t="s">
        <v>320</v>
      </c>
      <c r="B2848" t="s">
        <v>321</v>
      </c>
      <c r="C2848" t="s">
        <v>142</v>
      </c>
      <c r="D2848">
        <v>344</v>
      </c>
      <c r="E2848" s="5">
        <v>43487</v>
      </c>
      <c r="F2848">
        <v>41350101</v>
      </c>
      <c r="G2848" t="s">
        <v>733</v>
      </c>
      <c r="H2848" t="s">
        <v>1129</v>
      </c>
      <c r="I2848" t="s">
        <v>1130</v>
      </c>
      <c r="J2848">
        <v>1007</v>
      </c>
      <c r="K2848">
        <v>4001</v>
      </c>
      <c r="L2848" s="3">
        <v>-112120260</v>
      </c>
      <c r="M2848" s="3">
        <v>0</v>
      </c>
      <c r="N2848">
        <v>745240</v>
      </c>
      <c r="O2848">
        <v>0</v>
      </c>
      <c r="P2848">
        <v>-112865500</v>
      </c>
      <c r="Q2848" t="s">
        <v>30</v>
      </c>
      <c r="R2848" t="s">
        <v>768</v>
      </c>
      <c r="S2848" t="str">
        <v>#N/A</v>
      </c>
      <c r="T2848" t="str">
        <v>#N/A</v>
      </c>
    </row>
    <row r="2849" spans="1:20" ht="13.7" customHeight="1" x14ac:dyDescent="0.25">
      <c r="A2849" t="s">
        <v>320</v>
      </c>
      <c r="B2849" t="s">
        <v>321</v>
      </c>
      <c r="C2849" t="s">
        <v>142</v>
      </c>
      <c r="D2849">
        <v>360</v>
      </c>
      <c r="E2849" s="5">
        <v>43507</v>
      </c>
      <c r="F2849">
        <v>41350101</v>
      </c>
      <c r="G2849" t="s">
        <v>733</v>
      </c>
      <c r="H2849" t="s">
        <v>1129</v>
      </c>
      <c r="I2849" t="s">
        <v>1130</v>
      </c>
      <c r="J2849">
        <v>1007</v>
      </c>
      <c r="K2849">
        <v>4001</v>
      </c>
      <c r="L2849" s="3">
        <v>-112865500</v>
      </c>
      <c r="M2849" s="3">
        <v>0</v>
      </c>
      <c r="N2849">
        <v>560000</v>
      </c>
      <c r="O2849">
        <v>0</v>
      </c>
      <c r="P2849">
        <v>-113425500</v>
      </c>
      <c r="Q2849" t="s">
        <v>30</v>
      </c>
      <c r="R2849" t="s">
        <v>800</v>
      </c>
      <c r="S2849" t="str">
        <v>#N/A</v>
      </c>
      <c r="T2849" t="str">
        <v>#N/A</v>
      </c>
    </row>
    <row r="2850" spans="1:20" ht="13.7" customHeight="1" x14ac:dyDescent="0.25">
      <c r="A2850" t="s">
        <v>320</v>
      </c>
      <c r="B2850" t="s">
        <v>321</v>
      </c>
      <c r="C2850" t="s">
        <v>142</v>
      </c>
      <c r="D2850">
        <v>360</v>
      </c>
      <c r="E2850" s="5">
        <v>43507</v>
      </c>
      <c r="F2850">
        <v>41350101</v>
      </c>
      <c r="G2850" t="s">
        <v>733</v>
      </c>
      <c r="H2850" t="s">
        <v>1129</v>
      </c>
      <c r="I2850" t="s">
        <v>1130</v>
      </c>
      <c r="J2850">
        <v>1007</v>
      </c>
      <c r="K2850">
        <v>4001</v>
      </c>
      <c r="L2850" s="3">
        <v>-113425500</v>
      </c>
      <c r="M2850" s="3">
        <v>0</v>
      </c>
      <c r="N2850">
        <v>10830000</v>
      </c>
      <c r="O2850">
        <v>0</v>
      </c>
      <c r="P2850">
        <v>-124255500</v>
      </c>
      <c r="Q2850" t="s">
        <v>30</v>
      </c>
      <c r="R2850" t="s">
        <v>801</v>
      </c>
      <c r="S2850" t="str">
        <v>#N/A</v>
      </c>
      <c r="T2850" t="str">
        <v>#N/A</v>
      </c>
    </row>
    <row r="2851" spans="1:20" ht="13.7" customHeight="1" x14ac:dyDescent="0.25">
      <c r="A2851" t="s">
        <v>320</v>
      </c>
      <c r="B2851" t="s">
        <v>321</v>
      </c>
      <c r="C2851" t="s">
        <v>142</v>
      </c>
      <c r="D2851">
        <v>363</v>
      </c>
      <c r="E2851" s="5">
        <v>43508</v>
      </c>
      <c r="F2851">
        <v>41350101</v>
      </c>
      <c r="G2851" t="s">
        <v>733</v>
      </c>
      <c r="H2851" t="s">
        <v>1129</v>
      </c>
      <c r="I2851" t="s">
        <v>1130</v>
      </c>
      <c r="J2851">
        <v>1007</v>
      </c>
      <c r="K2851">
        <v>4001</v>
      </c>
      <c r="L2851" s="3">
        <v>-124255500</v>
      </c>
      <c r="M2851" s="3">
        <v>0</v>
      </c>
      <c r="N2851">
        <v>1010040</v>
      </c>
      <c r="O2851">
        <v>0</v>
      </c>
      <c r="P2851">
        <v>-125265540</v>
      </c>
      <c r="Q2851" t="s">
        <v>30</v>
      </c>
      <c r="R2851" t="s">
        <v>804</v>
      </c>
      <c r="S2851" t="str">
        <v>#N/A</v>
      </c>
      <c r="T2851" t="str">
        <v>#N/A</v>
      </c>
    </row>
    <row r="2852" spans="1:20" ht="13.7" customHeight="1" x14ac:dyDescent="0.25">
      <c r="A2852" t="s">
        <v>320</v>
      </c>
      <c r="B2852" t="s">
        <v>321</v>
      </c>
      <c r="C2852" t="s">
        <v>142</v>
      </c>
      <c r="D2852">
        <v>364</v>
      </c>
      <c r="E2852" s="5">
        <v>43511</v>
      </c>
      <c r="F2852">
        <v>41350101</v>
      </c>
      <c r="G2852" t="s">
        <v>733</v>
      </c>
      <c r="H2852" t="s">
        <v>1129</v>
      </c>
      <c r="I2852" t="s">
        <v>1130</v>
      </c>
      <c r="J2852">
        <v>1007</v>
      </c>
      <c r="K2852">
        <v>4001</v>
      </c>
      <c r="L2852" s="3">
        <v>-125265540</v>
      </c>
      <c r="M2852" s="3">
        <v>0</v>
      </c>
      <c r="N2852">
        <v>1480000</v>
      </c>
      <c r="O2852">
        <v>0</v>
      </c>
      <c r="P2852">
        <v>-126745540</v>
      </c>
      <c r="Q2852" t="s">
        <v>30</v>
      </c>
      <c r="R2852" t="s">
        <v>805</v>
      </c>
      <c r="S2852" t="str">
        <v>#N/A</v>
      </c>
      <c r="T2852" t="str">
        <v>#N/A</v>
      </c>
    </row>
    <row r="2853" spans="1:20" ht="13.7" customHeight="1" x14ac:dyDescent="0.25">
      <c r="A2853" t="s">
        <v>320</v>
      </c>
      <c r="B2853" t="s">
        <v>321</v>
      </c>
      <c r="C2853" t="s">
        <v>142</v>
      </c>
      <c r="D2853">
        <v>401</v>
      </c>
      <c r="E2853" s="5">
        <v>43559</v>
      </c>
      <c r="F2853">
        <v>41350101</v>
      </c>
      <c r="G2853" t="s">
        <v>733</v>
      </c>
      <c r="H2853" t="s">
        <v>1129</v>
      </c>
      <c r="I2853" t="s">
        <v>1130</v>
      </c>
      <c r="J2853">
        <v>1007</v>
      </c>
      <c r="K2853">
        <v>4001</v>
      </c>
      <c r="L2853" s="3">
        <v>-126745540</v>
      </c>
      <c r="M2853" s="3">
        <v>0</v>
      </c>
      <c r="N2853">
        <v>248000</v>
      </c>
      <c r="O2853">
        <v>0</v>
      </c>
      <c r="P2853">
        <v>-126993540</v>
      </c>
      <c r="Q2853" t="s">
        <v>30</v>
      </c>
      <c r="R2853" t="s">
        <v>841</v>
      </c>
      <c r="S2853" t="str">
        <v>#N/A</v>
      </c>
      <c r="T2853" t="str">
        <v>#N/A</v>
      </c>
    </row>
    <row r="2854" spans="1:20" ht="13.7" customHeight="1" x14ac:dyDescent="0.25">
      <c r="A2854" t="s">
        <v>320</v>
      </c>
      <c r="B2854" t="s">
        <v>321</v>
      </c>
      <c r="C2854" t="s">
        <v>142</v>
      </c>
      <c r="D2854">
        <v>406</v>
      </c>
      <c r="E2854" s="5">
        <v>43565</v>
      </c>
      <c r="F2854">
        <v>41350101</v>
      </c>
      <c r="G2854" t="s">
        <v>733</v>
      </c>
      <c r="H2854" t="s">
        <v>1129</v>
      </c>
      <c r="I2854" t="s">
        <v>1130</v>
      </c>
      <c r="J2854">
        <v>1007</v>
      </c>
      <c r="K2854">
        <v>4001</v>
      </c>
      <c r="L2854" s="3">
        <v>-126993540</v>
      </c>
      <c r="M2854" s="3">
        <v>0</v>
      </c>
      <c r="N2854">
        <v>201000</v>
      </c>
      <c r="O2854">
        <v>0</v>
      </c>
      <c r="P2854">
        <v>-127194540</v>
      </c>
      <c r="Q2854" t="s">
        <v>30</v>
      </c>
      <c r="R2854" t="s">
        <v>845</v>
      </c>
      <c r="S2854" t="str">
        <v>#N/A</v>
      </c>
      <c r="T2854" t="str">
        <v>#N/A</v>
      </c>
    </row>
    <row r="2855" spans="1:20" ht="13.7" customHeight="1" x14ac:dyDescent="0.25">
      <c r="A2855" t="s">
        <v>320</v>
      </c>
      <c r="B2855" t="s">
        <v>321</v>
      </c>
      <c r="C2855" t="s">
        <v>142</v>
      </c>
      <c r="D2855">
        <v>406</v>
      </c>
      <c r="E2855" s="5">
        <v>43565</v>
      </c>
      <c r="F2855">
        <v>41350101</v>
      </c>
      <c r="G2855" t="s">
        <v>733</v>
      </c>
      <c r="H2855" t="s">
        <v>1129</v>
      </c>
      <c r="I2855" t="s">
        <v>1130</v>
      </c>
      <c r="J2855">
        <v>1007</v>
      </c>
      <c r="K2855">
        <v>4001</v>
      </c>
      <c r="L2855" s="3">
        <v>-127194540</v>
      </c>
      <c r="M2855" s="3">
        <v>0</v>
      </c>
      <c r="N2855">
        <v>11400000</v>
      </c>
      <c r="O2855">
        <v>0</v>
      </c>
      <c r="P2855">
        <v>-138594540</v>
      </c>
      <c r="Q2855" t="s">
        <v>30</v>
      </c>
      <c r="R2855" t="s">
        <v>491</v>
      </c>
      <c r="S2855" t="str">
        <v>#N/A</v>
      </c>
      <c r="T2855" t="str">
        <v>#N/A</v>
      </c>
    </row>
    <row r="2856" spans="1:20" ht="13.7" customHeight="1" x14ac:dyDescent="0.25">
      <c r="A2856" t="s">
        <v>320</v>
      </c>
      <c r="B2856" t="s">
        <v>321</v>
      </c>
      <c r="C2856" t="s">
        <v>142</v>
      </c>
      <c r="D2856">
        <v>414</v>
      </c>
      <c r="E2856" s="5">
        <v>43577</v>
      </c>
      <c r="F2856">
        <v>41350101</v>
      </c>
      <c r="G2856" t="s">
        <v>733</v>
      </c>
      <c r="H2856" t="s">
        <v>1129</v>
      </c>
      <c r="I2856" t="s">
        <v>1130</v>
      </c>
      <c r="J2856">
        <v>1007</v>
      </c>
      <c r="K2856">
        <v>4001</v>
      </c>
      <c r="L2856" s="3">
        <v>-138594540</v>
      </c>
      <c r="M2856" s="3">
        <v>0</v>
      </c>
      <c r="N2856">
        <v>336000</v>
      </c>
      <c r="O2856">
        <v>0</v>
      </c>
      <c r="P2856">
        <v>-138930540</v>
      </c>
      <c r="Q2856" t="s">
        <v>30</v>
      </c>
      <c r="R2856" t="s">
        <v>856</v>
      </c>
      <c r="S2856" t="str">
        <v>#N/A</v>
      </c>
      <c r="T2856" t="str">
        <v>#N/A</v>
      </c>
    </row>
    <row r="2857" spans="1:20" ht="13.7" customHeight="1" x14ac:dyDescent="0.25">
      <c r="A2857" t="s">
        <v>320</v>
      </c>
      <c r="B2857" t="s">
        <v>321</v>
      </c>
      <c r="C2857" t="s">
        <v>142</v>
      </c>
      <c r="D2857">
        <v>415</v>
      </c>
      <c r="E2857" s="5">
        <v>43577</v>
      </c>
      <c r="F2857">
        <v>41350101</v>
      </c>
      <c r="G2857" t="s">
        <v>733</v>
      </c>
      <c r="H2857" t="s">
        <v>1129</v>
      </c>
      <c r="I2857" t="s">
        <v>1130</v>
      </c>
      <c r="J2857">
        <v>1007</v>
      </c>
      <c r="K2857">
        <v>4001</v>
      </c>
      <c r="L2857" s="3">
        <v>-138930540</v>
      </c>
      <c r="M2857" s="3">
        <v>0</v>
      </c>
      <c r="N2857">
        <v>147400</v>
      </c>
      <c r="O2857">
        <v>0</v>
      </c>
      <c r="P2857">
        <v>-139077940</v>
      </c>
      <c r="Q2857" t="s">
        <v>30</v>
      </c>
      <c r="R2857" t="s">
        <v>857</v>
      </c>
      <c r="S2857" t="str">
        <v>#N/A</v>
      </c>
      <c r="T2857" t="str">
        <v>#N/A</v>
      </c>
    </row>
    <row r="2858" spans="1:20" ht="13.7" customHeight="1" x14ac:dyDescent="0.25">
      <c r="A2858" t="s">
        <v>320</v>
      </c>
      <c r="B2858" t="s">
        <v>321</v>
      </c>
      <c r="C2858" t="s">
        <v>142</v>
      </c>
      <c r="D2858">
        <v>416</v>
      </c>
      <c r="E2858" s="5">
        <v>43577</v>
      </c>
      <c r="F2858">
        <v>41350101</v>
      </c>
      <c r="G2858" t="s">
        <v>733</v>
      </c>
      <c r="H2858" t="s">
        <v>1129</v>
      </c>
      <c r="I2858" t="s">
        <v>1130</v>
      </c>
      <c r="J2858">
        <v>1007</v>
      </c>
      <c r="K2858">
        <v>4001</v>
      </c>
      <c r="L2858" s="3">
        <v>-139077940</v>
      </c>
      <c r="M2858" s="3">
        <v>0</v>
      </c>
      <c r="N2858">
        <v>1480000</v>
      </c>
      <c r="O2858">
        <v>0</v>
      </c>
      <c r="P2858">
        <v>-140557940</v>
      </c>
      <c r="Q2858" t="s">
        <v>30</v>
      </c>
      <c r="R2858" t="s">
        <v>858</v>
      </c>
      <c r="S2858" t="str">
        <v>#N/A</v>
      </c>
      <c r="T2858" t="str">
        <v>#N/A</v>
      </c>
    </row>
    <row r="2859" spans="1:20" ht="13.7" customHeight="1" x14ac:dyDescent="0.25">
      <c r="A2859" t="s">
        <v>320</v>
      </c>
      <c r="B2859" t="s">
        <v>321</v>
      </c>
      <c r="C2859" t="s">
        <v>142</v>
      </c>
      <c r="D2859">
        <v>416</v>
      </c>
      <c r="E2859" s="5">
        <v>43577</v>
      </c>
      <c r="F2859">
        <v>41350101</v>
      </c>
      <c r="G2859" t="s">
        <v>733</v>
      </c>
      <c r="H2859" t="s">
        <v>1129</v>
      </c>
      <c r="I2859" t="s">
        <v>1130</v>
      </c>
      <c r="J2859">
        <v>1007</v>
      </c>
      <c r="K2859">
        <v>4001</v>
      </c>
      <c r="L2859" s="3">
        <v>-140557940</v>
      </c>
      <c r="M2859" s="3">
        <v>0</v>
      </c>
      <c r="N2859">
        <v>185000</v>
      </c>
      <c r="O2859">
        <v>0</v>
      </c>
      <c r="P2859">
        <v>-140742940</v>
      </c>
      <c r="Q2859" t="s">
        <v>30</v>
      </c>
      <c r="R2859" t="s">
        <v>859</v>
      </c>
      <c r="S2859" t="str">
        <v>#N/A</v>
      </c>
      <c r="T2859" t="str">
        <v>#N/A</v>
      </c>
    </row>
    <row r="2860" spans="1:20" ht="13.7" customHeight="1" x14ac:dyDescent="0.25">
      <c r="A2860" t="s">
        <v>320</v>
      </c>
      <c r="B2860" t="s">
        <v>321</v>
      </c>
      <c r="C2860" t="s">
        <v>142</v>
      </c>
      <c r="D2860">
        <v>417</v>
      </c>
      <c r="E2860" s="5">
        <v>43577</v>
      </c>
      <c r="F2860">
        <v>41350101</v>
      </c>
      <c r="G2860" t="s">
        <v>733</v>
      </c>
      <c r="H2860" t="s">
        <v>1129</v>
      </c>
      <c r="I2860" t="s">
        <v>1130</v>
      </c>
      <c r="J2860">
        <v>1007</v>
      </c>
      <c r="K2860">
        <v>4001</v>
      </c>
      <c r="L2860" s="3">
        <v>-140742940</v>
      </c>
      <c r="M2860" s="3">
        <v>0</v>
      </c>
      <c r="N2860">
        <v>629000</v>
      </c>
      <c r="O2860">
        <v>0</v>
      </c>
      <c r="P2860">
        <v>-141371940</v>
      </c>
      <c r="Q2860" t="s">
        <v>30</v>
      </c>
      <c r="R2860" t="s">
        <v>860</v>
      </c>
      <c r="S2860" t="str">
        <v>#N/A</v>
      </c>
      <c r="T2860" t="str">
        <v>#N/A</v>
      </c>
    </row>
    <row r="2861" spans="1:20" ht="13.7" customHeight="1" x14ac:dyDescent="0.25">
      <c r="A2861" t="s">
        <v>320</v>
      </c>
      <c r="B2861" t="s">
        <v>321</v>
      </c>
      <c r="C2861" t="s">
        <v>142</v>
      </c>
      <c r="D2861">
        <v>417</v>
      </c>
      <c r="E2861" s="5">
        <v>43577</v>
      </c>
      <c r="F2861">
        <v>41350101</v>
      </c>
      <c r="G2861" t="s">
        <v>733</v>
      </c>
      <c r="H2861" t="s">
        <v>1129</v>
      </c>
      <c r="I2861" t="s">
        <v>1130</v>
      </c>
      <c r="J2861">
        <v>1007</v>
      </c>
      <c r="K2861">
        <v>4001</v>
      </c>
      <c r="L2861" s="3">
        <v>-141371940</v>
      </c>
      <c r="M2861" s="3">
        <v>0</v>
      </c>
      <c r="N2861">
        <v>74000</v>
      </c>
      <c r="O2861">
        <v>0</v>
      </c>
      <c r="P2861">
        <v>-141445940</v>
      </c>
      <c r="Q2861" t="s">
        <v>30</v>
      </c>
      <c r="R2861" t="s">
        <v>861</v>
      </c>
      <c r="S2861" t="str">
        <v>#N/A</v>
      </c>
      <c r="T2861" t="str">
        <v>#N/A</v>
      </c>
    </row>
    <row r="2862" spans="1:20" ht="13.7" customHeight="1" x14ac:dyDescent="0.25">
      <c r="A2862" t="s">
        <v>320</v>
      </c>
      <c r="B2862" t="s">
        <v>321</v>
      </c>
      <c r="C2862" t="s">
        <v>142</v>
      </c>
      <c r="D2862">
        <v>434</v>
      </c>
      <c r="E2862" s="5">
        <v>43593</v>
      </c>
      <c r="F2862">
        <v>41350101</v>
      </c>
      <c r="G2862" t="s">
        <v>733</v>
      </c>
      <c r="H2862" t="s">
        <v>1129</v>
      </c>
      <c r="I2862" t="s">
        <v>1130</v>
      </c>
      <c r="J2862">
        <v>1007</v>
      </c>
      <c r="K2862">
        <v>4001</v>
      </c>
      <c r="L2862" s="3">
        <v>-141445940</v>
      </c>
      <c r="M2862" s="3">
        <v>0</v>
      </c>
      <c r="N2862">
        <v>11400000</v>
      </c>
      <c r="O2862">
        <v>0</v>
      </c>
      <c r="P2862">
        <v>-152845940</v>
      </c>
      <c r="Q2862" t="s">
        <v>30</v>
      </c>
      <c r="R2862" t="s">
        <v>874</v>
      </c>
      <c r="S2862" t="str">
        <v>#N/A</v>
      </c>
      <c r="T2862" t="str">
        <v>#N/A</v>
      </c>
    </row>
    <row r="2863" spans="1:20" ht="13.7" customHeight="1" x14ac:dyDescent="0.25">
      <c r="A2863" t="s">
        <v>320</v>
      </c>
      <c r="B2863" t="s">
        <v>321</v>
      </c>
      <c r="C2863" t="s">
        <v>142</v>
      </c>
      <c r="D2863">
        <v>441</v>
      </c>
      <c r="E2863" s="5">
        <v>43612</v>
      </c>
      <c r="F2863">
        <v>41350101</v>
      </c>
      <c r="G2863" t="s">
        <v>733</v>
      </c>
      <c r="H2863" t="s">
        <v>1129</v>
      </c>
      <c r="I2863" t="s">
        <v>1130</v>
      </c>
      <c r="J2863">
        <v>1007</v>
      </c>
      <c r="K2863">
        <v>4001</v>
      </c>
      <c r="L2863" s="3">
        <v>-152845940</v>
      </c>
      <c r="M2863" s="3">
        <v>0</v>
      </c>
      <c r="N2863">
        <v>1480000</v>
      </c>
      <c r="O2863">
        <v>0</v>
      </c>
      <c r="P2863">
        <v>-154325940</v>
      </c>
      <c r="Q2863" t="s">
        <v>30</v>
      </c>
      <c r="R2863" t="s">
        <v>880</v>
      </c>
      <c r="S2863" t="str">
        <v>#N/A</v>
      </c>
      <c r="T2863" t="str">
        <v>#N/A</v>
      </c>
    </row>
    <row r="2864" spans="1:20" ht="13.7" customHeight="1" x14ac:dyDescent="0.25">
      <c r="A2864" t="s">
        <v>320</v>
      </c>
      <c r="B2864" t="s">
        <v>321</v>
      </c>
      <c r="C2864" t="s">
        <v>142</v>
      </c>
      <c r="D2864">
        <v>445</v>
      </c>
      <c r="E2864" s="5">
        <v>43617</v>
      </c>
      <c r="F2864">
        <v>41350101</v>
      </c>
      <c r="G2864" t="s">
        <v>733</v>
      </c>
      <c r="H2864" t="s">
        <v>1129</v>
      </c>
      <c r="I2864" t="s">
        <v>1130</v>
      </c>
      <c r="J2864">
        <v>1007</v>
      </c>
      <c r="K2864">
        <v>4001</v>
      </c>
      <c r="L2864" s="3">
        <v>-154325940</v>
      </c>
      <c r="M2864" s="3">
        <v>0</v>
      </c>
      <c r="N2864">
        <v>1480000</v>
      </c>
      <c r="O2864">
        <v>0</v>
      </c>
      <c r="P2864">
        <v>-155805940</v>
      </c>
      <c r="Q2864" t="s">
        <v>30</v>
      </c>
      <c r="R2864" t="s">
        <v>881</v>
      </c>
      <c r="S2864" t="str">
        <v>#N/A</v>
      </c>
      <c r="T2864" t="str">
        <v>#N/A</v>
      </c>
    </row>
    <row r="2865" spans="1:20" ht="13.7" customHeight="1" x14ac:dyDescent="0.25">
      <c r="A2865" t="s">
        <v>320</v>
      </c>
      <c r="B2865" t="s">
        <v>321</v>
      </c>
      <c r="C2865" t="s">
        <v>142</v>
      </c>
      <c r="D2865">
        <v>445</v>
      </c>
      <c r="E2865" s="5">
        <v>43617</v>
      </c>
      <c r="F2865">
        <v>41350101</v>
      </c>
      <c r="G2865" t="s">
        <v>733</v>
      </c>
      <c r="H2865" t="s">
        <v>1129</v>
      </c>
      <c r="I2865" t="s">
        <v>1130</v>
      </c>
      <c r="J2865">
        <v>1007</v>
      </c>
      <c r="K2865">
        <v>4001</v>
      </c>
      <c r="L2865" s="3">
        <v>-155805940</v>
      </c>
      <c r="M2865" s="3">
        <v>0</v>
      </c>
      <c r="N2865">
        <v>1480000</v>
      </c>
      <c r="O2865">
        <v>0</v>
      </c>
      <c r="P2865">
        <v>-157285940</v>
      </c>
      <c r="Q2865" t="s">
        <v>30</v>
      </c>
      <c r="R2865" t="s">
        <v>882</v>
      </c>
      <c r="S2865" t="str">
        <v>#N/A</v>
      </c>
      <c r="T2865" t="str">
        <v>#N/A</v>
      </c>
    </row>
    <row r="2866" spans="1:20" ht="13.7" customHeight="1" x14ac:dyDescent="0.25">
      <c r="A2866" t="s">
        <v>320</v>
      </c>
      <c r="B2866" t="s">
        <v>321</v>
      </c>
      <c r="C2866" t="s">
        <v>142</v>
      </c>
      <c r="D2866">
        <v>446</v>
      </c>
      <c r="E2866" s="5">
        <v>43617</v>
      </c>
      <c r="F2866">
        <v>41350101</v>
      </c>
      <c r="G2866" t="s">
        <v>733</v>
      </c>
      <c r="H2866" t="s">
        <v>1129</v>
      </c>
      <c r="I2866" t="s">
        <v>1130</v>
      </c>
      <c r="J2866">
        <v>1007</v>
      </c>
      <c r="K2866">
        <v>4001</v>
      </c>
      <c r="L2866" s="3">
        <v>-157285940</v>
      </c>
      <c r="M2866" s="3">
        <v>0</v>
      </c>
      <c r="N2866">
        <v>2747000</v>
      </c>
      <c r="O2866">
        <v>0</v>
      </c>
      <c r="P2866">
        <v>-160032940</v>
      </c>
      <c r="Q2866" t="s">
        <v>30</v>
      </c>
      <c r="R2866" t="s">
        <v>883</v>
      </c>
      <c r="S2866" t="str">
        <v>#N/A</v>
      </c>
      <c r="T2866" t="str">
        <v>#N/A</v>
      </c>
    </row>
    <row r="2867" spans="1:20" ht="13.7" customHeight="1" x14ac:dyDescent="0.25">
      <c r="A2867" t="s">
        <v>320</v>
      </c>
      <c r="B2867" t="s">
        <v>321</v>
      </c>
      <c r="C2867" t="s">
        <v>142</v>
      </c>
      <c r="D2867">
        <v>489</v>
      </c>
      <c r="E2867" s="5">
        <v>43710</v>
      </c>
      <c r="F2867">
        <v>41350101</v>
      </c>
      <c r="G2867" t="s">
        <v>733</v>
      </c>
      <c r="H2867" t="s">
        <v>1129</v>
      </c>
      <c r="I2867" t="s">
        <v>1130</v>
      </c>
      <c r="J2867">
        <v>1007</v>
      </c>
      <c r="K2867">
        <v>4001</v>
      </c>
      <c r="L2867" s="3">
        <v>-160032940</v>
      </c>
      <c r="M2867" s="3">
        <v>0</v>
      </c>
      <c r="N2867">
        <v>11400000</v>
      </c>
      <c r="O2867">
        <v>0</v>
      </c>
      <c r="P2867">
        <v>-171432940</v>
      </c>
      <c r="Q2867" t="s">
        <v>30</v>
      </c>
      <c r="R2867" t="s">
        <v>935</v>
      </c>
      <c r="S2867" t="str">
        <v>#N/A</v>
      </c>
      <c r="T2867" t="str">
        <v>#N/A</v>
      </c>
    </row>
    <row r="2868" spans="1:20" ht="13.7" customHeight="1" x14ac:dyDescent="0.25">
      <c r="A2868" t="s">
        <v>320</v>
      </c>
      <c r="B2868" t="s">
        <v>321</v>
      </c>
      <c r="C2868" t="s">
        <v>142</v>
      </c>
      <c r="D2868">
        <v>506</v>
      </c>
      <c r="E2868" s="5">
        <v>43743</v>
      </c>
      <c r="F2868">
        <v>41350101</v>
      </c>
      <c r="G2868" t="s">
        <v>733</v>
      </c>
      <c r="H2868" t="s">
        <v>1129</v>
      </c>
      <c r="I2868" t="s">
        <v>1130</v>
      </c>
      <c r="J2868">
        <v>1007</v>
      </c>
      <c r="K2868">
        <v>4001</v>
      </c>
      <c r="L2868" s="3">
        <v>-171432940</v>
      </c>
      <c r="M2868" s="3">
        <v>0</v>
      </c>
      <c r="N2868">
        <v>11400000</v>
      </c>
      <c r="O2868">
        <v>0</v>
      </c>
      <c r="P2868">
        <v>-182832940</v>
      </c>
      <c r="Q2868" t="s">
        <v>30</v>
      </c>
      <c r="R2868" t="s">
        <v>491</v>
      </c>
      <c r="S2868" t="str">
        <v>#N/A</v>
      </c>
      <c r="T2868" t="str">
        <v>#N/A</v>
      </c>
    </row>
    <row r="2869" spans="1:20" ht="13.7" customHeight="1" x14ac:dyDescent="0.25">
      <c r="A2869" t="s">
        <v>320</v>
      </c>
      <c r="B2869" t="s">
        <v>321</v>
      </c>
      <c r="C2869" t="s">
        <v>142</v>
      </c>
      <c r="D2869">
        <v>525</v>
      </c>
      <c r="E2869" s="5">
        <v>43771</v>
      </c>
      <c r="F2869">
        <v>41350101</v>
      </c>
      <c r="G2869" t="s">
        <v>733</v>
      </c>
      <c r="H2869" t="s">
        <v>1129</v>
      </c>
      <c r="I2869" t="s">
        <v>1130</v>
      </c>
      <c r="J2869">
        <v>1007</v>
      </c>
      <c r="K2869">
        <v>4001</v>
      </c>
      <c r="L2869" s="3">
        <v>-182832940</v>
      </c>
      <c r="M2869" s="3">
        <v>0</v>
      </c>
      <c r="N2869">
        <v>5180000</v>
      </c>
      <c r="O2869">
        <v>0</v>
      </c>
      <c r="P2869">
        <v>-188012940</v>
      </c>
      <c r="Q2869" t="s">
        <v>30</v>
      </c>
      <c r="R2869" t="s">
        <v>1019</v>
      </c>
      <c r="S2869" t="str">
        <v>#N/A</v>
      </c>
      <c r="T2869" t="str">
        <v>#N/A</v>
      </c>
    </row>
    <row r="2870" spans="1:20" ht="13.7" customHeight="1" x14ac:dyDescent="0.25">
      <c r="A2870" t="s">
        <v>320</v>
      </c>
      <c r="B2870" t="s">
        <v>321</v>
      </c>
      <c r="C2870" t="s">
        <v>142</v>
      </c>
      <c r="D2870">
        <v>525</v>
      </c>
      <c r="E2870" s="5">
        <v>43771</v>
      </c>
      <c r="F2870">
        <v>41350101</v>
      </c>
      <c r="G2870" t="s">
        <v>733</v>
      </c>
      <c r="H2870" t="s">
        <v>1129</v>
      </c>
      <c r="I2870" t="s">
        <v>1130</v>
      </c>
      <c r="J2870">
        <v>1007</v>
      </c>
      <c r="K2870">
        <v>4001</v>
      </c>
      <c r="L2870" s="3">
        <v>-188012940</v>
      </c>
      <c r="M2870" s="3">
        <v>0</v>
      </c>
      <c r="N2870">
        <v>740000</v>
      </c>
      <c r="O2870">
        <v>0</v>
      </c>
      <c r="P2870">
        <v>-188752940</v>
      </c>
      <c r="Q2870" t="s">
        <v>30</v>
      </c>
      <c r="R2870" t="s">
        <v>1020</v>
      </c>
      <c r="S2870" t="str">
        <v>#N/A</v>
      </c>
      <c r="T2870" t="str">
        <v>#N/A</v>
      </c>
    </row>
    <row r="2871" spans="1:20" ht="13.7" customHeight="1" x14ac:dyDescent="0.25">
      <c r="A2871" t="s">
        <v>320</v>
      </c>
      <c r="B2871" t="s">
        <v>321</v>
      </c>
      <c r="C2871" t="s">
        <v>142</v>
      </c>
      <c r="D2871">
        <v>525</v>
      </c>
      <c r="E2871" s="5">
        <v>43771</v>
      </c>
      <c r="F2871">
        <v>41350101</v>
      </c>
      <c r="G2871" t="s">
        <v>733</v>
      </c>
      <c r="H2871" t="s">
        <v>1129</v>
      </c>
      <c r="I2871" t="s">
        <v>1130</v>
      </c>
      <c r="J2871">
        <v>1007</v>
      </c>
      <c r="K2871">
        <v>4001</v>
      </c>
      <c r="L2871" s="3">
        <v>-188752940</v>
      </c>
      <c r="M2871" s="3">
        <v>0</v>
      </c>
      <c r="N2871">
        <v>1860000</v>
      </c>
      <c r="O2871">
        <v>0</v>
      </c>
      <c r="P2871">
        <v>-190612940</v>
      </c>
      <c r="Q2871" t="s">
        <v>30</v>
      </c>
      <c r="R2871" t="s">
        <v>1021</v>
      </c>
      <c r="S2871" t="str">
        <v>#N/A</v>
      </c>
      <c r="T2871" t="str">
        <v>#N/A</v>
      </c>
    </row>
    <row r="2872" spans="1:20" ht="13.7" customHeight="1" x14ac:dyDescent="0.25">
      <c r="A2872" t="s">
        <v>320</v>
      </c>
      <c r="B2872" t="s">
        <v>321</v>
      </c>
      <c r="C2872" t="s">
        <v>142</v>
      </c>
      <c r="D2872">
        <v>534</v>
      </c>
      <c r="E2872" s="5">
        <v>43795</v>
      </c>
      <c r="F2872">
        <v>41350101</v>
      </c>
      <c r="G2872" t="s">
        <v>733</v>
      </c>
      <c r="H2872" t="s">
        <v>1129</v>
      </c>
      <c r="I2872" t="s">
        <v>1130</v>
      </c>
      <c r="J2872">
        <v>1007</v>
      </c>
      <c r="K2872">
        <v>4001</v>
      </c>
      <c r="L2872" s="3">
        <v>-190612940</v>
      </c>
      <c r="M2872" s="3">
        <v>0</v>
      </c>
      <c r="N2872">
        <v>11400000</v>
      </c>
      <c r="O2872">
        <v>0</v>
      </c>
      <c r="P2872">
        <v>-202012940</v>
      </c>
      <c r="Q2872" t="s">
        <v>30</v>
      </c>
      <c r="R2872" t="s">
        <v>935</v>
      </c>
      <c r="S2872" t="str">
        <v>#N/A</v>
      </c>
      <c r="T2872" t="str">
        <v>#N/A</v>
      </c>
    </row>
    <row r="2873" spans="1:20" ht="13.7" customHeight="1" x14ac:dyDescent="0.25">
      <c r="A2873" t="s">
        <v>219</v>
      </c>
      <c r="B2873" t="s">
        <v>220</v>
      </c>
      <c r="C2873" t="s">
        <v>180</v>
      </c>
      <c r="D2873">
        <v>1</v>
      </c>
      <c r="E2873" s="5">
        <v>43829</v>
      </c>
      <c r="F2873">
        <v>41350101</v>
      </c>
      <c r="G2873" t="s">
        <v>733</v>
      </c>
      <c r="H2873" t="s">
        <v>1129</v>
      </c>
      <c r="I2873" t="s">
        <v>1130</v>
      </c>
      <c r="J2873">
        <v>1007</v>
      </c>
      <c r="K2873">
        <v>4001</v>
      </c>
      <c r="L2873" s="3">
        <v>-202012940</v>
      </c>
      <c r="M2873" s="3">
        <v>4000000</v>
      </c>
      <c r="N2873">
        <v>0</v>
      </c>
      <c r="O2873">
        <v>0</v>
      </c>
      <c r="P2873">
        <v>-198012940</v>
      </c>
      <c r="Q2873" t="s">
        <v>30</v>
      </c>
      <c r="R2873" t="s">
        <v>748</v>
      </c>
      <c r="S2873" t="str">
        <v>#N/A</v>
      </c>
      <c r="T2873" t="str">
        <v>#N/A</v>
      </c>
    </row>
    <row r="2874" spans="1:20" ht="13.7" customHeight="1" x14ac:dyDescent="0.25">
      <c r="A2874" t="s">
        <v>219</v>
      </c>
      <c r="B2874" t="s">
        <v>220</v>
      </c>
      <c r="C2874" t="s">
        <v>180</v>
      </c>
      <c r="D2874">
        <v>1</v>
      </c>
      <c r="E2874" s="5">
        <v>43829</v>
      </c>
      <c r="F2874">
        <v>41350101</v>
      </c>
      <c r="G2874" t="s">
        <v>733</v>
      </c>
      <c r="H2874" t="s">
        <v>1129</v>
      </c>
      <c r="I2874" t="s">
        <v>1130</v>
      </c>
      <c r="J2874">
        <v>1007</v>
      </c>
      <c r="K2874">
        <v>4001</v>
      </c>
      <c r="L2874" s="3">
        <v>-198012940</v>
      </c>
      <c r="M2874" s="3">
        <v>3000000</v>
      </c>
      <c r="N2874">
        <v>0</v>
      </c>
      <c r="O2874">
        <v>0</v>
      </c>
      <c r="P2874">
        <v>-195012940</v>
      </c>
      <c r="Q2874" t="s">
        <v>30</v>
      </c>
      <c r="R2874" t="s">
        <v>749</v>
      </c>
      <c r="S2874" t="str">
        <v>#N/A</v>
      </c>
      <c r="T2874" t="str">
        <v>#N/A</v>
      </c>
    </row>
    <row r="2875" spans="1:20" ht="13.7" customHeight="1" x14ac:dyDescent="0.25">
      <c r="E2875" s="5">
        <v>43465</v>
      </c>
      <c r="F2875">
        <v>41350101</v>
      </c>
      <c r="G2875" t="s">
        <v>733</v>
      </c>
      <c r="H2875" t="s">
        <v>1139</v>
      </c>
      <c r="I2875" t="s">
        <v>1140</v>
      </c>
      <c r="J2875">
        <v>0</v>
      </c>
      <c r="K2875">
        <v>0</v>
      </c>
      <c r="L2875" s="3">
        <v>-32785400</v>
      </c>
      <c r="M2875" s="3">
        <v>0</v>
      </c>
      <c r="N2875">
        <v>0</v>
      </c>
      <c r="O2875">
        <v>0</v>
      </c>
      <c r="P2875">
        <v>-32785400</v>
      </c>
      <c r="R2875" t="s">
        <v>1100</v>
      </c>
      <c r="S2875" t="str">
        <v>#N/A</v>
      </c>
      <c r="T2875" t="str">
        <v>#N/A</v>
      </c>
    </row>
    <row r="2876" spans="1:20" ht="13.7" customHeight="1" x14ac:dyDescent="0.25">
      <c r="A2876" t="s">
        <v>320</v>
      </c>
      <c r="B2876" t="s">
        <v>321</v>
      </c>
      <c r="C2876" t="s">
        <v>142</v>
      </c>
      <c r="D2876">
        <v>465</v>
      </c>
      <c r="E2876" s="5">
        <v>43653</v>
      </c>
      <c r="F2876">
        <v>41350101</v>
      </c>
      <c r="G2876" t="s">
        <v>733</v>
      </c>
      <c r="H2876" t="s">
        <v>1139</v>
      </c>
      <c r="I2876" t="s">
        <v>1140</v>
      </c>
      <c r="J2876">
        <v>1007</v>
      </c>
      <c r="K2876">
        <v>4001</v>
      </c>
      <c r="L2876" s="3">
        <v>-32785400</v>
      </c>
      <c r="M2876" s="3">
        <v>0</v>
      </c>
      <c r="N2876">
        <v>636480</v>
      </c>
      <c r="O2876">
        <v>0</v>
      </c>
      <c r="P2876">
        <v>-33421880</v>
      </c>
      <c r="Q2876" t="s">
        <v>30</v>
      </c>
      <c r="R2876" t="s">
        <v>920</v>
      </c>
      <c r="S2876" t="str">
        <v>#N/A</v>
      </c>
      <c r="T2876" t="str">
        <v>#N/A</v>
      </c>
    </row>
    <row r="2877" spans="1:20" ht="13.7" customHeight="1" x14ac:dyDescent="0.25">
      <c r="E2877" s="5">
        <v>43465</v>
      </c>
      <c r="F2877">
        <v>41350101</v>
      </c>
      <c r="G2877" t="s">
        <v>733</v>
      </c>
      <c r="H2877" t="s">
        <v>1125</v>
      </c>
      <c r="I2877" t="s">
        <v>1126</v>
      </c>
      <c r="J2877">
        <v>0</v>
      </c>
      <c r="K2877">
        <v>0</v>
      </c>
      <c r="L2877" s="3">
        <v>-159762468</v>
      </c>
      <c r="M2877" s="3">
        <v>0</v>
      </c>
      <c r="N2877">
        <v>0</v>
      </c>
      <c r="O2877">
        <v>0</v>
      </c>
      <c r="P2877">
        <v>-159762468</v>
      </c>
      <c r="R2877" t="s">
        <v>1100</v>
      </c>
      <c r="S2877" t="str">
        <v>#N/A</v>
      </c>
      <c r="T2877" t="str">
        <v>31</v>
      </c>
    </row>
    <row r="2878" spans="1:20" ht="13.7" customHeight="1" x14ac:dyDescent="0.25">
      <c r="A2878" t="s">
        <v>320</v>
      </c>
      <c r="B2878" t="s">
        <v>321</v>
      </c>
      <c r="C2878" t="s">
        <v>142</v>
      </c>
      <c r="D2878">
        <v>334</v>
      </c>
      <c r="E2878" s="5">
        <v>43466</v>
      </c>
      <c r="F2878">
        <v>41350101</v>
      </c>
      <c r="G2878" t="s">
        <v>733</v>
      </c>
      <c r="H2878" t="s">
        <v>1125</v>
      </c>
      <c r="I2878" t="s">
        <v>1126</v>
      </c>
      <c r="J2878">
        <v>1007</v>
      </c>
      <c r="K2878">
        <v>4001</v>
      </c>
      <c r="L2878" s="3">
        <v>-159762468</v>
      </c>
      <c r="M2878" s="3">
        <v>0</v>
      </c>
      <c r="N2878">
        <v>3465000</v>
      </c>
      <c r="O2878">
        <v>0</v>
      </c>
      <c r="P2878">
        <v>-163227468</v>
      </c>
      <c r="Q2878" t="s">
        <v>30</v>
      </c>
      <c r="R2878" t="s">
        <v>734</v>
      </c>
      <c r="S2878" t="str">
        <v>#N/A</v>
      </c>
      <c r="T2878" t="str">
        <v>31</v>
      </c>
    </row>
    <row r="2879" spans="1:20" ht="13.7" customHeight="1" x14ac:dyDescent="0.25">
      <c r="A2879" t="s">
        <v>320</v>
      </c>
      <c r="B2879" t="s">
        <v>321</v>
      </c>
      <c r="C2879" t="s">
        <v>142</v>
      </c>
      <c r="D2879">
        <v>334</v>
      </c>
      <c r="E2879" s="5">
        <v>43466</v>
      </c>
      <c r="F2879">
        <v>41350101</v>
      </c>
      <c r="G2879" t="s">
        <v>733</v>
      </c>
      <c r="H2879" t="s">
        <v>1125</v>
      </c>
      <c r="I2879" t="s">
        <v>1126</v>
      </c>
      <c r="J2879">
        <v>1007</v>
      </c>
      <c r="K2879">
        <v>4001</v>
      </c>
      <c r="L2879" s="3">
        <v>-163227468</v>
      </c>
      <c r="M2879" s="3">
        <v>0</v>
      </c>
      <c r="N2879">
        <v>119040</v>
      </c>
      <c r="O2879">
        <v>0</v>
      </c>
      <c r="P2879">
        <v>-163346508</v>
      </c>
      <c r="Q2879" t="s">
        <v>30</v>
      </c>
      <c r="R2879" t="s">
        <v>735</v>
      </c>
      <c r="S2879" t="str">
        <v>#N/A</v>
      </c>
      <c r="T2879" t="str">
        <v>31</v>
      </c>
    </row>
    <row r="2880" spans="1:20" ht="13.7" customHeight="1" x14ac:dyDescent="0.25">
      <c r="A2880" t="s">
        <v>320</v>
      </c>
      <c r="B2880" t="s">
        <v>321</v>
      </c>
      <c r="C2880" t="s">
        <v>142</v>
      </c>
      <c r="D2880">
        <v>334</v>
      </c>
      <c r="E2880" s="5">
        <v>43466</v>
      </c>
      <c r="F2880">
        <v>41350101</v>
      </c>
      <c r="G2880" t="s">
        <v>733</v>
      </c>
      <c r="H2880" t="s">
        <v>1125</v>
      </c>
      <c r="I2880" t="s">
        <v>1126</v>
      </c>
      <c r="J2880">
        <v>1007</v>
      </c>
      <c r="K2880">
        <v>4001</v>
      </c>
      <c r="L2880" s="3">
        <v>-163346508</v>
      </c>
      <c r="M2880" s="3">
        <v>0</v>
      </c>
      <c r="N2880">
        <v>816200</v>
      </c>
      <c r="O2880">
        <v>0</v>
      </c>
      <c r="P2880">
        <v>-164162708</v>
      </c>
      <c r="Q2880" t="s">
        <v>30</v>
      </c>
      <c r="R2880" t="s">
        <v>736</v>
      </c>
      <c r="S2880" t="str">
        <v>#N/A</v>
      </c>
      <c r="T2880" t="str">
        <v>31</v>
      </c>
    </row>
    <row r="2881" spans="1:20" ht="13.7" customHeight="1" x14ac:dyDescent="0.25">
      <c r="A2881" t="s">
        <v>320</v>
      </c>
      <c r="B2881" t="s">
        <v>321</v>
      </c>
      <c r="C2881" t="s">
        <v>142</v>
      </c>
      <c r="D2881">
        <v>334</v>
      </c>
      <c r="E2881" s="5">
        <v>43466</v>
      </c>
      <c r="F2881">
        <v>41350101</v>
      </c>
      <c r="G2881" t="s">
        <v>733</v>
      </c>
      <c r="H2881" t="s">
        <v>1125</v>
      </c>
      <c r="I2881" t="s">
        <v>1126</v>
      </c>
      <c r="J2881">
        <v>1007</v>
      </c>
      <c r="K2881">
        <v>4001</v>
      </c>
      <c r="L2881" s="3">
        <v>-164162708</v>
      </c>
      <c r="M2881" s="3">
        <v>0</v>
      </c>
      <c r="N2881">
        <v>500000</v>
      </c>
      <c r="O2881">
        <v>0</v>
      </c>
      <c r="P2881">
        <v>-164662708</v>
      </c>
      <c r="Q2881" t="s">
        <v>30</v>
      </c>
      <c r="R2881" t="s">
        <v>737</v>
      </c>
      <c r="S2881" t="str">
        <v>#N/A</v>
      </c>
      <c r="T2881" t="str">
        <v>31</v>
      </c>
    </row>
    <row r="2882" spans="1:20" ht="13.7" customHeight="1" x14ac:dyDescent="0.25">
      <c r="A2882" t="s">
        <v>320</v>
      </c>
      <c r="B2882" t="s">
        <v>321</v>
      </c>
      <c r="C2882" t="s">
        <v>142</v>
      </c>
      <c r="D2882">
        <v>334</v>
      </c>
      <c r="E2882" s="5">
        <v>43466</v>
      </c>
      <c r="F2882">
        <v>41350101</v>
      </c>
      <c r="G2882" t="s">
        <v>733</v>
      </c>
      <c r="H2882" t="s">
        <v>1125</v>
      </c>
      <c r="I2882" t="s">
        <v>1126</v>
      </c>
      <c r="J2882">
        <v>1007</v>
      </c>
      <c r="K2882">
        <v>4001</v>
      </c>
      <c r="L2882" s="3">
        <v>-164662708</v>
      </c>
      <c r="M2882" s="3">
        <v>0</v>
      </c>
      <c r="N2882">
        <v>500000</v>
      </c>
      <c r="O2882">
        <v>0</v>
      </c>
      <c r="P2882">
        <v>-165162708</v>
      </c>
      <c r="Q2882" t="s">
        <v>30</v>
      </c>
      <c r="R2882" t="s">
        <v>738</v>
      </c>
      <c r="S2882" t="str">
        <v>#N/A</v>
      </c>
      <c r="T2882" t="str">
        <v>31</v>
      </c>
    </row>
    <row r="2883" spans="1:20" ht="13.7" customHeight="1" x14ac:dyDescent="0.25">
      <c r="A2883" t="s">
        <v>320</v>
      </c>
      <c r="B2883" t="s">
        <v>321</v>
      </c>
      <c r="C2883" t="s">
        <v>142</v>
      </c>
      <c r="D2883">
        <v>334</v>
      </c>
      <c r="E2883" s="5">
        <v>43466</v>
      </c>
      <c r="F2883">
        <v>41350101</v>
      </c>
      <c r="G2883" t="s">
        <v>733</v>
      </c>
      <c r="H2883" t="s">
        <v>1125</v>
      </c>
      <c r="I2883" t="s">
        <v>1126</v>
      </c>
      <c r="J2883">
        <v>1007</v>
      </c>
      <c r="K2883">
        <v>4001</v>
      </c>
      <c r="L2883" s="3">
        <v>-165162708</v>
      </c>
      <c r="M2883" s="3">
        <v>0</v>
      </c>
      <c r="N2883">
        <v>500000</v>
      </c>
      <c r="O2883">
        <v>0</v>
      </c>
      <c r="P2883">
        <v>-165662708</v>
      </c>
      <c r="Q2883" t="s">
        <v>30</v>
      </c>
      <c r="R2883" t="s">
        <v>739</v>
      </c>
      <c r="S2883" t="str">
        <v>#N/A</v>
      </c>
      <c r="T2883" t="str">
        <v>31</v>
      </c>
    </row>
    <row r="2884" spans="1:20" ht="13.7" customHeight="1" x14ac:dyDescent="0.25">
      <c r="A2884" t="s">
        <v>320</v>
      </c>
      <c r="B2884" t="s">
        <v>321</v>
      </c>
      <c r="C2884" t="s">
        <v>142</v>
      </c>
      <c r="D2884">
        <v>334</v>
      </c>
      <c r="E2884" s="5">
        <v>43466</v>
      </c>
      <c r="F2884">
        <v>41350101</v>
      </c>
      <c r="G2884" t="s">
        <v>733</v>
      </c>
      <c r="H2884" t="s">
        <v>1125</v>
      </c>
      <c r="I2884" t="s">
        <v>1126</v>
      </c>
      <c r="J2884">
        <v>1007</v>
      </c>
      <c r="K2884">
        <v>4001</v>
      </c>
      <c r="L2884" s="3">
        <v>-165662708</v>
      </c>
      <c r="M2884" s="3">
        <v>0</v>
      </c>
      <c r="N2884">
        <v>500000</v>
      </c>
      <c r="O2884">
        <v>0</v>
      </c>
      <c r="P2884">
        <v>-166162708</v>
      </c>
      <c r="Q2884" t="s">
        <v>30</v>
      </c>
      <c r="R2884" t="s">
        <v>740</v>
      </c>
      <c r="S2884" t="str">
        <v>#N/A</v>
      </c>
      <c r="T2884" t="str">
        <v>31</v>
      </c>
    </row>
    <row r="2885" spans="1:20" ht="13.7" customHeight="1" x14ac:dyDescent="0.25">
      <c r="A2885" t="s">
        <v>320</v>
      </c>
      <c r="B2885" t="s">
        <v>321</v>
      </c>
      <c r="C2885" t="s">
        <v>142</v>
      </c>
      <c r="D2885">
        <v>334</v>
      </c>
      <c r="E2885" s="5">
        <v>43466</v>
      </c>
      <c r="F2885">
        <v>41350101</v>
      </c>
      <c r="G2885" t="s">
        <v>733</v>
      </c>
      <c r="H2885" t="s">
        <v>1125</v>
      </c>
      <c r="I2885" t="s">
        <v>1126</v>
      </c>
      <c r="J2885">
        <v>1007</v>
      </c>
      <c r="K2885">
        <v>4001</v>
      </c>
      <c r="L2885" s="3">
        <v>-166162708</v>
      </c>
      <c r="M2885" s="3">
        <v>0</v>
      </c>
      <c r="N2885">
        <v>375000</v>
      </c>
      <c r="O2885">
        <v>0</v>
      </c>
      <c r="P2885">
        <v>-166537708</v>
      </c>
      <c r="Q2885" t="s">
        <v>30</v>
      </c>
      <c r="R2885" t="s">
        <v>741</v>
      </c>
      <c r="S2885" t="str">
        <v>#N/A</v>
      </c>
      <c r="T2885" t="str">
        <v>31</v>
      </c>
    </row>
    <row r="2886" spans="1:20" ht="13.7" customHeight="1" x14ac:dyDescent="0.25">
      <c r="A2886" t="s">
        <v>320</v>
      </c>
      <c r="B2886" t="s">
        <v>321</v>
      </c>
      <c r="C2886" t="s">
        <v>142</v>
      </c>
      <c r="D2886">
        <v>334</v>
      </c>
      <c r="E2886" s="5">
        <v>43466</v>
      </c>
      <c r="F2886">
        <v>41350101</v>
      </c>
      <c r="G2886" t="s">
        <v>733</v>
      </c>
      <c r="H2886" t="s">
        <v>1125</v>
      </c>
      <c r="I2886" t="s">
        <v>1126</v>
      </c>
      <c r="J2886">
        <v>1007</v>
      </c>
      <c r="K2886">
        <v>4001</v>
      </c>
      <c r="L2886" s="3">
        <v>-166537708</v>
      </c>
      <c r="M2886" s="3">
        <v>0</v>
      </c>
      <c r="N2886">
        <v>375000</v>
      </c>
      <c r="O2886">
        <v>0</v>
      </c>
      <c r="P2886">
        <v>-166912708</v>
      </c>
      <c r="Q2886" t="s">
        <v>30</v>
      </c>
      <c r="R2886" t="s">
        <v>742</v>
      </c>
      <c r="S2886" t="str">
        <v>#N/A</v>
      </c>
      <c r="T2886" t="str">
        <v>31</v>
      </c>
    </row>
    <row r="2887" spans="1:20" ht="13.7" customHeight="1" x14ac:dyDescent="0.25">
      <c r="A2887" t="s">
        <v>320</v>
      </c>
      <c r="B2887" t="s">
        <v>321</v>
      </c>
      <c r="C2887" t="s">
        <v>142</v>
      </c>
      <c r="D2887">
        <v>334</v>
      </c>
      <c r="E2887" s="5">
        <v>43466</v>
      </c>
      <c r="F2887">
        <v>41350101</v>
      </c>
      <c r="G2887" t="s">
        <v>733</v>
      </c>
      <c r="H2887" t="s">
        <v>1125</v>
      </c>
      <c r="I2887" t="s">
        <v>1126</v>
      </c>
      <c r="J2887">
        <v>1007</v>
      </c>
      <c r="K2887">
        <v>4001</v>
      </c>
      <c r="L2887" s="3">
        <v>-166912708</v>
      </c>
      <c r="M2887" s="3">
        <v>0</v>
      </c>
      <c r="N2887">
        <v>375000</v>
      </c>
      <c r="O2887">
        <v>0</v>
      </c>
      <c r="P2887">
        <v>-167287708</v>
      </c>
      <c r="Q2887" t="s">
        <v>30</v>
      </c>
      <c r="R2887" t="s">
        <v>743</v>
      </c>
      <c r="S2887" t="str">
        <v>#N/A</v>
      </c>
      <c r="T2887" t="str">
        <v>31</v>
      </c>
    </row>
    <row r="2888" spans="1:20" ht="13.7" customHeight="1" x14ac:dyDescent="0.25">
      <c r="A2888" t="s">
        <v>320</v>
      </c>
      <c r="B2888" t="s">
        <v>321</v>
      </c>
      <c r="C2888" t="s">
        <v>142</v>
      </c>
      <c r="D2888">
        <v>334</v>
      </c>
      <c r="E2888" s="5">
        <v>43466</v>
      </c>
      <c r="F2888">
        <v>41350101</v>
      </c>
      <c r="G2888" t="s">
        <v>733</v>
      </c>
      <c r="H2888" t="s">
        <v>1125</v>
      </c>
      <c r="I2888" t="s">
        <v>1126</v>
      </c>
      <c r="J2888">
        <v>1007</v>
      </c>
      <c r="K2888">
        <v>4001</v>
      </c>
      <c r="L2888" s="3">
        <v>-167287708</v>
      </c>
      <c r="M2888" s="3">
        <v>0</v>
      </c>
      <c r="N2888">
        <v>375000</v>
      </c>
      <c r="O2888">
        <v>0</v>
      </c>
      <c r="P2888">
        <v>-167662708</v>
      </c>
      <c r="Q2888" t="s">
        <v>30</v>
      </c>
      <c r="R2888" t="s">
        <v>744</v>
      </c>
      <c r="S2888" t="str">
        <v>#N/A</v>
      </c>
      <c r="T2888" t="str">
        <v>31</v>
      </c>
    </row>
    <row r="2889" spans="1:20" ht="13.7" customHeight="1" x14ac:dyDescent="0.25">
      <c r="A2889" t="s">
        <v>320</v>
      </c>
      <c r="B2889" t="s">
        <v>321</v>
      </c>
      <c r="C2889" t="s">
        <v>142</v>
      </c>
      <c r="D2889">
        <v>334</v>
      </c>
      <c r="E2889" s="5">
        <v>43466</v>
      </c>
      <c r="F2889">
        <v>41350101</v>
      </c>
      <c r="G2889" t="s">
        <v>733</v>
      </c>
      <c r="H2889" t="s">
        <v>1125</v>
      </c>
      <c r="I2889" t="s">
        <v>1126</v>
      </c>
      <c r="J2889">
        <v>1007</v>
      </c>
      <c r="K2889">
        <v>4001</v>
      </c>
      <c r="L2889" s="3">
        <v>-167662708</v>
      </c>
      <c r="M2889" s="3">
        <v>0</v>
      </c>
      <c r="N2889">
        <v>1980000</v>
      </c>
      <c r="O2889">
        <v>0</v>
      </c>
      <c r="P2889">
        <v>-169642708</v>
      </c>
      <c r="Q2889" t="s">
        <v>30</v>
      </c>
      <c r="R2889" t="s">
        <v>745</v>
      </c>
      <c r="S2889" t="str">
        <v>#N/A</v>
      </c>
      <c r="T2889" t="str">
        <v>31</v>
      </c>
    </row>
    <row r="2890" spans="1:20" ht="13.7" customHeight="1" x14ac:dyDescent="0.25">
      <c r="A2890" t="s">
        <v>320</v>
      </c>
      <c r="B2890" t="s">
        <v>321</v>
      </c>
      <c r="C2890" t="s">
        <v>142</v>
      </c>
      <c r="D2890">
        <v>334</v>
      </c>
      <c r="E2890" s="5">
        <v>43466</v>
      </c>
      <c r="F2890">
        <v>41350101</v>
      </c>
      <c r="G2890" t="s">
        <v>733</v>
      </c>
      <c r="H2890" t="s">
        <v>1125</v>
      </c>
      <c r="I2890" t="s">
        <v>1126</v>
      </c>
      <c r="J2890">
        <v>1007</v>
      </c>
      <c r="K2890">
        <v>4001</v>
      </c>
      <c r="L2890" s="3">
        <v>-169642708</v>
      </c>
      <c r="M2890" s="3">
        <v>0</v>
      </c>
      <c r="N2890">
        <v>2970000</v>
      </c>
      <c r="O2890">
        <v>0</v>
      </c>
      <c r="P2890">
        <v>-172612708</v>
      </c>
      <c r="Q2890" t="s">
        <v>30</v>
      </c>
      <c r="R2890" t="s">
        <v>746</v>
      </c>
      <c r="S2890" t="str">
        <v>#N/A</v>
      </c>
      <c r="T2890" t="str">
        <v>31</v>
      </c>
    </row>
    <row r="2891" spans="1:20" ht="13.7" customHeight="1" x14ac:dyDescent="0.25">
      <c r="A2891" t="s">
        <v>320</v>
      </c>
      <c r="B2891" t="s">
        <v>321</v>
      </c>
      <c r="C2891" t="s">
        <v>142</v>
      </c>
      <c r="D2891">
        <v>339</v>
      </c>
      <c r="E2891" s="5">
        <v>43482</v>
      </c>
      <c r="F2891">
        <v>41350101</v>
      </c>
      <c r="G2891" t="s">
        <v>733</v>
      </c>
      <c r="H2891" t="s">
        <v>1125</v>
      </c>
      <c r="I2891" t="s">
        <v>1126</v>
      </c>
      <c r="J2891">
        <v>1007</v>
      </c>
      <c r="K2891">
        <v>4001</v>
      </c>
      <c r="L2891" s="3">
        <v>-172612708</v>
      </c>
      <c r="M2891" s="3">
        <v>0</v>
      </c>
      <c r="N2891">
        <v>467460</v>
      </c>
      <c r="O2891">
        <v>0</v>
      </c>
      <c r="P2891">
        <v>-173080168</v>
      </c>
      <c r="Q2891" t="s">
        <v>30</v>
      </c>
      <c r="R2891" t="s">
        <v>754</v>
      </c>
      <c r="S2891" t="str">
        <v>#N/A</v>
      </c>
      <c r="T2891" t="str">
        <v>31</v>
      </c>
    </row>
    <row r="2892" spans="1:20" ht="13.7" customHeight="1" x14ac:dyDescent="0.25">
      <c r="A2892" t="s">
        <v>320</v>
      </c>
      <c r="B2892" t="s">
        <v>321</v>
      </c>
      <c r="C2892" t="s">
        <v>142</v>
      </c>
      <c r="D2892">
        <v>341</v>
      </c>
      <c r="E2892" s="5">
        <v>43484</v>
      </c>
      <c r="F2892">
        <v>41350101</v>
      </c>
      <c r="G2892" t="s">
        <v>733</v>
      </c>
      <c r="H2892" t="s">
        <v>1125</v>
      </c>
      <c r="I2892" t="s">
        <v>1126</v>
      </c>
      <c r="J2892">
        <v>1007</v>
      </c>
      <c r="K2892">
        <v>4001</v>
      </c>
      <c r="L2892" s="3">
        <v>-173080168</v>
      </c>
      <c r="M2892" s="3">
        <v>0</v>
      </c>
      <c r="N2892">
        <v>28000</v>
      </c>
      <c r="O2892">
        <v>0</v>
      </c>
      <c r="P2892">
        <v>-173108168</v>
      </c>
      <c r="Q2892" t="s">
        <v>30</v>
      </c>
      <c r="R2892" t="s">
        <v>756</v>
      </c>
      <c r="S2892" t="str">
        <v>#N/A</v>
      </c>
      <c r="T2892" t="str">
        <v>31</v>
      </c>
    </row>
    <row r="2893" spans="1:20" ht="13.7" customHeight="1" x14ac:dyDescent="0.25">
      <c r="A2893" t="s">
        <v>320</v>
      </c>
      <c r="B2893" t="s">
        <v>321</v>
      </c>
      <c r="C2893" t="s">
        <v>142</v>
      </c>
      <c r="D2893">
        <v>341</v>
      </c>
      <c r="E2893" s="5">
        <v>43484</v>
      </c>
      <c r="F2893">
        <v>41350101</v>
      </c>
      <c r="G2893" t="s">
        <v>733</v>
      </c>
      <c r="H2893" t="s">
        <v>1125</v>
      </c>
      <c r="I2893" t="s">
        <v>1126</v>
      </c>
      <c r="J2893">
        <v>1007</v>
      </c>
      <c r="K2893">
        <v>4001</v>
      </c>
      <c r="L2893" s="3">
        <v>-173108168</v>
      </c>
      <c r="M2893" s="3">
        <v>0</v>
      </c>
      <c r="N2893">
        <v>20000</v>
      </c>
      <c r="O2893">
        <v>0</v>
      </c>
      <c r="P2893">
        <v>-173128168</v>
      </c>
      <c r="Q2893" t="s">
        <v>30</v>
      </c>
      <c r="R2893" t="s">
        <v>757</v>
      </c>
      <c r="S2893" t="str">
        <v>#N/A</v>
      </c>
      <c r="T2893" t="str">
        <v>31</v>
      </c>
    </row>
    <row r="2894" spans="1:20" ht="13.7" customHeight="1" x14ac:dyDescent="0.25">
      <c r="A2894" t="s">
        <v>320</v>
      </c>
      <c r="B2894" t="s">
        <v>321</v>
      </c>
      <c r="C2894" t="s">
        <v>142</v>
      </c>
      <c r="D2894">
        <v>341</v>
      </c>
      <c r="E2894" s="5">
        <v>43484</v>
      </c>
      <c r="F2894">
        <v>41350101</v>
      </c>
      <c r="G2894" t="s">
        <v>733</v>
      </c>
      <c r="H2894" t="s">
        <v>1125</v>
      </c>
      <c r="I2894" t="s">
        <v>1126</v>
      </c>
      <c r="J2894">
        <v>1007</v>
      </c>
      <c r="K2894">
        <v>4001</v>
      </c>
      <c r="L2894" s="3">
        <v>-173128168</v>
      </c>
      <c r="M2894" s="3">
        <v>0</v>
      </c>
      <c r="N2894">
        <v>10000</v>
      </c>
      <c r="O2894">
        <v>0</v>
      </c>
      <c r="P2894">
        <v>-173138168</v>
      </c>
      <c r="Q2894" t="s">
        <v>30</v>
      </c>
      <c r="R2894" t="s">
        <v>758</v>
      </c>
      <c r="S2894" t="str">
        <v>#N/A</v>
      </c>
      <c r="T2894" t="str">
        <v>31</v>
      </c>
    </row>
    <row r="2895" spans="1:20" ht="13.7" customHeight="1" x14ac:dyDescent="0.25">
      <c r="A2895" t="s">
        <v>320</v>
      </c>
      <c r="B2895" t="s">
        <v>321</v>
      </c>
      <c r="C2895" t="s">
        <v>142</v>
      </c>
      <c r="D2895">
        <v>341</v>
      </c>
      <c r="E2895" s="5">
        <v>43484</v>
      </c>
      <c r="F2895">
        <v>41350101</v>
      </c>
      <c r="G2895" t="s">
        <v>733</v>
      </c>
      <c r="H2895" t="s">
        <v>1125</v>
      </c>
      <c r="I2895" t="s">
        <v>1126</v>
      </c>
      <c r="J2895">
        <v>1007</v>
      </c>
      <c r="K2895">
        <v>4001</v>
      </c>
      <c r="L2895" s="3">
        <v>-173138168</v>
      </c>
      <c r="M2895" s="3">
        <v>0</v>
      </c>
      <c r="N2895">
        <v>10000</v>
      </c>
      <c r="O2895">
        <v>0</v>
      </c>
      <c r="P2895">
        <v>-173148168</v>
      </c>
      <c r="Q2895" t="s">
        <v>30</v>
      </c>
      <c r="R2895" t="s">
        <v>759</v>
      </c>
      <c r="S2895" t="str">
        <v>#N/A</v>
      </c>
      <c r="T2895" t="str">
        <v>31</v>
      </c>
    </row>
    <row r="2896" spans="1:20" ht="13.7" customHeight="1" x14ac:dyDescent="0.25">
      <c r="A2896" t="s">
        <v>320</v>
      </c>
      <c r="B2896" t="s">
        <v>321</v>
      </c>
      <c r="C2896" t="s">
        <v>142</v>
      </c>
      <c r="D2896">
        <v>341</v>
      </c>
      <c r="E2896" s="5">
        <v>43484</v>
      </c>
      <c r="F2896">
        <v>41350101</v>
      </c>
      <c r="G2896" t="s">
        <v>733</v>
      </c>
      <c r="H2896" t="s">
        <v>1125</v>
      </c>
      <c r="I2896" t="s">
        <v>1126</v>
      </c>
      <c r="J2896">
        <v>1007</v>
      </c>
      <c r="K2896">
        <v>4001</v>
      </c>
      <c r="L2896" s="3">
        <v>-173148168</v>
      </c>
      <c r="M2896" s="3">
        <v>0</v>
      </c>
      <c r="N2896">
        <v>60000</v>
      </c>
      <c r="O2896">
        <v>0</v>
      </c>
      <c r="P2896">
        <v>-173208168</v>
      </c>
      <c r="Q2896" t="s">
        <v>30</v>
      </c>
      <c r="R2896" t="s">
        <v>760</v>
      </c>
      <c r="S2896" t="str">
        <v>#N/A</v>
      </c>
      <c r="T2896" t="str">
        <v>31</v>
      </c>
    </row>
    <row r="2897" spans="1:20" ht="13.7" customHeight="1" x14ac:dyDescent="0.25">
      <c r="A2897" t="s">
        <v>320</v>
      </c>
      <c r="B2897" t="s">
        <v>321</v>
      </c>
      <c r="C2897" t="s">
        <v>142</v>
      </c>
      <c r="D2897">
        <v>341</v>
      </c>
      <c r="E2897" s="5">
        <v>43484</v>
      </c>
      <c r="F2897">
        <v>41350101</v>
      </c>
      <c r="G2897" t="s">
        <v>733</v>
      </c>
      <c r="H2897" t="s">
        <v>1125</v>
      </c>
      <c r="I2897" t="s">
        <v>1126</v>
      </c>
      <c r="J2897">
        <v>1007</v>
      </c>
      <c r="K2897">
        <v>4001</v>
      </c>
      <c r="L2897" s="3">
        <v>-173208168</v>
      </c>
      <c r="M2897" s="3">
        <v>0</v>
      </c>
      <c r="N2897">
        <v>60000</v>
      </c>
      <c r="O2897">
        <v>0</v>
      </c>
      <c r="P2897">
        <v>-173268168</v>
      </c>
      <c r="Q2897" t="s">
        <v>30</v>
      </c>
      <c r="R2897" t="s">
        <v>761</v>
      </c>
      <c r="S2897" t="str">
        <v>#N/A</v>
      </c>
      <c r="T2897" t="str">
        <v>31</v>
      </c>
    </row>
    <row r="2898" spans="1:20" ht="13.7" customHeight="1" x14ac:dyDescent="0.25">
      <c r="A2898" t="s">
        <v>320</v>
      </c>
      <c r="B2898" t="s">
        <v>321</v>
      </c>
      <c r="C2898" t="s">
        <v>142</v>
      </c>
      <c r="D2898">
        <v>341</v>
      </c>
      <c r="E2898" s="5">
        <v>43484</v>
      </c>
      <c r="F2898">
        <v>41350101</v>
      </c>
      <c r="G2898" t="s">
        <v>733</v>
      </c>
      <c r="H2898" t="s">
        <v>1125</v>
      </c>
      <c r="I2898" t="s">
        <v>1126</v>
      </c>
      <c r="J2898">
        <v>1007</v>
      </c>
      <c r="K2898">
        <v>4001</v>
      </c>
      <c r="L2898" s="3">
        <v>-173268168</v>
      </c>
      <c r="M2898" s="3">
        <v>0</v>
      </c>
      <c r="N2898">
        <v>20000</v>
      </c>
      <c r="O2898">
        <v>0</v>
      </c>
      <c r="P2898">
        <v>-173288168</v>
      </c>
      <c r="Q2898" t="s">
        <v>30</v>
      </c>
      <c r="R2898" t="s">
        <v>762</v>
      </c>
      <c r="S2898" t="str">
        <v>#N/A</v>
      </c>
      <c r="T2898" t="str">
        <v>31</v>
      </c>
    </row>
    <row r="2899" spans="1:20" ht="13.7" customHeight="1" x14ac:dyDescent="0.25">
      <c r="A2899" t="s">
        <v>320</v>
      </c>
      <c r="B2899" t="s">
        <v>321</v>
      </c>
      <c r="C2899" t="s">
        <v>142</v>
      </c>
      <c r="D2899">
        <v>351</v>
      </c>
      <c r="E2899" s="5">
        <v>43497</v>
      </c>
      <c r="F2899">
        <v>41350101</v>
      </c>
      <c r="G2899" t="s">
        <v>733</v>
      </c>
      <c r="H2899" t="s">
        <v>1125</v>
      </c>
      <c r="I2899" t="s">
        <v>1126</v>
      </c>
      <c r="J2899">
        <v>1007</v>
      </c>
      <c r="K2899">
        <v>4001</v>
      </c>
      <c r="L2899" s="3">
        <v>-173288168</v>
      </c>
      <c r="M2899" s="3">
        <v>0</v>
      </c>
      <c r="N2899">
        <v>10000</v>
      </c>
      <c r="O2899">
        <v>0</v>
      </c>
      <c r="P2899">
        <v>-173298168</v>
      </c>
      <c r="Q2899" t="s">
        <v>30</v>
      </c>
      <c r="R2899" t="s">
        <v>777</v>
      </c>
      <c r="S2899" t="str">
        <v>#N/A</v>
      </c>
      <c r="T2899" t="str">
        <v>31</v>
      </c>
    </row>
    <row r="2900" spans="1:20" ht="13.7" customHeight="1" x14ac:dyDescent="0.25">
      <c r="A2900" t="s">
        <v>320</v>
      </c>
      <c r="B2900" t="s">
        <v>321</v>
      </c>
      <c r="C2900" t="s">
        <v>142</v>
      </c>
      <c r="D2900">
        <v>351</v>
      </c>
      <c r="E2900" s="5">
        <v>43497</v>
      </c>
      <c r="F2900">
        <v>41350101</v>
      </c>
      <c r="G2900" t="s">
        <v>733</v>
      </c>
      <c r="H2900" t="s">
        <v>1125</v>
      </c>
      <c r="I2900" t="s">
        <v>1126</v>
      </c>
      <c r="J2900">
        <v>1007</v>
      </c>
      <c r="K2900">
        <v>4001</v>
      </c>
      <c r="L2900" s="3">
        <v>-173298168</v>
      </c>
      <c r="M2900" s="3">
        <v>0</v>
      </c>
      <c r="N2900">
        <v>24000</v>
      </c>
      <c r="O2900">
        <v>0</v>
      </c>
      <c r="P2900">
        <v>-173322168</v>
      </c>
      <c r="Q2900" t="s">
        <v>30</v>
      </c>
      <c r="R2900" t="s">
        <v>778</v>
      </c>
      <c r="S2900" t="str">
        <v>#N/A</v>
      </c>
      <c r="T2900" t="str">
        <v>31</v>
      </c>
    </row>
    <row r="2901" spans="1:20" ht="13.7" customHeight="1" x14ac:dyDescent="0.25">
      <c r="A2901" t="s">
        <v>320</v>
      </c>
      <c r="B2901" t="s">
        <v>321</v>
      </c>
      <c r="C2901" t="s">
        <v>142</v>
      </c>
      <c r="D2901">
        <v>351</v>
      </c>
      <c r="E2901" s="5">
        <v>43497</v>
      </c>
      <c r="F2901">
        <v>41350101</v>
      </c>
      <c r="G2901" t="s">
        <v>733</v>
      </c>
      <c r="H2901" t="s">
        <v>1125</v>
      </c>
      <c r="I2901" t="s">
        <v>1126</v>
      </c>
      <c r="J2901">
        <v>1007</v>
      </c>
      <c r="K2901">
        <v>4001</v>
      </c>
      <c r="L2901" s="3">
        <v>-173322168</v>
      </c>
      <c r="M2901" s="3">
        <v>0</v>
      </c>
      <c r="N2901">
        <v>45000</v>
      </c>
      <c r="O2901">
        <v>0</v>
      </c>
      <c r="P2901">
        <v>-173367168</v>
      </c>
      <c r="Q2901" t="s">
        <v>30</v>
      </c>
      <c r="R2901" t="s">
        <v>779</v>
      </c>
      <c r="S2901" t="str">
        <v>#N/A</v>
      </c>
      <c r="T2901" t="str">
        <v>31</v>
      </c>
    </row>
    <row r="2902" spans="1:20" ht="13.7" customHeight="1" x14ac:dyDescent="0.25">
      <c r="A2902" t="s">
        <v>320</v>
      </c>
      <c r="B2902" t="s">
        <v>321</v>
      </c>
      <c r="C2902" t="s">
        <v>142</v>
      </c>
      <c r="D2902">
        <v>351</v>
      </c>
      <c r="E2902" s="5">
        <v>43497</v>
      </c>
      <c r="F2902">
        <v>41350101</v>
      </c>
      <c r="G2902" t="s">
        <v>733</v>
      </c>
      <c r="H2902" t="s">
        <v>1125</v>
      </c>
      <c r="I2902" t="s">
        <v>1126</v>
      </c>
      <c r="J2902">
        <v>1007</v>
      </c>
      <c r="K2902">
        <v>4001</v>
      </c>
      <c r="L2902" s="3">
        <v>-173367168</v>
      </c>
      <c r="M2902" s="3">
        <v>0</v>
      </c>
      <c r="N2902">
        <v>35000</v>
      </c>
      <c r="O2902">
        <v>0</v>
      </c>
      <c r="P2902">
        <v>-173402168</v>
      </c>
      <c r="Q2902" t="s">
        <v>30</v>
      </c>
      <c r="R2902" t="s">
        <v>780</v>
      </c>
      <c r="S2902" t="str">
        <v>#N/A</v>
      </c>
      <c r="T2902" t="str">
        <v>31</v>
      </c>
    </row>
    <row r="2903" spans="1:20" ht="13.7" customHeight="1" x14ac:dyDescent="0.25">
      <c r="A2903" t="s">
        <v>320</v>
      </c>
      <c r="B2903" t="s">
        <v>321</v>
      </c>
      <c r="C2903" t="s">
        <v>142</v>
      </c>
      <c r="D2903">
        <v>353</v>
      </c>
      <c r="E2903" s="5">
        <v>43500</v>
      </c>
      <c r="F2903">
        <v>41350101</v>
      </c>
      <c r="G2903" t="s">
        <v>733</v>
      </c>
      <c r="H2903" t="s">
        <v>1125</v>
      </c>
      <c r="I2903" t="s">
        <v>1126</v>
      </c>
      <c r="J2903">
        <v>1007</v>
      </c>
      <c r="K2903">
        <v>4001</v>
      </c>
      <c r="L2903" s="3">
        <v>-173402168</v>
      </c>
      <c r="M2903" s="3">
        <v>0</v>
      </c>
      <c r="N2903">
        <v>89496</v>
      </c>
      <c r="O2903">
        <v>0</v>
      </c>
      <c r="P2903">
        <v>-173491664</v>
      </c>
      <c r="Q2903" t="s">
        <v>30</v>
      </c>
      <c r="R2903" t="s">
        <v>781</v>
      </c>
      <c r="S2903" t="str">
        <v>#N/A</v>
      </c>
      <c r="T2903" t="str">
        <v>31</v>
      </c>
    </row>
    <row r="2904" spans="1:20" ht="13.7" customHeight="1" x14ac:dyDescent="0.25">
      <c r="A2904" t="s">
        <v>320</v>
      </c>
      <c r="B2904" t="s">
        <v>321</v>
      </c>
      <c r="C2904" t="s">
        <v>142</v>
      </c>
      <c r="D2904">
        <v>353</v>
      </c>
      <c r="E2904" s="5">
        <v>43500</v>
      </c>
      <c r="F2904">
        <v>41350101</v>
      </c>
      <c r="G2904" t="s">
        <v>733</v>
      </c>
      <c r="H2904" t="s">
        <v>1125</v>
      </c>
      <c r="I2904" t="s">
        <v>1126</v>
      </c>
      <c r="J2904">
        <v>1007</v>
      </c>
      <c r="K2904">
        <v>4001</v>
      </c>
      <c r="L2904" s="3">
        <v>-173491664</v>
      </c>
      <c r="M2904" s="3">
        <v>0</v>
      </c>
      <c r="N2904">
        <v>288850</v>
      </c>
      <c r="O2904">
        <v>0</v>
      </c>
      <c r="P2904">
        <v>-173780514</v>
      </c>
      <c r="Q2904" t="s">
        <v>30</v>
      </c>
      <c r="R2904" t="s">
        <v>782</v>
      </c>
      <c r="S2904" t="str">
        <v>#N/A</v>
      </c>
      <c r="T2904" t="str">
        <v>31</v>
      </c>
    </row>
    <row r="2905" spans="1:20" ht="13.7" customHeight="1" x14ac:dyDescent="0.25">
      <c r="A2905" t="s">
        <v>320</v>
      </c>
      <c r="B2905" t="s">
        <v>321</v>
      </c>
      <c r="C2905" t="s">
        <v>142</v>
      </c>
      <c r="D2905">
        <v>353</v>
      </c>
      <c r="E2905" s="5">
        <v>43500</v>
      </c>
      <c r="F2905">
        <v>41350101</v>
      </c>
      <c r="G2905" t="s">
        <v>733</v>
      </c>
      <c r="H2905" t="s">
        <v>1125</v>
      </c>
      <c r="I2905" t="s">
        <v>1126</v>
      </c>
      <c r="J2905">
        <v>1007</v>
      </c>
      <c r="K2905">
        <v>4001</v>
      </c>
      <c r="L2905" s="3">
        <v>-173780514</v>
      </c>
      <c r="M2905" s="3">
        <v>0</v>
      </c>
      <c r="N2905">
        <v>278000</v>
      </c>
      <c r="O2905">
        <v>0</v>
      </c>
      <c r="P2905">
        <v>-174058514</v>
      </c>
      <c r="Q2905" t="s">
        <v>30</v>
      </c>
      <c r="R2905" t="s">
        <v>783</v>
      </c>
      <c r="S2905" t="str">
        <v>#N/A</v>
      </c>
      <c r="T2905" t="str">
        <v>31</v>
      </c>
    </row>
    <row r="2906" spans="1:20" ht="13.7" customHeight="1" x14ac:dyDescent="0.25">
      <c r="A2906" t="s">
        <v>320</v>
      </c>
      <c r="B2906" t="s">
        <v>321</v>
      </c>
      <c r="C2906" t="s">
        <v>142</v>
      </c>
      <c r="D2906">
        <v>353</v>
      </c>
      <c r="E2906" s="5">
        <v>43500</v>
      </c>
      <c r="F2906">
        <v>41350101</v>
      </c>
      <c r="G2906" t="s">
        <v>733</v>
      </c>
      <c r="H2906" t="s">
        <v>1125</v>
      </c>
      <c r="I2906" t="s">
        <v>1126</v>
      </c>
      <c r="J2906">
        <v>1007</v>
      </c>
      <c r="K2906">
        <v>4001</v>
      </c>
      <c r="L2906" s="3">
        <v>-174058514</v>
      </c>
      <c r="M2906" s="3">
        <v>0</v>
      </c>
      <c r="N2906">
        <v>3556500</v>
      </c>
      <c r="O2906">
        <v>0</v>
      </c>
      <c r="P2906">
        <v>-177615014</v>
      </c>
      <c r="Q2906" t="s">
        <v>30</v>
      </c>
      <c r="R2906" t="s">
        <v>784</v>
      </c>
      <c r="S2906" t="str">
        <v>#N/A</v>
      </c>
      <c r="T2906" t="str">
        <v>31</v>
      </c>
    </row>
    <row r="2907" spans="1:20" ht="13.7" customHeight="1" x14ac:dyDescent="0.25">
      <c r="A2907" t="s">
        <v>320</v>
      </c>
      <c r="B2907" t="s">
        <v>321</v>
      </c>
      <c r="C2907" t="s">
        <v>142</v>
      </c>
      <c r="D2907">
        <v>353</v>
      </c>
      <c r="E2907" s="5">
        <v>43500</v>
      </c>
      <c r="F2907">
        <v>41350101</v>
      </c>
      <c r="G2907" t="s">
        <v>733</v>
      </c>
      <c r="H2907" t="s">
        <v>1125</v>
      </c>
      <c r="I2907" t="s">
        <v>1126</v>
      </c>
      <c r="J2907">
        <v>1007</v>
      </c>
      <c r="K2907">
        <v>4001</v>
      </c>
      <c r="L2907" s="3">
        <v>-177615014</v>
      </c>
      <c r="M2907" s="3">
        <v>0</v>
      </c>
      <c r="N2907">
        <v>3710000</v>
      </c>
      <c r="O2907">
        <v>0</v>
      </c>
      <c r="P2907">
        <v>-181325014</v>
      </c>
      <c r="Q2907" t="s">
        <v>30</v>
      </c>
      <c r="R2907" t="s">
        <v>785</v>
      </c>
      <c r="S2907" t="str">
        <v>#N/A</v>
      </c>
      <c r="T2907" t="str">
        <v>31</v>
      </c>
    </row>
    <row r="2908" spans="1:20" ht="13.7" customHeight="1" x14ac:dyDescent="0.25">
      <c r="A2908" t="s">
        <v>320</v>
      </c>
      <c r="B2908" t="s">
        <v>321</v>
      </c>
      <c r="C2908" t="s">
        <v>142</v>
      </c>
      <c r="D2908">
        <v>353</v>
      </c>
      <c r="E2908" s="5">
        <v>43500</v>
      </c>
      <c r="F2908">
        <v>41350101</v>
      </c>
      <c r="G2908" t="s">
        <v>733</v>
      </c>
      <c r="H2908" t="s">
        <v>1125</v>
      </c>
      <c r="I2908" t="s">
        <v>1126</v>
      </c>
      <c r="J2908">
        <v>1007</v>
      </c>
      <c r="K2908">
        <v>4001</v>
      </c>
      <c r="L2908" s="3">
        <v>-181325014</v>
      </c>
      <c r="M2908" s="3">
        <v>0</v>
      </c>
      <c r="N2908">
        <v>445150</v>
      </c>
      <c r="O2908">
        <v>0</v>
      </c>
      <c r="P2908">
        <v>-181770164</v>
      </c>
      <c r="Q2908" t="s">
        <v>30</v>
      </c>
      <c r="R2908" t="s">
        <v>786</v>
      </c>
      <c r="S2908" t="str">
        <v>#N/A</v>
      </c>
      <c r="T2908" t="str">
        <v>31</v>
      </c>
    </row>
    <row r="2909" spans="1:20" ht="13.7" customHeight="1" x14ac:dyDescent="0.25">
      <c r="A2909" t="s">
        <v>320</v>
      </c>
      <c r="B2909" t="s">
        <v>321</v>
      </c>
      <c r="C2909" t="s">
        <v>142</v>
      </c>
      <c r="D2909">
        <v>357</v>
      </c>
      <c r="E2909" s="5">
        <v>43504</v>
      </c>
      <c r="F2909">
        <v>41350101</v>
      </c>
      <c r="G2909" t="s">
        <v>733</v>
      </c>
      <c r="H2909" t="s">
        <v>1125</v>
      </c>
      <c r="I2909" t="s">
        <v>1126</v>
      </c>
      <c r="J2909">
        <v>1007</v>
      </c>
      <c r="K2909">
        <v>4001</v>
      </c>
      <c r="L2909" s="3">
        <v>-181770164</v>
      </c>
      <c r="M2909" s="3">
        <v>0</v>
      </c>
      <c r="N2909">
        <v>10000</v>
      </c>
      <c r="O2909">
        <v>0</v>
      </c>
      <c r="P2909">
        <v>-181780164</v>
      </c>
      <c r="Q2909" t="s">
        <v>30</v>
      </c>
      <c r="R2909" t="s">
        <v>797</v>
      </c>
      <c r="S2909" t="str">
        <v>#N/A</v>
      </c>
      <c r="T2909" t="str">
        <v>31</v>
      </c>
    </row>
    <row r="2910" spans="1:20" ht="13.7" customHeight="1" x14ac:dyDescent="0.25">
      <c r="A2910" t="s">
        <v>320</v>
      </c>
      <c r="B2910" t="s">
        <v>321</v>
      </c>
      <c r="C2910" t="s">
        <v>142</v>
      </c>
      <c r="D2910">
        <v>357</v>
      </c>
      <c r="E2910" s="5">
        <v>43504</v>
      </c>
      <c r="F2910">
        <v>41350101</v>
      </c>
      <c r="G2910" t="s">
        <v>733</v>
      </c>
      <c r="H2910" t="s">
        <v>1125</v>
      </c>
      <c r="I2910" t="s">
        <v>1126</v>
      </c>
      <c r="J2910">
        <v>1007</v>
      </c>
      <c r="K2910">
        <v>4001</v>
      </c>
      <c r="L2910" s="3">
        <v>-181780164</v>
      </c>
      <c r="M2910" s="3">
        <v>0</v>
      </c>
      <c r="N2910">
        <v>10000</v>
      </c>
      <c r="O2910">
        <v>0</v>
      </c>
      <c r="P2910">
        <v>-181790164</v>
      </c>
      <c r="Q2910" t="s">
        <v>30</v>
      </c>
      <c r="R2910" t="s">
        <v>798</v>
      </c>
      <c r="S2910" t="str">
        <v>#N/A</v>
      </c>
      <c r="T2910" t="str">
        <v>31</v>
      </c>
    </row>
    <row r="2911" spans="1:20" ht="13.7" customHeight="1" x14ac:dyDescent="0.25">
      <c r="A2911" t="s">
        <v>320</v>
      </c>
      <c r="B2911" t="s">
        <v>321</v>
      </c>
      <c r="C2911" t="s">
        <v>142</v>
      </c>
      <c r="D2911">
        <v>358</v>
      </c>
      <c r="E2911" s="5">
        <v>43507</v>
      </c>
      <c r="F2911">
        <v>41350101</v>
      </c>
      <c r="G2911" t="s">
        <v>733</v>
      </c>
      <c r="H2911" t="s">
        <v>1125</v>
      </c>
      <c r="I2911" t="s">
        <v>1126</v>
      </c>
      <c r="J2911">
        <v>1007</v>
      </c>
      <c r="K2911">
        <v>4001</v>
      </c>
      <c r="L2911" s="3">
        <v>-181790164</v>
      </c>
      <c r="M2911" s="3">
        <v>0</v>
      </c>
      <c r="N2911">
        <v>1776000</v>
      </c>
      <c r="O2911">
        <v>0</v>
      </c>
      <c r="P2911">
        <v>-183566164</v>
      </c>
      <c r="Q2911" t="s">
        <v>30</v>
      </c>
      <c r="R2911" t="s">
        <v>799</v>
      </c>
      <c r="S2911" t="str">
        <v>#N/A</v>
      </c>
      <c r="T2911" t="str">
        <v>31</v>
      </c>
    </row>
    <row r="2912" spans="1:20" ht="13.7" customHeight="1" x14ac:dyDescent="0.25">
      <c r="A2912" t="s">
        <v>320</v>
      </c>
      <c r="B2912" t="s">
        <v>321</v>
      </c>
      <c r="C2912" t="s">
        <v>142</v>
      </c>
      <c r="D2912">
        <v>361</v>
      </c>
      <c r="E2912" s="5">
        <v>43507</v>
      </c>
      <c r="F2912">
        <v>41350101</v>
      </c>
      <c r="G2912" t="s">
        <v>733</v>
      </c>
      <c r="H2912" t="s">
        <v>1125</v>
      </c>
      <c r="I2912" t="s">
        <v>1126</v>
      </c>
      <c r="J2912">
        <v>1007</v>
      </c>
      <c r="K2912">
        <v>4001</v>
      </c>
      <c r="L2912" s="3">
        <v>-183566164</v>
      </c>
      <c r="M2912" s="3">
        <v>0</v>
      </c>
      <c r="N2912">
        <v>1110000</v>
      </c>
      <c r="O2912">
        <v>0</v>
      </c>
      <c r="P2912">
        <v>-184676164</v>
      </c>
      <c r="Q2912" t="s">
        <v>30</v>
      </c>
      <c r="R2912" t="s">
        <v>802</v>
      </c>
      <c r="S2912" t="str">
        <v>#N/A</v>
      </c>
      <c r="T2912" t="str">
        <v>31</v>
      </c>
    </row>
    <row r="2913" spans="1:20" ht="13.7" customHeight="1" x14ac:dyDescent="0.25">
      <c r="A2913" t="s">
        <v>320</v>
      </c>
      <c r="B2913" t="s">
        <v>321</v>
      </c>
      <c r="C2913" t="s">
        <v>142</v>
      </c>
      <c r="D2913">
        <v>362</v>
      </c>
      <c r="E2913" s="5">
        <v>43508</v>
      </c>
      <c r="F2913">
        <v>41350101</v>
      </c>
      <c r="G2913" t="s">
        <v>733</v>
      </c>
      <c r="H2913" t="s">
        <v>1125</v>
      </c>
      <c r="I2913" t="s">
        <v>1126</v>
      </c>
      <c r="J2913">
        <v>1007</v>
      </c>
      <c r="K2913">
        <v>4001</v>
      </c>
      <c r="L2913" s="3">
        <v>-184676164</v>
      </c>
      <c r="M2913" s="3">
        <v>0</v>
      </c>
      <c r="N2913">
        <v>510390</v>
      </c>
      <c r="O2913">
        <v>0</v>
      </c>
      <c r="P2913">
        <v>-185186554</v>
      </c>
      <c r="Q2913" t="s">
        <v>30</v>
      </c>
      <c r="R2913" t="s">
        <v>803</v>
      </c>
      <c r="S2913" t="str">
        <v>#N/A</v>
      </c>
      <c r="T2913" t="str">
        <v>31</v>
      </c>
    </row>
    <row r="2914" spans="1:20" ht="13.7" customHeight="1" x14ac:dyDescent="0.25">
      <c r="A2914" t="s">
        <v>320</v>
      </c>
      <c r="B2914" t="s">
        <v>321</v>
      </c>
      <c r="C2914" t="s">
        <v>142</v>
      </c>
      <c r="D2914">
        <v>374</v>
      </c>
      <c r="E2914" s="5">
        <v>43519</v>
      </c>
      <c r="F2914">
        <v>41350101</v>
      </c>
      <c r="G2914" t="s">
        <v>733</v>
      </c>
      <c r="H2914" t="s">
        <v>1125</v>
      </c>
      <c r="I2914" t="s">
        <v>1126</v>
      </c>
      <c r="J2914">
        <v>1007</v>
      </c>
      <c r="K2914">
        <v>4001</v>
      </c>
      <c r="L2914" s="3">
        <v>-185186554</v>
      </c>
      <c r="M2914" s="3">
        <v>0</v>
      </c>
      <c r="N2914">
        <v>872920</v>
      </c>
      <c r="O2914">
        <v>0</v>
      </c>
      <c r="P2914">
        <v>-186059474</v>
      </c>
      <c r="Q2914" t="s">
        <v>30</v>
      </c>
      <c r="R2914" t="s">
        <v>819</v>
      </c>
      <c r="S2914" t="str">
        <v>#N/A</v>
      </c>
      <c r="T2914" t="str">
        <v>31</v>
      </c>
    </row>
    <row r="2915" spans="1:20" ht="13.7" customHeight="1" x14ac:dyDescent="0.25">
      <c r="A2915" t="s">
        <v>320</v>
      </c>
      <c r="B2915" t="s">
        <v>321</v>
      </c>
      <c r="C2915" t="s">
        <v>142</v>
      </c>
      <c r="D2915">
        <v>374</v>
      </c>
      <c r="E2915" s="5">
        <v>43519</v>
      </c>
      <c r="F2915">
        <v>41350101</v>
      </c>
      <c r="G2915" t="s">
        <v>733</v>
      </c>
      <c r="H2915" t="s">
        <v>1125</v>
      </c>
      <c r="I2915" t="s">
        <v>1126</v>
      </c>
      <c r="J2915">
        <v>1007</v>
      </c>
      <c r="K2915">
        <v>4001</v>
      </c>
      <c r="L2915" s="3">
        <v>-186059474</v>
      </c>
      <c r="M2915" s="3">
        <v>0</v>
      </c>
      <c r="N2915">
        <v>392730</v>
      </c>
      <c r="O2915">
        <v>0</v>
      </c>
      <c r="P2915">
        <v>-186452204</v>
      </c>
      <c r="Q2915" t="s">
        <v>30</v>
      </c>
      <c r="R2915" t="s">
        <v>820</v>
      </c>
      <c r="S2915" t="str">
        <v>#N/A</v>
      </c>
      <c r="T2915" t="str">
        <v>31</v>
      </c>
    </row>
    <row r="2916" spans="1:20" ht="13.7" customHeight="1" x14ac:dyDescent="0.25">
      <c r="A2916" t="s">
        <v>320</v>
      </c>
      <c r="B2916" t="s">
        <v>321</v>
      </c>
      <c r="C2916" t="s">
        <v>142</v>
      </c>
      <c r="D2916">
        <v>374</v>
      </c>
      <c r="E2916" s="5">
        <v>43519</v>
      </c>
      <c r="F2916">
        <v>41350101</v>
      </c>
      <c r="G2916" t="s">
        <v>733</v>
      </c>
      <c r="H2916" t="s">
        <v>1125</v>
      </c>
      <c r="I2916" t="s">
        <v>1126</v>
      </c>
      <c r="J2916">
        <v>1007</v>
      </c>
      <c r="K2916">
        <v>4001</v>
      </c>
      <c r="L2916" s="3">
        <v>-186452204</v>
      </c>
      <c r="M2916" s="3">
        <v>0</v>
      </c>
      <c r="N2916">
        <v>1846750</v>
      </c>
      <c r="O2916">
        <v>0</v>
      </c>
      <c r="P2916">
        <v>-188298954</v>
      </c>
      <c r="Q2916" t="s">
        <v>30</v>
      </c>
      <c r="R2916" t="s">
        <v>821</v>
      </c>
      <c r="S2916" t="str">
        <v>#N/A</v>
      </c>
      <c r="T2916" t="str">
        <v>31</v>
      </c>
    </row>
    <row r="2917" spans="1:20" ht="13.7" customHeight="1" x14ac:dyDescent="0.25">
      <c r="A2917" t="s">
        <v>320</v>
      </c>
      <c r="B2917" t="s">
        <v>321</v>
      </c>
      <c r="C2917" t="s">
        <v>142</v>
      </c>
      <c r="D2917">
        <v>377</v>
      </c>
      <c r="E2917" s="5">
        <v>43528</v>
      </c>
      <c r="F2917">
        <v>41350101</v>
      </c>
      <c r="G2917" t="s">
        <v>733</v>
      </c>
      <c r="H2917" t="s">
        <v>1125</v>
      </c>
      <c r="I2917" t="s">
        <v>1126</v>
      </c>
      <c r="J2917">
        <v>1007</v>
      </c>
      <c r="K2917">
        <v>4001</v>
      </c>
      <c r="L2917" s="3">
        <v>-188298954</v>
      </c>
      <c r="M2917" s="3">
        <v>0</v>
      </c>
      <c r="N2917">
        <v>285000</v>
      </c>
      <c r="O2917">
        <v>0</v>
      </c>
      <c r="P2917">
        <v>-188583954</v>
      </c>
      <c r="Q2917" t="s">
        <v>30</v>
      </c>
      <c r="R2917" t="s">
        <v>392</v>
      </c>
      <c r="S2917" t="str">
        <v>#N/A</v>
      </c>
      <c r="T2917" t="str">
        <v>31</v>
      </c>
    </row>
    <row r="2918" spans="1:20" ht="13.7" customHeight="1" x14ac:dyDescent="0.25">
      <c r="A2918" t="s">
        <v>320</v>
      </c>
      <c r="B2918" t="s">
        <v>321</v>
      </c>
      <c r="C2918" t="s">
        <v>142</v>
      </c>
      <c r="D2918">
        <v>379</v>
      </c>
      <c r="E2918" s="5">
        <v>43531</v>
      </c>
      <c r="F2918">
        <v>41350101</v>
      </c>
      <c r="G2918" t="s">
        <v>733</v>
      </c>
      <c r="H2918" t="s">
        <v>1125</v>
      </c>
      <c r="I2918" t="s">
        <v>1126</v>
      </c>
      <c r="J2918">
        <v>1007</v>
      </c>
      <c r="K2918">
        <v>4001</v>
      </c>
      <c r="L2918" s="3">
        <v>-188583954</v>
      </c>
      <c r="M2918" s="3">
        <v>0</v>
      </c>
      <c r="N2918">
        <v>2307300</v>
      </c>
      <c r="O2918">
        <v>0</v>
      </c>
      <c r="P2918">
        <v>-190891254</v>
      </c>
      <c r="Q2918" t="s">
        <v>30</v>
      </c>
      <c r="R2918" t="s">
        <v>830</v>
      </c>
      <c r="S2918" t="str">
        <v>#N/A</v>
      </c>
      <c r="T2918" t="str">
        <v>31</v>
      </c>
    </row>
    <row r="2919" spans="1:20" ht="13.7" customHeight="1" x14ac:dyDescent="0.25">
      <c r="A2919" t="s">
        <v>320</v>
      </c>
      <c r="B2919" t="s">
        <v>321</v>
      </c>
      <c r="C2919" t="s">
        <v>142</v>
      </c>
      <c r="D2919">
        <v>381</v>
      </c>
      <c r="E2919" s="5">
        <v>43535</v>
      </c>
      <c r="F2919">
        <v>41350101</v>
      </c>
      <c r="G2919" t="s">
        <v>733</v>
      </c>
      <c r="H2919" t="s">
        <v>1125</v>
      </c>
      <c r="I2919" t="s">
        <v>1126</v>
      </c>
      <c r="J2919">
        <v>1007</v>
      </c>
      <c r="K2919">
        <v>4001</v>
      </c>
      <c r="L2919" s="3">
        <v>-190891254</v>
      </c>
      <c r="M2919" s="3">
        <v>0</v>
      </c>
      <c r="N2919">
        <v>127200</v>
      </c>
      <c r="O2919">
        <v>0</v>
      </c>
      <c r="P2919">
        <v>-191018454</v>
      </c>
      <c r="Q2919" t="s">
        <v>30</v>
      </c>
      <c r="R2919" t="s">
        <v>399</v>
      </c>
      <c r="S2919" t="str">
        <v>#N/A</v>
      </c>
      <c r="T2919" t="str">
        <v>31</v>
      </c>
    </row>
    <row r="2920" spans="1:20" ht="13.7" customHeight="1" x14ac:dyDescent="0.25">
      <c r="A2920" t="s">
        <v>320</v>
      </c>
      <c r="B2920" t="s">
        <v>321</v>
      </c>
      <c r="C2920" t="s">
        <v>142</v>
      </c>
      <c r="D2920">
        <v>383</v>
      </c>
      <c r="E2920" s="5">
        <v>43542</v>
      </c>
      <c r="F2920">
        <v>41350101</v>
      </c>
      <c r="G2920" t="s">
        <v>733</v>
      </c>
      <c r="H2920" t="s">
        <v>1125</v>
      </c>
      <c r="I2920" t="s">
        <v>1126</v>
      </c>
      <c r="J2920">
        <v>1007</v>
      </c>
      <c r="K2920">
        <v>4001</v>
      </c>
      <c r="L2920" s="3">
        <v>-191018454</v>
      </c>
      <c r="M2920" s="3">
        <v>0</v>
      </c>
      <c r="N2920">
        <v>420000</v>
      </c>
      <c r="O2920">
        <v>0</v>
      </c>
      <c r="P2920">
        <v>-191438454</v>
      </c>
      <c r="Q2920" t="s">
        <v>30</v>
      </c>
      <c r="R2920" t="s">
        <v>405</v>
      </c>
      <c r="S2920" t="str">
        <v>#N/A</v>
      </c>
      <c r="T2920" t="str">
        <v>31</v>
      </c>
    </row>
    <row r="2921" spans="1:20" ht="13.7" customHeight="1" x14ac:dyDescent="0.25">
      <c r="A2921" t="s">
        <v>320</v>
      </c>
      <c r="B2921" t="s">
        <v>321</v>
      </c>
      <c r="C2921" t="s">
        <v>142</v>
      </c>
      <c r="D2921">
        <v>388</v>
      </c>
      <c r="E2921" s="5">
        <v>43545</v>
      </c>
      <c r="F2921">
        <v>41350101</v>
      </c>
      <c r="G2921" t="s">
        <v>733</v>
      </c>
      <c r="H2921" t="s">
        <v>1125</v>
      </c>
      <c r="I2921" t="s">
        <v>1126</v>
      </c>
      <c r="J2921">
        <v>1007</v>
      </c>
      <c r="K2921">
        <v>4001</v>
      </c>
      <c r="L2921" s="3">
        <v>-191438454</v>
      </c>
      <c r="M2921" s="3">
        <v>0</v>
      </c>
      <c r="N2921">
        <v>432000</v>
      </c>
      <c r="O2921">
        <v>0</v>
      </c>
      <c r="P2921">
        <v>-191870454</v>
      </c>
      <c r="Q2921" t="s">
        <v>30</v>
      </c>
      <c r="R2921" t="s">
        <v>408</v>
      </c>
      <c r="S2921" t="str">
        <v>#N/A</v>
      </c>
      <c r="T2921" t="str">
        <v>31</v>
      </c>
    </row>
    <row r="2922" spans="1:20" ht="13.7" customHeight="1" x14ac:dyDescent="0.25">
      <c r="A2922" t="s">
        <v>320</v>
      </c>
      <c r="B2922" t="s">
        <v>321</v>
      </c>
      <c r="C2922" t="s">
        <v>142</v>
      </c>
      <c r="D2922">
        <v>389</v>
      </c>
      <c r="E2922" s="5">
        <v>43546</v>
      </c>
      <c r="F2922">
        <v>41350101</v>
      </c>
      <c r="G2922" t="s">
        <v>733</v>
      </c>
      <c r="H2922" t="s">
        <v>1125</v>
      </c>
      <c r="I2922" t="s">
        <v>1126</v>
      </c>
      <c r="J2922">
        <v>1007</v>
      </c>
      <c r="K2922">
        <v>4001</v>
      </c>
      <c r="L2922" s="3">
        <v>-191870454</v>
      </c>
      <c r="M2922" s="3">
        <v>0</v>
      </c>
      <c r="N2922">
        <v>13520000</v>
      </c>
      <c r="O2922">
        <v>0</v>
      </c>
      <c r="P2922">
        <v>-205390454</v>
      </c>
      <c r="Q2922" t="s">
        <v>30</v>
      </c>
      <c r="R2922" t="s">
        <v>409</v>
      </c>
      <c r="S2922" t="str">
        <v>#N/A</v>
      </c>
      <c r="T2922" t="str">
        <v>31</v>
      </c>
    </row>
    <row r="2923" spans="1:20" ht="13.7" customHeight="1" x14ac:dyDescent="0.25">
      <c r="A2923" t="s">
        <v>320</v>
      </c>
      <c r="B2923" t="s">
        <v>321</v>
      </c>
      <c r="C2923" t="s">
        <v>142</v>
      </c>
      <c r="D2923">
        <v>390</v>
      </c>
      <c r="E2923" s="5">
        <v>43550</v>
      </c>
      <c r="F2923">
        <v>41350101</v>
      </c>
      <c r="G2923" t="s">
        <v>733</v>
      </c>
      <c r="H2923" t="s">
        <v>1125</v>
      </c>
      <c r="I2923" t="s">
        <v>1126</v>
      </c>
      <c r="J2923">
        <v>1007</v>
      </c>
      <c r="K2923">
        <v>4001</v>
      </c>
      <c r="L2923" s="3">
        <v>-205390454</v>
      </c>
      <c r="M2923" s="3">
        <v>0</v>
      </c>
      <c r="N2923">
        <v>20000</v>
      </c>
      <c r="O2923">
        <v>0</v>
      </c>
      <c r="P2923">
        <v>-205410454</v>
      </c>
      <c r="Q2923" t="s">
        <v>30</v>
      </c>
      <c r="R2923" t="s">
        <v>410</v>
      </c>
      <c r="S2923" t="str">
        <v>#N/A</v>
      </c>
      <c r="T2923" t="str">
        <v>31</v>
      </c>
    </row>
    <row r="2924" spans="1:20" ht="13.7" customHeight="1" x14ac:dyDescent="0.25">
      <c r="A2924" t="s">
        <v>320</v>
      </c>
      <c r="B2924" t="s">
        <v>321</v>
      </c>
      <c r="C2924" t="s">
        <v>142</v>
      </c>
      <c r="D2924">
        <v>393</v>
      </c>
      <c r="E2924" s="5">
        <v>43553</v>
      </c>
      <c r="F2924">
        <v>41350101</v>
      </c>
      <c r="G2924" t="s">
        <v>733</v>
      </c>
      <c r="H2924" t="s">
        <v>1125</v>
      </c>
      <c r="I2924" t="s">
        <v>1126</v>
      </c>
      <c r="J2924">
        <v>1007</v>
      </c>
      <c r="K2924">
        <v>4001</v>
      </c>
      <c r="L2924" s="3">
        <v>-205410454</v>
      </c>
      <c r="M2924" s="3">
        <v>0</v>
      </c>
      <c r="N2924">
        <v>1494000</v>
      </c>
      <c r="O2924">
        <v>0</v>
      </c>
      <c r="P2924">
        <v>-206904454</v>
      </c>
      <c r="Q2924" t="s">
        <v>30</v>
      </c>
      <c r="R2924" t="s">
        <v>419</v>
      </c>
      <c r="S2924" t="str">
        <v>#N/A</v>
      </c>
      <c r="T2924" t="str">
        <v>31</v>
      </c>
    </row>
    <row r="2925" spans="1:20" ht="13.7" customHeight="1" x14ac:dyDescent="0.25">
      <c r="A2925" t="s">
        <v>320</v>
      </c>
      <c r="B2925" t="s">
        <v>321</v>
      </c>
      <c r="C2925" t="s">
        <v>142</v>
      </c>
      <c r="D2925">
        <v>396</v>
      </c>
      <c r="E2925" s="5">
        <v>43556</v>
      </c>
      <c r="F2925">
        <v>41350101</v>
      </c>
      <c r="G2925" t="s">
        <v>733</v>
      </c>
      <c r="H2925" t="s">
        <v>1125</v>
      </c>
      <c r="I2925" t="s">
        <v>1126</v>
      </c>
      <c r="J2925">
        <v>1007</v>
      </c>
      <c r="K2925">
        <v>4001</v>
      </c>
      <c r="L2925" s="3">
        <v>-206904454</v>
      </c>
      <c r="M2925" s="3">
        <v>0</v>
      </c>
      <c r="N2925">
        <v>20000</v>
      </c>
      <c r="O2925">
        <v>0</v>
      </c>
      <c r="P2925">
        <v>-206924454</v>
      </c>
      <c r="Q2925" t="s">
        <v>30</v>
      </c>
      <c r="R2925" t="s">
        <v>836</v>
      </c>
      <c r="S2925" t="str">
        <v>#N/A</v>
      </c>
      <c r="T2925" t="str">
        <v>31</v>
      </c>
    </row>
    <row r="2926" spans="1:20" ht="13.7" customHeight="1" x14ac:dyDescent="0.25">
      <c r="A2926" t="s">
        <v>320</v>
      </c>
      <c r="B2926" t="s">
        <v>321</v>
      </c>
      <c r="C2926" t="s">
        <v>142</v>
      </c>
      <c r="D2926">
        <v>396</v>
      </c>
      <c r="E2926" s="5">
        <v>43556</v>
      </c>
      <c r="F2926">
        <v>41350101</v>
      </c>
      <c r="G2926" t="s">
        <v>733</v>
      </c>
      <c r="H2926" t="s">
        <v>1125</v>
      </c>
      <c r="I2926" t="s">
        <v>1126</v>
      </c>
      <c r="J2926">
        <v>1007</v>
      </c>
      <c r="K2926">
        <v>4001</v>
      </c>
      <c r="L2926" s="3">
        <v>-206924454</v>
      </c>
      <c r="M2926" s="3">
        <v>0</v>
      </c>
      <c r="N2926">
        <v>25000</v>
      </c>
      <c r="O2926">
        <v>0</v>
      </c>
      <c r="P2926">
        <v>-206949454</v>
      </c>
      <c r="Q2926" t="s">
        <v>30</v>
      </c>
      <c r="R2926" t="s">
        <v>836</v>
      </c>
      <c r="S2926" t="str">
        <v>#N/A</v>
      </c>
      <c r="T2926" t="str">
        <v>31</v>
      </c>
    </row>
    <row r="2927" spans="1:20" ht="13.7" customHeight="1" x14ac:dyDescent="0.25">
      <c r="A2927" t="s">
        <v>320</v>
      </c>
      <c r="B2927" t="s">
        <v>321</v>
      </c>
      <c r="C2927" t="s">
        <v>142</v>
      </c>
      <c r="D2927">
        <v>399</v>
      </c>
      <c r="E2927" s="5">
        <v>43559</v>
      </c>
      <c r="F2927">
        <v>41350101</v>
      </c>
      <c r="G2927" t="s">
        <v>733</v>
      </c>
      <c r="H2927" t="s">
        <v>1125</v>
      </c>
      <c r="I2927" t="s">
        <v>1126</v>
      </c>
      <c r="J2927">
        <v>1007</v>
      </c>
      <c r="K2927">
        <v>4001</v>
      </c>
      <c r="L2927" s="3">
        <v>-206949454</v>
      </c>
      <c r="M2927" s="3">
        <v>0</v>
      </c>
      <c r="N2927">
        <v>115500</v>
      </c>
      <c r="O2927">
        <v>0</v>
      </c>
      <c r="P2927">
        <v>-207064954</v>
      </c>
      <c r="Q2927" t="s">
        <v>30</v>
      </c>
      <c r="R2927" t="s">
        <v>838</v>
      </c>
      <c r="S2927" t="str">
        <v>#N/A</v>
      </c>
      <c r="T2927" t="str">
        <v>31</v>
      </c>
    </row>
    <row r="2928" spans="1:20" ht="13.7" customHeight="1" x14ac:dyDescent="0.25">
      <c r="A2928" t="s">
        <v>320</v>
      </c>
      <c r="B2928" t="s">
        <v>321</v>
      </c>
      <c r="C2928" t="s">
        <v>142</v>
      </c>
      <c r="D2928">
        <v>399</v>
      </c>
      <c r="E2928" s="5">
        <v>43559</v>
      </c>
      <c r="F2928">
        <v>41350101</v>
      </c>
      <c r="G2928" t="s">
        <v>733</v>
      </c>
      <c r="H2928" t="s">
        <v>1125</v>
      </c>
      <c r="I2928" t="s">
        <v>1126</v>
      </c>
      <c r="J2928">
        <v>1007</v>
      </c>
      <c r="K2928">
        <v>4001</v>
      </c>
      <c r="L2928" s="3">
        <v>-207064954</v>
      </c>
      <c r="M2928" s="3">
        <v>0</v>
      </c>
      <c r="N2928">
        <v>550000</v>
      </c>
      <c r="O2928">
        <v>0</v>
      </c>
      <c r="P2928">
        <v>-207614954</v>
      </c>
      <c r="Q2928" t="s">
        <v>30</v>
      </c>
      <c r="R2928" t="s">
        <v>839</v>
      </c>
      <c r="S2928" t="str">
        <v>#N/A</v>
      </c>
      <c r="T2928" t="str">
        <v>31</v>
      </c>
    </row>
    <row r="2929" spans="1:20" ht="13.7" customHeight="1" x14ac:dyDescent="0.25">
      <c r="A2929" t="s">
        <v>320</v>
      </c>
      <c r="B2929" t="s">
        <v>321</v>
      </c>
      <c r="C2929" t="s">
        <v>142</v>
      </c>
      <c r="D2929">
        <v>399</v>
      </c>
      <c r="E2929" s="5">
        <v>43559</v>
      </c>
      <c r="F2929">
        <v>41350101</v>
      </c>
      <c r="G2929" t="s">
        <v>733</v>
      </c>
      <c r="H2929" t="s">
        <v>1125</v>
      </c>
      <c r="I2929" t="s">
        <v>1126</v>
      </c>
      <c r="J2929">
        <v>1007</v>
      </c>
      <c r="K2929">
        <v>4001</v>
      </c>
      <c r="L2929" s="3">
        <v>-207614954</v>
      </c>
      <c r="M2929" s="3">
        <v>0</v>
      </c>
      <c r="N2929">
        <v>20000</v>
      </c>
      <c r="O2929">
        <v>0</v>
      </c>
      <c r="P2929">
        <v>-207634954</v>
      </c>
      <c r="Q2929" t="s">
        <v>30</v>
      </c>
      <c r="R2929" t="s">
        <v>840</v>
      </c>
      <c r="S2929" t="str">
        <v>#N/A</v>
      </c>
      <c r="T2929" t="str">
        <v>31</v>
      </c>
    </row>
    <row r="2930" spans="1:20" ht="13.7" customHeight="1" x14ac:dyDescent="0.25">
      <c r="A2930" t="s">
        <v>320</v>
      </c>
      <c r="B2930" t="s">
        <v>321</v>
      </c>
      <c r="C2930" t="s">
        <v>142</v>
      </c>
      <c r="D2930">
        <v>402</v>
      </c>
      <c r="E2930" s="5">
        <v>43560</v>
      </c>
      <c r="F2930">
        <v>41350101</v>
      </c>
      <c r="G2930" t="s">
        <v>733</v>
      </c>
      <c r="H2930" t="s">
        <v>1125</v>
      </c>
      <c r="I2930" t="s">
        <v>1126</v>
      </c>
      <c r="J2930">
        <v>1007</v>
      </c>
      <c r="K2930">
        <v>4001</v>
      </c>
      <c r="L2930" s="3">
        <v>-207634954</v>
      </c>
      <c r="M2930" s="3">
        <v>0</v>
      </c>
      <c r="N2930">
        <v>4050000</v>
      </c>
      <c r="O2930">
        <v>0</v>
      </c>
      <c r="P2930">
        <v>-211684954</v>
      </c>
      <c r="Q2930" t="s">
        <v>30</v>
      </c>
      <c r="R2930" t="s">
        <v>842</v>
      </c>
      <c r="S2930" t="str">
        <v>#N/A</v>
      </c>
      <c r="T2930" t="str">
        <v>31</v>
      </c>
    </row>
    <row r="2931" spans="1:20" ht="13.7" customHeight="1" x14ac:dyDescent="0.25">
      <c r="A2931" t="s">
        <v>320</v>
      </c>
      <c r="B2931" t="s">
        <v>321</v>
      </c>
      <c r="C2931" t="s">
        <v>142</v>
      </c>
      <c r="D2931">
        <v>404</v>
      </c>
      <c r="E2931" s="5">
        <v>43560</v>
      </c>
      <c r="F2931">
        <v>41350101</v>
      </c>
      <c r="G2931" t="s">
        <v>733</v>
      </c>
      <c r="H2931" t="s">
        <v>1125</v>
      </c>
      <c r="I2931" t="s">
        <v>1126</v>
      </c>
      <c r="J2931">
        <v>1007</v>
      </c>
      <c r="K2931">
        <v>4001</v>
      </c>
      <c r="L2931" s="3">
        <v>-211684954</v>
      </c>
      <c r="M2931" s="3">
        <v>0</v>
      </c>
      <c r="N2931">
        <v>240000</v>
      </c>
      <c r="O2931">
        <v>0</v>
      </c>
      <c r="P2931">
        <v>-211924954</v>
      </c>
      <c r="Q2931" t="s">
        <v>30</v>
      </c>
      <c r="R2931" t="s">
        <v>843</v>
      </c>
      <c r="S2931" t="str">
        <v>#N/A</v>
      </c>
      <c r="T2931" t="str">
        <v>31</v>
      </c>
    </row>
    <row r="2932" spans="1:20" ht="13.7" customHeight="1" x14ac:dyDescent="0.25">
      <c r="A2932" t="s">
        <v>320</v>
      </c>
      <c r="B2932" t="s">
        <v>321</v>
      </c>
      <c r="C2932" t="s">
        <v>142</v>
      </c>
      <c r="D2932">
        <v>404</v>
      </c>
      <c r="E2932" s="5">
        <v>43560</v>
      </c>
      <c r="F2932">
        <v>41350101</v>
      </c>
      <c r="G2932" t="s">
        <v>733</v>
      </c>
      <c r="H2932" t="s">
        <v>1125</v>
      </c>
      <c r="I2932" t="s">
        <v>1126</v>
      </c>
      <c r="J2932">
        <v>1007</v>
      </c>
      <c r="K2932">
        <v>4001</v>
      </c>
      <c r="L2932" s="3">
        <v>-211924954</v>
      </c>
      <c r="M2932" s="3">
        <v>0</v>
      </c>
      <c r="N2932">
        <v>676400</v>
      </c>
      <c r="O2932">
        <v>0</v>
      </c>
      <c r="P2932">
        <v>-212601354</v>
      </c>
      <c r="Q2932" t="s">
        <v>30</v>
      </c>
      <c r="R2932" t="s">
        <v>844</v>
      </c>
      <c r="S2932" t="str">
        <v>#N/A</v>
      </c>
      <c r="T2932" t="str">
        <v>31</v>
      </c>
    </row>
    <row r="2933" spans="1:20" ht="13.7" customHeight="1" x14ac:dyDescent="0.25">
      <c r="A2933" t="s">
        <v>320</v>
      </c>
      <c r="B2933" t="s">
        <v>321</v>
      </c>
      <c r="C2933" t="s">
        <v>142</v>
      </c>
      <c r="D2933">
        <v>409</v>
      </c>
      <c r="E2933" s="5">
        <v>43567</v>
      </c>
      <c r="F2933">
        <v>41350101</v>
      </c>
      <c r="G2933" t="s">
        <v>733</v>
      </c>
      <c r="H2933" t="s">
        <v>1125</v>
      </c>
      <c r="I2933" t="s">
        <v>1126</v>
      </c>
      <c r="J2933">
        <v>1007</v>
      </c>
      <c r="K2933">
        <v>4001</v>
      </c>
      <c r="L2933" s="3">
        <v>-212601354</v>
      </c>
      <c r="M2933" s="3">
        <v>0</v>
      </c>
      <c r="N2933">
        <v>1270500</v>
      </c>
      <c r="O2933">
        <v>0</v>
      </c>
      <c r="P2933">
        <v>-213871854</v>
      </c>
      <c r="Q2933" t="s">
        <v>30</v>
      </c>
      <c r="R2933" t="s">
        <v>847</v>
      </c>
      <c r="S2933" t="str">
        <v>#N/A</v>
      </c>
      <c r="T2933" t="str">
        <v>31</v>
      </c>
    </row>
    <row r="2934" spans="1:20" ht="13.7" customHeight="1" x14ac:dyDescent="0.25">
      <c r="A2934" t="s">
        <v>320</v>
      </c>
      <c r="B2934" t="s">
        <v>321</v>
      </c>
      <c r="C2934" t="s">
        <v>142</v>
      </c>
      <c r="D2934">
        <v>409</v>
      </c>
      <c r="E2934" s="5">
        <v>43567</v>
      </c>
      <c r="F2934">
        <v>41350101</v>
      </c>
      <c r="G2934" t="s">
        <v>733</v>
      </c>
      <c r="H2934" t="s">
        <v>1125</v>
      </c>
      <c r="I2934" t="s">
        <v>1126</v>
      </c>
      <c r="J2934">
        <v>1007</v>
      </c>
      <c r="K2934">
        <v>4001</v>
      </c>
      <c r="L2934" s="3">
        <v>-213871854</v>
      </c>
      <c r="M2934" s="3">
        <v>0</v>
      </c>
      <c r="N2934">
        <v>187000</v>
      </c>
      <c r="O2934">
        <v>0</v>
      </c>
      <c r="P2934">
        <v>-214058854</v>
      </c>
      <c r="Q2934" t="s">
        <v>30</v>
      </c>
      <c r="R2934" t="s">
        <v>848</v>
      </c>
      <c r="S2934" t="str">
        <v>#N/A</v>
      </c>
      <c r="T2934" t="str">
        <v>31</v>
      </c>
    </row>
    <row r="2935" spans="1:20" ht="13.7" customHeight="1" x14ac:dyDescent="0.25">
      <c r="A2935" t="s">
        <v>320</v>
      </c>
      <c r="B2935" t="s">
        <v>321</v>
      </c>
      <c r="C2935" t="s">
        <v>142</v>
      </c>
      <c r="D2935">
        <v>409</v>
      </c>
      <c r="E2935" s="5">
        <v>43567</v>
      </c>
      <c r="F2935">
        <v>41350101</v>
      </c>
      <c r="G2935" t="s">
        <v>733</v>
      </c>
      <c r="H2935" t="s">
        <v>1125</v>
      </c>
      <c r="I2935" t="s">
        <v>1126</v>
      </c>
      <c r="J2935">
        <v>1007</v>
      </c>
      <c r="K2935">
        <v>4001</v>
      </c>
      <c r="L2935" s="3">
        <v>-214058854</v>
      </c>
      <c r="M2935" s="3">
        <v>0</v>
      </c>
      <c r="N2935">
        <v>192600</v>
      </c>
      <c r="O2935">
        <v>0</v>
      </c>
      <c r="P2935">
        <v>-214251454</v>
      </c>
      <c r="Q2935" t="s">
        <v>30</v>
      </c>
      <c r="R2935" t="s">
        <v>849</v>
      </c>
      <c r="S2935" t="str">
        <v>#N/A</v>
      </c>
      <c r="T2935" t="str">
        <v>31</v>
      </c>
    </row>
    <row r="2936" spans="1:20" ht="13.7" customHeight="1" x14ac:dyDescent="0.25">
      <c r="A2936" t="s">
        <v>320</v>
      </c>
      <c r="B2936" t="s">
        <v>321</v>
      </c>
      <c r="C2936" t="s">
        <v>142</v>
      </c>
      <c r="D2936">
        <v>409</v>
      </c>
      <c r="E2936" s="5">
        <v>43567</v>
      </c>
      <c r="F2936">
        <v>41350101</v>
      </c>
      <c r="G2936" t="s">
        <v>733</v>
      </c>
      <c r="H2936" t="s">
        <v>1125</v>
      </c>
      <c r="I2936" t="s">
        <v>1126</v>
      </c>
      <c r="J2936">
        <v>1007</v>
      </c>
      <c r="K2936">
        <v>4001</v>
      </c>
      <c r="L2936" s="3">
        <v>-214251454</v>
      </c>
      <c r="M2936" s="3">
        <v>0</v>
      </c>
      <c r="N2936">
        <v>398000</v>
      </c>
      <c r="O2936">
        <v>0</v>
      </c>
      <c r="P2936">
        <v>-214649454</v>
      </c>
      <c r="Q2936" t="s">
        <v>30</v>
      </c>
      <c r="R2936" t="s">
        <v>850</v>
      </c>
      <c r="S2936" t="str">
        <v>#N/A</v>
      </c>
      <c r="T2936" t="str">
        <v>31</v>
      </c>
    </row>
    <row r="2937" spans="1:20" ht="13.7" customHeight="1" x14ac:dyDescent="0.25">
      <c r="A2937" t="s">
        <v>320</v>
      </c>
      <c r="B2937" t="s">
        <v>321</v>
      </c>
      <c r="C2937" t="s">
        <v>142</v>
      </c>
      <c r="D2937">
        <v>410</v>
      </c>
      <c r="E2937" s="5">
        <v>43570</v>
      </c>
      <c r="F2937">
        <v>41350101</v>
      </c>
      <c r="G2937" t="s">
        <v>733</v>
      </c>
      <c r="H2937" t="s">
        <v>1125</v>
      </c>
      <c r="I2937" t="s">
        <v>1126</v>
      </c>
      <c r="J2937">
        <v>1007</v>
      </c>
      <c r="K2937">
        <v>4001</v>
      </c>
      <c r="L2937" s="3">
        <v>-214649454</v>
      </c>
      <c r="M2937" s="3">
        <v>0</v>
      </c>
      <c r="N2937">
        <v>86000</v>
      </c>
      <c r="O2937">
        <v>0</v>
      </c>
      <c r="P2937">
        <v>-214735454</v>
      </c>
      <c r="Q2937" t="s">
        <v>30</v>
      </c>
      <c r="R2937" t="s">
        <v>851</v>
      </c>
      <c r="S2937" t="str">
        <v>#N/A</v>
      </c>
      <c r="T2937" t="str">
        <v>31</v>
      </c>
    </row>
    <row r="2938" spans="1:20" ht="13.7" customHeight="1" x14ac:dyDescent="0.25">
      <c r="A2938" t="s">
        <v>320</v>
      </c>
      <c r="B2938" t="s">
        <v>321</v>
      </c>
      <c r="C2938" t="s">
        <v>142</v>
      </c>
      <c r="D2938">
        <v>410</v>
      </c>
      <c r="E2938" s="5">
        <v>43570</v>
      </c>
      <c r="F2938">
        <v>41350101</v>
      </c>
      <c r="G2938" t="s">
        <v>733</v>
      </c>
      <c r="H2938" t="s">
        <v>1125</v>
      </c>
      <c r="I2938" t="s">
        <v>1126</v>
      </c>
      <c r="J2938">
        <v>1007</v>
      </c>
      <c r="K2938">
        <v>4001</v>
      </c>
      <c r="L2938" s="3">
        <v>-214735454</v>
      </c>
      <c r="M2938" s="3">
        <v>0</v>
      </c>
      <c r="N2938">
        <v>321090</v>
      </c>
      <c r="O2938">
        <v>0</v>
      </c>
      <c r="P2938">
        <v>-215056544</v>
      </c>
      <c r="Q2938" t="s">
        <v>30</v>
      </c>
      <c r="R2938" t="s">
        <v>852</v>
      </c>
      <c r="S2938" t="str">
        <v>#N/A</v>
      </c>
      <c r="T2938" t="str">
        <v>31</v>
      </c>
    </row>
    <row r="2939" spans="1:20" ht="13.7" customHeight="1" x14ac:dyDescent="0.25">
      <c r="A2939" t="s">
        <v>320</v>
      </c>
      <c r="B2939" t="s">
        <v>321</v>
      </c>
      <c r="C2939" t="s">
        <v>142</v>
      </c>
      <c r="D2939">
        <v>411</v>
      </c>
      <c r="E2939" s="5">
        <v>43570</v>
      </c>
      <c r="F2939">
        <v>41350101</v>
      </c>
      <c r="G2939" t="s">
        <v>733</v>
      </c>
      <c r="H2939" t="s">
        <v>1125</v>
      </c>
      <c r="I2939" t="s">
        <v>1126</v>
      </c>
      <c r="J2939">
        <v>1007</v>
      </c>
      <c r="K2939">
        <v>4001</v>
      </c>
      <c r="L2939" s="3">
        <v>-215056544</v>
      </c>
      <c r="M2939" s="3">
        <v>0</v>
      </c>
      <c r="N2939">
        <v>297000</v>
      </c>
      <c r="O2939">
        <v>0</v>
      </c>
      <c r="P2939">
        <v>-215353544</v>
      </c>
      <c r="Q2939" t="s">
        <v>30</v>
      </c>
      <c r="R2939" t="s">
        <v>853</v>
      </c>
      <c r="S2939" t="str">
        <v>#N/A</v>
      </c>
      <c r="T2939" t="str">
        <v>31</v>
      </c>
    </row>
    <row r="2940" spans="1:20" ht="13.7" customHeight="1" x14ac:dyDescent="0.25">
      <c r="A2940" t="s">
        <v>320</v>
      </c>
      <c r="B2940" t="s">
        <v>321</v>
      </c>
      <c r="C2940" t="s">
        <v>142</v>
      </c>
      <c r="D2940">
        <v>419</v>
      </c>
      <c r="E2940" s="5">
        <v>43584</v>
      </c>
      <c r="F2940">
        <v>41350101</v>
      </c>
      <c r="G2940" t="s">
        <v>733</v>
      </c>
      <c r="H2940" t="s">
        <v>1125</v>
      </c>
      <c r="I2940" t="s">
        <v>1126</v>
      </c>
      <c r="J2940">
        <v>1007</v>
      </c>
      <c r="K2940">
        <v>4001</v>
      </c>
      <c r="L2940" s="3">
        <v>-215353544</v>
      </c>
      <c r="M2940" s="3">
        <v>0</v>
      </c>
      <c r="N2940">
        <v>40000</v>
      </c>
      <c r="O2940">
        <v>0</v>
      </c>
      <c r="P2940">
        <v>-215393544</v>
      </c>
      <c r="Q2940" t="s">
        <v>30</v>
      </c>
      <c r="R2940" t="s">
        <v>863</v>
      </c>
      <c r="S2940" t="str">
        <v>#N/A</v>
      </c>
      <c r="T2940" t="str">
        <v>31</v>
      </c>
    </row>
    <row r="2941" spans="1:20" ht="13.7" customHeight="1" x14ac:dyDescent="0.25">
      <c r="A2941" t="s">
        <v>320</v>
      </c>
      <c r="B2941" t="s">
        <v>321</v>
      </c>
      <c r="C2941" t="s">
        <v>142</v>
      </c>
      <c r="D2941">
        <v>419</v>
      </c>
      <c r="E2941" s="5">
        <v>43584</v>
      </c>
      <c r="F2941">
        <v>41350101</v>
      </c>
      <c r="G2941" t="s">
        <v>733</v>
      </c>
      <c r="H2941" t="s">
        <v>1125</v>
      </c>
      <c r="I2941" t="s">
        <v>1126</v>
      </c>
      <c r="J2941">
        <v>1007</v>
      </c>
      <c r="K2941">
        <v>4001</v>
      </c>
      <c r="L2941" s="3">
        <v>-215393544</v>
      </c>
      <c r="M2941" s="3">
        <v>0</v>
      </c>
      <c r="N2941">
        <v>240000</v>
      </c>
      <c r="O2941">
        <v>0</v>
      </c>
      <c r="P2941">
        <v>-215633544</v>
      </c>
      <c r="Q2941" t="s">
        <v>30</v>
      </c>
      <c r="R2941" t="s">
        <v>864</v>
      </c>
      <c r="S2941" t="str">
        <v>#N/A</v>
      </c>
      <c r="T2941" t="str">
        <v>31</v>
      </c>
    </row>
    <row r="2942" spans="1:20" ht="13.7" customHeight="1" x14ac:dyDescent="0.25">
      <c r="A2942" t="s">
        <v>320</v>
      </c>
      <c r="B2942" t="s">
        <v>321</v>
      </c>
      <c r="C2942" t="s">
        <v>142</v>
      </c>
      <c r="D2942">
        <v>419</v>
      </c>
      <c r="E2942" s="5">
        <v>43584</v>
      </c>
      <c r="F2942">
        <v>41350101</v>
      </c>
      <c r="G2942" t="s">
        <v>733</v>
      </c>
      <c r="H2942" t="s">
        <v>1125</v>
      </c>
      <c r="I2942" t="s">
        <v>1126</v>
      </c>
      <c r="J2942">
        <v>1007</v>
      </c>
      <c r="K2942">
        <v>4001</v>
      </c>
      <c r="L2942" s="3">
        <v>-215633544</v>
      </c>
      <c r="M2942" s="3">
        <v>0</v>
      </c>
      <c r="N2942">
        <v>20000</v>
      </c>
      <c r="O2942">
        <v>0</v>
      </c>
      <c r="P2942">
        <v>-215653544</v>
      </c>
      <c r="Q2942" t="s">
        <v>30</v>
      </c>
      <c r="R2942" t="s">
        <v>865</v>
      </c>
      <c r="S2942" t="str">
        <v>#N/A</v>
      </c>
      <c r="T2942" t="str">
        <v>31</v>
      </c>
    </row>
    <row r="2943" spans="1:20" ht="13.7" customHeight="1" x14ac:dyDescent="0.25">
      <c r="A2943" t="s">
        <v>320</v>
      </c>
      <c r="B2943" t="s">
        <v>321</v>
      </c>
      <c r="C2943" t="s">
        <v>142</v>
      </c>
      <c r="D2943">
        <v>419</v>
      </c>
      <c r="E2943" s="5">
        <v>43584</v>
      </c>
      <c r="F2943">
        <v>41350101</v>
      </c>
      <c r="G2943" t="s">
        <v>733</v>
      </c>
      <c r="H2943" t="s">
        <v>1125</v>
      </c>
      <c r="I2943" t="s">
        <v>1126</v>
      </c>
      <c r="J2943">
        <v>1007</v>
      </c>
      <c r="K2943">
        <v>4001</v>
      </c>
      <c r="L2943" s="3">
        <v>-215653544</v>
      </c>
      <c r="M2943" s="3">
        <v>0</v>
      </c>
      <c r="N2943">
        <v>40000</v>
      </c>
      <c r="O2943">
        <v>0</v>
      </c>
      <c r="P2943">
        <v>-215693544</v>
      </c>
      <c r="Q2943" t="s">
        <v>30</v>
      </c>
      <c r="R2943" t="s">
        <v>866</v>
      </c>
      <c r="S2943" t="str">
        <v>#N/A</v>
      </c>
      <c r="T2943" t="str">
        <v>31</v>
      </c>
    </row>
    <row r="2944" spans="1:20" ht="13.7" customHeight="1" x14ac:dyDescent="0.25">
      <c r="A2944" t="s">
        <v>320</v>
      </c>
      <c r="B2944" t="s">
        <v>321</v>
      </c>
      <c r="C2944" t="s">
        <v>142</v>
      </c>
      <c r="D2944">
        <v>419</v>
      </c>
      <c r="E2944" s="5">
        <v>43584</v>
      </c>
      <c r="F2944">
        <v>41350101</v>
      </c>
      <c r="G2944" t="s">
        <v>733</v>
      </c>
      <c r="H2944" t="s">
        <v>1125</v>
      </c>
      <c r="I2944" t="s">
        <v>1126</v>
      </c>
      <c r="J2944">
        <v>1007</v>
      </c>
      <c r="K2944">
        <v>4001</v>
      </c>
      <c r="L2944" s="3">
        <v>-215693544</v>
      </c>
      <c r="M2944" s="3">
        <v>0</v>
      </c>
      <c r="N2944">
        <v>391400</v>
      </c>
      <c r="O2944">
        <v>0</v>
      </c>
      <c r="P2944">
        <v>-216084944</v>
      </c>
      <c r="Q2944" t="s">
        <v>30</v>
      </c>
      <c r="R2944" t="s">
        <v>867</v>
      </c>
      <c r="S2944" t="str">
        <v>#N/A</v>
      </c>
      <c r="T2944" t="str">
        <v>31</v>
      </c>
    </row>
    <row r="2945" spans="1:20" ht="13.7" customHeight="1" x14ac:dyDescent="0.25">
      <c r="A2945" t="s">
        <v>320</v>
      </c>
      <c r="B2945" t="s">
        <v>321</v>
      </c>
      <c r="C2945" t="s">
        <v>142</v>
      </c>
      <c r="D2945">
        <v>419</v>
      </c>
      <c r="E2945" s="5">
        <v>43584</v>
      </c>
      <c r="F2945">
        <v>41350101</v>
      </c>
      <c r="G2945" t="s">
        <v>733</v>
      </c>
      <c r="H2945" t="s">
        <v>1125</v>
      </c>
      <c r="I2945" t="s">
        <v>1126</v>
      </c>
      <c r="J2945">
        <v>1007</v>
      </c>
      <c r="K2945">
        <v>4001</v>
      </c>
      <c r="L2945" s="3">
        <v>-216084944</v>
      </c>
      <c r="M2945" s="3">
        <v>0</v>
      </c>
      <c r="N2945">
        <v>350000</v>
      </c>
      <c r="O2945">
        <v>0</v>
      </c>
      <c r="P2945">
        <v>-216434944</v>
      </c>
      <c r="Q2945" t="s">
        <v>30</v>
      </c>
      <c r="R2945" t="s">
        <v>868</v>
      </c>
      <c r="S2945" t="str">
        <v>#N/A</v>
      </c>
      <c r="T2945" t="str">
        <v>31</v>
      </c>
    </row>
    <row r="2946" spans="1:20" ht="13.7" customHeight="1" x14ac:dyDescent="0.25">
      <c r="A2946" t="s">
        <v>320</v>
      </c>
      <c r="B2946" t="s">
        <v>321</v>
      </c>
      <c r="C2946" t="s">
        <v>142</v>
      </c>
      <c r="D2946">
        <v>420</v>
      </c>
      <c r="E2946" s="5">
        <v>43587</v>
      </c>
      <c r="F2946">
        <v>41350101</v>
      </c>
      <c r="G2946" t="s">
        <v>733</v>
      </c>
      <c r="H2946" t="s">
        <v>1125</v>
      </c>
      <c r="I2946" t="s">
        <v>1126</v>
      </c>
      <c r="J2946">
        <v>1007</v>
      </c>
      <c r="K2946">
        <v>4001</v>
      </c>
      <c r="L2946" s="3">
        <v>-216434944</v>
      </c>
      <c r="M2946" s="3">
        <v>0</v>
      </c>
      <c r="N2946">
        <v>60000</v>
      </c>
      <c r="O2946">
        <v>0</v>
      </c>
      <c r="P2946">
        <v>-216494944</v>
      </c>
      <c r="Q2946" t="s">
        <v>30</v>
      </c>
      <c r="R2946" t="s">
        <v>869</v>
      </c>
      <c r="S2946" t="str">
        <v>#N/A</v>
      </c>
      <c r="T2946" t="str">
        <v>31</v>
      </c>
    </row>
    <row r="2947" spans="1:20" ht="13.7" customHeight="1" x14ac:dyDescent="0.25">
      <c r="A2947" t="s">
        <v>320</v>
      </c>
      <c r="B2947" t="s">
        <v>321</v>
      </c>
      <c r="C2947" t="s">
        <v>142</v>
      </c>
      <c r="D2947">
        <v>425</v>
      </c>
      <c r="E2947" s="5">
        <v>43592</v>
      </c>
      <c r="F2947">
        <v>41350101</v>
      </c>
      <c r="G2947" t="s">
        <v>733</v>
      </c>
      <c r="H2947" t="s">
        <v>1125</v>
      </c>
      <c r="I2947" t="s">
        <v>1126</v>
      </c>
      <c r="J2947">
        <v>1007</v>
      </c>
      <c r="K2947">
        <v>4001</v>
      </c>
      <c r="L2947" s="3">
        <v>-216494944</v>
      </c>
      <c r="M2947" s="3">
        <v>0</v>
      </c>
      <c r="N2947">
        <v>890670</v>
      </c>
      <c r="O2947">
        <v>0</v>
      </c>
      <c r="P2947">
        <v>-217385614</v>
      </c>
      <c r="Q2947" t="s">
        <v>30</v>
      </c>
      <c r="R2947" t="s">
        <v>442</v>
      </c>
      <c r="S2947" t="str">
        <v>#N/A</v>
      </c>
      <c r="T2947" t="str">
        <v>31</v>
      </c>
    </row>
    <row r="2948" spans="1:20" ht="13.7" customHeight="1" x14ac:dyDescent="0.25">
      <c r="A2948" t="s">
        <v>320</v>
      </c>
      <c r="B2948" t="s">
        <v>321</v>
      </c>
      <c r="C2948" t="s">
        <v>142</v>
      </c>
      <c r="D2948">
        <v>428</v>
      </c>
      <c r="E2948" s="5">
        <v>43593</v>
      </c>
      <c r="F2948">
        <v>41350101</v>
      </c>
      <c r="G2948" t="s">
        <v>733</v>
      </c>
      <c r="H2948" t="s">
        <v>1125</v>
      </c>
      <c r="I2948" t="s">
        <v>1126</v>
      </c>
      <c r="J2948">
        <v>1007</v>
      </c>
      <c r="K2948">
        <v>4001</v>
      </c>
      <c r="L2948" s="3">
        <v>-217385614</v>
      </c>
      <c r="M2948" s="3">
        <v>0</v>
      </c>
      <c r="N2948">
        <v>30000</v>
      </c>
      <c r="O2948">
        <v>0</v>
      </c>
      <c r="P2948">
        <v>-217415614</v>
      </c>
      <c r="Q2948" t="s">
        <v>30</v>
      </c>
      <c r="R2948" t="s">
        <v>869</v>
      </c>
      <c r="S2948" t="str">
        <v>#N/A</v>
      </c>
      <c r="T2948" t="str">
        <v>31</v>
      </c>
    </row>
    <row r="2949" spans="1:20" ht="13.7" customHeight="1" x14ac:dyDescent="0.25">
      <c r="A2949" t="s">
        <v>320</v>
      </c>
      <c r="B2949" t="s">
        <v>321</v>
      </c>
      <c r="C2949" t="s">
        <v>142</v>
      </c>
      <c r="D2949">
        <v>428</v>
      </c>
      <c r="E2949" s="5">
        <v>43593</v>
      </c>
      <c r="F2949">
        <v>41350101</v>
      </c>
      <c r="G2949" t="s">
        <v>733</v>
      </c>
      <c r="H2949" t="s">
        <v>1125</v>
      </c>
      <c r="I2949" t="s">
        <v>1126</v>
      </c>
      <c r="J2949">
        <v>1007</v>
      </c>
      <c r="K2949">
        <v>4001</v>
      </c>
      <c r="L2949" s="3">
        <v>-217415614</v>
      </c>
      <c r="M2949" s="3">
        <v>0</v>
      </c>
      <c r="N2949">
        <v>20000</v>
      </c>
      <c r="O2949">
        <v>0</v>
      </c>
      <c r="P2949">
        <v>-217435614</v>
      </c>
      <c r="Q2949" t="s">
        <v>30</v>
      </c>
      <c r="R2949" t="s">
        <v>873</v>
      </c>
      <c r="S2949" t="str">
        <v>#N/A</v>
      </c>
      <c r="T2949" t="str">
        <v>31</v>
      </c>
    </row>
    <row r="2950" spans="1:20" ht="13.7" customHeight="1" x14ac:dyDescent="0.25">
      <c r="A2950" t="s">
        <v>320</v>
      </c>
      <c r="B2950" t="s">
        <v>321</v>
      </c>
      <c r="C2950" t="s">
        <v>142</v>
      </c>
      <c r="D2950">
        <v>429</v>
      </c>
      <c r="E2950" s="5">
        <v>43594</v>
      </c>
      <c r="F2950">
        <v>41350101</v>
      </c>
      <c r="G2950" t="s">
        <v>733</v>
      </c>
      <c r="H2950" t="s">
        <v>1125</v>
      </c>
      <c r="I2950" t="s">
        <v>1126</v>
      </c>
      <c r="J2950">
        <v>1007</v>
      </c>
      <c r="K2950">
        <v>4001</v>
      </c>
      <c r="L2950" s="3">
        <v>-217435614</v>
      </c>
      <c r="M2950" s="3">
        <v>0</v>
      </c>
      <c r="N2950">
        <v>1317170</v>
      </c>
      <c r="O2950">
        <v>0</v>
      </c>
      <c r="P2950">
        <v>-218752784</v>
      </c>
      <c r="Q2950" t="s">
        <v>30</v>
      </c>
      <c r="R2950" t="s">
        <v>446</v>
      </c>
      <c r="S2950" t="str">
        <v>#N/A</v>
      </c>
      <c r="T2950" t="str">
        <v>31</v>
      </c>
    </row>
    <row r="2951" spans="1:20" ht="13.7" customHeight="1" x14ac:dyDescent="0.25">
      <c r="A2951" t="s">
        <v>320</v>
      </c>
      <c r="B2951" t="s">
        <v>321</v>
      </c>
      <c r="C2951" t="s">
        <v>142</v>
      </c>
      <c r="D2951">
        <v>430</v>
      </c>
      <c r="E2951" s="5">
        <v>43595</v>
      </c>
      <c r="F2951">
        <v>41350101</v>
      </c>
      <c r="G2951" t="s">
        <v>733</v>
      </c>
      <c r="H2951" t="s">
        <v>1125</v>
      </c>
      <c r="I2951" t="s">
        <v>1126</v>
      </c>
      <c r="J2951">
        <v>1007</v>
      </c>
      <c r="K2951">
        <v>4001</v>
      </c>
      <c r="L2951" s="3">
        <v>-218752784</v>
      </c>
      <c r="M2951" s="3">
        <v>0</v>
      </c>
      <c r="N2951">
        <v>259200</v>
      </c>
      <c r="O2951">
        <v>0</v>
      </c>
      <c r="P2951">
        <v>-219011984</v>
      </c>
      <c r="Q2951" t="s">
        <v>30</v>
      </c>
      <c r="R2951" t="s">
        <v>875</v>
      </c>
      <c r="S2951" t="str">
        <v>#N/A</v>
      </c>
      <c r="T2951" t="str">
        <v>31</v>
      </c>
    </row>
    <row r="2952" spans="1:20" ht="13.7" customHeight="1" x14ac:dyDescent="0.25">
      <c r="A2952" t="s">
        <v>320</v>
      </c>
      <c r="B2952" t="s">
        <v>321</v>
      </c>
      <c r="C2952" t="s">
        <v>142</v>
      </c>
      <c r="D2952">
        <v>437</v>
      </c>
      <c r="E2952" s="5">
        <v>43606</v>
      </c>
      <c r="F2952">
        <v>41350101</v>
      </c>
      <c r="G2952" t="s">
        <v>733</v>
      </c>
      <c r="H2952" t="s">
        <v>1125</v>
      </c>
      <c r="I2952" t="s">
        <v>1126</v>
      </c>
      <c r="J2952">
        <v>1007</v>
      </c>
      <c r="K2952">
        <v>4001</v>
      </c>
      <c r="L2952" s="3">
        <v>-219011984</v>
      </c>
      <c r="M2952" s="3">
        <v>0</v>
      </c>
      <c r="N2952">
        <v>1335500</v>
      </c>
      <c r="O2952">
        <v>0</v>
      </c>
      <c r="P2952">
        <v>-220347484</v>
      </c>
      <c r="Q2952" t="s">
        <v>30</v>
      </c>
      <c r="R2952" t="s">
        <v>451</v>
      </c>
      <c r="S2952" t="str">
        <v>#N/A</v>
      </c>
      <c r="T2952" t="str">
        <v>31</v>
      </c>
    </row>
    <row r="2953" spans="1:20" ht="13.7" customHeight="1" x14ac:dyDescent="0.25">
      <c r="A2953" t="s">
        <v>320</v>
      </c>
      <c r="B2953" t="s">
        <v>321</v>
      </c>
      <c r="C2953" t="s">
        <v>142</v>
      </c>
      <c r="D2953">
        <v>442</v>
      </c>
      <c r="E2953" s="5">
        <v>43613</v>
      </c>
      <c r="F2953">
        <v>41350101</v>
      </c>
      <c r="G2953" t="s">
        <v>733</v>
      </c>
      <c r="H2953" t="s">
        <v>1125</v>
      </c>
      <c r="I2953" t="s">
        <v>1126</v>
      </c>
      <c r="J2953">
        <v>1007</v>
      </c>
      <c r="K2953">
        <v>4001</v>
      </c>
      <c r="L2953" s="3">
        <v>-220347484</v>
      </c>
      <c r="M2953" s="3">
        <v>0</v>
      </c>
      <c r="N2953">
        <v>130000</v>
      </c>
      <c r="O2953">
        <v>0</v>
      </c>
      <c r="P2953">
        <v>-220477484</v>
      </c>
      <c r="Q2953" t="s">
        <v>30</v>
      </c>
      <c r="R2953" t="s">
        <v>455</v>
      </c>
      <c r="S2953" t="str">
        <v>#N/A</v>
      </c>
      <c r="T2953" t="str">
        <v>31</v>
      </c>
    </row>
    <row r="2954" spans="1:20" ht="13.7" customHeight="1" x14ac:dyDescent="0.25">
      <c r="A2954" t="s">
        <v>320</v>
      </c>
      <c r="B2954" t="s">
        <v>321</v>
      </c>
      <c r="C2954" t="s">
        <v>142</v>
      </c>
      <c r="D2954">
        <v>447</v>
      </c>
      <c r="E2954" s="5">
        <v>43620</v>
      </c>
      <c r="F2954">
        <v>41350101</v>
      </c>
      <c r="G2954" t="s">
        <v>733</v>
      </c>
      <c r="H2954" t="s">
        <v>1125</v>
      </c>
      <c r="I2954" t="s">
        <v>1126</v>
      </c>
      <c r="J2954">
        <v>1007</v>
      </c>
      <c r="K2954">
        <v>4001</v>
      </c>
      <c r="L2954" s="3">
        <v>-220477484</v>
      </c>
      <c r="M2954" s="3">
        <v>0</v>
      </c>
      <c r="N2954">
        <v>50000</v>
      </c>
      <c r="O2954">
        <v>0</v>
      </c>
      <c r="P2954">
        <v>-220527484</v>
      </c>
      <c r="Q2954" t="s">
        <v>30</v>
      </c>
      <c r="R2954" t="s">
        <v>884</v>
      </c>
      <c r="S2954" t="str">
        <v>#N/A</v>
      </c>
      <c r="T2954" t="str">
        <v>31</v>
      </c>
    </row>
    <row r="2955" spans="1:20" ht="13.7" customHeight="1" x14ac:dyDescent="0.25">
      <c r="A2955" t="s">
        <v>320</v>
      </c>
      <c r="B2955" t="s">
        <v>321</v>
      </c>
      <c r="C2955" t="s">
        <v>142</v>
      </c>
      <c r="D2955">
        <v>455</v>
      </c>
      <c r="E2955" s="5">
        <v>43629</v>
      </c>
      <c r="F2955">
        <v>41350101</v>
      </c>
      <c r="G2955" t="s">
        <v>733</v>
      </c>
      <c r="H2955" t="s">
        <v>1125</v>
      </c>
      <c r="I2955" t="s">
        <v>1126</v>
      </c>
      <c r="J2955">
        <v>1007</v>
      </c>
      <c r="K2955">
        <v>4001</v>
      </c>
      <c r="L2955" s="3">
        <v>-220527484</v>
      </c>
      <c r="M2955" s="3">
        <v>0</v>
      </c>
      <c r="N2955">
        <v>808000</v>
      </c>
      <c r="O2955">
        <v>0</v>
      </c>
      <c r="P2955">
        <v>-221335484</v>
      </c>
      <c r="Q2955" t="s">
        <v>30</v>
      </c>
      <c r="R2955" t="s">
        <v>886</v>
      </c>
      <c r="S2955" t="str">
        <v>#N/A</v>
      </c>
      <c r="T2955" t="str">
        <v>31</v>
      </c>
    </row>
    <row r="2956" spans="1:20" ht="13.7" customHeight="1" x14ac:dyDescent="0.25">
      <c r="A2956" t="s">
        <v>320</v>
      </c>
      <c r="B2956" t="s">
        <v>321</v>
      </c>
      <c r="C2956" t="s">
        <v>142</v>
      </c>
      <c r="D2956">
        <v>455</v>
      </c>
      <c r="E2956" s="5">
        <v>43629</v>
      </c>
      <c r="F2956">
        <v>41350101</v>
      </c>
      <c r="G2956" t="s">
        <v>733</v>
      </c>
      <c r="H2956" t="s">
        <v>1125</v>
      </c>
      <c r="I2956" t="s">
        <v>1126</v>
      </c>
      <c r="J2956">
        <v>1007</v>
      </c>
      <c r="K2956">
        <v>4001</v>
      </c>
      <c r="L2956" s="3">
        <v>-221335484</v>
      </c>
      <c r="M2956" s="3">
        <v>0</v>
      </c>
      <c r="N2956">
        <v>1010000</v>
      </c>
      <c r="O2956">
        <v>0</v>
      </c>
      <c r="P2956">
        <v>-222345484</v>
      </c>
      <c r="Q2956" t="s">
        <v>30</v>
      </c>
      <c r="R2956" t="s">
        <v>887</v>
      </c>
      <c r="S2956" t="str">
        <v>#N/A</v>
      </c>
      <c r="T2956" t="str">
        <v>31</v>
      </c>
    </row>
    <row r="2957" spans="1:20" ht="13.7" customHeight="1" x14ac:dyDescent="0.25">
      <c r="A2957" t="s">
        <v>320</v>
      </c>
      <c r="B2957" t="s">
        <v>321</v>
      </c>
      <c r="C2957" t="s">
        <v>142</v>
      </c>
      <c r="D2957">
        <v>455</v>
      </c>
      <c r="E2957" s="5">
        <v>43629</v>
      </c>
      <c r="F2957">
        <v>41350101</v>
      </c>
      <c r="G2957" t="s">
        <v>733</v>
      </c>
      <c r="H2957" t="s">
        <v>1125</v>
      </c>
      <c r="I2957" t="s">
        <v>1126</v>
      </c>
      <c r="J2957">
        <v>1007</v>
      </c>
      <c r="K2957">
        <v>4001</v>
      </c>
      <c r="L2957" s="3">
        <v>-222345484</v>
      </c>
      <c r="M2957" s="3">
        <v>0</v>
      </c>
      <c r="N2957">
        <v>608000</v>
      </c>
      <c r="O2957">
        <v>0</v>
      </c>
      <c r="P2957">
        <v>-222953484</v>
      </c>
      <c r="Q2957" t="s">
        <v>30</v>
      </c>
      <c r="R2957" t="s">
        <v>888</v>
      </c>
      <c r="S2957" t="str">
        <v>#N/A</v>
      </c>
      <c r="T2957" t="str">
        <v>31</v>
      </c>
    </row>
    <row r="2958" spans="1:20" ht="13.7" customHeight="1" x14ac:dyDescent="0.25">
      <c r="A2958" t="s">
        <v>320</v>
      </c>
      <c r="B2958" t="s">
        <v>321</v>
      </c>
      <c r="C2958" t="s">
        <v>142</v>
      </c>
      <c r="D2958">
        <v>455</v>
      </c>
      <c r="E2958" s="5">
        <v>43629</v>
      </c>
      <c r="F2958">
        <v>41350101</v>
      </c>
      <c r="G2958" t="s">
        <v>733</v>
      </c>
      <c r="H2958" t="s">
        <v>1125</v>
      </c>
      <c r="I2958" t="s">
        <v>1126</v>
      </c>
      <c r="J2958">
        <v>1007</v>
      </c>
      <c r="K2958">
        <v>4001</v>
      </c>
      <c r="L2958" s="3">
        <v>-222953484</v>
      </c>
      <c r="M2958" s="3">
        <v>0</v>
      </c>
      <c r="N2958">
        <v>728000</v>
      </c>
      <c r="O2958">
        <v>0</v>
      </c>
      <c r="P2958">
        <v>-223681484</v>
      </c>
      <c r="Q2958" t="s">
        <v>30</v>
      </c>
      <c r="R2958" t="s">
        <v>889</v>
      </c>
      <c r="S2958" t="str">
        <v>#N/A</v>
      </c>
      <c r="T2958" t="str">
        <v>31</v>
      </c>
    </row>
    <row r="2959" spans="1:20" ht="13.7" customHeight="1" x14ac:dyDescent="0.25">
      <c r="A2959" t="s">
        <v>320</v>
      </c>
      <c r="B2959" t="s">
        <v>321</v>
      </c>
      <c r="C2959" t="s">
        <v>142</v>
      </c>
      <c r="D2959">
        <v>455</v>
      </c>
      <c r="E2959" s="5">
        <v>43629</v>
      </c>
      <c r="F2959">
        <v>41350101</v>
      </c>
      <c r="G2959" t="s">
        <v>733</v>
      </c>
      <c r="H2959" t="s">
        <v>1125</v>
      </c>
      <c r="I2959" t="s">
        <v>1126</v>
      </c>
      <c r="J2959">
        <v>1007</v>
      </c>
      <c r="K2959">
        <v>4001</v>
      </c>
      <c r="L2959" s="3">
        <v>-223681484</v>
      </c>
      <c r="M2959" s="3">
        <v>0</v>
      </c>
      <c r="N2959">
        <v>20000</v>
      </c>
      <c r="O2959">
        <v>0</v>
      </c>
      <c r="P2959">
        <v>-223701484</v>
      </c>
      <c r="Q2959" t="s">
        <v>30</v>
      </c>
      <c r="R2959" t="s">
        <v>890</v>
      </c>
      <c r="S2959" t="str">
        <v>#N/A</v>
      </c>
      <c r="T2959" t="str">
        <v>31</v>
      </c>
    </row>
    <row r="2960" spans="1:20" ht="13.7" customHeight="1" x14ac:dyDescent="0.25">
      <c r="A2960" t="s">
        <v>320</v>
      </c>
      <c r="B2960" t="s">
        <v>321</v>
      </c>
      <c r="C2960" t="s">
        <v>142</v>
      </c>
      <c r="D2960">
        <v>458</v>
      </c>
      <c r="E2960" s="5">
        <v>43633</v>
      </c>
      <c r="F2960">
        <v>41350101</v>
      </c>
      <c r="G2960" t="s">
        <v>733</v>
      </c>
      <c r="H2960" t="s">
        <v>1125</v>
      </c>
      <c r="I2960" t="s">
        <v>1126</v>
      </c>
      <c r="J2960">
        <v>1007</v>
      </c>
      <c r="K2960">
        <v>4001</v>
      </c>
      <c r="L2960" s="3">
        <v>-223701484</v>
      </c>
      <c r="M2960" s="3">
        <v>0</v>
      </c>
      <c r="N2960">
        <v>60000</v>
      </c>
      <c r="O2960">
        <v>0</v>
      </c>
      <c r="P2960">
        <v>-223761484</v>
      </c>
      <c r="Q2960" t="s">
        <v>30</v>
      </c>
      <c r="R2960" t="s">
        <v>898</v>
      </c>
      <c r="S2960" t="str">
        <v>#N/A</v>
      </c>
      <c r="T2960" t="str">
        <v>31</v>
      </c>
    </row>
    <row r="2961" spans="1:20" ht="13.7" customHeight="1" x14ac:dyDescent="0.25">
      <c r="A2961" t="s">
        <v>320</v>
      </c>
      <c r="B2961" t="s">
        <v>321</v>
      </c>
      <c r="C2961" t="s">
        <v>142</v>
      </c>
      <c r="D2961">
        <v>458</v>
      </c>
      <c r="E2961" s="5">
        <v>43633</v>
      </c>
      <c r="F2961">
        <v>41350101</v>
      </c>
      <c r="G2961" t="s">
        <v>733</v>
      </c>
      <c r="H2961" t="s">
        <v>1125</v>
      </c>
      <c r="I2961" t="s">
        <v>1126</v>
      </c>
      <c r="J2961">
        <v>1007</v>
      </c>
      <c r="K2961">
        <v>4001</v>
      </c>
      <c r="L2961" s="3">
        <v>-223761484</v>
      </c>
      <c r="M2961" s="3">
        <v>0</v>
      </c>
      <c r="N2961">
        <v>336000</v>
      </c>
      <c r="O2961">
        <v>0</v>
      </c>
      <c r="P2961">
        <v>-224097484</v>
      </c>
      <c r="Q2961" t="s">
        <v>30</v>
      </c>
      <c r="R2961" t="s">
        <v>899</v>
      </c>
      <c r="S2961" t="str">
        <v>#N/A</v>
      </c>
      <c r="T2961" t="str">
        <v>31</v>
      </c>
    </row>
    <row r="2962" spans="1:20" ht="13.7" customHeight="1" x14ac:dyDescent="0.25">
      <c r="A2962" t="s">
        <v>320</v>
      </c>
      <c r="B2962" t="s">
        <v>321</v>
      </c>
      <c r="C2962" t="s">
        <v>142</v>
      </c>
      <c r="D2962">
        <v>458</v>
      </c>
      <c r="E2962" s="5">
        <v>43633</v>
      </c>
      <c r="F2962">
        <v>41350101</v>
      </c>
      <c r="G2962" t="s">
        <v>733</v>
      </c>
      <c r="H2962" t="s">
        <v>1125</v>
      </c>
      <c r="I2962" t="s">
        <v>1126</v>
      </c>
      <c r="J2962">
        <v>1007</v>
      </c>
      <c r="K2962">
        <v>4001</v>
      </c>
      <c r="L2962" s="3">
        <v>-224097484</v>
      </c>
      <c r="M2962" s="3">
        <v>0</v>
      </c>
      <c r="N2962">
        <v>20000</v>
      </c>
      <c r="O2962">
        <v>0</v>
      </c>
      <c r="P2962">
        <v>-224117484</v>
      </c>
      <c r="Q2962" t="s">
        <v>30</v>
      </c>
      <c r="R2962" t="s">
        <v>900</v>
      </c>
      <c r="S2962" t="str">
        <v>#N/A</v>
      </c>
      <c r="T2962" t="str">
        <v>31</v>
      </c>
    </row>
    <row r="2963" spans="1:20" ht="13.7" customHeight="1" x14ac:dyDescent="0.25">
      <c r="A2963" t="s">
        <v>320</v>
      </c>
      <c r="B2963" t="s">
        <v>321</v>
      </c>
      <c r="C2963" t="s">
        <v>142</v>
      </c>
      <c r="D2963">
        <v>458</v>
      </c>
      <c r="E2963" s="5">
        <v>43633</v>
      </c>
      <c r="F2963">
        <v>41350101</v>
      </c>
      <c r="G2963" t="s">
        <v>733</v>
      </c>
      <c r="H2963" t="s">
        <v>1125</v>
      </c>
      <c r="I2963" t="s">
        <v>1126</v>
      </c>
      <c r="J2963">
        <v>1007</v>
      </c>
      <c r="K2963">
        <v>4001</v>
      </c>
      <c r="L2963" s="3">
        <v>-224117484</v>
      </c>
      <c r="M2963" s="3">
        <v>0</v>
      </c>
      <c r="N2963">
        <v>20000</v>
      </c>
      <c r="O2963">
        <v>0</v>
      </c>
      <c r="P2963">
        <v>-224137484</v>
      </c>
      <c r="Q2963" t="s">
        <v>30</v>
      </c>
      <c r="R2963" t="s">
        <v>901</v>
      </c>
      <c r="S2963" t="str">
        <v>#N/A</v>
      </c>
      <c r="T2963" t="str">
        <v>31</v>
      </c>
    </row>
    <row r="2964" spans="1:20" ht="13.7" customHeight="1" x14ac:dyDescent="0.25">
      <c r="A2964" t="s">
        <v>320</v>
      </c>
      <c r="B2964" t="s">
        <v>321</v>
      </c>
      <c r="C2964" t="s">
        <v>142</v>
      </c>
      <c r="D2964">
        <v>458</v>
      </c>
      <c r="E2964" s="5">
        <v>43633</v>
      </c>
      <c r="F2964">
        <v>41350101</v>
      </c>
      <c r="G2964" t="s">
        <v>733</v>
      </c>
      <c r="H2964" t="s">
        <v>1125</v>
      </c>
      <c r="I2964" t="s">
        <v>1126</v>
      </c>
      <c r="J2964">
        <v>1007</v>
      </c>
      <c r="K2964">
        <v>4001</v>
      </c>
      <c r="L2964" s="3">
        <v>-224137484</v>
      </c>
      <c r="M2964" s="3">
        <v>0</v>
      </c>
      <c r="N2964">
        <v>20000</v>
      </c>
      <c r="O2964">
        <v>0</v>
      </c>
      <c r="P2964">
        <v>-224157484</v>
      </c>
      <c r="Q2964" t="s">
        <v>30</v>
      </c>
      <c r="R2964" t="s">
        <v>902</v>
      </c>
      <c r="S2964" t="str">
        <v>#N/A</v>
      </c>
      <c r="T2964" t="str">
        <v>31</v>
      </c>
    </row>
    <row r="2965" spans="1:20" ht="13.7" customHeight="1" x14ac:dyDescent="0.25">
      <c r="A2965" t="s">
        <v>320</v>
      </c>
      <c r="B2965" t="s">
        <v>321</v>
      </c>
      <c r="C2965" t="s">
        <v>142</v>
      </c>
      <c r="D2965">
        <v>458</v>
      </c>
      <c r="E2965" s="5">
        <v>43633</v>
      </c>
      <c r="F2965">
        <v>41350101</v>
      </c>
      <c r="G2965" t="s">
        <v>733</v>
      </c>
      <c r="H2965" t="s">
        <v>1125</v>
      </c>
      <c r="I2965" t="s">
        <v>1126</v>
      </c>
      <c r="J2965">
        <v>1007</v>
      </c>
      <c r="K2965">
        <v>4001</v>
      </c>
      <c r="L2965" s="3">
        <v>-224157484</v>
      </c>
      <c r="M2965" s="3">
        <v>0</v>
      </c>
      <c r="N2965">
        <v>40000</v>
      </c>
      <c r="O2965">
        <v>0</v>
      </c>
      <c r="P2965">
        <v>-224197484</v>
      </c>
      <c r="Q2965" t="s">
        <v>30</v>
      </c>
      <c r="R2965" t="s">
        <v>903</v>
      </c>
      <c r="S2965" t="str">
        <v>#N/A</v>
      </c>
      <c r="T2965" t="str">
        <v>31</v>
      </c>
    </row>
    <row r="2966" spans="1:20" ht="13.7" customHeight="1" x14ac:dyDescent="0.25">
      <c r="A2966" t="s">
        <v>320</v>
      </c>
      <c r="B2966" t="s">
        <v>321</v>
      </c>
      <c r="C2966" t="s">
        <v>142</v>
      </c>
      <c r="D2966">
        <v>458</v>
      </c>
      <c r="E2966" s="5">
        <v>43633</v>
      </c>
      <c r="F2966">
        <v>41350101</v>
      </c>
      <c r="G2966" t="s">
        <v>733</v>
      </c>
      <c r="H2966" t="s">
        <v>1125</v>
      </c>
      <c r="I2966" t="s">
        <v>1126</v>
      </c>
      <c r="J2966">
        <v>1007</v>
      </c>
      <c r="K2966">
        <v>4001</v>
      </c>
      <c r="L2966" s="3">
        <v>-224197484</v>
      </c>
      <c r="M2966" s="3">
        <v>0</v>
      </c>
      <c r="N2966">
        <v>50000</v>
      </c>
      <c r="O2966">
        <v>0</v>
      </c>
      <c r="P2966">
        <v>-224247484</v>
      </c>
      <c r="Q2966" t="s">
        <v>30</v>
      </c>
      <c r="R2966" t="s">
        <v>904</v>
      </c>
      <c r="S2966" t="str">
        <v>#N/A</v>
      </c>
      <c r="T2966" t="str">
        <v>31</v>
      </c>
    </row>
    <row r="2967" spans="1:20" ht="13.7" customHeight="1" x14ac:dyDescent="0.25">
      <c r="A2967" t="s">
        <v>320</v>
      </c>
      <c r="B2967" t="s">
        <v>321</v>
      </c>
      <c r="C2967" t="s">
        <v>142</v>
      </c>
      <c r="D2967">
        <v>459</v>
      </c>
      <c r="E2967" s="5">
        <v>43635</v>
      </c>
      <c r="F2967">
        <v>41350101</v>
      </c>
      <c r="G2967" t="s">
        <v>733</v>
      </c>
      <c r="H2967" t="s">
        <v>1125</v>
      </c>
      <c r="I2967" t="s">
        <v>1126</v>
      </c>
      <c r="J2967">
        <v>1007</v>
      </c>
      <c r="K2967">
        <v>4001</v>
      </c>
      <c r="L2967" s="3">
        <v>-224247484</v>
      </c>
      <c r="M2967" s="3">
        <v>0</v>
      </c>
      <c r="N2967">
        <v>60000</v>
      </c>
      <c r="O2967">
        <v>0</v>
      </c>
      <c r="P2967">
        <v>-224307484</v>
      </c>
      <c r="Q2967" t="s">
        <v>30</v>
      </c>
      <c r="R2967" t="s">
        <v>905</v>
      </c>
      <c r="S2967" t="str">
        <v>#N/A</v>
      </c>
      <c r="T2967" t="str">
        <v>31</v>
      </c>
    </row>
    <row r="2968" spans="1:20" ht="13.7" customHeight="1" x14ac:dyDescent="0.25">
      <c r="A2968" t="s">
        <v>320</v>
      </c>
      <c r="B2968" t="s">
        <v>321</v>
      </c>
      <c r="C2968" t="s">
        <v>142</v>
      </c>
      <c r="D2968">
        <v>459</v>
      </c>
      <c r="E2968" s="5">
        <v>43635</v>
      </c>
      <c r="F2968">
        <v>41350101</v>
      </c>
      <c r="G2968" t="s">
        <v>733</v>
      </c>
      <c r="H2968" t="s">
        <v>1125</v>
      </c>
      <c r="I2968" t="s">
        <v>1126</v>
      </c>
      <c r="J2968">
        <v>1007</v>
      </c>
      <c r="K2968">
        <v>4001</v>
      </c>
      <c r="L2968" s="3">
        <v>-224307484</v>
      </c>
      <c r="M2968" s="3">
        <v>0</v>
      </c>
      <c r="N2968">
        <v>40000</v>
      </c>
      <c r="O2968">
        <v>0</v>
      </c>
      <c r="P2968">
        <v>-224347484</v>
      </c>
      <c r="Q2968" t="s">
        <v>30</v>
      </c>
      <c r="R2968" t="s">
        <v>906</v>
      </c>
      <c r="S2968" t="str">
        <v>#N/A</v>
      </c>
      <c r="T2968" t="str">
        <v>31</v>
      </c>
    </row>
    <row r="2969" spans="1:20" ht="13.7" customHeight="1" x14ac:dyDescent="0.25">
      <c r="A2969" t="s">
        <v>320</v>
      </c>
      <c r="B2969" t="s">
        <v>321</v>
      </c>
      <c r="C2969" t="s">
        <v>142</v>
      </c>
      <c r="D2969">
        <v>459</v>
      </c>
      <c r="E2969" s="5">
        <v>43635</v>
      </c>
      <c r="F2969">
        <v>41350101</v>
      </c>
      <c r="G2969" t="s">
        <v>733</v>
      </c>
      <c r="H2969" t="s">
        <v>1125</v>
      </c>
      <c r="I2969" t="s">
        <v>1126</v>
      </c>
      <c r="J2969">
        <v>1007</v>
      </c>
      <c r="K2969">
        <v>4001</v>
      </c>
      <c r="L2969" s="3">
        <v>-224347484</v>
      </c>
      <c r="M2969" s="3">
        <v>0</v>
      </c>
      <c r="N2969">
        <v>20000</v>
      </c>
      <c r="O2969">
        <v>0</v>
      </c>
      <c r="P2969">
        <v>-224367484</v>
      </c>
      <c r="Q2969" t="s">
        <v>30</v>
      </c>
      <c r="R2969" t="s">
        <v>907</v>
      </c>
      <c r="S2969" t="str">
        <v>#N/A</v>
      </c>
      <c r="T2969" t="str">
        <v>31</v>
      </c>
    </row>
    <row r="2970" spans="1:20" ht="13.7" customHeight="1" x14ac:dyDescent="0.25">
      <c r="A2970" t="s">
        <v>320</v>
      </c>
      <c r="B2970" t="s">
        <v>321</v>
      </c>
      <c r="C2970" t="s">
        <v>142</v>
      </c>
      <c r="D2970">
        <v>459</v>
      </c>
      <c r="E2970" s="5">
        <v>43635</v>
      </c>
      <c r="F2970">
        <v>41350101</v>
      </c>
      <c r="G2970" t="s">
        <v>733</v>
      </c>
      <c r="H2970" t="s">
        <v>1125</v>
      </c>
      <c r="I2970" t="s">
        <v>1126</v>
      </c>
      <c r="J2970">
        <v>1007</v>
      </c>
      <c r="K2970">
        <v>4001</v>
      </c>
      <c r="L2970" s="3">
        <v>-224367484</v>
      </c>
      <c r="M2970" s="3">
        <v>0</v>
      </c>
      <c r="N2970">
        <v>20000</v>
      </c>
      <c r="O2970">
        <v>0</v>
      </c>
      <c r="P2970">
        <v>-224387484</v>
      </c>
      <c r="Q2970" t="s">
        <v>30</v>
      </c>
      <c r="R2970" t="s">
        <v>908</v>
      </c>
      <c r="S2970" t="str">
        <v>#N/A</v>
      </c>
      <c r="T2970" t="str">
        <v>31</v>
      </c>
    </row>
    <row r="2971" spans="1:20" ht="13.7" customHeight="1" x14ac:dyDescent="0.25">
      <c r="A2971" t="s">
        <v>320</v>
      </c>
      <c r="B2971" t="s">
        <v>321</v>
      </c>
      <c r="C2971" t="s">
        <v>142</v>
      </c>
      <c r="D2971">
        <v>461</v>
      </c>
      <c r="E2971" s="5">
        <v>43642</v>
      </c>
      <c r="F2971">
        <v>41350101</v>
      </c>
      <c r="G2971" t="s">
        <v>733</v>
      </c>
      <c r="H2971" t="s">
        <v>1125</v>
      </c>
      <c r="I2971" t="s">
        <v>1126</v>
      </c>
      <c r="J2971">
        <v>1007</v>
      </c>
      <c r="K2971">
        <v>4001</v>
      </c>
      <c r="L2971" s="3">
        <v>-224387484</v>
      </c>
      <c r="M2971" s="3">
        <v>0</v>
      </c>
      <c r="N2971">
        <v>60800</v>
      </c>
      <c r="O2971">
        <v>0</v>
      </c>
      <c r="P2971">
        <v>-224448284</v>
      </c>
      <c r="Q2971" t="s">
        <v>30</v>
      </c>
      <c r="R2971" t="s">
        <v>909</v>
      </c>
      <c r="S2971" t="str">
        <v>#N/A</v>
      </c>
      <c r="T2971" t="str">
        <v>31</v>
      </c>
    </row>
    <row r="2972" spans="1:20" ht="13.7" customHeight="1" x14ac:dyDescent="0.25">
      <c r="A2972" t="s">
        <v>320</v>
      </c>
      <c r="B2972" t="s">
        <v>321</v>
      </c>
      <c r="C2972" t="s">
        <v>142</v>
      </c>
      <c r="D2972">
        <v>461</v>
      </c>
      <c r="E2972" s="5">
        <v>43642</v>
      </c>
      <c r="F2972">
        <v>41350101</v>
      </c>
      <c r="G2972" t="s">
        <v>733</v>
      </c>
      <c r="H2972" t="s">
        <v>1125</v>
      </c>
      <c r="I2972" t="s">
        <v>1126</v>
      </c>
      <c r="J2972">
        <v>1007</v>
      </c>
      <c r="K2972">
        <v>4001</v>
      </c>
      <c r="L2972" s="3">
        <v>-224448284</v>
      </c>
      <c r="M2972" s="3">
        <v>0</v>
      </c>
      <c r="N2972">
        <v>56000</v>
      </c>
      <c r="O2972">
        <v>0</v>
      </c>
      <c r="P2972">
        <v>-224504284</v>
      </c>
      <c r="Q2972" t="s">
        <v>30</v>
      </c>
      <c r="R2972" t="s">
        <v>465</v>
      </c>
      <c r="S2972" t="str">
        <v>#N/A</v>
      </c>
      <c r="T2972" t="str">
        <v>31</v>
      </c>
    </row>
    <row r="2973" spans="1:20" ht="13.7" customHeight="1" x14ac:dyDescent="0.25">
      <c r="A2973" t="s">
        <v>320</v>
      </c>
      <c r="B2973" t="s">
        <v>321</v>
      </c>
      <c r="C2973" t="s">
        <v>142</v>
      </c>
      <c r="D2973">
        <v>464</v>
      </c>
      <c r="E2973" s="5">
        <v>43653</v>
      </c>
      <c r="F2973">
        <v>41350101</v>
      </c>
      <c r="G2973" t="s">
        <v>733</v>
      </c>
      <c r="H2973" t="s">
        <v>1125</v>
      </c>
      <c r="I2973" t="s">
        <v>1126</v>
      </c>
      <c r="J2973">
        <v>1007</v>
      </c>
      <c r="K2973">
        <v>4001</v>
      </c>
      <c r="L2973" s="3">
        <v>-224504284</v>
      </c>
      <c r="M2973" s="3">
        <v>0</v>
      </c>
      <c r="N2973">
        <v>750480</v>
      </c>
      <c r="O2973">
        <v>0</v>
      </c>
      <c r="P2973">
        <v>-225254764</v>
      </c>
      <c r="Q2973" t="s">
        <v>30</v>
      </c>
      <c r="R2973" t="s">
        <v>911</v>
      </c>
      <c r="S2973" t="str">
        <v>#N/A</v>
      </c>
      <c r="T2973" t="str">
        <v>31</v>
      </c>
    </row>
    <row r="2974" spans="1:20" ht="13.7" customHeight="1" x14ac:dyDescent="0.25">
      <c r="A2974" t="s">
        <v>320</v>
      </c>
      <c r="B2974" t="s">
        <v>321</v>
      </c>
      <c r="C2974" t="s">
        <v>142</v>
      </c>
      <c r="D2974">
        <v>464</v>
      </c>
      <c r="E2974" s="5">
        <v>43653</v>
      </c>
      <c r="F2974">
        <v>41350101</v>
      </c>
      <c r="G2974" t="s">
        <v>733</v>
      </c>
      <c r="H2974" t="s">
        <v>1125</v>
      </c>
      <c r="I2974" t="s">
        <v>1126</v>
      </c>
      <c r="J2974">
        <v>1007</v>
      </c>
      <c r="K2974">
        <v>4001</v>
      </c>
      <c r="L2974" s="3">
        <v>-225254764</v>
      </c>
      <c r="M2974" s="3">
        <v>0</v>
      </c>
      <c r="N2974">
        <v>600000</v>
      </c>
      <c r="O2974">
        <v>0</v>
      </c>
      <c r="P2974">
        <v>-225854764</v>
      </c>
      <c r="Q2974" t="s">
        <v>30</v>
      </c>
      <c r="R2974" t="s">
        <v>912</v>
      </c>
      <c r="S2974" t="str">
        <v>#N/A</v>
      </c>
      <c r="T2974" t="str">
        <v>31</v>
      </c>
    </row>
    <row r="2975" spans="1:20" ht="13.7" customHeight="1" x14ac:dyDescent="0.25">
      <c r="A2975" t="s">
        <v>320</v>
      </c>
      <c r="B2975" t="s">
        <v>321</v>
      </c>
      <c r="C2975" t="s">
        <v>142</v>
      </c>
      <c r="D2975">
        <v>464</v>
      </c>
      <c r="E2975" s="5">
        <v>43653</v>
      </c>
      <c r="F2975">
        <v>41350101</v>
      </c>
      <c r="G2975" t="s">
        <v>733</v>
      </c>
      <c r="H2975" t="s">
        <v>1125</v>
      </c>
      <c r="I2975" t="s">
        <v>1126</v>
      </c>
      <c r="J2975">
        <v>1007</v>
      </c>
      <c r="K2975">
        <v>4001</v>
      </c>
      <c r="L2975" s="3">
        <v>-225854764</v>
      </c>
      <c r="M2975" s="3">
        <v>0</v>
      </c>
      <c r="N2975">
        <v>520000</v>
      </c>
      <c r="O2975">
        <v>0</v>
      </c>
      <c r="P2975">
        <v>-226374764</v>
      </c>
      <c r="Q2975" t="s">
        <v>30</v>
      </c>
      <c r="R2975" t="s">
        <v>913</v>
      </c>
      <c r="S2975" t="str">
        <v>#N/A</v>
      </c>
      <c r="T2975" t="str">
        <v>31</v>
      </c>
    </row>
    <row r="2976" spans="1:20" ht="13.7" customHeight="1" x14ac:dyDescent="0.25">
      <c r="A2976" t="s">
        <v>320</v>
      </c>
      <c r="B2976" t="s">
        <v>321</v>
      </c>
      <c r="C2976" t="s">
        <v>142</v>
      </c>
      <c r="D2976">
        <v>464</v>
      </c>
      <c r="E2976" s="5">
        <v>43653</v>
      </c>
      <c r="F2976">
        <v>41350101</v>
      </c>
      <c r="G2976" t="s">
        <v>733</v>
      </c>
      <c r="H2976" t="s">
        <v>1125</v>
      </c>
      <c r="I2976" t="s">
        <v>1126</v>
      </c>
      <c r="J2976">
        <v>1007</v>
      </c>
      <c r="K2976">
        <v>4001</v>
      </c>
      <c r="L2976" s="3">
        <v>-226374764</v>
      </c>
      <c r="M2976" s="3">
        <v>0</v>
      </c>
      <c r="N2976">
        <v>500000</v>
      </c>
      <c r="O2976">
        <v>0</v>
      </c>
      <c r="P2976">
        <v>-226874764</v>
      </c>
      <c r="Q2976" t="s">
        <v>30</v>
      </c>
      <c r="R2976" t="s">
        <v>914</v>
      </c>
      <c r="S2976" t="str">
        <v>#N/A</v>
      </c>
      <c r="T2976" t="str">
        <v>31</v>
      </c>
    </row>
    <row r="2977" spans="1:20" ht="13.7" customHeight="1" x14ac:dyDescent="0.25">
      <c r="A2977" t="s">
        <v>320</v>
      </c>
      <c r="B2977" t="s">
        <v>321</v>
      </c>
      <c r="C2977" t="s">
        <v>142</v>
      </c>
      <c r="D2977">
        <v>464</v>
      </c>
      <c r="E2977" s="5">
        <v>43653</v>
      </c>
      <c r="F2977">
        <v>41350101</v>
      </c>
      <c r="G2977" t="s">
        <v>733</v>
      </c>
      <c r="H2977" t="s">
        <v>1125</v>
      </c>
      <c r="I2977" t="s">
        <v>1126</v>
      </c>
      <c r="J2977">
        <v>1007</v>
      </c>
      <c r="K2977">
        <v>4001</v>
      </c>
      <c r="L2977" s="3">
        <v>-226874764</v>
      </c>
      <c r="M2977" s="3">
        <v>0</v>
      </c>
      <c r="N2977">
        <v>617175</v>
      </c>
      <c r="O2977">
        <v>0</v>
      </c>
      <c r="P2977">
        <v>-227491939</v>
      </c>
      <c r="Q2977" t="s">
        <v>30</v>
      </c>
      <c r="R2977" t="s">
        <v>915</v>
      </c>
      <c r="S2977" t="str">
        <v>#N/A</v>
      </c>
      <c r="T2977" t="str">
        <v>31</v>
      </c>
    </row>
    <row r="2978" spans="1:20" ht="13.7" customHeight="1" x14ac:dyDescent="0.25">
      <c r="A2978" t="s">
        <v>320</v>
      </c>
      <c r="B2978" t="s">
        <v>321</v>
      </c>
      <c r="C2978" t="s">
        <v>142</v>
      </c>
      <c r="D2978">
        <v>464</v>
      </c>
      <c r="E2978" s="5">
        <v>43653</v>
      </c>
      <c r="F2978">
        <v>41350101</v>
      </c>
      <c r="G2978" t="s">
        <v>733</v>
      </c>
      <c r="H2978" t="s">
        <v>1125</v>
      </c>
      <c r="I2978" t="s">
        <v>1126</v>
      </c>
      <c r="J2978">
        <v>1007</v>
      </c>
      <c r="K2978">
        <v>4001</v>
      </c>
      <c r="L2978" s="3">
        <v>-227491939</v>
      </c>
      <c r="M2978" s="3">
        <v>0</v>
      </c>
      <c r="N2978">
        <v>362520</v>
      </c>
      <c r="O2978">
        <v>0</v>
      </c>
      <c r="P2978">
        <v>-227854459</v>
      </c>
      <c r="Q2978" t="s">
        <v>30</v>
      </c>
      <c r="R2978" t="s">
        <v>916</v>
      </c>
      <c r="S2978" t="str">
        <v>#N/A</v>
      </c>
      <c r="T2978" t="str">
        <v>31</v>
      </c>
    </row>
    <row r="2979" spans="1:20" ht="13.7" customHeight="1" x14ac:dyDescent="0.25">
      <c r="A2979" t="s">
        <v>320</v>
      </c>
      <c r="B2979" t="s">
        <v>321</v>
      </c>
      <c r="C2979" t="s">
        <v>142</v>
      </c>
      <c r="D2979">
        <v>464</v>
      </c>
      <c r="E2979" s="5">
        <v>43653</v>
      </c>
      <c r="F2979">
        <v>41350101</v>
      </c>
      <c r="G2979" t="s">
        <v>733</v>
      </c>
      <c r="H2979" t="s">
        <v>1125</v>
      </c>
      <c r="I2979" t="s">
        <v>1126</v>
      </c>
      <c r="J2979">
        <v>1007</v>
      </c>
      <c r="K2979">
        <v>4001</v>
      </c>
      <c r="L2979" s="3">
        <v>-227854459</v>
      </c>
      <c r="M2979" s="3">
        <v>0</v>
      </c>
      <c r="N2979">
        <v>206850</v>
      </c>
      <c r="O2979">
        <v>0</v>
      </c>
      <c r="P2979">
        <v>-228061309</v>
      </c>
      <c r="Q2979" t="s">
        <v>30</v>
      </c>
      <c r="R2979" t="s">
        <v>917</v>
      </c>
      <c r="S2979" t="str">
        <v>#N/A</v>
      </c>
      <c r="T2979" t="str">
        <v>31</v>
      </c>
    </row>
    <row r="2980" spans="1:20" ht="13.7" customHeight="1" x14ac:dyDescent="0.25">
      <c r="A2980" t="s">
        <v>320</v>
      </c>
      <c r="B2980" t="s">
        <v>321</v>
      </c>
      <c r="C2980" t="s">
        <v>142</v>
      </c>
      <c r="D2980">
        <v>464</v>
      </c>
      <c r="E2980" s="5">
        <v>43653</v>
      </c>
      <c r="F2980">
        <v>41350101</v>
      </c>
      <c r="G2980" t="s">
        <v>733</v>
      </c>
      <c r="H2980" t="s">
        <v>1125</v>
      </c>
      <c r="I2980" t="s">
        <v>1126</v>
      </c>
      <c r="J2980">
        <v>1007</v>
      </c>
      <c r="K2980">
        <v>4001</v>
      </c>
      <c r="L2980" s="3">
        <v>-228061309</v>
      </c>
      <c r="M2980" s="3">
        <v>0</v>
      </c>
      <c r="N2980">
        <v>724815</v>
      </c>
      <c r="O2980">
        <v>0</v>
      </c>
      <c r="P2980">
        <v>-228786124</v>
      </c>
      <c r="Q2980" t="s">
        <v>30</v>
      </c>
      <c r="R2980" t="s">
        <v>918</v>
      </c>
      <c r="S2980" t="str">
        <v>#N/A</v>
      </c>
      <c r="T2980" t="str">
        <v>31</v>
      </c>
    </row>
    <row r="2981" spans="1:20" ht="13.7" customHeight="1" x14ac:dyDescent="0.25">
      <c r="A2981" t="s">
        <v>320</v>
      </c>
      <c r="B2981" t="s">
        <v>321</v>
      </c>
      <c r="C2981" t="s">
        <v>142</v>
      </c>
      <c r="D2981">
        <v>464</v>
      </c>
      <c r="E2981" s="5">
        <v>43653</v>
      </c>
      <c r="F2981">
        <v>41350101</v>
      </c>
      <c r="G2981" t="s">
        <v>733</v>
      </c>
      <c r="H2981" t="s">
        <v>1125</v>
      </c>
      <c r="I2981" t="s">
        <v>1126</v>
      </c>
      <c r="J2981">
        <v>1007</v>
      </c>
      <c r="K2981">
        <v>4001</v>
      </c>
      <c r="L2981" s="3">
        <v>-228786124</v>
      </c>
      <c r="M2981" s="3">
        <v>0</v>
      </c>
      <c r="N2981">
        <v>50000</v>
      </c>
      <c r="O2981">
        <v>0</v>
      </c>
      <c r="P2981">
        <v>-228836124</v>
      </c>
      <c r="Q2981" t="s">
        <v>30</v>
      </c>
      <c r="R2981" t="s">
        <v>919</v>
      </c>
      <c r="S2981" t="str">
        <v>#N/A</v>
      </c>
      <c r="T2981" t="str">
        <v>31</v>
      </c>
    </row>
    <row r="2982" spans="1:20" ht="13.7" customHeight="1" x14ac:dyDescent="0.25">
      <c r="A2982" t="s">
        <v>320</v>
      </c>
      <c r="B2982" t="s">
        <v>321</v>
      </c>
      <c r="C2982" t="s">
        <v>142</v>
      </c>
      <c r="D2982">
        <v>467</v>
      </c>
      <c r="E2982" s="5">
        <v>43656</v>
      </c>
      <c r="F2982">
        <v>41350101</v>
      </c>
      <c r="G2982" t="s">
        <v>733</v>
      </c>
      <c r="H2982" t="s">
        <v>1125</v>
      </c>
      <c r="I2982" t="s">
        <v>1126</v>
      </c>
      <c r="J2982">
        <v>1007</v>
      </c>
      <c r="K2982">
        <v>4001</v>
      </c>
      <c r="L2982" s="3">
        <v>-228836124</v>
      </c>
      <c r="M2982" s="3">
        <v>0</v>
      </c>
      <c r="N2982">
        <v>78000</v>
      </c>
      <c r="O2982">
        <v>0</v>
      </c>
      <c r="P2982">
        <v>-228914124</v>
      </c>
      <c r="Q2982" t="s">
        <v>30</v>
      </c>
      <c r="R2982" t="s">
        <v>921</v>
      </c>
      <c r="S2982" t="str">
        <v>#N/A</v>
      </c>
      <c r="T2982" t="str">
        <v>31</v>
      </c>
    </row>
    <row r="2983" spans="1:20" ht="13.7" customHeight="1" x14ac:dyDescent="0.25">
      <c r="A2983" t="s">
        <v>320</v>
      </c>
      <c r="B2983" t="s">
        <v>321</v>
      </c>
      <c r="C2983" t="s">
        <v>142</v>
      </c>
      <c r="D2983">
        <v>467</v>
      </c>
      <c r="E2983" s="5">
        <v>43656</v>
      </c>
      <c r="F2983">
        <v>41350101</v>
      </c>
      <c r="G2983" t="s">
        <v>733</v>
      </c>
      <c r="H2983" t="s">
        <v>1125</v>
      </c>
      <c r="I2983" t="s">
        <v>1126</v>
      </c>
      <c r="J2983">
        <v>1007</v>
      </c>
      <c r="K2983">
        <v>4001</v>
      </c>
      <c r="L2983" s="3">
        <v>-228914124</v>
      </c>
      <c r="M2983" s="3">
        <v>0</v>
      </c>
      <c r="N2983">
        <v>283500</v>
      </c>
      <c r="O2983">
        <v>0</v>
      </c>
      <c r="P2983">
        <v>-229197624</v>
      </c>
      <c r="Q2983" t="s">
        <v>30</v>
      </c>
      <c r="R2983" t="s">
        <v>922</v>
      </c>
      <c r="S2983" t="str">
        <v>#N/A</v>
      </c>
      <c r="T2983" t="str">
        <v>31</v>
      </c>
    </row>
    <row r="2984" spans="1:20" ht="13.7" customHeight="1" x14ac:dyDescent="0.25">
      <c r="A2984" t="s">
        <v>320</v>
      </c>
      <c r="B2984" t="s">
        <v>321</v>
      </c>
      <c r="C2984" t="s">
        <v>142</v>
      </c>
      <c r="D2984">
        <v>468</v>
      </c>
      <c r="E2984" s="5">
        <v>43665</v>
      </c>
      <c r="F2984">
        <v>41350101</v>
      </c>
      <c r="G2984" t="s">
        <v>733</v>
      </c>
      <c r="H2984" t="s">
        <v>1125</v>
      </c>
      <c r="I2984" t="s">
        <v>1126</v>
      </c>
      <c r="J2984">
        <v>1007</v>
      </c>
      <c r="K2984">
        <v>4001</v>
      </c>
      <c r="L2984" s="3">
        <v>-229197624</v>
      </c>
      <c r="M2984" s="3">
        <v>0</v>
      </c>
      <c r="N2984">
        <v>12000</v>
      </c>
      <c r="O2984">
        <v>0</v>
      </c>
      <c r="P2984">
        <v>-229209624</v>
      </c>
      <c r="Q2984" t="s">
        <v>30</v>
      </c>
      <c r="R2984" t="s">
        <v>923</v>
      </c>
      <c r="S2984" t="str">
        <v>#N/A</v>
      </c>
      <c r="T2984" t="str">
        <v>31</v>
      </c>
    </row>
    <row r="2985" spans="1:20" ht="13.7" customHeight="1" x14ac:dyDescent="0.25">
      <c r="A2985" t="s">
        <v>320</v>
      </c>
      <c r="B2985" t="s">
        <v>321</v>
      </c>
      <c r="C2985" t="s">
        <v>142</v>
      </c>
      <c r="D2985">
        <v>468</v>
      </c>
      <c r="E2985" s="5">
        <v>43665</v>
      </c>
      <c r="F2985">
        <v>41350101</v>
      </c>
      <c r="G2985" t="s">
        <v>733</v>
      </c>
      <c r="H2985" t="s">
        <v>1125</v>
      </c>
      <c r="I2985" t="s">
        <v>1126</v>
      </c>
      <c r="J2985">
        <v>1007</v>
      </c>
      <c r="K2985">
        <v>4001</v>
      </c>
      <c r="L2985" s="3">
        <v>-229209624</v>
      </c>
      <c r="M2985" s="3">
        <v>0</v>
      </c>
      <c r="N2985">
        <v>68000</v>
      </c>
      <c r="O2985">
        <v>0</v>
      </c>
      <c r="P2985">
        <v>-229277624</v>
      </c>
      <c r="Q2985" t="s">
        <v>30</v>
      </c>
      <c r="R2985" t="s">
        <v>924</v>
      </c>
      <c r="S2985" t="str">
        <v>#N/A</v>
      </c>
      <c r="T2985" t="str">
        <v>31</v>
      </c>
    </row>
    <row r="2986" spans="1:20" ht="13.7" customHeight="1" x14ac:dyDescent="0.25">
      <c r="A2986" t="s">
        <v>320</v>
      </c>
      <c r="B2986" t="s">
        <v>321</v>
      </c>
      <c r="C2986" t="s">
        <v>142</v>
      </c>
      <c r="D2986">
        <v>468</v>
      </c>
      <c r="E2986" s="5">
        <v>43665</v>
      </c>
      <c r="F2986">
        <v>41350101</v>
      </c>
      <c r="G2986" t="s">
        <v>733</v>
      </c>
      <c r="H2986" t="s">
        <v>1125</v>
      </c>
      <c r="I2986" t="s">
        <v>1126</v>
      </c>
      <c r="J2986">
        <v>1007</v>
      </c>
      <c r="K2986">
        <v>4001</v>
      </c>
      <c r="L2986" s="3">
        <v>-229277624</v>
      </c>
      <c r="M2986" s="3">
        <v>0</v>
      </c>
      <c r="N2986">
        <v>48000</v>
      </c>
      <c r="O2986">
        <v>0</v>
      </c>
      <c r="P2986">
        <v>-229325624</v>
      </c>
      <c r="Q2986" t="s">
        <v>30</v>
      </c>
      <c r="R2986" t="s">
        <v>925</v>
      </c>
      <c r="S2986" t="str">
        <v>#N/A</v>
      </c>
      <c r="T2986" t="str">
        <v>31</v>
      </c>
    </row>
    <row r="2987" spans="1:20" ht="13.7" customHeight="1" x14ac:dyDescent="0.25">
      <c r="A2987" t="s">
        <v>320</v>
      </c>
      <c r="B2987" t="s">
        <v>321</v>
      </c>
      <c r="C2987" t="s">
        <v>142</v>
      </c>
      <c r="D2987">
        <v>468</v>
      </c>
      <c r="E2987" s="5">
        <v>43665</v>
      </c>
      <c r="F2987">
        <v>41350101</v>
      </c>
      <c r="G2987" t="s">
        <v>733</v>
      </c>
      <c r="H2987" t="s">
        <v>1125</v>
      </c>
      <c r="I2987" t="s">
        <v>1126</v>
      </c>
      <c r="J2987">
        <v>1007</v>
      </c>
      <c r="K2987">
        <v>4001</v>
      </c>
      <c r="L2987" s="3">
        <v>-229325624</v>
      </c>
      <c r="M2987" s="3">
        <v>0</v>
      </c>
      <c r="N2987">
        <v>25000</v>
      </c>
      <c r="O2987">
        <v>0</v>
      </c>
      <c r="P2987">
        <v>-229350624</v>
      </c>
      <c r="Q2987" t="s">
        <v>30</v>
      </c>
      <c r="R2987" t="s">
        <v>926</v>
      </c>
      <c r="S2987" t="str">
        <v>#N/A</v>
      </c>
      <c r="T2987" t="str">
        <v>31</v>
      </c>
    </row>
    <row r="2988" spans="1:20" ht="13.7" customHeight="1" x14ac:dyDescent="0.25">
      <c r="A2988" t="s">
        <v>320</v>
      </c>
      <c r="B2988" t="s">
        <v>321</v>
      </c>
      <c r="C2988" t="s">
        <v>142</v>
      </c>
      <c r="D2988">
        <v>469</v>
      </c>
      <c r="E2988" s="5">
        <v>43670</v>
      </c>
      <c r="F2988">
        <v>41350101</v>
      </c>
      <c r="G2988" t="s">
        <v>733</v>
      </c>
      <c r="H2988" t="s">
        <v>1125</v>
      </c>
      <c r="I2988" t="s">
        <v>1126</v>
      </c>
      <c r="J2988">
        <v>1007</v>
      </c>
      <c r="K2988">
        <v>4001</v>
      </c>
      <c r="L2988" s="3">
        <v>-229350624</v>
      </c>
      <c r="M2988" s="3">
        <v>0</v>
      </c>
      <c r="N2988">
        <v>2967030</v>
      </c>
      <c r="O2988">
        <v>0</v>
      </c>
      <c r="P2988">
        <v>-232317654</v>
      </c>
      <c r="Q2988" t="s">
        <v>30</v>
      </c>
      <c r="R2988" t="s">
        <v>927</v>
      </c>
      <c r="S2988" t="str">
        <v>#N/A</v>
      </c>
      <c r="T2988" t="str">
        <v>31</v>
      </c>
    </row>
    <row r="2989" spans="1:20" ht="13.7" customHeight="1" x14ac:dyDescent="0.25">
      <c r="A2989" t="s">
        <v>320</v>
      </c>
      <c r="B2989" t="s">
        <v>321</v>
      </c>
      <c r="C2989" t="s">
        <v>142</v>
      </c>
      <c r="D2989">
        <v>469</v>
      </c>
      <c r="E2989" s="5">
        <v>43670</v>
      </c>
      <c r="F2989">
        <v>41350101</v>
      </c>
      <c r="G2989" t="s">
        <v>733</v>
      </c>
      <c r="H2989" t="s">
        <v>1125</v>
      </c>
      <c r="I2989" t="s">
        <v>1126</v>
      </c>
      <c r="J2989">
        <v>1007</v>
      </c>
      <c r="K2989">
        <v>4001</v>
      </c>
      <c r="L2989" s="3">
        <v>-232317654</v>
      </c>
      <c r="M2989" s="3">
        <v>0</v>
      </c>
      <c r="N2989">
        <v>5000000</v>
      </c>
      <c r="O2989">
        <v>0</v>
      </c>
      <c r="P2989">
        <v>-237317654</v>
      </c>
      <c r="Q2989" t="s">
        <v>30</v>
      </c>
      <c r="R2989" t="s">
        <v>928</v>
      </c>
      <c r="S2989" t="str">
        <v>#N/A</v>
      </c>
      <c r="T2989" t="str">
        <v>31</v>
      </c>
    </row>
    <row r="2990" spans="1:20" ht="13.7" customHeight="1" x14ac:dyDescent="0.25">
      <c r="A2990" t="s">
        <v>320</v>
      </c>
      <c r="B2990" t="s">
        <v>321</v>
      </c>
      <c r="C2990" t="s">
        <v>142</v>
      </c>
      <c r="D2990">
        <v>469</v>
      </c>
      <c r="E2990" s="5">
        <v>43670</v>
      </c>
      <c r="F2990">
        <v>41350101</v>
      </c>
      <c r="G2990" t="s">
        <v>733</v>
      </c>
      <c r="H2990" t="s">
        <v>1125</v>
      </c>
      <c r="I2990" t="s">
        <v>1126</v>
      </c>
      <c r="J2990">
        <v>1007</v>
      </c>
      <c r="K2990">
        <v>4001</v>
      </c>
      <c r="L2990" s="3">
        <v>-237317654</v>
      </c>
      <c r="M2990" s="3">
        <v>0</v>
      </c>
      <c r="N2990">
        <v>424000</v>
      </c>
      <c r="O2990">
        <v>0</v>
      </c>
      <c r="P2990">
        <v>-237741654</v>
      </c>
      <c r="Q2990" t="s">
        <v>30</v>
      </c>
      <c r="R2990" t="s">
        <v>929</v>
      </c>
      <c r="S2990" t="str">
        <v>#N/A</v>
      </c>
      <c r="T2990" t="str">
        <v>31</v>
      </c>
    </row>
    <row r="2991" spans="1:20" ht="13.7" customHeight="1" x14ac:dyDescent="0.25">
      <c r="A2991" t="s">
        <v>320</v>
      </c>
      <c r="B2991" t="s">
        <v>321</v>
      </c>
      <c r="C2991" t="s">
        <v>142</v>
      </c>
      <c r="D2991">
        <v>469</v>
      </c>
      <c r="E2991" s="5">
        <v>43670</v>
      </c>
      <c r="F2991">
        <v>41350101</v>
      </c>
      <c r="G2991" t="s">
        <v>733</v>
      </c>
      <c r="H2991" t="s">
        <v>1125</v>
      </c>
      <c r="I2991" t="s">
        <v>1126</v>
      </c>
      <c r="J2991">
        <v>1007</v>
      </c>
      <c r="K2991">
        <v>4001</v>
      </c>
      <c r="L2991" s="3">
        <v>-237741654</v>
      </c>
      <c r="M2991" s="3">
        <v>0</v>
      </c>
      <c r="N2991">
        <v>400000</v>
      </c>
      <c r="O2991">
        <v>0</v>
      </c>
      <c r="P2991">
        <v>-238141654</v>
      </c>
      <c r="Q2991" t="s">
        <v>30</v>
      </c>
      <c r="R2991" t="s">
        <v>930</v>
      </c>
      <c r="S2991" t="str">
        <v>#N/A</v>
      </c>
      <c r="T2991" t="str">
        <v>31</v>
      </c>
    </row>
    <row r="2992" spans="1:20" ht="13.7" customHeight="1" x14ac:dyDescent="0.25">
      <c r="A2992" t="s">
        <v>320</v>
      </c>
      <c r="B2992" t="s">
        <v>321</v>
      </c>
      <c r="C2992" t="s">
        <v>142</v>
      </c>
      <c r="D2992">
        <v>473</v>
      </c>
      <c r="E2992" s="5">
        <v>43676</v>
      </c>
      <c r="F2992">
        <v>41350101</v>
      </c>
      <c r="G2992" t="s">
        <v>733</v>
      </c>
      <c r="H2992" t="s">
        <v>1125</v>
      </c>
      <c r="I2992" t="s">
        <v>1126</v>
      </c>
      <c r="J2992">
        <v>1007</v>
      </c>
      <c r="K2992">
        <v>4001</v>
      </c>
      <c r="L2992" s="3">
        <v>-238141654</v>
      </c>
      <c r="M2992" s="3">
        <v>0</v>
      </c>
      <c r="N2992">
        <v>55000</v>
      </c>
      <c r="O2992">
        <v>0</v>
      </c>
      <c r="P2992">
        <v>-238196654</v>
      </c>
      <c r="Q2992" t="s">
        <v>30</v>
      </c>
      <c r="R2992" t="s">
        <v>932</v>
      </c>
      <c r="S2992" t="str">
        <v>#N/A</v>
      </c>
      <c r="T2992" t="str">
        <v>31</v>
      </c>
    </row>
    <row r="2993" spans="1:20" ht="13.7" customHeight="1" x14ac:dyDescent="0.25">
      <c r="A2993" t="s">
        <v>320</v>
      </c>
      <c r="B2993" t="s">
        <v>321</v>
      </c>
      <c r="C2993" t="s">
        <v>142</v>
      </c>
      <c r="D2993">
        <v>490</v>
      </c>
      <c r="E2993" s="5">
        <v>43710</v>
      </c>
      <c r="F2993">
        <v>41350101</v>
      </c>
      <c r="G2993" t="s">
        <v>733</v>
      </c>
      <c r="H2993" t="s">
        <v>1125</v>
      </c>
      <c r="I2993" t="s">
        <v>1126</v>
      </c>
      <c r="J2993">
        <v>1007</v>
      </c>
      <c r="K2993">
        <v>4001</v>
      </c>
      <c r="L2993" s="3">
        <v>-238196654</v>
      </c>
      <c r="M2993" s="3">
        <v>0</v>
      </c>
      <c r="N2993">
        <v>160200</v>
      </c>
      <c r="O2993">
        <v>0</v>
      </c>
      <c r="P2993">
        <v>-238356854</v>
      </c>
      <c r="Q2993" t="s">
        <v>30</v>
      </c>
      <c r="R2993" t="s">
        <v>936</v>
      </c>
      <c r="S2993" t="str">
        <v>#N/A</v>
      </c>
      <c r="T2993" t="str">
        <v>31</v>
      </c>
    </row>
    <row r="2994" spans="1:20" ht="13.7" customHeight="1" x14ac:dyDescent="0.25">
      <c r="A2994" t="s">
        <v>320</v>
      </c>
      <c r="B2994" t="s">
        <v>321</v>
      </c>
      <c r="C2994" t="s">
        <v>142</v>
      </c>
      <c r="D2994">
        <v>490</v>
      </c>
      <c r="E2994" s="5">
        <v>43710</v>
      </c>
      <c r="F2994">
        <v>41350101</v>
      </c>
      <c r="G2994" t="s">
        <v>733</v>
      </c>
      <c r="H2994" t="s">
        <v>1125</v>
      </c>
      <c r="I2994" t="s">
        <v>1126</v>
      </c>
      <c r="J2994">
        <v>1007</v>
      </c>
      <c r="K2994">
        <v>4001</v>
      </c>
      <c r="L2994" s="3">
        <v>-238356854</v>
      </c>
      <c r="M2994" s="3">
        <v>0</v>
      </c>
      <c r="N2994">
        <v>219420</v>
      </c>
      <c r="O2994">
        <v>0</v>
      </c>
      <c r="P2994">
        <v>-238576274</v>
      </c>
      <c r="Q2994" t="s">
        <v>30</v>
      </c>
      <c r="R2994" t="s">
        <v>937</v>
      </c>
      <c r="S2994" t="str">
        <v>#N/A</v>
      </c>
      <c r="T2994" t="str">
        <v>31</v>
      </c>
    </row>
    <row r="2995" spans="1:20" ht="13.7" customHeight="1" x14ac:dyDescent="0.25">
      <c r="A2995" t="s">
        <v>320</v>
      </c>
      <c r="B2995" t="s">
        <v>321</v>
      </c>
      <c r="C2995" t="s">
        <v>142</v>
      </c>
      <c r="D2995">
        <v>490</v>
      </c>
      <c r="E2995" s="5">
        <v>43710</v>
      </c>
      <c r="F2995">
        <v>41350101</v>
      </c>
      <c r="G2995" t="s">
        <v>733</v>
      </c>
      <c r="H2995" t="s">
        <v>1125</v>
      </c>
      <c r="I2995" t="s">
        <v>1126</v>
      </c>
      <c r="J2995">
        <v>1007</v>
      </c>
      <c r="K2995">
        <v>4001</v>
      </c>
      <c r="L2995" s="3">
        <v>-238576274</v>
      </c>
      <c r="M2995" s="3">
        <v>0</v>
      </c>
      <c r="N2995">
        <v>257550</v>
      </c>
      <c r="O2995">
        <v>0</v>
      </c>
      <c r="P2995">
        <v>-238833824</v>
      </c>
      <c r="Q2995" t="s">
        <v>30</v>
      </c>
      <c r="R2995" t="s">
        <v>938</v>
      </c>
      <c r="S2995" t="str">
        <v>#N/A</v>
      </c>
      <c r="T2995" t="str">
        <v>31</v>
      </c>
    </row>
    <row r="2996" spans="1:20" ht="13.7" customHeight="1" x14ac:dyDescent="0.25">
      <c r="A2996" t="s">
        <v>320</v>
      </c>
      <c r="B2996" t="s">
        <v>321</v>
      </c>
      <c r="C2996" t="s">
        <v>142</v>
      </c>
      <c r="D2996">
        <v>490</v>
      </c>
      <c r="E2996" s="5">
        <v>43710</v>
      </c>
      <c r="F2996">
        <v>41350101</v>
      </c>
      <c r="G2996" t="s">
        <v>733</v>
      </c>
      <c r="H2996" t="s">
        <v>1125</v>
      </c>
      <c r="I2996" t="s">
        <v>1126</v>
      </c>
      <c r="J2996">
        <v>1007</v>
      </c>
      <c r="K2996">
        <v>4001</v>
      </c>
      <c r="L2996" s="3">
        <v>-238833824</v>
      </c>
      <c r="M2996" s="3">
        <v>0</v>
      </c>
      <c r="N2996">
        <v>438900</v>
      </c>
      <c r="O2996">
        <v>0</v>
      </c>
      <c r="P2996">
        <v>-239272724</v>
      </c>
      <c r="Q2996" t="s">
        <v>30</v>
      </c>
      <c r="R2996" t="s">
        <v>939</v>
      </c>
      <c r="S2996" t="str">
        <v>#N/A</v>
      </c>
      <c r="T2996" t="str">
        <v>31</v>
      </c>
    </row>
    <row r="2997" spans="1:20" ht="13.7" customHeight="1" x14ac:dyDescent="0.25">
      <c r="A2997" t="s">
        <v>320</v>
      </c>
      <c r="B2997" t="s">
        <v>321</v>
      </c>
      <c r="C2997" t="s">
        <v>142</v>
      </c>
      <c r="D2997">
        <v>492</v>
      </c>
      <c r="E2997" s="5">
        <v>43721</v>
      </c>
      <c r="F2997">
        <v>41350101</v>
      </c>
      <c r="G2997" t="s">
        <v>733</v>
      </c>
      <c r="H2997" t="s">
        <v>1125</v>
      </c>
      <c r="I2997" t="s">
        <v>1126</v>
      </c>
      <c r="J2997">
        <v>1007</v>
      </c>
      <c r="K2997">
        <v>4001</v>
      </c>
      <c r="L2997" s="3">
        <v>-239272724</v>
      </c>
      <c r="M2997" s="3">
        <v>0</v>
      </c>
      <c r="N2997">
        <v>321900</v>
      </c>
      <c r="O2997">
        <v>0</v>
      </c>
      <c r="P2997">
        <v>-239594624</v>
      </c>
      <c r="Q2997" t="s">
        <v>30</v>
      </c>
      <c r="R2997" t="s">
        <v>941</v>
      </c>
      <c r="S2997" t="str">
        <v>#N/A</v>
      </c>
      <c r="T2997" t="str">
        <v>31</v>
      </c>
    </row>
    <row r="2998" spans="1:20" ht="13.7" customHeight="1" x14ac:dyDescent="0.25">
      <c r="A2998" t="s">
        <v>320</v>
      </c>
      <c r="B2998" t="s">
        <v>321</v>
      </c>
      <c r="C2998" t="s">
        <v>142</v>
      </c>
      <c r="D2998">
        <v>492</v>
      </c>
      <c r="E2998" s="5">
        <v>43721</v>
      </c>
      <c r="F2998">
        <v>41350101</v>
      </c>
      <c r="G2998" t="s">
        <v>733</v>
      </c>
      <c r="H2998" t="s">
        <v>1125</v>
      </c>
      <c r="I2998" t="s">
        <v>1126</v>
      </c>
      <c r="J2998">
        <v>1007</v>
      </c>
      <c r="K2998">
        <v>4001</v>
      </c>
      <c r="L2998" s="3">
        <v>-239594624</v>
      </c>
      <c r="M2998" s="3">
        <v>0</v>
      </c>
      <c r="N2998">
        <v>296070</v>
      </c>
      <c r="O2998">
        <v>0</v>
      </c>
      <c r="P2998">
        <v>-239890694</v>
      </c>
      <c r="Q2998" t="s">
        <v>30</v>
      </c>
      <c r="R2998" t="s">
        <v>942</v>
      </c>
      <c r="S2998" t="str">
        <v>#N/A</v>
      </c>
      <c r="T2998" t="str">
        <v>31</v>
      </c>
    </row>
    <row r="2999" spans="1:20" ht="13.7" customHeight="1" x14ac:dyDescent="0.25">
      <c r="A2999" t="s">
        <v>320</v>
      </c>
      <c r="B2999" t="s">
        <v>321</v>
      </c>
      <c r="C2999" t="s">
        <v>142</v>
      </c>
      <c r="D2999">
        <v>492</v>
      </c>
      <c r="E2999" s="5">
        <v>43721</v>
      </c>
      <c r="F2999">
        <v>41350101</v>
      </c>
      <c r="G2999" t="s">
        <v>733</v>
      </c>
      <c r="H2999" t="s">
        <v>1125</v>
      </c>
      <c r="I2999" t="s">
        <v>1126</v>
      </c>
      <c r="J2999">
        <v>1007</v>
      </c>
      <c r="K2999">
        <v>4001</v>
      </c>
      <c r="L2999" s="3">
        <v>-239890694</v>
      </c>
      <c r="M2999" s="3">
        <v>0</v>
      </c>
      <c r="N2999">
        <v>785400</v>
      </c>
      <c r="O2999">
        <v>0</v>
      </c>
      <c r="P2999">
        <v>-240676094</v>
      </c>
      <c r="Q2999" t="s">
        <v>30</v>
      </c>
      <c r="R2999" t="s">
        <v>943</v>
      </c>
      <c r="S2999" t="str">
        <v>#N/A</v>
      </c>
      <c r="T2999" t="str">
        <v>31</v>
      </c>
    </row>
    <row r="3000" spans="1:20" ht="13.7" customHeight="1" x14ac:dyDescent="0.25">
      <c r="A3000" t="s">
        <v>320</v>
      </c>
      <c r="B3000" t="s">
        <v>321</v>
      </c>
      <c r="C3000" t="s">
        <v>142</v>
      </c>
      <c r="D3000">
        <v>492</v>
      </c>
      <c r="E3000" s="5">
        <v>43721</v>
      </c>
      <c r="F3000">
        <v>41350101</v>
      </c>
      <c r="G3000" t="s">
        <v>733</v>
      </c>
      <c r="H3000" t="s">
        <v>1125</v>
      </c>
      <c r="I3000" t="s">
        <v>1126</v>
      </c>
      <c r="J3000">
        <v>1007</v>
      </c>
      <c r="K3000">
        <v>4001</v>
      </c>
      <c r="L3000" s="3">
        <v>-240676094</v>
      </c>
      <c r="M3000" s="3">
        <v>0</v>
      </c>
      <c r="N3000">
        <v>721410</v>
      </c>
      <c r="O3000">
        <v>0</v>
      </c>
      <c r="P3000">
        <v>-241397504</v>
      </c>
      <c r="Q3000" t="s">
        <v>30</v>
      </c>
      <c r="R3000" t="s">
        <v>944</v>
      </c>
      <c r="S3000" t="str">
        <v>#N/A</v>
      </c>
      <c r="T3000" t="str">
        <v>31</v>
      </c>
    </row>
    <row r="3001" spans="1:20" ht="13.7" customHeight="1" x14ac:dyDescent="0.25">
      <c r="A3001" t="s">
        <v>320</v>
      </c>
      <c r="B3001" t="s">
        <v>321</v>
      </c>
      <c r="C3001" t="s">
        <v>142</v>
      </c>
      <c r="D3001">
        <v>492</v>
      </c>
      <c r="E3001" s="5">
        <v>43721</v>
      </c>
      <c r="F3001">
        <v>41350101</v>
      </c>
      <c r="G3001" t="s">
        <v>733</v>
      </c>
      <c r="H3001" t="s">
        <v>1125</v>
      </c>
      <c r="I3001" t="s">
        <v>1126</v>
      </c>
      <c r="J3001">
        <v>1007</v>
      </c>
      <c r="K3001">
        <v>4001</v>
      </c>
      <c r="L3001" s="3">
        <v>-241397504</v>
      </c>
      <c r="M3001" s="3">
        <v>0</v>
      </c>
      <c r="N3001">
        <v>242000</v>
      </c>
      <c r="O3001">
        <v>0</v>
      </c>
      <c r="P3001">
        <v>-241639504</v>
      </c>
      <c r="Q3001" t="s">
        <v>30</v>
      </c>
      <c r="R3001" t="s">
        <v>945</v>
      </c>
      <c r="S3001" t="str">
        <v>#N/A</v>
      </c>
      <c r="T3001" t="str">
        <v>31</v>
      </c>
    </row>
    <row r="3002" spans="1:20" ht="13.7" customHeight="1" x14ac:dyDescent="0.25">
      <c r="A3002" t="s">
        <v>320</v>
      </c>
      <c r="B3002" t="s">
        <v>321</v>
      </c>
      <c r="C3002" t="s">
        <v>142</v>
      </c>
      <c r="D3002">
        <v>492</v>
      </c>
      <c r="E3002" s="5">
        <v>43721</v>
      </c>
      <c r="F3002">
        <v>41350101</v>
      </c>
      <c r="G3002" t="s">
        <v>733</v>
      </c>
      <c r="H3002" t="s">
        <v>1125</v>
      </c>
      <c r="I3002" t="s">
        <v>1126</v>
      </c>
      <c r="J3002">
        <v>1007</v>
      </c>
      <c r="K3002">
        <v>4001</v>
      </c>
      <c r="L3002" s="3">
        <v>-241639504</v>
      </c>
      <c r="M3002" s="3">
        <v>0</v>
      </c>
      <c r="N3002">
        <v>420000</v>
      </c>
      <c r="O3002">
        <v>0</v>
      </c>
      <c r="P3002">
        <v>-242059504</v>
      </c>
      <c r="Q3002" t="s">
        <v>30</v>
      </c>
      <c r="R3002" t="s">
        <v>946</v>
      </c>
      <c r="S3002" t="str">
        <v>#N/A</v>
      </c>
      <c r="T3002" t="str">
        <v>31</v>
      </c>
    </row>
    <row r="3003" spans="1:20" ht="13.7" customHeight="1" x14ac:dyDescent="0.25">
      <c r="A3003" t="s">
        <v>320</v>
      </c>
      <c r="B3003" t="s">
        <v>321</v>
      </c>
      <c r="C3003" t="s">
        <v>142</v>
      </c>
      <c r="D3003">
        <v>492</v>
      </c>
      <c r="E3003" s="5">
        <v>43721</v>
      </c>
      <c r="F3003">
        <v>41350101</v>
      </c>
      <c r="G3003" t="s">
        <v>733</v>
      </c>
      <c r="H3003" t="s">
        <v>1125</v>
      </c>
      <c r="I3003" t="s">
        <v>1126</v>
      </c>
      <c r="J3003">
        <v>1007</v>
      </c>
      <c r="K3003">
        <v>4001</v>
      </c>
      <c r="L3003" s="3">
        <v>-242059504</v>
      </c>
      <c r="M3003" s="3">
        <v>0</v>
      </c>
      <c r="N3003">
        <v>445200</v>
      </c>
      <c r="O3003">
        <v>0</v>
      </c>
      <c r="P3003">
        <v>-242504704</v>
      </c>
      <c r="Q3003" t="s">
        <v>30</v>
      </c>
      <c r="R3003" t="s">
        <v>947</v>
      </c>
      <c r="S3003" t="str">
        <v>#N/A</v>
      </c>
      <c r="T3003" t="str">
        <v>31</v>
      </c>
    </row>
    <row r="3004" spans="1:20" ht="13.7" customHeight="1" x14ac:dyDescent="0.25">
      <c r="A3004" t="s">
        <v>320</v>
      </c>
      <c r="B3004" t="s">
        <v>321</v>
      </c>
      <c r="C3004" t="s">
        <v>142</v>
      </c>
      <c r="D3004">
        <v>495</v>
      </c>
      <c r="E3004" s="5">
        <v>43727</v>
      </c>
      <c r="F3004">
        <v>41350101</v>
      </c>
      <c r="G3004" t="s">
        <v>733</v>
      </c>
      <c r="H3004" t="s">
        <v>1125</v>
      </c>
      <c r="I3004" t="s">
        <v>1126</v>
      </c>
      <c r="J3004">
        <v>1007</v>
      </c>
      <c r="K3004">
        <v>4001</v>
      </c>
      <c r="L3004" s="3">
        <v>-242504704</v>
      </c>
      <c r="M3004" s="3">
        <v>0</v>
      </c>
      <c r="N3004">
        <v>80000</v>
      </c>
      <c r="O3004">
        <v>0</v>
      </c>
      <c r="P3004">
        <v>-242584704</v>
      </c>
      <c r="Q3004" t="s">
        <v>30</v>
      </c>
      <c r="R3004" t="s">
        <v>949</v>
      </c>
      <c r="S3004" t="str">
        <v>#N/A</v>
      </c>
      <c r="T3004" t="str">
        <v>31</v>
      </c>
    </row>
    <row r="3005" spans="1:20" ht="13.7" customHeight="1" x14ac:dyDescent="0.25">
      <c r="A3005" t="s">
        <v>320</v>
      </c>
      <c r="B3005" t="s">
        <v>321</v>
      </c>
      <c r="C3005" t="s">
        <v>142</v>
      </c>
      <c r="D3005">
        <v>495</v>
      </c>
      <c r="E3005" s="5">
        <v>43727</v>
      </c>
      <c r="F3005">
        <v>41350101</v>
      </c>
      <c r="G3005" t="s">
        <v>733</v>
      </c>
      <c r="H3005" t="s">
        <v>1125</v>
      </c>
      <c r="I3005" t="s">
        <v>1126</v>
      </c>
      <c r="J3005">
        <v>1007</v>
      </c>
      <c r="K3005">
        <v>4001</v>
      </c>
      <c r="L3005" s="3">
        <v>-242584704</v>
      </c>
      <c r="M3005" s="3">
        <v>0</v>
      </c>
      <c r="N3005">
        <v>100000</v>
      </c>
      <c r="O3005">
        <v>0</v>
      </c>
      <c r="P3005">
        <v>-242684704</v>
      </c>
      <c r="Q3005" t="s">
        <v>30</v>
      </c>
      <c r="R3005" t="s">
        <v>950</v>
      </c>
      <c r="S3005" t="str">
        <v>#N/A</v>
      </c>
      <c r="T3005" t="str">
        <v>31</v>
      </c>
    </row>
    <row r="3006" spans="1:20" ht="13.7" customHeight="1" x14ac:dyDescent="0.25">
      <c r="A3006" t="s">
        <v>320</v>
      </c>
      <c r="B3006" t="s">
        <v>321</v>
      </c>
      <c r="C3006" t="s">
        <v>142</v>
      </c>
      <c r="D3006">
        <v>495</v>
      </c>
      <c r="E3006" s="5">
        <v>43727</v>
      </c>
      <c r="F3006">
        <v>41350101</v>
      </c>
      <c r="G3006" t="s">
        <v>733</v>
      </c>
      <c r="H3006" t="s">
        <v>1125</v>
      </c>
      <c r="I3006" t="s">
        <v>1126</v>
      </c>
      <c r="J3006">
        <v>1007</v>
      </c>
      <c r="K3006">
        <v>4001</v>
      </c>
      <c r="L3006" s="3">
        <v>-242684704</v>
      </c>
      <c r="M3006" s="3">
        <v>0</v>
      </c>
      <c r="N3006">
        <v>100000</v>
      </c>
      <c r="O3006">
        <v>0</v>
      </c>
      <c r="P3006">
        <v>-242784704</v>
      </c>
      <c r="Q3006" t="s">
        <v>30</v>
      </c>
      <c r="R3006" t="s">
        <v>951</v>
      </c>
      <c r="S3006" t="str">
        <v>#N/A</v>
      </c>
      <c r="T3006" t="str">
        <v>31</v>
      </c>
    </row>
    <row r="3007" spans="1:20" ht="13.7" customHeight="1" x14ac:dyDescent="0.25">
      <c r="A3007" t="s">
        <v>320</v>
      </c>
      <c r="B3007" t="s">
        <v>321</v>
      </c>
      <c r="C3007" t="s">
        <v>142</v>
      </c>
      <c r="D3007">
        <v>495</v>
      </c>
      <c r="E3007" s="5">
        <v>43727</v>
      </c>
      <c r="F3007">
        <v>41350101</v>
      </c>
      <c r="G3007" t="s">
        <v>733</v>
      </c>
      <c r="H3007" t="s">
        <v>1125</v>
      </c>
      <c r="I3007" t="s">
        <v>1126</v>
      </c>
      <c r="J3007">
        <v>1007</v>
      </c>
      <c r="K3007">
        <v>4001</v>
      </c>
      <c r="L3007" s="3">
        <v>-242784704</v>
      </c>
      <c r="M3007" s="3">
        <v>0</v>
      </c>
      <c r="N3007">
        <v>80000</v>
      </c>
      <c r="O3007">
        <v>0</v>
      </c>
      <c r="P3007">
        <v>-242864704</v>
      </c>
      <c r="Q3007" t="s">
        <v>30</v>
      </c>
      <c r="R3007" t="s">
        <v>952</v>
      </c>
      <c r="S3007" t="str">
        <v>#N/A</v>
      </c>
      <c r="T3007" t="str">
        <v>31</v>
      </c>
    </row>
    <row r="3008" spans="1:20" ht="13.7" customHeight="1" x14ac:dyDescent="0.25">
      <c r="A3008" t="s">
        <v>320</v>
      </c>
      <c r="B3008" t="s">
        <v>321</v>
      </c>
      <c r="C3008" t="s">
        <v>142</v>
      </c>
      <c r="D3008">
        <v>495</v>
      </c>
      <c r="E3008" s="5">
        <v>43727</v>
      </c>
      <c r="F3008">
        <v>41350101</v>
      </c>
      <c r="G3008" t="s">
        <v>733</v>
      </c>
      <c r="H3008" t="s">
        <v>1125</v>
      </c>
      <c r="I3008" t="s">
        <v>1126</v>
      </c>
      <c r="J3008">
        <v>1007</v>
      </c>
      <c r="K3008">
        <v>4001</v>
      </c>
      <c r="L3008" s="3">
        <v>-242864704</v>
      </c>
      <c r="M3008" s="3">
        <v>0</v>
      </c>
      <c r="N3008">
        <v>80000</v>
      </c>
      <c r="O3008">
        <v>0</v>
      </c>
      <c r="P3008">
        <v>-242944704</v>
      </c>
      <c r="Q3008" t="s">
        <v>30</v>
      </c>
      <c r="R3008" t="s">
        <v>953</v>
      </c>
      <c r="S3008" t="str">
        <v>#N/A</v>
      </c>
      <c r="T3008" t="str">
        <v>31</v>
      </c>
    </row>
    <row r="3009" spans="1:20" ht="13.7" customHeight="1" x14ac:dyDescent="0.25">
      <c r="A3009" t="s">
        <v>320</v>
      </c>
      <c r="B3009" t="s">
        <v>321</v>
      </c>
      <c r="C3009" t="s">
        <v>142</v>
      </c>
      <c r="D3009">
        <v>495</v>
      </c>
      <c r="E3009" s="5">
        <v>43727</v>
      </c>
      <c r="F3009">
        <v>41350101</v>
      </c>
      <c r="G3009" t="s">
        <v>733</v>
      </c>
      <c r="H3009" t="s">
        <v>1125</v>
      </c>
      <c r="I3009" t="s">
        <v>1126</v>
      </c>
      <c r="J3009">
        <v>1007</v>
      </c>
      <c r="K3009">
        <v>4001</v>
      </c>
      <c r="L3009" s="3">
        <v>-242944704</v>
      </c>
      <c r="M3009" s="3">
        <v>0</v>
      </c>
      <c r="N3009">
        <v>100000</v>
      </c>
      <c r="O3009">
        <v>0</v>
      </c>
      <c r="P3009">
        <v>-243044704</v>
      </c>
      <c r="Q3009" t="s">
        <v>30</v>
      </c>
      <c r="R3009" t="s">
        <v>954</v>
      </c>
      <c r="S3009" t="str">
        <v>#N/A</v>
      </c>
      <c r="T3009" t="str">
        <v>31</v>
      </c>
    </row>
    <row r="3010" spans="1:20" ht="13.7" customHeight="1" x14ac:dyDescent="0.25">
      <c r="A3010" t="s">
        <v>320</v>
      </c>
      <c r="B3010" t="s">
        <v>321</v>
      </c>
      <c r="C3010" t="s">
        <v>142</v>
      </c>
      <c r="D3010">
        <v>495</v>
      </c>
      <c r="E3010" s="5">
        <v>43727</v>
      </c>
      <c r="F3010">
        <v>41350101</v>
      </c>
      <c r="G3010" t="s">
        <v>733</v>
      </c>
      <c r="H3010" t="s">
        <v>1125</v>
      </c>
      <c r="I3010" t="s">
        <v>1126</v>
      </c>
      <c r="J3010">
        <v>1007</v>
      </c>
      <c r="K3010">
        <v>4001</v>
      </c>
      <c r="L3010" s="3">
        <v>-243044704</v>
      </c>
      <c r="M3010" s="3">
        <v>0</v>
      </c>
      <c r="N3010">
        <v>80000</v>
      </c>
      <c r="O3010">
        <v>0</v>
      </c>
      <c r="P3010">
        <v>-243124704</v>
      </c>
      <c r="Q3010" t="s">
        <v>30</v>
      </c>
      <c r="R3010" t="s">
        <v>955</v>
      </c>
      <c r="S3010" t="str">
        <v>#N/A</v>
      </c>
      <c r="T3010" t="str">
        <v>31</v>
      </c>
    </row>
    <row r="3011" spans="1:20" ht="13.7" customHeight="1" x14ac:dyDescent="0.25">
      <c r="A3011" t="s">
        <v>320</v>
      </c>
      <c r="B3011" t="s">
        <v>321</v>
      </c>
      <c r="C3011" t="s">
        <v>142</v>
      </c>
      <c r="D3011">
        <v>495</v>
      </c>
      <c r="E3011" s="5">
        <v>43727</v>
      </c>
      <c r="F3011">
        <v>41350101</v>
      </c>
      <c r="G3011" t="s">
        <v>733</v>
      </c>
      <c r="H3011" t="s">
        <v>1125</v>
      </c>
      <c r="I3011" t="s">
        <v>1126</v>
      </c>
      <c r="J3011">
        <v>1007</v>
      </c>
      <c r="K3011">
        <v>4001</v>
      </c>
      <c r="L3011" s="3">
        <v>-243124704</v>
      </c>
      <c r="M3011" s="3">
        <v>0</v>
      </c>
      <c r="N3011">
        <v>30000</v>
      </c>
      <c r="O3011">
        <v>0</v>
      </c>
      <c r="P3011">
        <v>-243154704</v>
      </c>
      <c r="Q3011" t="s">
        <v>30</v>
      </c>
      <c r="R3011" t="s">
        <v>956</v>
      </c>
      <c r="S3011" t="str">
        <v>#N/A</v>
      </c>
      <c r="T3011" t="str">
        <v>31</v>
      </c>
    </row>
    <row r="3012" spans="1:20" ht="13.7" customHeight="1" x14ac:dyDescent="0.25">
      <c r="A3012" t="s">
        <v>320</v>
      </c>
      <c r="B3012" t="s">
        <v>321</v>
      </c>
      <c r="C3012" t="s">
        <v>142</v>
      </c>
      <c r="D3012">
        <v>497</v>
      </c>
      <c r="E3012" s="5">
        <v>43728</v>
      </c>
      <c r="F3012">
        <v>41350101</v>
      </c>
      <c r="G3012" t="s">
        <v>733</v>
      </c>
      <c r="H3012" t="s">
        <v>1125</v>
      </c>
      <c r="I3012" t="s">
        <v>1126</v>
      </c>
      <c r="J3012">
        <v>1007</v>
      </c>
      <c r="K3012">
        <v>4001</v>
      </c>
      <c r="L3012" s="3">
        <v>-243154704</v>
      </c>
      <c r="M3012" s="3">
        <v>0</v>
      </c>
      <c r="N3012">
        <v>6000000</v>
      </c>
      <c r="O3012">
        <v>0</v>
      </c>
      <c r="P3012">
        <v>-249154704</v>
      </c>
      <c r="Q3012" t="s">
        <v>30</v>
      </c>
      <c r="R3012" t="s">
        <v>961</v>
      </c>
      <c r="S3012" t="str">
        <v>#N/A</v>
      </c>
      <c r="T3012" t="str">
        <v>31</v>
      </c>
    </row>
    <row r="3013" spans="1:20" ht="13.7" customHeight="1" x14ac:dyDescent="0.25">
      <c r="A3013" t="s">
        <v>320</v>
      </c>
      <c r="B3013" t="s">
        <v>321</v>
      </c>
      <c r="C3013" t="s">
        <v>142</v>
      </c>
      <c r="D3013">
        <v>501</v>
      </c>
      <c r="E3013" s="5">
        <v>43738</v>
      </c>
      <c r="F3013">
        <v>41350101</v>
      </c>
      <c r="G3013" t="s">
        <v>733</v>
      </c>
      <c r="H3013" t="s">
        <v>1125</v>
      </c>
      <c r="I3013" t="s">
        <v>1126</v>
      </c>
      <c r="J3013">
        <v>1007</v>
      </c>
      <c r="K3013">
        <v>4001</v>
      </c>
      <c r="L3013" s="3">
        <v>-249154704</v>
      </c>
      <c r="M3013" s="3">
        <v>0</v>
      </c>
      <c r="N3013">
        <v>469200</v>
      </c>
      <c r="O3013">
        <v>0</v>
      </c>
      <c r="P3013">
        <v>-249623904</v>
      </c>
      <c r="Q3013" t="s">
        <v>30</v>
      </c>
      <c r="R3013" t="s">
        <v>968</v>
      </c>
      <c r="S3013" t="str">
        <v>#N/A</v>
      </c>
      <c r="T3013" t="str">
        <v>31</v>
      </c>
    </row>
    <row r="3014" spans="1:20" ht="13.7" customHeight="1" x14ac:dyDescent="0.25">
      <c r="A3014" t="s">
        <v>320</v>
      </c>
      <c r="B3014" t="s">
        <v>321</v>
      </c>
      <c r="C3014" t="s">
        <v>142</v>
      </c>
      <c r="D3014">
        <v>501</v>
      </c>
      <c r="E3014" s="5">
        <v>43738</v>
      </c>
      <c r="F3014">
        <v>41350101</v>
      </c>
      <c r="G3014" t="s">
        <v>733</v>
      </c>
      <c r="H3014" t="s">
        <v>1125</v>
      </c>
      <c r="I3014" t="s">
        <v>1126</v>
      </c>
      <c r="J3014">
        <v>1007</v>
      </c>
      <c r="K3014">
        <v>4001</v>
      </c>
      <c r="L3014" s="3">
        <v>-249623904</v>
      </c>
      <c r="M3014" s="3">
        <v>0</v>
      </c>
      <c r="N3014">
        <v>382500</v>
      </c>
      <c r="O3014">
        <v>0</v>
      </c>
      <c r="P3014">
        <v>-250006404</v>
      </c>
      <c r="Q3014" t="s">
        <v>30</v>
      </c>
      <c r="R3014" t="s">
        <v>969</v>
      </c>
      <c r="S3014" t="str">
        <v>#N/A</v>
      </c>
      <c r="T3014" t="str">
        <v>31</v>
      </c>
    </row>
    <row r="3015" spans="1:20" ht="13.7" customHeight="1" x14ac:dyDescent="0.25">
      <c r="A3015" t="s">
        <v>320</v>
      </c>
      <c r="B3015" t="s">
        <v>321</v>
      </c>
      <c r="C3015" t="s">
        <v>142</v>
      </c>
      <c r="D3015">
        <v>501</v>
      </c>
      <c r="E3015" s="5">
        <v>43738</v>
      </c>
      <c r="F3015">
        <v>41350101</v>
      </c>
      <c r="G3015" t="s">
        <v>733</v>
      </c>
      <c r="H3015" t="s">
        <v>1125</v>
      </c>
      <c r="I3015" t="s">
        <v>1126</v>
      </c>
      <c r="J3015">
        <v>1007</v>
      </c>
      <c r="K3015">
        <v>4001</v>
      </c>
      <c r="L3015" s="3">
        <v>-250006404</v>
      </c>
      <c r="M3015" s="3">
        <v>0</v>
      </c>
      <c r="N3015">
        <v>429510</v>
      </c>
      <c r="O3015">
        <v>0</v>
      </c>
      <c r="P3015">
        <v>-250435914</v>
      </c>
      <c r="Q3015" t="s">
        <v>30</v>
      </c>
      <c r="R3015" t="s">
        <v>970</v>
      </c>
      <c r="S3015" t="str">
        <v>#N/A</v>
      </c>
      <c r="T3015" t="str">
        <v>31</v>
      </c>
    </row>
    <row r="3016" spans="1:20" ht="13.7" customHeight="1" x14ac:dyDescent="0.25">
      <c r="A3016" t="s">
        <v>320</v>
      </c>
      <c r="B3016" t="s">
        <v>321</v>
      </c>
      <c r="C3016" t="s">
        <v>142</v>
      </c>
      <c r="D3016">
        <v>501</v>
      </c>
      <c r="E3016" s="5">
        <v>43738</v>
      </c>
      <c r="F3016">
        <v>41350101</v>
      </c>
      <c r="G3016" t="s">
        <v>733</v>
      </c>
      <c r="H3016" t="s">
        <v>1125</v>
      </c>
      <c r="I3016" t="s">
        <v>1126</v>
      </c>
      <c r="J3016">
        <v>1007</v>
      </c>
      <c r="K3016">
        <v>4001</v>
      </c>
      <c r="L3016" s="3">
        <v>-250435914</v>
      </c>
      <c r="M3016" s="3">
        <v>0</v>
      </c>
      <c r="N3016">
        <v>240300</v>
      </c>
      <c r="O3016">
        <v>0</v>
      </c>
      <c r="P3016">
        <v>-250676214</v>
      </c>
      <c r="Q3016" t="s">
        <v>30</v>
      </c>
      <c r="R3016" t="s">
        <v>971</v>
      </c>
      <c r="S3016" t="str">
        <v>#N/A</v>
      </c>
      <c r="T3016" t="str">
        <v>31</v>
      </c>
    </row>
    <row r="3017" spans="1:20" ht="13.7" customHeight="1" x14ac:dyDescent="0.25">
      <c r="A3017" t="s">
        <v>320</v>
      </c>
      <c r="B3017" t="s">
        <v>321</v>
      </c>
      <c r="C3017" t="s">
        <v>142</v>
      </c>
      <c r="D3017">
        <v>501</v>
      </c>
      <c r="E3017" s="5">
        <v>43738</v>
      </c>
      <c r="F3017">
        <v>41350101</v>
      </c>
      <c r="G3017" t="s">
        <v>733</v>
      </c>
      <c r="H3017" t="s">
        <v>1125</v>
      </c>
      <c r="I3017" t="s">
        <v>1126</v>
      </c>
      <c r="J3017">
        <v>1007</v>
      </c>
      <c r="K3017">
        <v>4001</v>
      </c>
      <c r="L3017" s="3">
        <v>-250676214</v>
      </c>
      <c r="M3017" s="3">
        <v>0</v>
      </c>
      <c r="N3017">
        <v>210000</v>
      </c>
      <c r="O3017">
        <v>0</v>
      </c>
      <c r="P3017">
        <v>-250886214</v>
      </c>
      <c r="Q3017" t="s">
        <v>30</v>
      </c>
      <c r="R3017" t="s">
        <v>972</v>
      </c>
      <c r="S3017" t="str">
        <v>#N/A</v>
      </c>
      <c r="T3017" t="str">
        <v>31</v>
      </c>
    </row>
    <row r="3018" spans="1:20" ht="13.7" customHeight="1" x14ac:dyDescent="0.25">
      <c r="A3018" t="s">
        <v>320</v>
      </c>
      <c r="B3018" t="s">
        <v>321</v>
      </c>
      <c r="C3018" t="s">
        <v>142</v>
      </c>
      <c r="D3018">
        <v>501</v>
      </c>
      <c r="E3018" s="5">
        <v>43738</v>
      </c>
      <c r="F3018">
        <v>41350101</v>
      </c>
      <c r="G3018" t="s">
        <v>733</v>
      </c>
      <c r="H3018" t="s">
        <v>1125</v>
      </c>
      <c r="I3018" t="s">
        <v>1126</v>
      </c>
      <c r="J3018">
        <v>1007</v>
      </c>
      <c r="K3018">
        <v>4001</v>
      </c>
      <c r="L3018" s="3">
        <v>-250886214</v>
      </c>
      <c r="M3018" s="3">
        <v>0</v>
      </c>
      <c r="N3018">
        <v>364455</v>
      </c>
      <c r="O3018">
        <v>0</v>
      </c>
      <c r="P3018">
        <v>-251250669</v>
      </c>
      <c r="Q3018" t="s">
        <v>30</v>
      </c>
      <c r="R3018" t="s">
        <v>973</v>
      </c>
      <c r="S3018" t="str">
        <v>#N/A</v>
      </c>
      <c r="T3018" t="str">
        <v>31</v>
      </c>
    </row>
    <row r="3019" spans="1:20" ht="13.7" customHeight="1" x14ac:dyDescent="0.25">
      <c r="A3019" t="s">
        <v>320</v>
      </c>
      <c r="B3019" t="s">
        <v>321</v>
      </c>
      <c r="C3019" t="s">
        <v>142</v>
      </c>
      <c r="D3019">
        <v>502</v>
      </c>
      <c r="E3019" s="5">
        <v>43738</v>
      </c>
      <c r="F3019">
        <v>41350101</v>
      </c>
      <c r="G3019" t="s">
        <v>733</v>
      </c>
      <c r="H3019" t="s">
        <v>1125</v>
      </c>
      <c r="I3019" t="s">
        <v>1126</v>
      </c>
      <c r="J3019">
        <v>1007</v>
      </c>
      <c r="K3019">
        <v>4001</v>
      </c>
      <c r="L3019" s="3">
        <v>-251250669</v>
      </c>
      <c r="M3019" s="3">
        <v>0</v>
      </c>
      <c r="N3019">
        <v>6400</v>
      </c>
      <c r="O3019">
        <v>0</v>
      </c>
      <c r="P3019">
        <v>-251257069</v>
      </c>
      <c r="Q3019" t="s">
        <v>30</v>
      </c>
      <c r="R3019" t="s">
        <v>974</v>
      </c>
      <c r="S3019" t="str">
        <v>#N/A</v>
      </c>
      <c r="T3019" t="str">
        <v>31</v>
      </c>
    </row>
    <row r="3020" spans="1:20" ht="13.7" customHeight="1" x14ac:dyDescent="0.25">
      <c r="A3020" t="s">
        <v>320</v>
      </c>
      <c r="B3020" t="s">
        <v>321</v>
      </c>
      <c r="C3020" t="s">
        <v>142</v>
      </c>
      <c r="D3020">
        <v>502</v>
      </c>
      <c r="E3020" s="5">
        <v>43738</v>
      </c>
      <c r="F3020">
        <v>41350101</v>
      </c>
      <c r="G3020" t="s">
        <v>733</v>
      </c>
      <c r="H3020" t="s">
        <v>1125</v>
      </c>
      <c r="I3020" t="s">
        <v>1126</v>
      </c>
      <c r="J3020">
        <v>1007</v>
      </c>
      <c r="K3020">
        <v>4001</v>
      </c>
      <c r="L3020" s="3">
        <v>-251257069</v>
      </c>
      <c r="M3020" s="3">
        <v>0</v>
      </c>
      <c r="N3020">
        <v>5600</v>
      </c>
      <c r="O3020">
        <v>0</v>
      </c>
      <c r="P3020">
        <v>-251262669</v>
      </c>
      <c r="Q3020" t="s">
        <v>30</v>
      </c>
      <c r="R3020" t="s">
        <v>975</v>
      </c>
      <c r="S3020" t="str">
        <v>#N/A</v>
      </c>
      <c r="T3020" t="str">
        <v>31</v>
      </c>
    </row>
    <row r="3021" spans="1:20" ht="13.7" customHeight="1" x14ac:dyDescent="0.25">
      <c r="A3021" t="s">
        <v>320</v>
      </c>
      <c r="B3021" t="s">
        <v>321</v>
      </c>
      <c r="C3021" t="s">
        <v>142</v>
      </c>
      <c r="D3021">
        <v>502</v>
      </c>
      <c r="E3021" s="5">
        <v>43738</v>
      </c>
      <c r="F3021">
        <v>41350101</v>
      </c>
      <c r="G3021" t="s">
        <v>733</v>
      </c>
      <c r="H3021" t="s">
        <v>1125</v>
      </c>
      <c r="I3021" t="s">
        <v>1126</v>
      </c>
      <c r="J3021">
        <v>1007</v>
      </c>
      <c r="K3021">
        <v>4001</v>
      </c>
      <c r="L3021" s="3">
        <v>-251262669</v>
      </c>
      <c r="M3021" s="3">
        <v>0</v>
      </c>
      <c r="N3021">
        <v>136000</v>
      </c>
      <c r="O3021">
        <v>0</v>
      </c>
      <c r="P3021">
        <v>-251398669</v>
      </c>
      <c r="Q3021" t="s">
        <v>30</v>
      </c>
      <c r="R3021" t="s">
        <v>976</v>
      </c>
      <c r="S3021" t="str">
        <v>#N/A</v>
      </c>
      <c r="T3021" t="str">
        <v>31</v>
      </c>
    </row>
    <row r="3022" spans="1:20" ht="13.7" customHeight="1" x14ac:dyDescent="0.25">
      <c r="A3022" t="s">
        <v>320</v>
      </c>
      <c r="B3022" t="s">
        <v>321</v>
      </c>
      <c r="C3022" t="s">
        <v>142</v>
      </c>
      <c r="D3022">
        <v>504</v>
      </c>
      <c r="E3022" s="5">
        <v>43741</v>
      </c>
      <c r="F3022">
        <v>41350101</v>
      </c>
      <c r="G3022" t="s">
        <v>733</v>
      </c>
      <c r="H3022" t="s">
        <v>1125</v>
      </c>
      <c r="I3022" t="s">
        <v>1126</v>
      </c>
      <c r="J3022">
        <v>1007</v>
      </c>
      <c r="K3022">
        <v>4001</v>
      </c>
      <c r="L3022" s="3">
        <v>-251398669</v>
      </c>
      <c r="M3022" s="3">
        <v>0</v>
      </c>
      <c r="N3022">
        <v>2886000</v>
      </c>
      <c r="O3022">
        <v>0</v>
      </c>
      <c r="P3022">
        <v>-254284669</v>
      </c>
      <c r="Q3022" t="s">
        <v>30</v>
      </c>
      <c r="R3022" t="s">
        <v>489</v>
      </c>
      <c r="S3022" t="str">
        <v>#N/A</v>
      </c>
      <c r="T3022" t="str">
        <v>31</v>
      </c>
    </row>
    <row r="3023" spans="1:20" ht="13.7" customHeight="1" x14ac:dyDescent="0.25">
      <c r="A3023" t="s">
        <v>320</v>
      </c>
      <c r="B3023" t="s">
        <v>321</v>
      </c>
      <c r="C3023" t="s">
        <v>142</v>
      </c>
      <c r="D3023">
        <v>508</v>
      </c>
      <c r="E3023" s="5">
        <v>43748</v>
      </c>
      <c r="F3023">
        <v>41350101</v>
      </c>
      <c r="G3023" t="s">
        <v>733</v>
      </c>
      <c r="H3023" t="s">
        <v>1125</v>
      </c>
      <c r="I3023" t="s">
        <v>1126</v>
      </c>
      <c r="J3023">
        <v>1007</v>
      </c>
      <c r="K3023">
        <v>4001</v>
      </c>
      <c r="L3023" s="3">
        <v>-254284669</v>
      </c>
      <c r="M3023" s="3">
        <v>0</v>
      </c>
      <c r="N3023">
        <v>2940945</v>
      </c>
      <c r="O3023">
        <v>0</v>
      </c>
      <c r="P3023">
        <v>-257225614</v>
      </c>
      <c r="Q3023" t="s">
        <v>30</v>
      </c>
      <c r="R3023" t="s">
        <v>980</v>
      </c>
      <c r="S3023" t="str">
        <v>#N/A</v>
      </c>
      <c r="T3023" t="str">
        <v>31</v>
      </c>
    </row>
    <row r="3024" spans="1:20" ht="13.7" customHeight="1" x14ac:dyDescent="0.25">
      <c r="A3024" t="s">
        <v>320</v>
      </c>
      <c r="B3024" t="s">
        <v>321</v>
      </c>
      <c r="C3024" t="s">
        <v>142</v>
      </c>
      <c r="D3024">
        <v>508</v>
      </c>
      <c r="E3024" s="5">
        <v>43748</v>
      </c>
      <c r="F3024">
        <v>41350101</v>
      </c>
      <c r="G3024" t="s">
        <v>733</v>
      </c>
      <c r="H3024" t="s">
        <v>1125</v>
      </c>
      <c r="I3024" t="s">
        <v>1126</v>
      </c>
      <c r="J3024">
        <v>1007</v>
      </c>
      <c r="K3024">
        <v>4001</v>
      </c>
      <c r="L3024" s="3">
        <v>-257225614</v>
      </c>
      <c r="M3024" s="3">
        <v>0</v>
      </c>
      <c r="N3024">
        <v>226452</v>
      </c>
      <c r="O3024">
        <v>0</v>
      </c>
      <c r="P3024">
        <v>-257452066</v>
      </c>
      <c r="Q3024" t="s">
        <v>30</v>
      </c>
      <c r="R3024" t="s">
        <v>981</v>
      </c>
      <c r="S3024" t="str">
        <v>#N/A</v>
      </c>
      <c r="T3024" t="str">
        <v>31</v>
      </c>
    </row>
    <row r="3025" spans="1:20" ht="13.7" customHeight="1" x14ac:dyDescent="0.25">
      <c r="A3025" t="s">
        <v>320</v>
      </c>
      <c r="B3025" t="s">
        <v>321</v>
      </c>
      <c r="C3025" t="s">
        <v>142</v>
      </c>
      <c r="D3025">
        <v>508</v>
      </c>
      <c r="E3025" s="5">
        <v>43748</v>
      </c>
      <c r="F3025">
        <v>41350101</v>
      </c>
      <c r="G3025" t="s">
        <v>733</v>
      </c>
      <c r="H3025" t="s">
        <v>1125</v>
      </c>
      <c r="I3025" t="s">
        <v>1126</v>
      </c>
      <c r="J3025">
        <v>1007</v>
      </c>
      <c r="K3025">
        <v>4001</v>
      </c>
      <c r="L3025" s="3">
        <v>-257452066</v>
      </c>
      <c r="M3025" s="3">
        <v>0</v>
      </c>
      <c r="N3025">
        <v>313200</v>
      </c>
      <c r="O3025">
        <v>0</v>
      </c>
      <c r="P3025">
        <v>-257765266</v>
      </c>
      <c r="Q3025" t="s">
        <v>30</v>
      </c>
      <c r="R3025" t="s">
        <v>982</v>
      </c>
      <c r="S3025" t="str">
        <v>#N/A</v>
      </c>
      <c r="T3025" t="str">
        <v>31</v>
      </c>
    </row>
    <row r="3026" spans="1:20" ht="13.7" customHeight="1" x14ac:dyDescent="0.25">
      <c r="A3026" t="s">
        <v>320</v>
      </c>
      <c r="B3026" t="s">
        <v>321</v>
      </c>
      <c r="C3026" t="s">
        <v>142</v>
      </c>
      <c r="D3026">
        <v>508</v>
      </c>
      <c r="E3026" s="5">
        <v>43748</v>
      </c>
      <c r="F3026">
        <v>41350101</v>
      </c>
      <c r="G3026" t="s">
        <v>733</v>
      </c>
      <c r="H3026" t="s">
        <v>1125</v>
      </c>
      <c r="I3026" t="s">
        <v>1126</v>
      </c>
      <c r="J3026">
        <v>1007</v>
      </c>
      <c r="K3026">
        <v>4001</v>
      </c>
      <c r="L3026" s="3">
        <v>-257765266</v>
      </c>
      <c r="M3026" s="3">
        <v>0</v>
      </c>
      <c r="N3026">
        <v>180000</v>
      </c>
      <c r="O3026">
        <v>0</v>
      </c>
      <c r="P3026">
        <v>-257945266</v>
      </c>
      <c r="Q3026" t="s">
        <v>30</v>
      </c>
      <c r="R3026" t="s">
        <v>983</v>
      </c>
      <c r="S3026" t="str">
        <v>#N/A</v>
      </c>
      <c r="T3026" t="str">
        <v>31</v>
      </c>
    </row>
    <row r="3027" spans="1:20" ht="13.7" customHeight="1" x14ac:dyDescent="0.25">
      <c r="A3027" t="s">
        <v>320</v>
      </c>
      <c r="B3027" t="s">
        <v>321</v>
      </c>
      <c r="C3027" t="s">
        <v>142</v>
      </c>
      <c r="D3027">
        <v>508</v>
      </c>
      <c r="E3027" s="5">
        <v>43748</v>
      </c>
      <c r="F3027">
        <v>41350101</v>
      </c>
      <c r="G3027" t="s">
        <v>733</v>
      </c>
      <c r="H3027" t="s">
        <v>1125</v>
      </c>
      <c r="I3027" t="s">
        <v>1126</v>
      </c>
      <c r="J3027">
        <v>1007</v>
      </c>
      <c r="K3027">
        <v>4001</v>
      </c>
      <c r="L3027" s="3">
        <v>-257945266</v>
      </c>
      <c r="M3027" s="3">
        <v>0</v>
      </c>
      <c r="N3027">
        <v>210000</v>
      </c>
      <c r="O3027">
        <v>0</v>
      </c>
      <c r="P3027">
        <v>-258155266</v>
      </c>
      <c r="Q3027" t="s">
        <v>30</v>
      </c>
      <c r="R3027" t="s">
        <v>984</v>
      </c>
      <c r="S3027" t="str">
        <v>#N/A</v>
      </c>
      <c r="T3027" t="str">
        <v>31</v>
      </c>
    </row>
    <row r="3028" spans="1:20" ht="13.7" customHeight="1" x14ac:dyDescent="0.25">
      <c r="A3028" t="s">
        <v>320</v>
      </c>
      <c r="B3028" t="s">
        <v>321</v>
      </c>
      <c r="C3028" t="s">
        <v>142</v>
      </c>
      <c r="D3028">
        <v>508</v>
      </c>
      <c r="E3028" s="5">
        <v>43748</v>
      </c>
      <c r="F3028">
        <v>41350101</v>
      </c>
      <c r="G3028" t="s">
        <v>733</v>
      </c>
      <c r="H3028" t="s">
        <v>1125</v>
      </c>
      <c r="I3028" t="s">
        <v>1126</v>
      </c>
      <c r="J3028">
        <v>1007</v>
      </c>
      <c r="K3028">
        <v>4001</v>
      </c>
      <c r="L3028" s="3">
        <v>-258155266</v>
      </c>
      <c r="M3028" s="3">
        <v>0</v>
      </c>
      <c r="N3028">
        <v>74000</v>
      </c>
      <c r="O3028">
        <v>0</v>
      </c>
      <c r="P3028">
        <v>-258229266</v>
      </c>
      <c r="Q3028" t="s">
        <v>30</v>
      </c>
      <c r="R3028" t="s">
        <v>985</v>
      </c>
      <c r="S3028" t="str">
        <v>#N/A</v>
      </c>
      <c r="T3028" t="str">
        <v>31</v>
      </c>
    </row>
    <row r="3029" spans="1:20" ht="13.7" customHeight="1" x14ac:dyDescent="0.25">
      <c r="A3029" t="s">
        <v>320</v>
      </c>
      <c r="B3029" t="s">
        <v>321</v>
      </c>
      <c r="C3029" t="s">
        <v>142</v>
      </c>
      <c r="D3029">
        <v>508</v>
      </c>
      <c r="E3029" s="5">
        <v>43748</v>
      </c>
      <c r="F3029">
        <v>41350101</v>
      </c>
      <c r="G3029" t="s">
        <v>733</v>
      </c>
      <c r="H3029" t="s">
        <v>1125</v>
      </c>
      <c r="I3029" t="s">
        <v>1126</v>
      </c>
      <c r="J3029">
        <v>1007</v>
      </c>
      <c r="K3029">
        <v>4001</v>
      </c>
      <c r="L3029" s="3">
        <v>-258229266</v>
      </c>
      <c r="M3029" s="3">
        <v>0</v>
      </c>
      <c r="N3029">
        <v>71000</v>
      </c>
      <c r="O3029">
        <v>0</v>
      </c>
      <c r="P3029">
        <v>-258300266</v>
      </c>
      <c r="Q3029" t="s">
        <v>30</v>
      </c>
      <c r="R3029" t="s">
        <v>986</v>
      </c>
      <c r="S3029" t="str">
        <v>#N/A</v>
      </c>
      <c r="T3029" t="str">
        <v>31</v>
      </c>
    </row>
    <row r="3030" spans="1:20" ht="13.7" customHeight="1" x14ac:dyDescent="0.25">
      <c r="A3030" t="s">
        <v>320</v>
      </c>
      <c r="B3030" t="s">
        <v>321</v>
      </c>
      <c r="C3030" t="s">
        <v>142</v>
      </c>
      <c r="D3030">
        <v>510</v>
      </c>
      <c r="E3030" s="5">
        <v>43749</v>
      </c>
      <c r="F3030">
        <v>41350101</v>
      </c>
      <c r="G3030" t="s">
        <v>733</v>
      </c>
      <c r="H3030" t="s">
        <v>1125</v>
      </c>
      <c r="I3030" t="s">
        <v>1126</v>
      </c>
      <c r="J3030">
        <v>1007</v>
      </c>
      <c r="K3030">
        <v>4001</v>
      </c>
      <c r="L3030" s="3">
        <v>-258300266</v>
      </c>
      <c r="M3030" s="3">
        <v>0</v>
      </c>
      <c r="N3030">
        <v>208000</v>
      </c>
      <c r="O3030">
        <v>0</v>
      </c>
      <c r="P3030">
        <v>-258508266</v>
      </c>
      <c r="Q3030" t="s">
        <v>30</v>
      </c>
      <c r="R3030" t="s">
        <v>988</v>
      </c>
      <c r="S3030" t="str">
        <v>#N/A</v>
      </c>
      <c r="T3030" t="str">
        <v>31</v>
      </c>
    </row>
    <row r="3031" spans="1:20" ht="13.7" customHeight="1" x14ac:dyDescent="0.25">
      <c r="A3031" t="s">
        <v>320</v>
      </c>
      <c r="B3031" t="s">
        <v>321</v>
      </c>
      <c r="C3031" t="s">
        <v>142</v>
      </c>
      <c r="D3031">
        <v>511</v>
      </c>
      <c r="E3031" s="5">
        <v>43754</v>
      </c>
      <c r="F3031">
        <v>41350101</v>
      </c>
      <c r="G3031" t="s">
        <v>733</v>
      </c>
      <c r="H3031" t="s">
        <v>1125</v>
      </c>
      <c r="I3031" t="s">
        <v>1126</v>
      </c>
      <c r="J3031">
        <v>1007</v>
      </c>
      <c r="K3031">
        <v>4001</v>
      </c>
      <c r="L3031" s="3">
        <v>-258508266</v>
      </c>
      <c r="M3031" s="3">
        <v>0</v>
      </c>
      <c r="N3031">
        <v>572000</v>
      </c>
      <c r="O3031">
        <v>0</v>
      </c>
      <c r="P3031">
        <v>-259080266</v>
      </c>
      <c r="Q3031" t="s">
        <v>30</v>
      </c>
      <c r="R3031" t="s">
        <v>989</v>
      </c>
      <c r="S3031" t="str">
        <v>#N/A</v>
      </c>
      <c r="T3031" t="str">
        <v>31</v>
      </c>
    </row>
    <row r="3032" spans="1:20" ht="13.7" customHeight="1" x14ac:dyDescent="0.25">
      <c r="A3032" t="s">
        <v>320</v>
      </c>
      <c r="B3032" t="s">
        <v>321</v>
      </c>
      <c r="C3032" t="s">
        <v>142</v>
      </c>
      <c r="D3032">
        <v>511</v>
      </c>
      <c r="E3032" s="5">
        <v>43754</v>
      </c>
      <c r="F3032">
        <v>41350101</v>
      </c>
      <c r="G3032" t="s">
        <v>733</v>
      </c>
      <c r="H3032" t="s">
        <v>1125</v>
      </c>
      <c r="I3032" t="s">
        <v>1126</v>
      </c>
      <c r="J3032">
        <v>1007</v>
      </c>
      <c r="K3032">
        <v>4001</v>
      </c>
      <c r="L3032" s="3">
        <v>-259080266</v>
      </c>
      <c r="M3032" s="3">
        <v>0</v>
      </c>
      <c r="N3032">
        <v>7200</v>
      </c>
      <c r="O3032">
        <v>0</v>
      </c>
      <c r="P3032">
        <v>-259087466</v>
      </c>
      <c r="Q3032" t="s">
        <v>30</v>
      </c>
      <c r="R3032" t="s">
        <v>990</v>
      </c>
      <c r="S3032" t="str">
        <v>#N/A</v>
      </c>
      <c r="T3032" t="str">
        <v>31</v>
      </c>
    </row>
    <row r="3033" spans="1:20" ht="13.7" customHeight="1" x14ac:dyDescent="0.25">
      <c r="A3033" t="s">
        <v>320</v>
      </c>
      <c r="B3033" t="s">
        <v>321</v>
      </c>
      <c r="C3033" t="s">
        <v>142</v>
      </c>
      <c r="D3033">
        <v>511</v>
      </c>
      <c r="E3033" s="5">
        <v>43754</v>
      </c>
      <c r="F3033">
        <v>41350101</v>
      </c>
      <c r="G3033" t="s">
        <v>733</v>
      </c>
      <c r="H3033" t="s">
        <v>1125</v>
      </c>
      <c r="I3033" t="s">
        <v>1126</v>
      </c>
      <c r="J3033">
        <v>1007</v>
      </c>
      <c r="K3033">
        <v>4001</v>
      </c>
      <c r="L3033" s="3">
        <v>-259087466</v>
      </c>
      <c r="M3033" s="3">
        <v>0</v>
      </c>
      <c r="N3033">
        <v>40000</v>
      </c>
      <c r="O3033">
        <v>0</v>
      </c>
      <c r="P3033">
        <v>-259127466</v>
      </c>
      <c r="Q3033" t="s">
        <v>30</v>
      </c>
      <c r="R3033" t="s">
        <v>991</v>
      </c>
      <c r="S3033" t="str">
        <v>#N/A</v>
      </c>
      <c r="T3033" t="str">
        <v>31</v>
      </c>
    </row>
    <row r="3034" spans="1:20" ht="13.7" customHeight="1" x14ac:dyDescent="0.25">
      <c r="A3034" t="s">
        <v>320</v>
      </c>
      <c r="B3034" t="s">
        <v>321</v>
      </c>
      <c r="C3034" t="s">
        <v>142</v>
      </c>
      <c r="D3034">
        <v>511</v>
      </c>
      <c r="E3034" s="5">
        <v>43754</v>
      </c>
      <c r="F3034">
        <v>41350101</v>
      </c>
      <c r="G3034" t="s">
        <v>733</v>
      </c>
      <c r="H3034" t="s">
        <v>1125</v>
      </c>
      <c r="I3034" t="s">
        <v>1126</v>
      </c>
      <c r="J3034">
        <v>1007</v>
      </c>
      <c r="K3034">
        <v>4001</v>
      </c>
      <c r="L3034" s="3">
        <v>-259127466</v>
      </c>
      <c r="M3034" s="3">
        <v>0</v>
      </c>
      <c r="N3034">
        <v>60000</v>
      </c>
      <c r="O3034">
        <v>0</v>
      </c>
      <c r="P3034">
        <v>-259187466</v>
      </c>
      <c r="Q3034" t="s">
        <v>30</v>
      </c>
      <c r="R3034" t="s">
        <v>992</v>
      </c>
      <c r="S3034" t="str">
        <v>#N/A</v>
      </c>
      <c r="T3034" t="str">
        <v>31</v>
      </c>
    </row>
    <row r="3035" spans="1:20" ht="13.7" customHeight="1" x14ac:dyDescent="0.25">
      <c r="A3035" t="s">
        <v>320</v>
      </c>
      <c r="B3035" t="s">
        <v>321</v>
      </c>
      <c r="C3035" t="s">
        <v>142</v>
      </c>
      <c r="D3035">
        <v>511</v>
      </c>
      <c r="E3035" s="5">
        <v>43754</v>
      </c>
      <c r="F3035">
        <v>41350101</v>
      </c>
      <c r="G3035" t="s">
        <v>733</v>
      </c>
      <c r="H3035" t="s">
        <v>1125</v>
      </c>
      <c r="I3035" t="s">
        <v>1126</v>
      </c>
      <c r="J3035">
        <v>1007</v>
      </c>
      <c r="K3035">
        <v>4001</v>
      </c>
      <c r="L3035" s="3">
        <v>-259187466</v>
      </c>
      <c r="M3035" s="3">
        <v>0</v>
      </c>
      <c r="N3035">
        <v>20000</v>
      </c>
      <c r="O3035">
        <v>0</v>
      </c>
      <c r="P3035">
        <v>-259207466</v>
      </c>
      <c r="Q3035" t="s">
        <v>30</v>
      </c>
      <c r="R3035" t="s">
        <v>993</v>
      </c>
      <c r="S3035" t="str">
        <v>#N/A</v>
      </c>
      <c r="T3035" t="str">
        <v>31</v>
      </c>
    </row>
    <row r="3036" spans="1:20" ht="13.7" customHeight="1" x14ac:dyDescent="0.25">
      <c r="A3036" t="s">
        <v>320</v>
      </c>
      <c r="B3036" t="s">
        <v>321</v>
      </c>
      <c r="C3036" t="s">
        <v>142</v>
      </c>
      <c r="D3036">
        <v>511</v>
      </c>
      <c r="E3036" s="5">
        <v>43754</v>
      </c>
      <c r="F3036">
        <v>41350101</v>
      </c>
      <c r="G3036" t="s">
        <v>733</v>
      </c>
      <c r="H3036" t="s">
        <v>1125</v>
      </c>
      <c r="I3036" t="s">
        <v>1126</v>
      </c>
      <c r="J3036">
        <v>1007</v>
      </c>
      <c r="K3036">
        <v>4001</v>
      </c>
      <c r="L3036" s="3">
        <v>-259207466</v>
      </c>
      <c r="M3036" s="3">
        <v>0</v>
      </c>
      <c r="N3036">
        <v>20000</v>
      </c>
      <c r="O3036">
        <v>0</v>
      </c>
      <c r="P3036">
        <v>-259227466</v>
      </c>
      <c r="Q3036" t="s">
        <v>30</v>
      </c>
      <c r="R3036" t="s">
        <v>994</v>
      </c>
      <c r="S3036" t="str">
        <v>#N/A</v>
      </c>
      <c r="T3036" t="str">
        <v>31</v>
      </c>
    </row>
    <row r="3037" spans="1:20" ht="13.7" customHeight="1" x14ac:dyDescent="0.25">
      <c r="A3037" t="s">
        <v>320</v>
      </c>
      <c r="B3037" t="s">
        <v>321</v>
      </c>
      <c r="C3037" t="s">
        <v>142</v>
      </c>
      <c r="D3037">
        <v>514</v>
      </c>
      <c r="E3037" s="5">
        <v>43759</v>
      </c>
      <c r="F3037">
        <v>41350101</v>
      </c>
      <c r="G3037" t="s">
        <v>733</v>
      </c>
      <c r="H3037" t="s">
        <v>1125</v>
      </c>
      <c r="I3037" t="s">
        <v>1126</v>
      </c>
      <c r="J3037">
        <v>1007</v>
      </c>
      <c r="K3037">
        <v>4001</v>
      </c>
      <c r="L3037" s="3">
        <v>-259227466</v>
      </c>
      <c r="M3037" s="3">
        <v>0</v>
      </c>
      <c r="N3037">
        <v>10000</v>
      </c>
      <c r="O3037">
        <v>0</v>
      </c>
      <c r="P3037">
        <v>-259237466</v>
      </c>
      <c r="Q3037" t="s">
        <v>30</v>
      </c>
      <c r="R3037" t="s">
        <v>996</v>
      </c>
      <c r="S3037" t="str">
        <v>#N/A</v>
      </c>
      <c r="T3037" t="str">
        <v>31</v>
      </c>
    </row>
    <row r="3038" spans="1:20" ht="13.7" customHeight="1" x14ac:dyDescent="0.25">
      <c r="A3038" t="s">
        <v>320</v>
      </c>
      <c r="B3038" t="s">
        <v>321</v>
      </c>
      <c r="C3038" t="s">
        <v>142</v>
      </c>
      <c r="D3038">
        <v>514</v>
      </c>
      <c r="E3038" s="5">
        <v>43759</v>
      </c>
      <c r="F3038">
        <v>41350101</v>
      </c>
      <c r="G3038" t="s">
        <v>733</v>
      </c>
      <c r="H3038" t="s">
        <v>1125</v>
      </c>
      <c r="I3038" t="s">
        <v>1126</v>
      </c>
      <c r="J3038">
        <v>1007</v>
      </c>
      <c r="K3038">
        <v>4001</v>
      </c>
      <c r="L3038" s="3">
        <v>-259237466</v>
      </c>
      <c r="M3038" s="3">
        <v>0</v>
      </c>
      <c r="N3038">
        <v>15000</v>
      </c>
      <c r="O3038">
        <v>0</v>
      </c>
      <c r="P3038">
        <v>-259252466</v>
      </c>
      <c r="Q3038" t="s">
        <v>30</v>
      </c>
      <c r="R3038" t="s">
        <v>997</v>
      </c>
      <c r="S3038" t="str">
        <v>#N/A</v>
      </c>
      <c r="T3038" t="str">
        <v>31</v>
      </c>
    </row>
    <row r="3039" spans="1:20" ht="13.7" customHeight="1" x14ac:dyDescent="0.25">
      <c r="A3039" t="s">
        <v>320</v>
      </c>
      <c r="B3039" t="s">
        <v>321</v>
      </c>
      <c r="C3039" t="s">
        <v>142</v>
      </c>
      <c r="D3039">
        <v>514</v>
      </c>
      <c r="E3039" s="5">
        <v>43759</v>
      </c>
      <c r="F3039">
        <v>41350101</v>
      </c>
      <c r="G3039" t="s">
        <v>733</v>
      </c>
      <c r="H3039" t="s">
        <v>1125</v>
      </c>
      <c r="I3039" t="s">
        <v>1126</v>
      </c>
      <c r="J3039">
        <v>1007</v>
      </c>
      <c r="K3039">
        <v>4001</v>
      </c>
      <c r="L3039" s="3">
        <v>-259252466</v>
      </c>
      <c r="M3039" s="3">
        <v>0</v>
      </c>
      <c r="N3039">
        <v>25000</v>
      </c>
      <c r="O3039">
        <v>0</v>
      </c>
      <c r="P3039">
        <v>-259277466</v>
      </c>
      <c r="Q3039" t="s">
        <v>30</v>
      </c>
      <c r="R3039" t="s">
        <v>998</v>
      </c>
      <c r="S3039" t="str">
        <v>#N/A</v>
      </c>
      <c r="T3039" t="str">
        <v>31</v>
      </c>
    </row>
    <row r="3040" spans="1:20" ht="13.7" customHeight="1" x14ac:dyDescent="0.25">
      <c r="A3040" t="s">
        <v>320</v>
      </c>
      <c r="B3040" t="s">
        <v>321</v>
      </c>
      <c r="C3040" t="s">
        <v>142</v>
      </c>
      <c r="D3040">
        <v>514</v>
      </c>
      <c r="E3040" s="5">
        <v>43759</v>
      </c>
      <c r="F3040">
        <v>41350101</v>
      </c>
      <c r="G3040" t="s">
        <v>733</v>
      </c>
      <c r="H3040" t="s">
        <v>1125</v>
      </c>
      <c r="I3040" t="s">
        <v>1126</v>
      </c>
      <c r="J3040">
        <v>1007</v>
      </c>
      <c r="K3040">
        <v>4001</v>
      </c>
      <c r="L3040" s="3">
        <v>-259277466</v>
      </c>
      <c r="M3040" s="3">
        <v>0</v>
      </c>
      <c r="N3040">
        <v>20000</v>
      </c>
      <c r="O3040">
        <v>0</v>
      </c>
      <c r="P3040">
        <v>-259297466</v>
      </c>
      <c r="Q3040" t="s">
        <v>30</v>
      </c>
      <c r="R3040" t="s">
        <v>999</v>
      </c>
      <c r="S3040" t="str">
        <v>#N/A</v>
      </c>
      <c r="T3040" t="str">
        <v>31</v>
      </c>
    </row>
    <row r="3041" spans="1:20" ht="13.7" customHeight="1" x14ac:dyDescent="0.25">
      <c r="A3041" t="s">
        <v>320</v>
      </c>
      <c r="B3041" t="s">
        <v>321</v>
      </c>
      <c r="C3041" t="s">
        <v>142</v>
      </c>
      <c r="D3041">
        <v>522</v>
      </c>
      <c r="E3041" s="5">
        <v>43768</v>
      </c>
      <c r="F3041">
        <v>41350101</v>
      </c>
      <c r="G3041" t="s">
        <v>733</v>
      </c>
      <c r="H3041" t="s">
        <v>1125</v>
      </c>
      <c r="I3041" t="s">
        <v>1126</v>
      </c>
      <c r="J3041">
        <v>1007</v>
      </c>
      <c r="K3041">
        <v>4001</v>
      </c>
      <c r="L3041" s="3">
        <v>-259297466</v>
      </c>
      <c r="M3041" s="3">
        <v>0</v>
      </c>
      <c r="N3041">
        <v>226800</v>
      </c>
      <c r="O3041">
        <v>0</v>
      </c>
      <c r="P3041">
        <v>-259524266</v>
      </c>
      <c r="Q3041" t="s">
        <v>30</v>
      </c>
      <c r="R3041" t="s">
        <v>1008</v>
      </c>
      <c r="S3041" t="str">
        <v>#N/A</v>
      </c>
      <c r="T3041" t="str">
        <v>31</v>
      </c>
    </row>
    <row r="3042" spans="1:20" ht="13.7" customHeight="1" x14ac:dyDescent="0.25">
      <c r="A3042" t="s">
        <v>320</v>
      </c>
      <c r="B3042" t="s">
        <v>321</v>
      </c>
      <c r="C3042" t="s">
        <v>142</v>
      </c>
      <c r="D3042">
        <v>522</v>
      </c>
      <c r="E3042" s="5">
        <v>43768</v>
      </c>
      <c r="F3042">
        <v>41350101</v>
      </c>
      <c r="G3042" t="s">
        <v>733</v>
      </c>
      <c r="H3042" t="s">
        <v>1125</v>
      </c>
      <c r="I3042" t="s">
        <v>1126</v>
      </c>
      <c r="J3042">
        <v>1007</v>
      </c>
      <c r="K3042">
        <v>4001</v>
      </c>
      <c r="L3042" s="3">
        <v>-259524266</v>
      </c>
      <c r="M3042" s="3">
        <v>0</v>
      </c>
      <c r="N3042">
        <v>280014</v>
      </c>
      <c r="O3042">
        <v>0</v>
      </c>
      <c r="P3042">
        <v>-259804280</v>
      </c>
      <c r="Q3042" t="s">
        <v>30</v>
      </c>
      <c r="R3042" t="s">
        <v>1009</v>
      </c>
      <c r="S3042" t="str">
        <v>#N/A</v>
      </c>
      <c r="T3042" t="str">
        <v>31</v>
      </c>
    </row>
    <row r="3043" spans="1:20" ht="13.7" customHeight="1" x14ac:dyDescent="0.25">
      <c r="A3043" t="s">
        <v>320</v>
      </c>
      <c r="B3043" t="s">
        <v>321</v>
      </c>
      <c r="C3043" t="s">
        <v>142</v>
      </c>
      <c r="D3043">
        <v>522</v>
      </c>
      <c r="E3043" s="5">
        <v>43768</v>
      </c>
      <c r="F3043">
        <v>41350101</v>
      </c>
      <c r="G3043" t="s">
        <v>733</v>
      </c>
      <c r="H3043" t="s">
        <v>1125</v>
      </c>
      <c r="I3043" t="s">
        <v>1126</v>
      </c>
      <c r="J3043">
        <v>1007</v>
      </c>
      <c r="K3043">
        <v>4001</v>
      </c>
      <c r="L3043" s="3">
        <v>-259804280</v>
      </c>
      <c r="M3043" s="3">
        <v>0</v>
      </c>
      <c r="N3043">
        <v>234000</v>
      </c>
      <c r="O3043">
        <v>0</v>
      </c>
      <c r="P3043">
        <v>-260038280</v>
      </c>
      <c r="Q3043" t="s">
        <v>30</v>
      </c>
      <c r="R3043" t="s">
        <v>1010</v>
      </c>
      <c r="S3043" t="str">
        <v>#N/A</v>
      </c>
      <c r="T3043" t="str">
        <v>31</v>
      </c>
    </row>
    <row r="3044" spans="1:20" ht="13.7" customHeight="1" x14ac:dyDescent="0.25">
      <c r="A3044" t="s">
        <v>320</v>
      </c>
      <c r="B3044" t="s">
        <v>321</v>
      </c>
      <c r="C3044" t="s">
        <v>142</v>
      </c>
      <c r="D3044">
        <v>523</v>
      </c>
      <c r="E3044" s="5">
        <v>43770</v>
      </c>
      <c r="F3044">
        <v>41350101</v>
      </c>
      <c r="G3044" t="s">
        <v>733</v>
      </c>
      <c r="H3044" t="s">
        <v>1125</v>
      </c>
      <c r="I3044" t="s">
        <v>1126</v>
      </c>
      <c r="J3044">
        <v>1007</v>
      </c>
      <c r="K3044">
        <v>4001</v>
      </c>
      <c r="L3044" s="3">
        <v>-260038280</v>
      </c>
      <c r="M3044" s="3">
        <v>0</v>
      </c>
      <c r="N3044">
        <v>120000</v>
      </c>
      <c r="O3044">
        <v>0</v>
      </c>
      <c r="P3044">
        <v>-260158280</v>
      </c>
      <c r="Q3044" t="s">
        <v>30</v>
      </c>
      <c r="R3044" t="s">
        <v>1011</v>
      </c>
      <c r="S3044" t="str">
        <v>#N/A</v>
      </c>
      <c r="T3044" t="str">
        <v>31</v>
      </c>
    </row>
    <row r="3045" spans="1:20" ht="13.7" customHeight="1" x14ac:dyDescent="0.25">
      <c r="A3045" t="s">
        <v>320</v>
      </c>
      <c r="B3045" t="s">
        <v>321</v>
      </c>
      <c r="C3045" t="s">
        <v>142</v>
      </c>
      <c r="D3045">
        <v>523</v>
      </c>
      <c r="E3045" s="5">
        <v>43770</v>
      </c>
      <c r="F3045">
        <v>41350101</v>
      </c>
      <c r="G3045" t="s">
        <v>733</v>
      </c>
      <c r="H3045" t="s">
        <v>1125</v>
      </c>
      <c r="I3045" t="s">
        <v>1126</v>
      </c>
      <c r="J3045">
        <v>1007</v>
      </c>
      <c r="K3045">
        <v>4001</v>
      </c>
      <c r="L3045" s="3">
        <v>-260158280</v>
      </c>
      <c r="M3045" s="3">
        <v>0</v>
      </c>
      <c r="N3045">
        <v>80000</v>
      </c>
      <c r="O3045">
        <v>0</v>
      </c>
      <c r="P3045">
        <v>-260238280</v>
      </c>
      <c r="Q3045" t="s">
        <v>30</v>
      </c>
      <c r="R3045" t="s">
        <v>1012</v>
      </c>
      <c r="S3045" t="str">
        <v>#N/A</v>
      </c>
      <c r="T3045" t="str">
        <v>31</v>
      </c>
    </row>
    <row r="3046" spans="1:20" ht="13.7" customHeight="1" x14ac:dyDescent="0.25">
      <c r="A3046" t="s">
        <v>320</v>
      </c>
      <c r="B3046" t="s">
        <v>321</v>
      </c>
      <c r="C3046" t="s">
        <v>142</v>
      </c>
      <c r="D3046">
        <v>523</v>
      </c>
      <c r="E3046" s="5">
        <v>43770</v>
      </c>
      <c r="F3046">
        <v>41350101</v>
      </c>
      <c r="G3046" t="s">
        <v>733</v>
      </c>
      <c r="H3046" t="s">
        <v>1125</v>
      </c>
      <c r="I3046" t="s">
        <v>1126</v>
      </c>
      <c r="J3046">
        <v>1007</v>
      </c>
      <c r="K3046">
        <v>4001</v>
      </c>
      <c r="L3046" s="3">
        <v>-260238280</v>
      </c>
      <c r="M3046" s="3">
        <v>0</v>
      </c>
      <c r="N3046">
        <v>160000</v>
      </c>
      <c r="O3046">
        <v>0</v>
      </c>
      <c r="P3046">
        <v>-260398280</v>
      </c>
      <c r="Q3046" t="s">
        <v>30</v>
      </c>
      <c r="R3046" t="s">
        <v>1013</v>
      </c>
      <c r="S3046" t="str">
        <v>#N/A</v>
      </c>
      <c r="T3046" t="str">
        <v>31</v>
      </c>
    </row>
    <row r="3047" spans="1:20" ht="13.7" customHeight="1" x14ac:dyDescent="0.25">
      <c r="A3047" t="s">
        <v>320</v>
      </c>
      <c r="B3047" t="s">
        <v>321</v>
      </c>
      <c r="C3047" t="s">
        <v>142</v>
      </c>
      <c r="D3047">
        <v>523</v>
      </c>
      <c r="E3047" s="5">
        <v>43770</v>
      </c>
      <c r="F3047">
        <v>41350101</v>
      </c>
      <c r="G3047" t="s">
        <v>733</v>
      </c>
      <c r="H3047" t="s">
        <v>1125</v>
      </c>
      <c r="I3047" t="s">
        <v>1126</v>
      </c>
      <c r="J3047">
        <v>1007</v>
      </c>
      <c r="K3047">
        <v>4001</v>
      </c>
      <c r="L3047" s="3">
        <v>-260398280</v>
      </c>
      <c r="M3047" s="3">
        <v>0</v>
      </c>
      <c r="N3047">
        <v>240000</v>
      </c>
      <c r="O3047">
        <v>0</v>
      </c>
      <c r="P3047">
        <v>-260638280</v>
      </c>
      <c r="Q3047" t="s">
        <v>30</v>
      </c>
      <c r="R3047" t="s">
        <v>1014</v>
      </c>
      <c r="S3047" t="str">
        <v>#N/A</v>
      </c>
      <c r="T3047" t="str">
        <v>31</v>
      </c>
    </row>
    <row r="3048" spans="1:20" ht="13.7" customHeight="1" x14ac:dyDescent="0.25">
      <c r="A3048" t="s">
        <v>320</v>
      </c>
      <c r="B3048" t="s">
        <v>321</v>
      </c>
      <c r="C3048" t="s">
        <v>142</v>
      </c>
      <c r="D3048">
        <v>523</v>
      </c>
      <c r="E3048" s="5">
        <v>43770</v>
      </c>
      <c r="F3048">
        <v>41350101</v>
      </c>
      <c r="G3048" t="s">
        <v>733</v>
      </c>
      <c r="H3048" t="s">
        <v>1125</v>
      </c>
      <c r="I3048" t="s">
        <v>1126</v>
      </c>
      <c r="J3048">
        <v>1007</v>
      </c>
      <c r="K3048">
        <v>4001</v>
      </c>
      <c r="L3048" s="3">
        <v>-260638280</v>
      </c>
      <c r="M3048" s="3">
        <v>0</v>
      </c>
      <c r="N3048">
        <v>100000</v>
      </c>
      <c r="O3048">
        <v>0</v>
      </c>
      <c r="P3048">
        <v>-260738280</v>
      </c>
      <c r="Q3048" t="s">
        <v>30</v>
      </c>
      <c r="R3048" t="s">
        <v>1015</v>
      </c>
      <c r="S3048" t="str">
        <v>#N/A</v>
      </c>
      <c r="T3048" t="str">
        <v>31</v>
      </c>
    </row>
    <row r="3049" spans="1:20" ht="13.7" customHeight="1" x14ac:dyDescent="0.25">
      <c r="A3049" t="s">
        <v>320</v>
      </c>
      <c r="B3049" t="s">
        <v>321</v>
      </c>
      <c r="C3049" t="s">
        <v>142</v>
      </c>
      <c r="D3049">
        <v>523</v>
      </c>
      <c r="E3049" s="5">
        <v>43770</v>
      </c>
      <c r="F3049">
        <v>41350101</v>
      </c>
      <c r="G3049" t="s">
        <v>733</v>
      </c>
      <c r="H3049" t="s">
        <v>1125</v>
      </c>
      <c r="I3049" t="s">
        <v>1126</v>
      </c>
      <c r="J3049">
        <v>1007</v>
      </c>
      <c r="K3049">
        <v>4001</v>
      </c>
      <c r="L3049" s="3">
        <v>-260738280</v>
      </c>
      <c r="M3049" s="3">
        <v>0</v>
      </c>
      <c r="N3049">
        <v>120000</v>
      </c>
      <c r="O3049">
        <v>0</v>
      </c>
      <c r="P3049">
        <v>-260858280</v>
      </c>
      <c r="Q3049" t="s">
        <v>30</v>
      </c>
      <c r="R3049" t="s">
        <v>1016</v>
      </c>
      <c r="S3049" t="str">
        <v>#N/A</v>
      </c>
      <c r="T3049" t="str">
        <v>31</v>
      </c>
    </row>
    <row r="3050" spans="1:20" ht="13.7" customHeight="1" x14ac:dyDescent="0.25">
      <c r="A3050" t="s">
        <v>320</v>
      </c>
      <c r="B3050" t="s">
        <v>321</v>
      </c>
      <c r="C3050" t="s">
        <v>142</v>
      </c>
      <c r="D3050">
        <v>524</v>
      </c>
      <c r="E3050" s="5">
        <v>43770</v>
      </c>
      <c r="F3050">
        <v>41350101</v>
      </c>
      <c r="G3050" t="s">
        <v>733</v>
      </c>
      <c r="H3050" t="s">
        <v>1125</v>
      </c>
      <c r="I3050" t="s">
        <v>1126</v>
      </c>
      <c r="J3050">
        <v>1007</v>
      </c>
      <c r="K3050">
        <v>4001</v>
      </c>
      <c r="L3050" s="3">
        <v>-260858280</v>
      </c>
      <c r="M3050" s="3">
        <v>0</v>
      </c>
      <c r="N3050">
        <v>159000</v>
      </c>
      <c r="O3050">
        <v>0</v>
      </c>
      <c r="P3050">
        <v>-261017280</v>
      </c>
      <c r="Q3050" t="s">
        <v>30</v>
      </c>
      <c r="R3050" t="s">
        <v>1017</v>
      </c>
      <c r="S3050" t="str">
        <v>#N/A</v>
      </c>
      <c r="T3050" t="str">
        <v>31</v>
      </c>
    </row>
    <row r="3051" spans="1:20" ht="13.7" customHeight="1" x14ac:dyDescent="0.25">
      <c r="A3051" t="s">
        <v>320</v>
      </c>
      <c r="B3051" t="s">
        <v>321</v>
      </c>
      <c r="C3051" t="s">
        <v>142</v>
      </c>
      <c r="D3051">
        <v>524</v>
      </c>
      <c r="E3051" s="5">
        <v>43770</v>
      </c>
      <c r="F3051">
        <v>41350101</v>
      </c>
      <c r="G3051" t="s">
        <v>733</v>
      </c>
      <c r="H3051" t="s">
        <v>1125</v>
      </c>
      <c r="I3051" t="s">
        <v>1126</v>
      </c>
      <c r="J3051">
        <v>1007</v>
      </c>
      <c r="K3051">
        <v>4001</v>
      </c>
      <c r="L3051" s="3">
        <v>-261017280</v>
      </c>
      <c r="M3051" s="3">
        <v>0</v>
      </c>
      <c r="N3051">
        <v>848000</v>
      </c>
      <c r="O3051">
        <v>0</v>
      </c>
      <c r="P3051">
        <v>-261865280</v>
      </c>
      <c r="Q3051" t="s">
        <v>30</v>
      </c>
      <c r="R3051" t="s">
        <v>1018</v>
      </c>
      <c r="S3051" t="str">
        <v>#N/A</v>
      </c>
      <c r="T3051" t="str">
        <v>31</v>
      </c>
    </row>
    <row r="3052" spans="1:20" ht="13.7" customHeight="1" x14ac:dyDescent="0.25">
      <c r="A3052" t="s">
        <v>320</v>
      </c>
      <c r="B3052" t="s">
        <v>321</v>
      </c>
      <c r="C3052" t="s">
        <v>142</v>
      </c>
      <c r="D3052">
        <v>527</v>
      </c>
      <c r="E3052" s="5">
        <v>43778</v>
      </c>
      <c r="F3052">
        <v>41350101</v>
      </c>
      <c r="G3052" t="s">
        <v>733</v>
      </c>
      <c r="H3052" t="s">
        <v>1125</v>
      </c>
      <c r="I3052" t="s">
        <v>1126</v>
      </c>
      <c r="J3052">
        <v>1007</v>
      </c>
      <c r="K3052">
        <v>4001</v>
      </c>
      <c r="L3052" s="3">
        <v>-261865280</v>
      </c>
      <c r="M3052" s="3">
        <v>0</v>
      </c>
      <c r="N3052">
        <v>10000</v>
      </c>
      <c r="O3052">
        <v>0</v>
      </c>
      <c r="P3052">
        <v>-261875280</v>
      </c>
      <c r="Q3052" t="s">
        <v>30</v>
      </c>
      <c r="R3052" t="s">
        <v>1023</v>
      </c>
      <c r="S3052" t="str">
        <v>#N/A</v>
      </c>
      <c r="T3052" t="str">
        <v>31</v>
      </c>
    </row>
    <row r="3053" spans="1:20" ht="13.7" customHeight="1" x14ac:dyDescent="0.25">
      <c r="A3053" t="s">
        <v>320</v>
      </c>
      <c r="B3053" t="s">
        <v>321</v>
      </c>
      <c r="C3053" t="s">
        <v>142</v>
      </c>
      <c r="D3053">
        <v>527</v>
      </c>
      <c r="E3053" s="5">
        <v>43778</v>
      </c>
      <c r="F3053">
        <v>41350101</v>
      </c>
      <c r="G3053" t="s">
        <v>733</v>
      </c>
      <c r="H3053" t="s">
        <v>1125</v>
      </c>
      <c r="I3053" t="s">
        <v>1126</v>
      </c>
      <c r="J3053">
        <v>1007</v>
      </c>
      <c r="K3053">
        <v>4001</v>
      </c>
      <c r="L3053" s="3">
        <v>-261875280</v>
      </c>
      <c r="M3053" s="3">
        <v>0</v>
      </c>
      <c r="N3053">
        <v>180000</v>
      </c>
      <c r="O3053">
        <v>0</v>
      </c>
      <c r="P3053">
        <v>-262055280</v>
      </c>
      <c r="Q3053" t="s">
        <v>30</v>
      </c>
      <c r="R3053" t="s">
        <v>1024</v>
      </c>
      <c r="S3053" t="str">
        <v>#N/A</v>
      </c>
      <c r="T3053" t="str">
        <v>31</v>
      </c>
    </row>
    <row r="3054" spans="1:20" ht="13.7" customHeight="1" x14ac:dyDescent="0.25">
      <c r="A3054" t="s">
        <v>320</v>
      </c>
      <c r="B3054" t="s">
        <v>321</v>
      </c>
      <c r="C3054" t="s">
        <v>142</v>
      </c>
      <c r="D3054">
        <v>527</v>
      </c>
      <c r="E3054" s="5">
        <v>43778</v>
      </c>
      <c r="F3054">
        <v>41350101</v>
      </c>
      <c r="G3054" t="s">
        <v>733</v>
      </c>
      <c r="H3054" t="s">
        <v>1125</v>
      </c>
      <c r="I3054" t="s">
        <v>1126</v>
      </c>
      <c r="J3054">
        <v>1007</v>
      </c>
      <c r="K3054">
        <v>4001</v>
      </c>
      <c r="L3054" s="3">
        <v>-262055280</v>
      </c>
      <c r="M3054" s="3">
        <v>0</v>
      </c>
      <c r="N3054">
        <v>180000</v>
      </c>
      <c r="O3054">
        <v>0</v>
      </c>
      <c r="P3054">
        <v>-262235280</v>
      </c>
      <c r="Q3054" t="s">
        <v>30</v>
      </c>
      <c r="R3054" t="s">
        <v>1025</v>
      </c>
      <c r="S3054" t="str">
        <v>#N/A</v>
      </c>
      <c r="T3054" t="str">
        <v>31</v>
      </c>
    </row>
    <row r="3055" spans="1:20" ht="13.7" customHeight="1" x14ac:dyDescent="0.25">
      <c r="A3055" t="s">
        <v>320</v>
      </c>
      <c r="B3055" t="s">
        <v>321</v>
      </c>
      <c r="C3055" t="s">
        <v>142</v>
      </c>
      <c r="D3055">
        <v>527</v>
      </c>
      <c r="E3055" s="5">
        <v>43778</v>
      </c>
      <c r="F3055">
        <v>41350101</v>
      </c>
      <c r="G3055" t="s">
        <v>733</v>
      </c>
      <c r="H3055" t="s">
        <v>1125</v>
      </c>
      <c r="I3055" t="s">
        <v>1126</v>
      </c>
      <c r="J3055">
        <v>1007</v>
      </c>
      <c r="K3055">
        <v>4001</v>
      </c>
      <c r="L3055" s="3">
        <v>-262235280</v>
      </c>
      <c r="M3055" s="3">
        <v>0</v>
      </c>
      <c r="N3055">
        <v>30000</v>
      </c>
      <c r="O3055">
        <v>0</v>
      </c>
      <c r="P3055">
        <v>-262265280</v>
      </c>
      <c r="Q3055" t="s">
        <v>30</v>
      </c>
      <c r="R3055" t="s">
        <v>1026</v>
      </c>
      <c r="S3055" t="str">
        <v>#N/A</v>
      </c>
      <c r="T3055" t="str">
        <v>31</v>
      </c>
    </row>
    <row r="3056" spans="1:20" ht="13.7" customHeight="1" x14ac:dyDescent="0.25">
      <c r="A3056" t="s">
        <v>320</v>
      </c>
      <c r="B3056" t="s">
        <v>321</v>
      </c>
      <c r="C3056" t="s">
        <v>142</v>
      </c>
      <c r="D3056">
        <v>527</v>
      </c>
      <c r="E3056" s="5">
        <v>43778</v>
      </c>
      <c r="F3056">
        <v>41350101</v>
      </c>
      <c r="G3056" t="s">
        <v>733</v>
      </c>
      <c r="H3056" t="s">
        <v>1125</v>
      </c>
      <c r="I3056" t="s">
        <v>1126</v>
      </c>
      <c r="J3056">
        <v>1007</v>
      </c>
      <c r="K3056">
        <v>4001</v>
      </c>
      <c r="L3056" s="3">
        <v>-262265280</v>
      </c>
      <c r="M3056" s="3">
        <v>0</v>
      </c>
      <c r="N3056">
        <v>42000</v>
      </c>
      <c r="O3056">
        <v>0</v>
      </c>
      <c r="P3056">
        <v>-262307280</v>
      </c>
      <c r="Q3056" t="s">
        <v>30</v>
      </c>
      <c r="R3056" t="s">
        <v>1027</v>
      </c>
      <c r="S3056" t="str">
        <v>#N/A</v>
      </c>
      <c r="T3056" t="str">
        <v>31</v>
      </c>
    </row>
    <row r="3057" spans="1:20" ht="13.7" customHeight="1" x14ac:dyDescent="0.25">
      <c r="A3057" t="s">
        <v>320</v>
      </c>
      <c r="B3057" t="s">
        <v>321</v>
      </c>
      <c r="C3057" t="s">
        <v>142</v>
      </c>
      <c r="D3057">
        <v>529</v>
      </c>
      <c r="E3057" s="5">
        <v>43784</v>
      </c>
      <c r="F3057">
        <v>41350101</v>
      </c>
      <c r="G3057" t="s">
        <v>733</v>
      </c>
      <c r="H3057" t="s">
        <v>1125</v>
      </c>
      <c r="I3057" t="s">
        <v>1126</v>
      </c>
      <c r="J3057">
        <v>1007</v>
      </c>
      <c r="K3057">
        <v>4001</v>
      </c>
      <c r="L3057" s="3">
        <v>-262307280</v>
      </c>
      <c r="M3057" s="3">
        <v>0</v>
      </c>
      <c r="N3057">
        <v>30000</v>
      </c>
      <c r="O3057">
        <v>0</v>
      </c>
      <c r="P3057">
        <v>-262337280</v>
      </c>
      <c r="Q3057" t="s">
        <v>30</v>
      </c>
      <c r="R3057" t="s">
        <v>1029</v>
      </c>
      <c r="S3057" t="str">
        <v>#N/A</v>
      </c>
      <c r="T3057" t="str">
        <v>31</v>
      </c>
    </row>
    <row r="3058" spans="1:20" ht="13.7" customHeight="1" x14ac:dyDescent="0.25">
      <c r="A3058" t="s">
        <v>320</v>
      </c>
      <c r="B3058" t="s">
        <v>321</v>
      </c>
      <c r="C3058" t="s">
        <v>142</v>
      </c>
      <c r="D3058">
        <v>529</v>
      </c>
      <c r="E3058" s="5">
        <v>43784</v>
      </c>
      <c r="F3058">
        <v>41350101</v>
      </c>
      <c r="G3058" t="s">
        <v>733</v>
      </c>
      <c r="H3058" t="s">
        <v>1125</v>
      </c>
      <c r="I3058" t="s">
        <v>1126</v>
      </c>
      <c r="J3058">
        <v>1007</v>
      </c>
      <c r="K3058">
        <v>4001</v>
      </c>
      <c r="L3058" s="3">
        <v>-262337280</v>
      </c>
      <c r="M3058" s="3">
        <v>0</v>
      </c>
      <c r="N3058">
        <v>45000</v>
      </c>
      <c r="O3058">
        <v>0</v>
      </c>
      <c r="P3058">
        <v>-262382280</v>
      </c>
      <c r="Q3058" t="s">
        <v>30</v>
      </c>
      <c r="R3058" t="s">
        <v>1030</v>
      </c>
      <c r="S3058" t="str">
        <v>#N/A</v>
      </c>
      <c r="T3058" t="str">
        <v>31</v>
      </c>
    </row>
    <row r="3059" spans="1:20" ht="13.7" customHeight="1" x14ac:dyDescent="0.25">
      <c r="A3059" t="s">
        <v>320</v>
      </c>
      <c r="B3059" t="s">
        <v>321</v>
      </c>
      <c r="C3059" t="s">
        <v>142</v>
      </c>
      <c r="D3059">
        <v>529</v>
      </c>
      <c r="E3059" s="5">
        <v>43784</v>
      </c>
      <c r="F3059">
        <v>41350101</v>
      </c>
      <c r="G3059" t="s">
        <v>733</v>
      </c>
      <c r="H3059" t="s">
        <v>1125</v>
      </c>
      <c r="I3059" t="s">
        <v>1126</v>
      </c>
      <c r="J3059">
        <v>1007</v>
      </c>
      <c r="K3059">
        <v>4001</v>
      </c>
      <c r="L3059" s="3">
        <v>-262382280</v>
      </c>
      <c r="M3059" s="3">
        <v>0</v>
      </c>
      <c r="N3059">
        <v>1500</v>
      </c>
      <c r="O3059">
        <v>0</v>
      </c>
      <c r="P3059">
        <v>-262383780</v>
      </c>
      <c r="Q3059" t="s">
        <v>30</v>
      </c>
      <c r="R3059" t="s">
        <v>1031</v>
      </c>
      <c r="S3059" t="str">
        <v>#N/A</v>
      </c>
      <c r="T3059" t="str">
        <v>31</v>
      </c>
    </row>
    <row r="3060" spans="1:20" ht="13.7" customHeight="1" x14ac:dyDescent="0.25">
      <c r="A3060" t="s">
        <v>320</v>
      </c>
      <c r="B3060" t="s">
        <v>321</v>
      </c>
      <c r="C3060" t="s">
        <v>142</v>
      </c>
      <c r="D3060">
        <v>529</v>
      </c>
      <c r="E3060" s="5">
        <v>43784</v>
      </c>
      <c r="F3060">
        <v>41350101</v>
      </c>
      <c r="G3060" t="s">
        <v>733</v>
      </c>
      <c r="H3060" t="s">
        <v>1125</v>
      </c>
      <c r="I3060" t="s">
        <v>1126</v>
      </c>
      <c r="J3060">
        <v>1007</v>
      </c>
      <c r="K3060">
        <v>4001</v>
      </c>
      <c r="L3060" s="3">
        <v>-262383780</v>
      </c>
      <c r="M3060" s="3">
        <v>0</v>
      </c>
      <c r="N3060">
        <v>2000</v>
      </c>
      <c r="O3060">
        <v>0</v>
      </c>
      <c r="P3060">
        <v>-262385780</v>
      </c>
      <c r="Q3060" t="s">
        <v>30</v>
      </c>
      <c r="R3060" t="s">
        <v>1032</v>
      </c>
      <c r="S3060" t="str">
        <v>#N/A</v>
      </c>
      <c r="T3060" t="str">
        <v>31</v>
      </c>
    </row>
    <row r="3061" spans="1:20" ht="13.7" customHeight="1" x14ac:dyDescent="0.25">
      <c r="A3061" t="s">
        <v>320</v>
      </c>
      <c r="B3061" t="s">
        <v>321</v>
      </c>
      <c r="C3061" t="s">
        <v>142</v>
      </c>
      <c r="D3061">
        <v>531</v>
      </c>
      <c r="E3061" s="5">
        <v>43787</v>
      </c>
      <c r="F3061">
        <v>41350101</v>
      </c>
      <c r="G3061" t="s">
        <v>733</v>
      </c>
      <c r="H3061" t="s">
        <v>1125</v>
      </c>
      <c r="I3061" t="s">
        <v>1126</v>
      </c>
      <c r="J3061">
        <v>1007</v>
      </c>
      <c r="K3061">
        <v>4001</v>
      </c>
      <c r="L3061" s="3">
        <v>-262385780</v>
      </c>
      <c r="M3061" s="3">
        <v>0</v>
      </c>
      <c r="N3061">
        <v>36000</v>
      </c>
      <c r="O3061">
        <v>0</v>
      </c>
      <c r="P3061">
        <v>-262421780</v>
      </c>
      <c r="Q3061" t="s">
        <v>30</v>
      </c>
      <c r="R3061" t="s">
        <v>1033</v>
      </c>
      <c r="S3061" t="str">
        <v>#N/A</v>
      </c>
      <c r="T3061" t="str">
        <v>31</v>
      </c>
    </row>
    <row r="3062" spans="1:20" ht="13.7" customHeight="1" x14ac:dyDescent="0.25">
      <c r="A3062" t="s">
        <v>320</v>
      </c>
      <c r="B3062" t="s">
        <v>321</v>
      </c>
      <c r="C3062" t="s">
        <v>142</v>
      </c>
      <c r="D3062">
        <v>531</v>
      </c>
      <c r="E3062" s="5">
        <v>43787</v>
      </c>
      <c r="F3062">
        <v>41350101</v>
      </c>
      <c r="G3062" t="s">
        <v>733</v>
      </c>
      <c r="H3062" t="s">
        <v>1125</v>
      </c>
      <c r="I3062" t="s">
        <v>1126</v>
      </c>
      <c r="J3062">
        <v>1007</v>
      </c>
      <c r="K3062">
        <v>4001</v>
      </c>
      <c r="L3062" s="3">
        <v>-262421780</v>
      </c>
      <c r="M3062" s="3">
        <v>0</v>
      </c>
      <c r="N3062">
        <v>108500</v>
      </c>
      <c r="O3062">
        <v>0</v>
      </c>
      <c r="P3062">
        <v>-262530280</v>
      </c>
      <c r="Q3062" t="s">
        <v>30</v>
      </c>
      <c r="R3062" t="s">
        <v>1034</v>
      </c>
      <c r="S3062" t="str">
        <v>#N/A</v>
      </c>
      <c r="T3062" t="str">
        <v>31</v>
      </c>
    </row>
    <row r="3063" spans="1:20" ht="13.7" customHeight="1" x14ac:dyDescent="0.25">
      <c r="A3063" t="s">
        <v>320</v>
      </c>
      <c r="B3063" t="s">
        <v>321</v>
      </c>
      <c r="C3063" t="s">
        <v>142</v>
      </c>
      <c r="D3063">
        <v>531</v>
      </c>
      <c r="E3063" s="5">
        <v>43787</v>
      </c>
      <c r="F3063">
        <v>41350101</v>
      </c>
      <c r="G3063" t="s">
        <v>733</v>
      </c>
      <c r="H3063" t="s">
        <v>1125</v>
      </c>
      <c r="I3063" t="s">
        <v>1126</v>
      </c>
      <c r="J3063">
        <v>1007</v>
      </c>
      <c r="K3063">
        <v>4001</v>
      </c>
      <c r="L3063" s="3">
        <v>-262530280</v>
      </c>
      <c r="M3063" s="3">
        <v>0</v>
      </c>
      <c r="N3063">
        <v>110950</v>
      </c>
      <c r="O3063">
        <v>0</v>
      </c>
      <c r="P3063">
        <v>-262641230</v>
      </c>
      <c r="Q3063" t="s">
        <v>30</v>
      </c>
      <c r="R3063" t="s">
        <v>1035</v>
      </c>
      <c r="S3063" t="str">
        <v>#N/A</v>
      </c>
      <c r="T3063" t="str">
        <v>31</v>
      </c>
    </row>
    <row r="3064" spans="1:20" ht="13.7" customHeight="1" x14ac:dyDescent="0.25">
      <c r="A3064" t="s">
        <v>320</v>
      </c>
      <c r="B3064" t="s">
        <v>321</v>
      </c>
      <c r="C3064" t="s">
        <v>142</v>
      </c>
      <c r="D3064">
        <v>532</v>
      </c>
      <c r="E3064" s="5">
        <v>43789</v>
      </c>
      <c r="F3064">
        <v>41350101</v>
      </c>
      <c r="G3064" t="s">
        <v>733</v>
      </c>
      <c r="H3064" t="s">
        <v>1125</v>
      </c>
      <c r="I3064" t="s">
        <v>1126</v>
      </c>
      <c r="J3064">
        <v>1007</v>
      </c>
      <c r="K3064">
        <v>4001</v>
      </c>
      <c r="L3064" s="3">
        <v>-262641230</v>
      </c>
      <c r="M3064" s="3">
        <v>0</v>
      </c>
      <c r="N3064">
        <v>30000</v>
      </c>
      <c r="O3064">
        <v>0</v>
      </c>
      <c r="P3064">
        <v>-262671230</v>
      </c>
      <c r="Q3064" t="s">
        <v>30</v>
      </c>
      <c r="R3064" t="s">
        <v>1036</v>
      </c>
      <c r="S3064" t="str">
        <v>#N/A</v>
      </c>
      <c r="T3064" t="str">
        <v>31</v>
      </c>
    </row>
    <row r="3065" spans="1:20" ht="13.7" customHeight="1" x14ac:dyDescent="0.25">
      <c r="A3065" t="s">
        <v>320</v>
      </c>
      <c r="B3065" t="s">
        <v>321</v>
      </c>
      <c r="C3065" t="s">
        <v>142</v>
      </c>
      <c r="D3065">
        <v>532</v>
      </c>
      <c r="E3065" s="5">
        <v>43789</v>
      </c>
      <c r="F3065">
        <v>41350101</v>
      </c>
      <c r="G3065" t="s">
        <v>733</v>
      </c>
      <c r="H3065" t="s">
        <v>1125</v>
      </c>
      <c r="I3065" t="s">
        <v>1126</v>
      </c>
      <c r="J3065">
        <v>1007</v>
      </c>
      <c r="K3065">
        <v>4001</v>
      </c>
      <c r="L3065" s="3">
        <v>-262671230</v>
      </c>
      <c r="M3065" s="3">
        <v>0</v>
      </c>
      <c r="N3065">
        <v>30000</v>
      </c>
      <c r="O3065">
        <v>0</v>
      </c>
      <c r="P3065">
        <v>-262701230</v>
      </c>
      <c r="Q3065" t="s">
        <v>30</v>
      </c>
      <c r="R3065" t="s">
        <v>1037</v>
      </c>
      <c r="S3065" t="str">
        <v>#N/A</v>
      </c>
      <c r="T3065" t="str">
        <v>31</v>
      </c>
    </row>
    <row r="3066" spans="1:20" ht="13.7" customHeight="1" x14ac:dyDescent="0.25">
      <c r="A3066" t="s">
        <v>320</v>
      </c>
      <c r="B3066" t="s">
        <v>321</v>
      </c>
      <c r="C3066" t="s">
        <v>142</v>
      </c>
      <c r="D3066">
        <v>532</v>
      </c>
      <c r="E3066" s="5">
        <v>43789</v>
      </c>
      <c r="F3066">
        <v>41350101</v>
      </c>
      <c r="G3066" t="s">
        <v>733</v>
      </c>
      <c r="H3066" t="s">
        <v>1125</v>
      </c>
      <c r="I3066" t="s">
        <v>1126</v>
      </c>
      <c r="J3066">
        <v>1007</v>
      </c>
      <c r="K3066">
        <v>4001</v>
      </c>
      <c r="L3066" s="3">
        <v>-262701230</v>
      </c>
      <c r="M3066" s="3">
        <v>0</v>
      </c>
      <c r="N3066">
        <v>70000</v>
      </c>
      <c r="O3066">
        <v>0</v>
      </c>
      <c r="P3066">
        <v>-262771230</v>
      </c>
      <c r="Q3066" t="s">
        <v>30</v>
      </c>
      <c r="R3066" t="s">
        <v>1038</v>
      </c>
      <c r="S3066" t="str">
        <v>#N/A</v>
      </c>
      <c r="T3066" t="str">
        <v>31</v>
      </c>
    </row>
    <row r="3067" spans="1:20" ht="13.7" customHeight="1" x14ac:dyDescent="0.25">
      <c r="A3067" t="s">
        <v>320</v>
      </c>
      <c r="B3067" t="s">
        <v>321</v>
      </c>
      <c r="C3067" t="s">
        <v>142</v>
      </c>
      <c r="D3067">
        <v>532</v>
      </c>
      <c r="E3067" s="5">
        <v>43789</v>
      </c>
      <c r="F3067">
        <v>41350101</v>
      </c>
      <c r="G3067" t="s">
        <v>733</v>
      </c>
      <c r="H3067" t="s">
        <v>1125</v>
      </c>
      <c r="I3067" t="s">
        <v>1126</v>
      </c>
      <c r="J3067">
        <v>1007</v>
      </c>
      <c r="K3067">
        <v>4001</v>
      </c>
      <c r="L3067" s="3">
        <v>-262771230</v>
      </c>
      <c r="M3067" s="3">
        <v>0</v>
      </c>
      <c r="N3067">
        <v>40000</v>
      </c>
      <c r="O3067">
        <v>0</v>
      </c>
      <c r="P3067">
        <v>-262811230</v>
      </c>
      <c r="Q3067" t="s">
        <v>30</v>
      </c>
      <c r="R3067" t="s">
        <v>1039</v>
      </c>
      <c r="S3067" t="str">
        <v>#N/A</v>
      </c>
      <c r="T3067" t="str">
        <v>31</v>
      </c>
    </row>
    <row r="3068" spans="1:20" ht="13.7" customHeight="1" x14ac:dyDescent="0.25">
      <c r="A3068" t="s">
        <v>320</v>
      </c>
      <c r="B3068" t="s">
        <v>321</v>
      </c>
      <c r="C3068" t="s">
        <v>142</v>
      </c>
      <c r="D3068">
        <v>532</v>
      </c>
      <c r="E3068" s="5">
        <v>43789</v>
      </c>
      <c r="F3068">
        <v>41350101</v>
      </c>
      <c r="G3068" t="s">
        <v>733</v>
      </c>
      <c r="H3068" t="s">
        <v>1125</v>
      </c>
      <c r="I3068" t="s">
        <v>1126</v>
      </c>
      <c r="J3068">
        <v>1007</v>
      </c>
      <c r="K3068">
        <v>4001</v>
      </c>
      <c r="L3068" s="3">
        <v>-262811230</v>
      </c>
      <c r="M3068" s="3">
        <v>0</v>
      </c>
      <c r="N3068">
        <v>30000</v>
      </c>
      <c r="O3068">
        <v>0</v>
      </c>
      <c r="P3068">
        <v>-262841230</v>
      </c>
      <c r="Q3068" t="s">
        <v>30</v>
      </c>
      <c r="R3068" t="s">
        <v>1040</v>
      </c>
      <c r="S3068" t="str">
        <v>#N/A</v>
      </c>
      <c r="T3068" t="str">
        <v>31</v>
      </c>
    </row>
    <row r="3069" spans="1:20" ht="13.7" customHeight="1" x14ac:dyDescent="0.25">
      <c r="A3069" t="s">
        <v>320</v>
      </c>
      <c r="B3069" t="s">
        <v>321</v>
      </c>
      <c r="C3069" t="s">
        <v>142</v>
      </c>
      <c r="D3069">
        <v>533</v>
      </c>
      <c r="E3069" s="5">
        <v>43794</v>
      </c>
      <c r="F3069">
        <v>41350101</v>
      </c>
      <c r="G3069" t="s">
        <v>733</v>
      </c>
      <c r="H3069" t="s">
        <v>1125</v>
      </c>
      <c r="I3069" t="s">
        <v>1126</v>
      </c>
      <c r="J3069">
        <v>1007</v>
      </c>
      <c r="K3069">
        <v>4001</v>
      </c>
      <c r="L3069" s="3">
        <v>-262841230</v>
      </c>
      <c r="M3069" s="3">
        <v>0</v>
      </c>
      <c r="N3069">
        <v>336000</v>
      </c>
      <c r="O3069">
        <v>0</v>
      </c>
      <c r="P3069">
        <v>-263177230</v>
      </c>
      <c r="Q3069" t="s">
        <v>30</v>
      </c>
      <c r="R3069" t="s">
        <v>1041</v>
      </c>
      <c r="S3069" t="str">
        <v>#N/A</v>
      </c>
      <c r="T3069" t="str">
        <v>31</v>
      </c>
    </row>
    <row r="3070" spans="1:20" ht="13.7" customHeight="1" x14ac:dyDescent="0.25">
      <c r="A3070" t="s">
        <v>320</v>
      </c>
      <c r="B3070" t="s">
        <v>321</v>
      </c>
      <c r="C3070" t="s">
        <v>142</v>
      </c>
      <c r="D3070">
        <v>535</v>
      </c>
      <c r="E3070" s="5">
        <v>43796</v>
      </c>
      <c r="F3070">
        <v>41350101</v>
      </c>
      <c r="G3070" t="s">
        <v>733</v>
      </c>
      <c r="H3070" t="s">
        <v>1125</v>
      </c>
      <c r="I3070" t="s">
        <v>1126</v>
      </c>
      <c r="J3070">
        <v>1007</v>
      </c>
      <c r="K3070">
        <v>4001</v>
      </c>
      <c r="L3070" s="3">
        <v>-263177230</v>
      </c>
      <c r="M3070" s="3">
        <v>0</v>
      </c>
      <c r="N3070">
        <v>845950</v>
      </c>
      <c r="O3070">
        <v>0</v>
      </c>
      <c r="P3070">
        <v>-264023180</v>
      </c>
      <c r="Q3070" t="s">
        <v>30</v>
      </c>
      <c r="R3070" t="s">
        <v>1042</v>
      </c>
      <c r="S3070" t="str">
        <v>#N/A</v>
      </c>
      <c r="T3070" t="str">
        <v>31</v>
      </c>
    </row>
    <row r="3071" spans="1:20" ht="13.7" customHeight="1" x14ac:dyDescent="0.25">
      <c r="A3071" t="s">
        <v>320</v>
      </c>
      <c r="B3071" t="s">
        <v>321</v>
      </c>
      <c r="C3071" t="s">
        <v>142</v>
      </c>
      <c r="D3071">
        <v>535</v>
      </c>
      <c r="E3071" s="5">
        <v>43796</v>
      </c>
      <c r="F3071">
        <v>41350101</v>
      </c>
      <c r="G3071" t="s">
        <v>733</v>
      </c>
      <c r="H3071" t="s">
        <v>1125</v>
      </c>
      <c r="I3071" t="s">
        <v>1126</v>
      </c>
      <c r="J3071">
        <v>1007</v>
      </c>
      <c r="K3071">
        <v>4001</v>
      </c>
      <c r="L3071" s="3">
        <v>-264023180</v>
      </c>
      <c r="M3071" s="3">
        <v>0</v>
      </c>
      <c r="N3071">
        <v>330000</v>
      </c>
      <c r="O3071">
        <v>0</v>
      </c>
      <c r="P3071">
        <v>-264353180</v>
      </c>
      <c r="Q3071" t="s">
        <v>30</v>
      </c>
      <c r="R3071" t="s">
        <v>1043</v>
      </c>
      <c r="S3071" t="str">
        <v>#N/A</v>
      </c>
      <c r="T3071" t="str">
        <v>31</v>
      </c>
    </row>
    <row r="3072" spans="1:20" ht="13.7" customHeight="1" x14ac:dyDescent="0.25">
      <c r="A3072" t="s">
        <v>320</v>
      </c>
      <c r="B3072" t="s">
        <v>321</v>
      </c>
      <c r="C3072" t="s">
        <v>142</v>
      </c>
      <c r="D3072">
        <v>535</v>
      </c>
      <c r="E3072" s="5">
        <v>43796</v>
      </c>
      <c r="F3072">
        <v>41350101</v>
      </c>
      <c r="G3072" t="s">
        <v>733</v>
      </c>
      <c r="H3072" t="s">
        <v>1125</v>
      </c>
      <c r="I3072" t="s">
        <v>1126</v>
      </c>
      <c r="J3072">
        <v>1007</v>
      </c>
      <c r="K3072">
        <v>4001</v>
      </c>
      <c r="L3072" s="3">
        <v>-264353180</v>
      </c>
      <c r="M3072" s="3">
        <v>0</v>
      </c>
      <c r="N3072">
        <v>297180</v>
      </c>
      <c r="O3072">
        <v>0</v>
      </c>
      <c r="P3072">
        <v>-264650360</v>
      </c>
      <c r="Q3072" t="s">
        <v>30</v>
      </c>
      <c r="R3072" t="s">
        <v>1044</v>
      </c>
      <c r="S3072" t="str">
        <v>#N/A</v>
      </c>
      <c r="T3072" t="str">
        <v>31</v>
      </c>
    </row>
    <row r="3073" spans="1:20" ht="13.7" customHeight="1" x14ac:dyDescent="0.25">
      <c r="A3073" t="s">
        <v>320</v>
      </c>
      <c r="B3073" t="s">
        <v>321</v>
      </c>
      <c r="C3073" t="s">
        <v>142</v>
      </c>
      <c r="D3073">
        <v>535</v>
      </c>
      <c r="E3073" s="5">
        <v>43796</v>
      </c>
      <c r="F3073">
        <v>41350101</v>
      </c>
      <c r="G3073" t="s">
        <v>733</v>
      </c>
      <c r="H3073" t="s">
        <v>1125</v>
      </c>
      <c r="I3073" t="s">
        <v>1126</v>
      </c>
      <c r="J3073">
        <v>1007</v>
      </c>
      <c r="K3073">
        <v>4001</v>
      </c>
      <c r="L3073" s="3">
        <v>-264650360</v>
      </c>
      <c r="M3073" s="3">
        <v>0</v>
      </c>
      <c r="N3073">
        <v>211500</v>
      </c>
      <c r="O3073">
        <v>0</v>
      </c>
      <c r="P3073">
        <v>-264861860</v>
      </c>
      <c r="Q3073" t="s">
        <v>30</v>
      </c>
      <c r="R3073" t="s">
        <v>1045</v>
      </c>
      <c r="S3073" t="str">
        <v>#N/A</v>
      </c>
      <c r="T3073" t="str">
        <v>31</v>
      </c>
    </row>
    <row r="3074" spans="1:20" ht="13.7" customHeight="1" x14ac:dyDescent="0.25">
      <c r="A3074" t="s">
        <v>320</v>
      </c>
      <c r="B3074" t="s">
        <v>321</v>
      </c>
      <c r="C3074" t="s">
        <v>142</v>
      </c>
      <c r="D3074">
        <v>535</v>
      </c>
      <c r="E3074" s="5">
        <v>43796</v>
      </c>
      <c r="F3074">
        <v>41350101</v>
      </c>
      <c r="G3074" t="s">
        <v>733</v>
      </c>
      <c r="H3074" t="s">
        <v>1125</v>
      </c>
      <c r="I3074" t="s">
        <v>1126</v>
      </c>
      <c r="J3074">
        <v>1007</v>
      </c>
      <c r="K3074">
        <v>4001</v>
      </c>
      <c r="L3074" s="3">
        <v>-264861860</v>
      </c>
      <c r="M3074" s="3">
        <v>0</v>
      </c>
      <c r="N3074">
        <v>572000</v>
      </c>
      <c r="O3074">
        <v>0</v>
      </c>
      <c r="P3074">
        <v>-265433860</v>
      </c>
      <c r="Q3074" t="s">
        <v>30</v>
      </c>
      <c r="R3074" t="s">
        <v>1046</v>
      </c>
      <c r="S3074" t="str">
        <v>#N/A</v>
      </c>
      <c r="T3074" t="str">
        <v>31</v>
      </c>
    </row>
    <row r="3075" spans="1:20" ht="13.7" customHeight="1" x14ac:dyDescent="0.25">
      <c r="A3075" t="s">
        <v>518</v>
      </c>
      <c r="B3075" t="s">
        <v>519</v>
      </c>
      <c r="C3075" t="s">
        <v>520</v>
      </c>
      <c r="D3075">
        <v>1</v>
      </c>
      <c r="E3075" s="5">
        <v>43801</v>
      </c>
      <c r="F3075">
        <v>41350101</v>
      </c>
      <c r="G3075" t="s">
        <v>733</v>
      </c>
      <c r="H3075" t="s">
        <v>1125</v>
      </c>
      <c r="I3075" t="s">
        <v>1126</v>
      </c>
      <c r="J3075">
        <v>1007</v>
      </c>
      <c r="K3075">
        <v>4001</v>
      </c>
      <c r="L3075" s="3">
        <v>-265433860</v>
      </c>
      <c r="M3075" s="3">
        <v>0</v>
      </c>
      <c r="N3075">
        <v>1304000</v>
      </c>
      <c r="O3075">
        <v>0</v>
      </c>
      <c r="P3075">
        <v>-266737860</v>
      </c>
      <c r="Q3075" t="s">
        <v>30</v>
      </c>
      <c r="R3075" t="s">
        <v>979</v>
      </c>
      <c r="S3075" t="str">
        <v>#N/A</v>
      </c>
      <c r="T3075" t="str">
        <v>31</v>
      </c>
    </row>
    <row r="3076" spans="1:20" ht="13.7" customHeight="1" x14ac:dyDescent="0.25">
      <c r="A3076" t="s">
        <v>518</v>
      </c>
      <c r="B3076" t="s">
        <v>519</v>
      </c>
      <c r="C3076" t="s">
        <v>520</v>
      </c>
      <c r="D3076">
        <v>4</v>
      </c>
      <c r="E3076" s="5">
        <v>43810</v>
      </c>
      <c r="F3076">
        <v>41350101</v>
      </c>
      <c r="G3076" t="s">
        <v>733</v>
      </c>
      <c r="H3076" t="s">
        <v>1125</v>
      </c>
      <c r="I3076" t="s">
        <v>1126</v>
      </c>
      <c r="J3076">
        <v>1007</v>
      </c>
      <c r="K3076">
        <v>4001</v>
      </c>
      <c r="L3076" s="3">
        <v>-266737860</v>
      </c>
      <c r="M3076" s="3">
        <v>0</v>
      </c>
      <c r="N3076">
        <v>1695000</v>
      </c>
      <c r="O3076">
        <v>0</v>
      </c>
      <c r="P3076">
        <v>-268432860</v>
      </c>
      <c r="Q3076" t="s">
        <v>30</v>
      </c>
      <c r="R3076" t="s">
        <v>979</v>
      </c>
      <c r="S3076" t="str">
        <v>#N/A</v>
      </c>
      <c r="T3076" t="str">
        <v>31</v>
      </c>
    </row>
    <row r="3077" spans="1:20" ht="13.7" customHeight="1" x14ac:dyDescent="0.25">
      <c r="A3077" t="s">
        <v>518</v>
      </c>
      <c r="B3077" t="s">
        <v>519</v>
      </c>
      <c r="C3077" t="s">
        <v>520</v>
      </c>
      <c r="D3077">
        <v>7</v>
      </c>
      <c r="E3077" s="5">
        <v>43815</v>
      </c>
      <c r="F3077">
        <v>41350101</v>
      </c>
      <c r="G3077" t="s">
        <v>733</v>
      </c>
      <c r="H3077" t="s">
        <v>1125</v>
      </c>
      <c r="I3077" t="s">
        <v>1126</v>
      </c>
      <c r="J3077">
        <v>1007</v>
      </c>
      <c r="K3077">
        <v>4001</v>
      </c>
      <c r="L3077" s="3">
        <v>-268432860</v>
      </c>
      <c r="M3077" s="3">
        <v>0</v>
      </c>
      <c r="N3077">
        <v>1540250</v>
      </c>
      <c r="O3077">
        <v>0</v>
      </c>
      <c r="P3077">
        <v>-269973110</v>
      </c>
      <c r="Q3077" t="s">
        <v>30</v>
      </c>
      <c r="R3077" t="s">
        <v>979</v>
      </c>
      <c r="S3077" t="str">
        <v>#N/A</v>
      </c>
      <c r="T3077" t="str">
        <v>31</v>
      </c>
    </row>
    <row r="3078" spans="1:20" ht="13.7" customHeight="1" x14ac:dyDescent="0.25">
      <c r="A3078" t="s">
        <v>518</v>
      </c>
      <c r="B3078" t="s">
        <v>519</v>
      </c>
      <c r="C3078" t="s">
        <v>520</v>
      </c>
      <c r="D3078">
        <v>8</v>
      </c>
      <c r="E3078" s="5">
        <v>43819</v>
      </c>
      <c r="F3078">
        <v>41350101</v>
      </c>
      <c r="G3078" t="s">
        <v>733</v>
      </c>
      <c r="H3078" t="s">
        <v>1125</v>
      </c>
      <c r="I3078" t="s">
        <v>1126</v>
      </c>
      <c r="J3078">
        <v>1007</v>
      </c>
      <c r="K3078">
        <v>4001</v>
      </c>
      <c r="L3078" s="3">
        <v>-269973110</v>
      </c>
      <c r="M3078" s="3">
        <v>0</v>
      </c>
      <c r="N3078">
        <v>392700</v>
      </c>
      <c r="O3078">
        <v>0</v>
      </c>
      <c r="P3078">
        <v>-270365810</v>
      </c>
      <c r="Q3078" t="s">
        <v>30</v>
      </c>
      <c r="R3078" t="s">
        <v>979</v>
      </c>
      <c r="S3078" t="str">
        <v>#N/A</v>
      </c>
      <c r="T3078" t="str">
        <v>31</v>
      </c>
    </row>
    <row r="3079" spans="1:20" ht="13.7" customHeight="1" x14ac:dyDescent="0.25">
      <c r="E3079" s="5">
        <v>43465</v>
      </c>
      <c r="F3079">
        <v>41350101</v>
      </c>
      <c r="G3079" t="s">
        <v>733</v>
      </c>
      <c r="H3079" t="s">
        <v>1131</v>
      </c>
      <c r="I3079" t="s">
        <v>1132</v>
      </c>
      <c r="J3079">
        <v>0</v>
      </c>
      <c r="K3079">
        <v>0</v>
      </c>
      <c r="L3079" s="3">
        <v>-26743800</v>
      </c>
      <c r="M3079" s="3">
        <v>0</v>
      </c>
      <c r="N3079">
        <v>0</v>
      </c>
      <c r="O3079">
        <v>0</v>
      </c>
      <c r="P3079">
        <v>-26743800</v>
      </c>
      <c r="R3079" t="s">
        <v>1100</v>
      </c>
      <c r="S3079" t="str">
        <v>#N/A</v>
      </c>
      <c r="T3079" t="str">
        <v>#N/A</v>
      </c>
    </row>
    <row r="3080" spans="1:20" ht="13.7" customHeight="1" x14ac:dyDescent="0.25">
      <c r="A3080" t="s">
        <v>320</v>
      </c>
      <c r="B3080" t="s">
        <v>321</v>
      </c>
      <c r="C3080" t="s">
        <v>142</v>
      </c>
      <c r="D3080">
        <v>354</v>
      </c>
      <c r="E3080" s="5">
        <v>43501</v>
      </c>
      <c r="F3080">
        <v>41350101</v>
      </c>
      <c r="G3080" t="s">
        <v>733</v>
      </c>
      <c r="H3080" t="s">
        <v>1131</v>
      </c>
      <c r="I3080" t="s">
        <v>1132</v>
      </c>
      <c r="J3080">
        <v>1007</v>
      </c>
      <c r="K3080">
        <v>4001</v>
      </c>
      <c r="L3080" s="3">
        <v>-26743800</v>
      </c>
      <c r="M3080" s="3">
        <v>0</v>
      </c>
      <c r="N3080">
        <v>1875000</v>
      </c>
      <c r="O3080">
        <v>0</v>
      </c>
      <c r="P3080">
        <v>-28618800</v>
      </c>
      <c r="Q3080" t="s">
        <v>30</v>
      </c>
      <c r="R3080" t="s">
        <v>787</v>
      </c>
      <c r="S3080" t="str">
        <v>#N/A</v>
      </c>
      <c r="T3080" t="str">
        <v>#N/A</v>
      </c>
    </row>
    <row r="3081" spans="1:20" ht="13.7" customHeight="1" x14ac:dyDescent="0.25">
      <c r="A3081" t="s">
        <v>320</v>
      </c>
      <c r="B3081" t="s">
        <v>321</v>
      </c>
      <c r="C3081" t="s">
        <v>142</v>
      </c>
      <c r="D3081">
        <v>354</v>
      </c>
      <c r="E3081" s="5">
        <v>43501</v>
      </c>
      <c r="F3081">
        <v>41350101</v>
      </c>
      <c r="G3081" t="s">
        <v>733</v>
      </c>
      <c r="H3081" t="s">
        <v>1131</v>
      </c>
      <c r="I3081" t="s">
        <v>1132</v>
      </c>
      <c r="J3081">
        <v>1007</v>
      </c>
      <c r="K3081">
        <v>4001</v>
      </c>
      <c r="L3081" s="3">
        <v>-28618800</v>
      </c>
      <c r="M3081" s="3">
        <v>0</v>
      </c>
      <c r="N3081">
        <v>90000</v>
      </c>
      <c r="O3081">
        <v>0</v>
      </c>
      <c r="P3081">
        <v>-28708800</v>
      </c>
      <c r="Q3081" t="s">
        <v>30</v>
      </c>
      <c r="R3081" t="s">
        <v>788</v>
      </c>
      <c r="S3081" t="str">
        <v>#N/A</v>
      </c>
      <c r="T3081" t="str">
        <v>#N/A</v>
      </c>
    </row>
    <row r="3082" spans="1:20" ht="13.7" customHeight="1" x14ac:dyDescent="0.25">
      <c r="A3082" t="s">
        <v>320</v>
      </c>
      <c r="B3082" t="s">
        <v>321</v>
      </c>
      <c r="C3082" t="s">
        <v>142</v>
      </c>
      <c r="D3082">
        <v>354</v>
      </c>
      <c r="E3082" s="5">
        <v>43501</v>
      </c>
      <c r="F3082">
        <v>41350101</v>
      </c>
      <c r="G3082" t="s">
        <v>733</v>
      </c>
      <c r="H3082" t="s">
        <v>1131</v>
      </c>
      <c r="I3082" t="s">
        <v>1132</v>
      </c>
      <c r="J3082">
        <v>1007</v>
      </c>
      <c r="K3082">
        <v>4001</v>
      </c>
      <c r="L3082" s="3">
        <v>-28708800</v>
      </c>
      <c r="M3082" s="3">
        <v>0</v>
      </c>
      <c r="N3082">
        <v>525000</v>
      </c>
      <c r="O3082">
        <v>0</v>
      </c>
      <c r="P3082">
        <v>-29233800</v>
      </c>
      <c r="Q3082" t="s">
        <v>30</v>
      </c>
      <c r="R3082" t="s">
        <v>789</v>
      </c>
      <c r="S3082" t="str">
        <v>#N/A</v>
      </c>
      <c r="T3082" t="str">
        <v>#N/A</v>
      </c>
    </row>
    <row r="3083" spans="1:20" ht="13.7" customHeight="1" x14ac:dyDescent="0.25">
      <c r="A3083" t="s">
        <v>320</v>
      </c>
      <c r="B3083" t="s">
        <v>321</v>
      </c>
      <c r="C3083" t="s">
        <v>142</v>
      </c>
      <c r="D3083">
        <v>376</v>
      </c>
      <c r="E3083" s="5">
        <v>43525</v>
      </c>
      <c r="F3083">
        <v>41350101</v>
      </c>
      <c r="G3083" t="s">
        <v>733</v>
      </c>
      <c r="H3083" t="s">
        <v>1131</v>
      </c>
      <c r="I3083" t="s">
        <v>1132</v>
      </c>
      <c r="J3083">
        <v>1007</v>
      </c>
      <c r="K3083">
        <v>4001</v>
      </c>
      <c r="L3083" s="3">
        <v>-29233800</v>
      </c>
      <c r="M3083" s="3">
        <v>0</v>
      </c>
      <c r="N3083">
        <v>2250000</v>
      </c>
      <c r="O3083">
        <v>0</v>
      </c>
      <c r="P3083">
        <v>-31483800</v>
      </c>
      <c r="Q3083" t="s">
        <v>30</v>
      </c>
      <c r="R3083" t="s">
        <v>825</v>
      </c>
      <c r="S3083" t="str">
        <v>#N/A</v>
      </c>
      <c r="T3083" t="str">
        <v>#N/A</v>
      </c>
    </row>
    <row r="3084" spans="1:20" ht="13.7" customHeight="1" x14ac:dyDescent="0.25">
      <c r="A3084" t="s">
        <v>320</v>
      </c>
      <c r="B3084" t="s">
        <v>321</v>
      </c>
      <c r="C3084" t="s">
        <v>142</v>
      </c>
      <c r="D3084">
        <v>376</v>
      </c>
      <c r="E3084" s="5">
        <v>43525</v>
      </c>
      <c r="F3084">
        <v>41350101</v>
      </c>
      <c r="G3084" t="s">
        <v>733</v>
      </c>
      <c r="H3084" t="s">
        <v>1131</v>
      </c>
      <c r="I3084" t="s">
        <v>1132</v>
      </c>
      <c r="J3084">
        <v>1007</v>
      </c>
      <c r="K3084">
        <v>4001</v>
      </c>
      <c r="L3084" s="3">
        <v>-31483800</v>
      </c>
      <c r="M3084" s="3">
        <v>0</v>
      </c>
      <c r="N3084">
        <v>1500000</v>
      </c>
      <c r="O3084">
        <v>0</v>
      </c>
      <c r="P3084">
        <v>-32983800</v>
      </c>
      <c r="Q3084" t="s">
        <v>30</v>
      </c>
      <c r="R3084" t="s">
        <v>826</v>
      </c>
      <c r="S3084" t="str">
        <v>#N/A</v>
      </c>
      <c r="T3084" t="str">
        <v>#N/A</v>
      </c>
    </row>
    <row r="3085" spans="1:20" ht="13.7" customHeight="1" x14ac:dyDescent="0.25">
      <c r="A3085" t="s">
        <v>320</v>
      </c>
      <c r="B3085" t="s">
        <v>321</v>
      </c>
      <c r="C3085" t="s">
        <v>142</v>
      </c>
      <c r="D3085">
        <v>376</v>
      </c>
      <c r="E3085" s="5">
        <v>43525</v>
      </c>
      <c r="F3085">
        <v>41350101</v>
      </c>
      <c r="G3085" t="s">
        <v>733</v>
      </c>
      <c r="H3085" t="s">
        <v>1131</v>
      </c>
      <c r="I3085" t="s">
        <v>1132</v>
      </c>
      <c r="J3085">
        <v>1007</v>
      </c>
      <c r="K3085">
        <v>4001</v>
      </c>
      <c r="L3085" s="3">
        <v>-32983800</v>
      </c>
      <c r="M3085" s="3">
        <v>0</v>
      </c>
      <c r="N3085">
        <v>1875000</v>
      </c>
      <c r="O3085">
        <v>0</v>
      </c>
      <c r="P3085">
        <v>-34858800</v>
      </c>
      <c r="Q3085" t="s">
        <v>30</v>
      </c>
      <c r="R3085" t="s">
        <v>787</v>
      </c>
      <c r="S3085" t="str">
        <v>#N/A</v>
      </c>
      <c r="T3085" t="str">
        <v>#N/A</v>
      </c>
    </row>
    <row r="3086" spans="1:20" ht="13.7" customHeight="1" x14ac:dyDescent="0.25">
      <c r="A3086" t="s">
        <v>320</v>
      </c>
      <c r="B3086" t="s">
        <v>321</v>
      </c>
      <c r="C3086" t="s">
        <v>142</v>
      </c>
      <c r="D3086">
        <v>376</v>
      </c>
      <c r="E3086" s="5">
        <v>43525</v>
      </c>
      <c r="F3086">
        <v>41350101</v>
      </c>
      <c r="G3086" t="s">
        <v>733</v>
      </c>
      <c r="H3086" t="s">
        <v>1131</v>
      </c>
      <c r="I3086" t="s">
        <v>1132</v>
      </c>
      <c r="J3086">
        <v>1007</v>
      </c>
      <c r="K3086">
        <v>4001</v>
      </c>
      <c r="L3086" s="3">
        <v>-34858800</v>
      </c>
      <c r="M3086" s="3">
        <v>0</v>
      </c>
      <c r="N3086">
        <v>462500</v>
      </c>
      <c r="O3086">
        <v>0</v>
      </c>
      <c r="P3086">
        <v>-35321300</v>
      </c>
      <c r="Q3086" t="s">
        <v>30</v>
      </c>
      <c r="R3086" t="s">
        <v>827</v>
      </c>
      <c r="S3086" t="str">
        <v>#N/A</v>
      </c>
      <c r="T3086" t="str">
        <v>#N/A</v>
      </c>
    </row>
    <row r="3087" spans="1:20" ht="13.7" customHeight="1" x14ac:dyDescent="0.25">
      <c r="A3087" t="s">
        <v>320</v>
      </c>
      <c r="B3087" t="s">
        <v>321</v>
      </c>
      <c r="C3087" t="s">
        <v>142</v>
      </c>
      <c r="D3087">
        <v>376</v>
      </c>
      <c r="E3087" s="5">
        <v>43525</v>
      </c>
      <c r="F3087">
        <v>41350101</v>
      </c>
      <c r="G3087" t="s">
        <v>733</v>
      </c>
      <c r="H3087" t="s">
        <v>1131</v>
      </c>
      <c r="I3087" t="s">
        <v>1132</v>
      </c>
      <c r="J3087">
        <v>1007</v>
      </c>
      <c r="K3087">
        <v>4001</v>
      </c>
      <c r="L3087" s="3">
        <v>-35321300</v>
      </c>
      <c r="M3087" s="3">
        <v>0</v>
      </c>
      <c r="N3087">
        <v>315000</v>
      </c>
      <c r="O3087">
        <v>0</v>
      </c>
      <c r="P3087">
        <v>-35636300</v>
      </c>
      <c r="Q3087" t="s">
        <v>30</v>
      </c>
      <c r="R3087" t="s">
        <v>828</v>
      </c>
      <c r="S3087" t="str">
        <v>#N/A</v>
      </c>
      <c r="T3087" t="str">
        <v>#N/A</v>
      </c>
    </row>
    <row r="3088" spans="1:20" ht="13.7" customHeight="1" x14ac:dyDescent="0.25">
      <c r="A3088" t="s">
        <v>320</v>
      </c>
      <c r="B3088" t="s">
        <v>321</v>
      </c>
      <c r="C3088" t="s">
        <v>142</v>
      </c>
      <c r="D3088">
        <v>457</v>
      </c>
      <c r="E3088" s="5">
        <v>43630</v>
      </c>
      <c r="F3088">
        <v>41350101</v>
      </c>
      <c r="G3088" t="s">
        <v>733</v>
      </c>
      <c r="H3088" t="s">
        <v>1131</v>
      </c>
      <c r="I3088" t="s">
        <v>1132</v>
      </c>
      <c r="J3088">
        <v>1007</v>
      </c>
      <c r="K3088">
        <v>4001</v>
      </c>
      <c r="L3088" s="3">
        <v>-35636300</v>
      </c>
      <c r="M3088" s="3">
        <v>0</v>
      </c>
      <c r="N3088">
        <v>750000</v>
      </c>
      <c r="O3088">
        <v>0</v>
      </c>
      <c r="P3088">
        <v>-36386300</v>
      </c>
      <c r="Q3088" t="s">
        <v>30</v>
      </c>
      <c r="R3088" t="s">
        <v>895</v>
      </c>
      <c r="S3088" t="str">
        <v>#N/A</v>
      </c>
      <c r="T3088" t="str">
        <v>#N/A</v>
      </c>
    </row>
    <row r="3089" spans="1:20" ht="13.7" customHeight="1" x14ac:dyDescent="0.25">
      <c r="A3089" t="s">
        <v>320</v>
      </c>
      <c r="B3089" t="s">
        <v>321</v>
      </c>
      <c r="C3089" t="s">
        <v>142</v>
      </c>
      <c r="D3089">
        <v>457</v>
      </c>
      <c r="E3089" s="5">
        <v>43630</v>
      </c>
      <c r="F3089">
        <v>41350101</v>
      </c>
      <c r="G3089" t="s">
        <v>733</v>
      </c>
      <c r="H3089" t="s">
        <v>1131</v>
      </c>
      <c r="I3089" t="s">
        <v>1132</v>
      </c>
      <c r="J3089">
        <v>1007</v>
      </c>
      <c r="K3089">
        <v>4001</v>
      </c>
      <c r="L3089" s="3">
        <v>-36386300</v>
      </c>
      <c r="M3089" s="3">
        <v>0</v>
      </c>
      <c r="N3089">
        <v>600000</v>
      </c>
      <c r="O3089">
        <v>0</v>
      </c>
      <c r="P3089">
        <v>-36986300</v>
      </c>
      <c r="Q3089" t="s">
        <v>30</v>
      </c>
      <c r="R3089" t="s">
        <v>896</v>
      </c>
      <c r="S3089" t="str">
        <v>#N/A</v>
      </c>
      <c r="T3089" t="str">
        <v>#N/A</v>
      </c>
    </row>
    <row r="3090" spans="1:20" ht="13.7" customHeight="1" x14ac:dyDescent="0.25">
      <c r="A3090" t="s">
        <v>320</v>
      </c>
      <c r="B3090" t="s">
        <v>321</v>
      </c>
      <c r="C3090" t="s">
        <v>142</v>
      </c>
      <c r="D3090">
        <v>457</v>
      </c>
      <c r="E3090" s="5">
        <v>43630</v>
      </c>
      <c r="F3090">
        <v>41350101</v>
      </c>
      <c r="G3090" t="s">
        <v>733</v>
      </c>
      <c r="H3090" t="s">
        <v>1131</v>
      </c>
      <c r="I3090" t="s">
        <v>1132</v>
      </c>
      <c r="J3090">
        <v>1007</v>
      </c>
      <c r="K3090">
        <v>4001</v>
      </c>
      <c r="L3090" s="3">
        <v>-36986300</v>
      </c>
      <c r="M3090" s="3">
        <v>0</v>
      </c>
      <c r="N3090">
        <v>370800</v>
      </c>
      <c r="O3090">
        <v>0</v>
      </c>
      <c r="P3090">
        <v>-37357100</v>
      </c>
      <c r="Q3090" t="s">
        <v>30</v>
      </c>
      <c r="R3090" t="s">
        <v>897</v>
      </c>
      <c r="S3090" t="str">
        <v>#N/A</v>
      </c>
      <c r="T3090" t="str">
        <v>#N/A</v>
      </c>
    </row>
    <row r="3091" spans="1:20" ht="13.7" customHeight="1" x14ac:dyDescent="0.25">
      <c r="A3091" t="s">
        <v>320</v>
      </c>
      <c r="B3091" t="s">
        <v>321</v>
      </c>
      <c r="C3091" t="s">
        <v>142</v>
      </c>
      <c r="D3091">
        <v>498</v>
      </c>
      <c r="E3091" s="5">
        <v>43732</v>
      </c>
      <c r="F3091">
        <v>41350101</v>
      </c>
      <c r="G3091" t="s">
        <v>733</v>
      </c>
      <c r="H3091" t="s">
        <v>1131</v>
      </c>
      <c r="I3091" t="s">
        <v>1132</v>
      </c>
      <c r="J3091">
        <v>1007</v>
      </c>
      <c r="K3091">
        <v>4001</v>
      </c>
      <c r="L3091" s="3">
        <v>-37357100</v>
      </c>
      <c r="M3091" s="3">
        <v>0</v>
      </c>
      <c r="N3091">
        <v>1072500</v>
      </c>
      <c r="O3091">
        <v>0</v>
      </c>
      <c r="P3091">
        <v>-38429600</v>
      </c>
      <c r="Q3091" t="s">
        <v>30</v>
      </c>
      <c r="R3091" t="s">
        <v>962</v>
      </c>
      <c r="S3091" t="str">
        <v>#N/A</v>
      </c>
      <c r="T3091" t="str">
        <v>#N/A</v>
      </c>
    </row>
    <row r="3092" spans="1:20" ht="13.7" customHeight="1" x14ac:dyDescent="0.25">
      <c r="A3092" t="s">
        <v>320</v>
      </c>
      <c r="B3092" t="s">
        <v>321</v>
      </c>
      <c r="C3092" t="s">
        <v>142</v>
      </c>
      <c r="D3092">
        <v>498</v>
      </c>
      <c r="E3092" s="5">
        <v>43732</v>
      </c>
      <c r="F3092">
        <v>41350101</v>
      </c>
      <c r="G3092" t="s">
        <v>733</v>
      </c>
      <c r="H3092" t="s">
        <v>1131</v>
      </c>
      <c r="I3092" t="s">
        <v>1132</v>
      </c>
      <c r="J3092">
        <v>1007</v>
      </c>
      <c r="K3092">
        <v>4001</v>
      </c>
      <c r="L3092" s="3">
        <v>-38429600</v>
      </c>
      <c r="M3092" s="3">
        <v>0</v>
      </c>
      <c r="N3092">
        <v>900000</v>
      </c>
      <c r="O3092">
        <v>0</v>
      </c>
      <c r="P3092">
        <v>-39329600</v>
      </c>
      <c r="Q3092" t="s">
        <v>30</v>
      </c>
      <c r="R3092" t="s">
        <v>963</v>
      </c>
      <c r="S3092" t="str">
        <v>#N/A</v>
      </c>
      <c r="T3092" t="str">
        <v>#N/A</v>
      </c>
    </row>
    <row r="3093" spans="1:20" ht="13.7" customHeight="1" x14ac:dyDescent="0.25">
      <c r="A3093" t="s">
        <v>320</v>
      </c>
      <c r="B3093" t="s">
        <v>321</v>
      </c>
      <c r="C3093" t="s">
        <v>142</v>
      </c>
      <c r="D3093">
        <v>498</v>
      </c>
      <c r="E3093" s="5">
        <v>43732</v>
      </c>
      <c r="F3093">
        <v>41350101</v>
      </c>
      <c r="G3093" t="s">
        <v>733</v>
      </c>
      <c r="H3093" t="s">
        <v>1131</v>
      </c>
      <c r="I3093" t="s">
        <v>1132</v>
      </c>
      <c r="J3093">
        <v>1007</v>
      </c>
      <c r="K3093">
        <v>4001</v>
      </c>
      <c r="L3093" s="3">
        <v>-39329600</v>
      </c>
      <c r="M3093" s="3">
        <v>0</v>
      </c>
      <c r="N3093">
        <v>185000</v>
      </c>
      <c r="O3093">
        <v>0</v>
      </c>
      <c r="P3093">
        <v>-39514600</v>
      </c>
      <c r="Q3093" t="s">
        <v>30</v>
      </c>
      <c r="R3093" t="s">
        <v>964</v>
      </c>
      <c r="S3093" t="str">
        <v>#N/A</v>
      </c>
      <c r="T3093" t="str">
        <v>#N/A</v>
      </c>
    </row>
    <row r="3094" spans="1:20" ht="13.7" customHeight="1" x14ac:dyDescent="0.25">
      <c r="A3094" t="s">
        <v>320</v>
      </c>
      <c r="B3094" t="s">
        <v>321</v>
      </c>
      <c r="C3094" t="s">
        <v>142</v>
      </c>
      <c r="D3094">
        <v>498</v>
      </c>
      <c r="E3094" s="5">
        <v>43732</v>
      </c>
      <c r="F3094">
        <v>41350101</v>
      </c>
      <c r="G3094" t="s">
        <v>733</v>
      </c>
      <c r="H3094" t="s">
        <v>1131</v>
      </c>
      <c r="I3094" t="s">
        <v>1132</v>
      </c>
      <c r="J3094">
        <v>1007</v>
      </c>
      <c r="K3094">
        <v>4001</v>
      </c>
      <c r="L3094" s="3">
        <v>-39514600</v>
      </c>
      <c r="M3094" s="3">
        <v>0</v>
      </c>
      <c r="N3094">
        <v>9000</v>
      </c>
      <c r="O3094">
        <v>0</v>
      </c>
      <c r="P3094">
        <v>-39523600</v>
      </c>
      <c r="Q3094" t="s">
        <v>30</v>
      </c>
      <c r="R3094" t="s">
        <v>965</v>
      </c>
      <c r="S3094" t="str">
        <v>#N/A</v>
      </c>
      <c r="T3094" t="str">
        <v>#N/A</v>
      </c>
    </row>
    <row r="3095" spans="1:20" ht="13.7" customHeight="1" x14ac:dyDescent="0.25">
      <c r="A3095" t="s">
        <v>320</v>
      </c>
      <c r="B3095" t="s">
        <v>321</v>
      </c>
      <c r="C3095" t="s">
        <v>142</v>
      </c>
      <c r="D3095">
        <v>513</v>
      </c>
      <c r="E3095" s="5">
        <v>43756</v>
      </c>
      <c r="F3095">
        <v>41350101</v>
      </c>
      <c r="G3095" t="s">
        <v>733</v>
      </c>
      <c r="H3095" t="s">
        <v>1131</v>
      </c>
      <c r="I3095" t="s">
        <v>1132</v>
      </c>
      <c r="J3095">
        <v>1007</v>
      </c>
      <c r="K3095">
        <v>4001</v>
      </c>
      <c r="L3095" s="3">
        <v>-39523600</v>
      </c>
      <c r="M3095" s="3">
        <v>0</v>
      </c>
      <c r="N3095">
        <v>808000</v>
      </c>
      <c r="O3095">
        <v>0</v>
      </c>
      <c r="P3095">
        <v>-40331600</v>
      </c>
      <c r="Q3095" t="s">
        <v>30</v>
      </c>
      <c r="R3095" t="s">
        <v>979</v>
      </c>
      <c r="S3095" t="str">
        <v>#N/A</v>
      </c>
      <c r="T3095" t="str">
        <v>#N/A</v>
      </c>
    </row>
    <row r="3096" spans="1:20" ht="13.7" customHeight="1" x14ac:dyDescent="0.25">
      <c r="E3096" s="5">
        <v>43465</v>
      </c>
      <c r="F3096">
        <v>41350101</v>
      </c>
      <c r="G3096" t="s">
        <v>733</v>
      </c>
      <c r="H3096" t="s">
        <v>1133</v>
      </c>
      <c r="I3096" t="s">
        <v>1134</v>
      </c>
      <c r="J3096">
        <v>0</v>
      </c>
      <c r="K3096">
        <v>0</v>
      </c>
      <c r="L3096" s="3">
        <v>-854058</v>
      </c>
      <c r="M3096" s="3">
        <v>0</v>
      </c>
      <c r="N3096">
        <v>0</v>
      </c>
      <c r="O3096">
        <v>0</v>
      </c>
      <c r="P3096">
        <v>-854058</v>
      </c>
      <c r="R3096" t="s">
        <v>1100</v>
      </c>
      <c r="S3096" t="str">
        <v>#N/A</v>
      </c>
      <c r="T3096" t="str">
        <v>#N/A</v>
      </c>
    </row>
    <row r="3097" spans="1:20" ht="13.7" customHeight="1" x14ac:dyDescent="0.25">
      <c r="A3097" t="s">
        <v>320</v>
      </c>
      <c r="B3097" t="s">
        <v>321</v>
      </c>
      <c r="C3097" t="s">
        <v>142</v>
      </c>
      <c r="D3097">
        <v>367</v>
      </c>
      <c r="E3097" s="5">
        <v>43512</v>
      </c>
      <c r="F3097">
        <v>41350101</v>
      </c>
      <c r="G3097" t="s">
        <v>733</v>
      </c>
      <c r="H3097" t="s">
        <v>1133</v>
      </c>
      <c r="I3097" t="s">
        <v>1134</v>
      </c>
      <c r="J3097">
        <v>1007</v>
      </c>
      <c r="K3097">
        <v>4001</v>
      </c>
      <c r="L3097" s="3">
        <v>-854058</v>
      </c>
      <c r="M3097" s="3">
        <v>0</v>
      </c>
      <c r="N3097">
        <v>23058</v>
      </c>
      <c r="O3097">
        <v>0</v>
      </c>
      <c r="P3097">
        <v>-877116</v>
      </c>
      <c r="Q3097" t="s">
        <v>30</v>
      </c>
      <c r="R3097" t="s">
        <v>808</v>
      </c>
      <c r="S3097" t="str">
        <v>#N/A</v>
      </c>
      <c r="T3097" t="str">
        <v>#N/A</v>
      </c>
    </row>
    <row r="3098" spans="1:20" ht="13.7" customHeight="1" x14ac:dyDescent="0.25">
      <c r="A3098" t="s">
        <v>320</v>
      </c>
      <c r="B3098" t="s">
        <v>321</v>
      </c>
      <c r="C3098" t="s">
        <v>142</v>
      </c>
      <c r="D3098">
        <v>367</v>
      </c>
      <c r="E3098" s="5">
        <v>43512</v>
      </c>
      <c r="F3098">
        <v>41350101</v>
      </c>
      <c r="G3098" t="s">
        <v>733</v>
      </c>
      <c r="H3098" t="s">
        <v>1133</v>
      </c>
      <c r="I3098" t="s">
        <v>1134</v>
      </c>
      <c r="J3098">
        <v>1007</v>
      </c>
      <c r="K3098">
        <v>4001</v>
      </c>
      <c r="L3098" s="3">
        <v>-877116</v>
      </c>
      <c r="M3098" s="3">
        <v>0</v>
      </c>
      <c r="N3098">
        <v>75260</v>
      </c>
      <c r="O3098">
        <v>0</v>
      </c>
      <c r="P3098">
        <v>-952376</v>
      </c>
      <c r="Q3098" t="s">
        <v>30</v>
      </c>
      <c r="R3098" t="s">
        <v>809</v>
      </c>
      <c r="S3098" t="str">
        <v>#N/A</v>
      </c>
      <c r="T3098" t="str">
        <v>#N/A</v>
      </c>
    </row>
    <row r="3099" spans="1:20" ht="13.7" customHeight="1" x14ac:dyDescent="0.25">
      <c r="A3099" t="s">
        <v>320</v>
      </c>
      <c r="B3099" t="s">
        <v>321</v>
      </c>
      <c r="C3099" t="s">
        <v>142</v>
      </c>
      <c r="D3099">
        <v>367</v>
      </c>
      <c r="E3099" s="5">
        <v>43512</v>
      </c>
      <c r="F3099">
        <v>41350101</v>
      </c>
      <c r="G3099" t="s">
        <v>733</v>
      </c>
      <c r="H3099" t="s">
        <v>1133</v>
      </c>
      <c r="I3099" t="s">
        <v>1134</v>
      </c>
      <c r="J3099">
        <v>1007</v>
      </c>
      <c r="K3099">
        <v>4001</v>
      </c>
      <c r="L3099" s="3">
        <v>-952376</v>
      </c>
      <c r="M3099" s="3">
        <v>0</v>
      </c>
      <c r="N3099">
        <v>162590</v>
      </c>
      <c r="O3099">
        <v>0</v>
      </c>
      <c r="P3099">
        <v>-1114966</v>
      </c>
      <c r="Q3099" t="s">
        <v>30</v>
      </c>
      <c r="R3099" t="s">
        <v>810</v>
      </c>
      <c r="S3099" t="str">
        <v>#N/A</v>
      </c>
      <c r="T3099" t="str">
        <v>#N/A</v>
      </c>
    </row>
    <row r="3100" spans="1:20" ht="13.7" customHeight="1" x14ac:dyDescent="0.25">
      <c r="A3100" t="s">
        <v>320</v>
      </c>
      <c r="B3100" t="s">
        <v>321</v>
      </c>
      <c r="C3100" t="s">
        <v>142</v>
      </c>
      <c r="D3100">
        <v>367</v>
      </c>
      <c r="E3100" s="5">
        <v>43512</v>
      </c>
      <c r="F3100">
        <v>41350101</v>
      </c>
      <c r="G3100" t="s">
        <v>733</v>
      </c>
      <c r="H3100" t="s">
        <v>1133</v>
      </c>
      <c r="I3100" t="s">
        <v>1134</v>
      </c>
      <c r="J3100">
        <v>1007</v>
      </c>
      <c r="K3100">
        <v>4001</v>
      </c>
      <c r="L3100" s="3">
        <v>-1114966</v>
      </c>
      <c r="M3100" s="3">
        <v>0</v>
      </c>
      <c r="N3100">
        <v>166160</v>
      </c>
      <c r="O3100">
        <v>0</v>
      </c>
      <c r="P3100">
        <v>-1281126</v>
      </c>
      <c r="Q3100" t="s">
        <v>30</v>
      </c>
      <c r="R3100" t="s">
        <v>811</v>
      </c>
      <c r="S3100" t="str">
        <v>#N/A</v>
      </c>
      <c r="T3100" t="str">
        <v>#N/A</v>
      </c>
    </row>
    <row r="3101" spans="1:20" ht="13.7" customHeight="1" x14ac:dyDescent="0.25">
      <c r="A3101" t="s">
        <v>320</v>
      </c>
      <c r="B3101" t="s">
        <v>321</v>
      </c>
      <c r="C3101" t="s">
        <v>142</v>
      </c>
      <c r="D3101">
        <v>368</v>
      </c>
      <c r="E3101" s="5">
        <v>43513</v>
      </c>
      <c r="F3101">
        <v>41350101</v>
      </c>
      <c r="G3101" t="s">
        <v>733</v>
      </c>
      <c r="H3101" t="s">
        <v>1133</v>
      </c>
      <c r="I3101" t="s">
        <v>1134</v>
      </c>
      <c r="J3101">
        <v>1007</v>
      </c>
      <c r="K3101">
        <v>4001</v>
      </c>
      <c r="L3101" s="3">
        <v>-1281126</v>
      </c>
      <c r="M3101" s="3">
        <v>0</v>
      </c>
      <c r="N3101">
        <v>166160</v>
      </c>
      <c r="O3101">
        <v>0</v>
      </c>
      <c r="P3101">
        <v>-1447286</v>
      </c>
      <c r="Q3101" t="s">
        <v>30</v>
      </c>
      <c r="R3101" t="s">
        <v>811</v>
      </c>
      <c r="S3101" t="str">
        <v>#N/A</v>
      </c>
      <c r="T3101" t="str">
        <v>#N/A</v>
      </c>
    </row>
    <row r="3102" spans="1:20" ht="13.7" customHeight="1" x14ac:dyDescent="0.25">
      <c r="A3102" t="s">
        <v>320</v>
      </c>
      <c r="B3102" t="s">
        <v>321</v>
      </c>
      <c r="C3102" t="s">
        <v>142</v>
      </c>
      <c r="D3102">
        <v>368</v>
      </c>
      <c r="E3102" s="5">
        <v>43513</v>
      </c>
      <c r="F3102">
        <v>41350101</v>
      </c>
      <c r="G3102" t="s">
        <v>733</v>
      </c>
      <c r="H3102" t="s">
        <v>1133</v>
      </c>
      <c r="I3102" t="s">
        <v>1134</v>
      </c>
      <c r="J3102">
        <v>1007</v>
      </c>
      <c r="K3102">
        <v>4001</v>
      </c>
      <c r="L3102" s="3">
        <v>-1447286</v>
      </c>
      <c r="M3102" s="3">
        <v>0</v>
      </c>
      <c r="N3102">
        <v>193442</v>
      </c>
      <c r="O3102">
        <v>0</v>
      </c>
      <c r="P3102">
        <v>-1640728</v>
      </c>
      <c r="Q3102" t="s">
        <v>30</v>
      </c>
      <c r="R3102" t="s">
        <v>812</v>
      </c>
      <c r="S3102" t="str">
        <v>#N/A</v>
      </c>
      <c r="T3102" t="str">
        <v>#N/A</v>
      </c>
    </row>
    <row r="3103" spans="1:20" ht="13.7" customHeight="1" x14ac:dyDescent="0.25">
      <c r="A3103" t="s">
        <v>320</v>
      </c>
      <c r="B3103" t="s">
        <v>321</v>
      </c>
      <c r="C3103" t="s">
        <v>142</v>
      </c>
      <c r="D3103">
        <v>368</v>
      </c>
      <c r="E3103" s="5">
        <v>43513</v>
      </c>
      <c r="F3103">
        <v>41350101</v>
      </c>
      <c r="G3103" t="s">
        <v>733</v>
      </c>
      <c r="H3103" t="s">
        <v>1133</v>
      </c>
      <c r="I3103" t="s">
        <v>1134</v>
      </c>
      <c r="J3103">
        <v>1007</v>
      </c>
      <c r="K3103">
        <v>4001</v>
      </c>
      <c r="L3103" s="3">
        <v>-1640728</v>
      </c>
      <c r="M3103" s="3">
        <v>0</v>
      </c>
      <c r="N3103">
        <v>10206</v>
      </c>
      <c r="O3103">
        <v>0</v>
      </c>
      <c r="P3103">
        <v>-1650934</v>
      </c>
      <c r="Q3103" t="s">
        <v>30</v>
      </c>
      <c r="R3103" t="s">
        <v>813</v>
      </c>
      <c r="S3103" t="str">
        <v>#N/A</v>
      </c>
      <c r="T3103" t="str">
        <v>#N/A</v>
      </c>
    </row>
    <row r="3104" spans="1:20" ht="13.7" customHeight="1" x14ac:dyDescent="0.25">
      <c r="A3104" t="s">
        <v>320</v>
      </c>
      <c r="B3104" t="s">
        <v>321</v>
      </c>
      <c r="C3104" t="s">
        <v>142</v>
      </c>
      <c r="D3104">
        <v>368</v>
      </c>
      <c r="E3104" s="5">
        <v>43513</v>
      </c>
      <c r="F3104">
        <v>41350101</v>
      </c>
      <c r="G3104" t="s">
        <v>733</v>
      </c>
      <c r="H3104" t="s">
        <v>1133</v>
      </c>
      <c r="I3104" t="s">
        <v>1134</v>
      </c>
      <c r="J3104">
        <v>1007</v>
      </c>
      <c r="K3104">
        <v>4001</v>
      </c>
      <c r="L3104" s="3">
        <v>-1650934</v>
      </c>
      <c r="M3104" s="3">
        <v>0</v>
      </c>
      <c r="N3104">
        <v>102200</v>
      </c>
      <c r="O3104">
        <v>0</v>
      </c>
      <c r="P3104">
        <v>-1753134</v>
      </c>
      <c r="Q3104" t="s">
        <v>30</v>
      </c>
      <c r="R3104" t="s">
        <v>814</v>
      </c>
      <c r="S3104" t="str">
        <v>#N/A</v>
      </c>
      <c r="T3104" t="str">
        <v>#N/A</v>
      </c>
    </row>
    <row r="3105" spans="1:20" ht="13.7" customHeight="1" x14ac:dyDescent="0.25">
      <c r="A3105" t="s">
        <v>320</v>
      </c>
      <c r="B3105" t="s">
        <v>321</v>
      </c>
      <c r="C3105" t="s">
        <v>142</v>
      </c>
      <c r="D3105">
        <v>369</v>
      </c>
      <c r="E3105" s="5">
        <v>43514</v>
      </c>
      <c r="F3105">
        <v>41350101</v>
      </c>
      <c r="G3105" t="s">
        <v>733</v>
      </c>
      <c r="H3105" t="s">
        <v>1133</v>
      </c>
      <c r="I3105" t="s">
        <v>1134</v>
      </c>
      <c r="J3105">
        <v>1007</v>
      </c>
      <c r="K3105">
        <v>4001</v>
      </c>
      <c r="L3105" s="3">
        <v>-1753134</v>
      </c>
      <c r="M3105" s="3">
        <v>0</v>
      </c>
      <c r="N3105">
        <v>179600</v>
      </c>
      <c r="O3105">
        <v>0</v>
      </c>
      <c r="P3105">
        <v>-1932734</v>
      </c>
      <c r="Q3105" t="s">
        <v>30</v>
      </c>
      <c r="R3105" t="s">
        <v>815</v>
      </c>
      <c r="S3105" t="str">
        <v>#N/A</v>
      </c>
      <c r="T3105" t="str">
        <v>#N/A</v>
      </c>
    </row>
    <row r="3106" spans="1:20" ht="13.7" customHeight="1" x14ac:dyDescent="0.25">
      <c r="A3106" t="s">
        <v>320</v>
      </c>
      <c r="B3106" t="s">
        <v>321</v>
      </c>
      <c r="C3106" t="s">
        <v>142</v>
      </c>
      <c r="D3106">
        <v>369</v>
      </c>
      <c r="E3106" s="5">
        <v>43514</v>
      </c>
      <c r="F3106">
        <v>41350101</v>
      </c>
      <c r="G3106" t="s">
        <v>733</v>
      </c>
      <c r="H3106" t="s">
        <v>1133</v>
      </c>
      <c r="I3106" t="s">
        <v>1134</v>
      </c>
      <c r="J3106">
        <v>1007</v>
      </c>
      <c r="K3106">
        <v>4001</v>
      </c>
      <c r="L3106" s="3">
        <v>-1932734</v>
      </c>
      <c r="M3106" s="3">
        <v>0</v>
      </c>
      <c r="N3106">
        <v>208740</v>
      </c>
      <c r="O3106">
        <v>0</v>
      </c>
      <c r="P3106">
        <v>-2141474</v>
      </c>
      <c r="Q3106" t="s">
        <v>30</v>
      </c>
      <c r="R3106" t="s">
        <v>816</v>
      </c>
      <c r="S3106" t="str">
        <v>#N/A</v>
      </c>
      <c r="T3106" t="str">
        <v>#N/A</v>
      </c>
    </row>
    <row r="3107" spans="1:20" ht="13.7" customHeight="1" x14ac:dyDescent="0.25">
      <c r="A3107" t="s">
        <v>320</v>
      </c>
      <c r="B3107" t="s">
        <v>321</v>
      </c>
      <c r="C3107" t="s">
        <v>142</v>
      </c>
      <c r="D3107">
        <v>371</v>
      </c>
      <c r="E3107" s="5">
        <v>43516</v>
      </c>
      <c r="F3107">
        <v>41350101</v>
      </c>
      <c r="G3107" t="s">
        <v>733</v>
      </c>
      <c r="H3107" t="s">
        <v>1133</v>
      </c>
      <c r="I3107" t="s">
        <v>1134</v>
      </c>
      <c r="J3107">
        <v>1007</v>
      </c>
      <c r="K3107">
        <v>4001</v>
      </c>
      <c r="L3107" s="3">
        <v>-2141474</v>
      </c>
      <c r="M3107" s="3">
        <v>0</v>
      </c>
      <c r="N3107">
        <v>268380</v>
      </c>
      <c r="O3107">
        <v>0</v>
      </c>
      <c r="P3107">
        <v>-2409854</v>
      </c>
      <c r="Q3107" t="s">
        <v>30</v>
      </c>
      <c r="R3107" t="s">
        <v>817</v>
      </c>
      <c r="S3107" t="str">
        <v>#N/A</v>
      </c>
      <c r="T3107" t="str">
        <v>#N/A</v>
      </c>
    </row>
    <row r="3108" spans="1:20" ht="13.7" customHeight="1" x14ac:dyDescent="0.25">
      <c r="A3108" t="s">
        <v>320</v>
      </c>
      <c r="B3108" t="s">
        <v>321</v>
      </c>
      <c r="C3108" t="s">
        <v>142</v>
      </c>
      <c r="D3108">
        <v>375</v>
      </c>
      <c r="E3108" s="5">
        <v>43524</v>
      </c>
      <c r="F3108">
        <v>41350101</v>
      </c>
      <c r="G3108" t="s">
        <v>733</v>
      </c>
      <c r="H3108" t="s">
        <v>1133</v>
      </c>
      <c r="I3108" t="s">
        <v>1134</v>
      </c>
      <c r="J3108">
        <v>1007</v>
      </c>
      <c r="K3108">
        <v>4001</v>
      </c>
      <c r="L3108" s="3">
        <v>-2409854</v>
      </c>
      <c r="M3108" s="3">
        <v>0</v>
      </c>
      <c r="N3108">
        <v>114000</v>
      </c>
      <c r="O3108">
        <v>0</v>
      </c>
      <c r="P3108">
        <v>-2523854</v>
      </c>
      <c r="Q3108" t="s">
        <v>30</v>
      </c>
      <c r="R3108" t="s">
        <v>822</v>
      </c>
      <c r="S3108" t="str">
        <v>#N/A</v>
      </c>
      <c r="T3108" t="str">
        <v>#N/A</v>
      </c>
    </row>
    <row r="3109" spans="1:20" ht="13.7" customHeight="1" x14ac:dyDescent="0.25">
      <c r="A3109" t="s">
        <v>320</v>
      </c>
      <c r="B3109" t="s">
        <v>321</v>
      </c>
      <c r="C3109" t="s">
        <v>142</v>
      </c>
      <c r="D3109">
        <v>375</v>
      </c>
      <c r="E3109" s="5">
        <v>43524</v>
      </c>
      <c r="F3109">
        <v>41350101</v>
      </c>
      <c r="G3109" t="s">
        <v>733</v>
      </c>
      <c r="H3109" t="s">
        <v>1133</v>
      </c>
      <c r="I3109" t="s">
        <v>1134</v>
      </c>
      <c r="J3109">
        <v>1007</v>
      </c>
      <c r="K3109">
        <v>4001</v>
      </c>
      <c r="L3109" s="3">
        <v>-2523854</v>
      </c>
      <c r="M3109" s="3">
        <v>0</v>
      </c>
      <c r="N3109">
        <v>13230</v>
      </c>
      <c r="O3109">
        <v>0</v>
      </c>
      <c r="P3109">
        <v>-2537084</v>
      </c>
      <c r="Q3109" t="s">
        <v>30</v>
      </c>
      <c r="R3109" t="s">
        <v>823</v>
      </c>
      <c r="S3109" t="str">
        <v>#N/A</v>
      </c>
      <c r="T3109" t="str">
        <v>#N/A</v>
      </c>
    </row>
    <row r="3110" spans="1:20" ht="13.7" customHeight="1" x14ac:dyDescent="0.25">
      <c r="A3110" t="s">
        <v>320</v>
      </c>
      <c r="B3110" t="s">
        <v>321</v>
      </c>
      <c r="C3110" t="s">
        <v>142</v>
      </c>
      <c r="D3110">
        <v>375</v>
      </c>
      <c r="E3110" s="5">
        <v>43524</v>
      </c>
      <c r="F3110">
        <v>41350101</v>
      </c>
      <c r="G3110" t="s">
        <v>733</v>
      </c>
      <c r="H3110" t="s">
        <v>1133</v>
      </c>
      <c r="I3110" t="s">
        <v>1134</v>
      </c>
      <c r="J3110">
        <v>1007</v>
      </c>
      <c r="K3110">
        <v>4001</v>
      </c>
      <c r="L3110" s="3">
        <v>-2537084</v>
      </c>
      <c r="M3110" s="3">
        <v>11500</v>
      </c>
      <c r="N3110">
        <v>0</v>
      </c>
      <c r="O3110">
        <v>0</v>
      </c>
      <c r="P3110">
        <v>-2525584</v>
      </c>
      <c r="Q3110" t="s">
        <v>30</v>
      </c>
      <c r="R3110" t="s">
        <v>824</v>
      </c>
      <c r="S3110" t="str">
        <v>#N/A</v>
      </c>
      <c r="T3110" t="str">
        <v>#N/A</v>
      </c>
    </row>
    <row r="3111" spans="1:20" ht="13.7" customHeight="1" x14ac:dyDescent="0.25">
      <c r="A3111" t="s">
        <v>320</v>
      </c>
      <c r="B3111" t="s">
        <v>321</v>
      </c>
      <c r="C3111" t="s">
        <v>142</v>
      </c>
      <c r="D3111">
        <v>456</v>
      </c>
      <c r="E3111" s="5">
        <v>43630</v>
      </c>
      <c r="F3111">
        <v>41350101</v>
      </c>
      <c r="G3111" t="s">
        <v>733</v>
      </c>
      <c r="H3111" t="s">
        <v>1133</v>
      </c>
      <c r="I3111" t="s">
        <v>1134</v>
      </c>
      <c r="J3111">
        <v>1007</v>
      </c>
      <c r="K3111">
        <v>4001</v>
      </c>
      <c r="L3111" s="3">
        <v>-2525584</v>
      </c>
      <c r="M3111" s="3">
        <v>0</v>
      </c>
      <c r="N3111">
        <v>115730</v>
      </c>
      <c r="O3111">
        <v>0</v>
      </c>
      <c r="P3111">
        <v>-2641314</v>
      </c>
      <c r="Q3111" t="s">
        <v>30</v>
      </c>
      <c r="R3111" t="s">
        <v>891</v>
      </c>
      <c r="S3111" t="str">
        <v>#N/A</v>
      </c>
      <c r="T3111" t="str">
        <v>#N/A</v>
      </c>
    </row>
    <row r="3112" spans="1:20" ht="13.7" customHeight="1" x14ac:dyDescent="0.25">
      <c r="A3112" t="s">
        <v>320</v>
      </c>
      <c r="B3112" t="s">
        <v>321</v>
      </c>
      <c r="C3112" t="s">
        <v>142</v>
      </c>
      <c r="D3112">
        <v>456</v>
      </c>
      <c r="E3112" s="5">
        <v>43630</v>
      </c>
      <c r="F3112">
        <v>41350101</v>
      </c>
      <c r="G3112" t="s">
        <v>733</v>
      </c>
      <c r="H3112" t="s">
        <v>1133</v>
      </c>
      <c r="I3112" t="s">
        <v>1134</v>
      </c>
      <c r="J3112">
        <v>1007</v>
      </c>
      <c r="K3112">
        <v>4001</v>
      </c>
      <c r="L3112" s="3">
        <v>-2641314</v>
      </c>
      <c r="M3112" s="3">
        <v>0</v>
      </c>
      <c r="N3112">
        <v>117860</v>
      </c>
      <c r="O3112">
        <v>0</v>
      </c>
      <c r="P3112">
        <v>-2759174</v>
      </c>
      <c r="Q3112" t="s">
        <v>30</v>
      </c>
      <c r="R3112" t="s">
        <v>892</v>
      </c>
      <c r="S3112" t="str">
        <v>#N/A</v>
      </c>
      <c r="T3112" t="str">
        <v>#N/A</v>
      </c>
    </row>
    <row r="3113" spans="1:20" ht="13.7" customHeight="1" x14ac:dyDescent="0.25">
      <c r="A3113" t="s">
        <v>320</v>
      </c>
      <c r="B3113" t="s">
        <v>321</v>
      </c>
      <c r="C3113" t="s">
        <v>142</v>
      </c>
      <c r="D3113">
        <v>456</v>
      </c>
      <c r="E3113" s="5">
        <v>43630</v>
      </c>
      <c r="F3113">
        <v>41350101</v>
      </c>
      <c r="G3113" t="s">
        <v>733</v>
      </c>
      <c r="H3113" t="s">
        <v>1133</v>
      </c>
      <c r="I3113" t="s">
        <v>1134</v>
      </c>
      <c r="J3113">
        <v>1007</v>
      </c>
      <c r="K3113">
        <v>4001</v>
      </c>
      <c r="L3113" s="3">
        <v>-2759174</v>
      </c>
      <c r="M3113" s="3">
        <v>0</v>
      </c>
      <c r="N3113">
        <v>204480</v>
      </c>
      <c r="O3113">
        <v>0</v>
      </c>
      <c r="P3113">
        <v>-2963654</v>
      </c>
      <c r="Q3113" t="s">
        <v>30</v>
      </c>
      <c r="R3113" t="s">
        <v>893</v>
      </c>
      <c r="S3113" t="str">
        <v>#N/A</v>
      </c>
      <c r="T3113" t="str">
        <v>#N/A</v>
      </c>
    </row>
    <row r="3114" spans="1:20" ht="13.7" customHeight="1" x14ac:dyDescent="0.25">
      <c r="A3114" t="s">
        <v>320</v>
      </c>
      <c r="B3114" t="s">
        <v>321</v>
      </c>
      <c r="C3114" t="s">
        <v>142</v>
      </c>
      <c r="D3114">
        <v>456</v>
      </c>
      <c r="E3114" s="5">
        <v>43630</v>
      </c>
      <c r="F3114">
        <v>41350101</v>
      </c>
      <c r="G3114" t="s">
        <v>733</v>
      </c>
      <c r="H3114" t="s">
        <v>1133</v>
      </c>
      <c r="I3114" t="s">
        <v>1134</v>
      </c>
      <c r="J3114">
        <v>1007</v>
      </c>
      <c r="K3114">
        <v>4001</v>
      </c>
      <c r="L3114" s="3">
        <v>-2963654</v>
      </c>
      <c r="M3114" s="3">
        <v>0</v>
      </c>
      <c r="N3114">
        <v>26838</v>
      </c>
      <c r="O3114">
        <v>0</v>
      </c>
      <c r="P3114">
        <v>-2990492</v>
      </c>
      <c r="Q3114" t="s">
        <v>30</v>
      </c>
      <c r="R3114" t="s">
        <v>894</v>
      </c>
      <c r="S3114" t="str">
        <v>#N/A</v>
      </c>
      <c r="T3114" t="str">
        <v>#N/A</v>
      </c>
    </row>
    <row r="3115" spans="1:20" ht="13.7" customHeight="1" x14ac:dyDescent="0.25">
      <c r="A3115" t="s">
        <v>320</v>
      </c>
      <c r="B3115" t="s">
        <v>321</v>
      </c>
      <c r="C3115" t="s">
        <v>142</v>
      </c>
      <c r="D3115">
        <v>487</v>
      </c>
      <c r="E3115" s="5">
        <v>43708</v>
      </c>
      <c r="F3115">
        <v>41350101</v>
      </c>
      <c r="G3115" t="s">
        <v>733</v>
      </c>
      <c r="H3115" t="s">
        <v>1133</v>
      </c>
      <c r="I3115" t="s">
        <v>1134</v>
      </c>
      <c r="J3115">
        <v>1007</v>
      </c>
      <c r="K3115">
        <v>4001</v>
      </c>
      <c r="L3115" s="3">
        <v>-2990492</v>
      </c>
      <c r="M3115" s="3">
        <v>0</v>
      </c>
      <c r="N3115">
        <v>156492</v>
      </c>
      <c r="O3115">
        <v>0</v>
      </c>
      <c r="P3115">
        <v>-3146984</v>
      </c>
      <c r="Q3115" t="s">
        <v>30</v>
      </c>
      <c r="R3115" t="s">
        <v>933</v>
      </c>
      <c r="S3115" t="str">
        <v>#N/A</v>
      </c>
      <c r="T3115" t="str">
        <v>#N/A</v>
      </c>
    </row>
    <row r="3116" spans="1:20" ht="13.7" customHeight="1" x14ac:dyDescent="0.25">
      <c r="A3116" t="s">
        <v>320</v>
      </c>
      <c r="B3116" t="s">
        <v>321</v>
      </c>
      <c r="C3116" t="s">
        <v>142</v>
      </c>
      <c r="D3116">
        <v>487</v>
      </c>
      <c r="E3116" s="5">
        <v>43708</v>
      </c>
      <c r="F3116">
        <v>41350101</v>
      </c>
      <c r="G3116" t="s">
        <v>733</v>
      </c>
      <c r="H3116" t="s">
        <v>1133</v>
      </c>
      <c r="I3116" t="s">
        <v>1134</v>
      </c>
      <c r="J3116">
        <v>1007</v>
      </c>
      <c r="K3116">
        <v>4001</v>
      </c>
      <c r="L3116" s="3">
        <v>-3146984</v>
      </c>
      <c r="M3116" s="3">
        <v>0</v>
      </c>
      <c r="N3116">
        <v>12852</v>
      </c>
      <c r="O3116">
        <v>0</v>
      </c>
      <c r="P3116">
        <v>-3159836</v>
      </c>
      <c r="Q3116" t="s">
        <v>30</v>
      </c>
      <c r="R3116" t="s">
        <v>934</v>
      </c>
      <c r="S3116" t="str">
        <v>#N/A</v>
      </c>
      <c r="T3116" t="str">
        <v>#N/A</v>
      </c>
    </row>
    <row r="3117" spans="1:20" ht="13.7" customHeight="1" x14ac:dyDescent="0.25">
      <c r="A3117" t="s">
        <v>320</v>
      </c>
      <c r="B3117" t="s">
        <v>321</v>
      </c>
      <c r="C3117" t="s">
        <v>142</v>
      </c>
      <c r="D3117">
        <v>496</v>
      </c>
      <c r="E3117" s="5">
        <v>43727</v>
      </c>
      <c r="F3117">
        <v>41350101</v>
      </c>
      <c r="G3117" t="s">
        <v>733</v>
      </c>
      <c r="H3117" t="s">
        <v>1133</v>
      </c>
      <c r="I3117" t="s">
        <v>1134</v>
      </c>
      <c r="J3117">
        <v>1007</v>
      </c>
      <c r="K3117">
        <v>4001</v>
      </c>
      <c r="L3117" s="3">
        <v>-3159836</v>
      </c>
      <c r="M3117" s="3">
        <v>0</v>
      </c>
      <c r="N3117">
        <v>102950</v>
      </c>
      <c r="O3117">
        <v>0</v>
      </c>
      <c r="P3117">
        <v>-3262786</v>
      </c>
      <c r="Q3117" t="s">
        <v>30</v>
      </c>
      <c r="R3117" t="s">
        <v>957</v>
      </c>
      <c r="S3117" t="str">
        <v>#N/A</v>
      </c>
      <c r="T3117" t="str">
        <v>#N/A</v>
      </c>
    </row>
    <row r="3118" spans="1:20" ht="13.7" customHeight="1" x14ac:dyDescent="0.25">
      <c r="A3118" t="s">
        <v>320</v>
      </c>
      <c r="B3118" t="s">
        <v>321</v>
      </c>
      <c r="C3118" t="s">
        <v>142</v>
      </c>
      <c r="D3118">
        <v>496</v>
      </c>
      <c r="E3118" s="5">
        <v>43727</v>
      </c>
      <c r="F3118">
        <v>41350101</v>
      </c>
      <c r="G3118" t="s">
        <v>733</v>
      </c>
      <c r="H3118" t="s">
        <v>1133</v>
      </c>
      <c r="I3118" t="s">
        <v>1134</v>
      </c>
      <c r="J3118">
        <v>1007</v>
      </c>
      <c r="K3118">
        <v>4001</v>
      </c>
      <c r="L3118" s="3">
        <v>-3262786</v>
      </c>
      <c r="M3118" s="3">
        <v>0</v>
      </c>
      <c r="N3118">
        <v>10000</v>
      </c>
      <c r="O3118">
        <v>0</v>
      </c>
      <c r="P3118">
        <v>-3272786</v>
      </c>
      <c r="Q3118" t="s">
        <v>30</v>
      </c>
      <c r="R3118" t="s">
        <v>958</v>
      </c>
      <c r="S3118" t="str">
        <v>#N/A</v>
      </c>
      <c r="T3118" t="str">
        <v>#N/A</v>
      </c>
    </row>
    <row r="3119" spans="1:20" ht="13.7" customHeight="1" x14ac:dyDescent="0.25">
      <c r="A3119" t="s">
        <v>320</v>
      </c>
      <c r="B3119" t="s">
        <v>321</v>
      </c>
      <c r="C3119" t="s">
        <v>142</v>
      </c>
      <c r="D3119">
        <v>496</v>
      </c>
      <c r="E3119" s="5">
        <v>43727</v>
      </c>
      <c r="F3119">
        <v>41350101</v>
      </c>
      <c r="G3119" t="s">
        <v>733</v>
      </c>
      <c r="H3119" t="s">
        <v>1133</v>
      </c>
      <c r="I3119" t="s">
        <v>1134</v>
      </c>
      <c r="J3119">
        <v>1007</v>
      </c>
      <c r="K3119">
        <v>4001</v>
      </c>
      <c r="L3119" s="3">
        <v>-3272786</v>
      </c>
      <c r="M3119" s="3">
        <v>0</v>
      </c>
      <c r="N3119">
        <v>33370</v>
      </c>
      <c r="O3119">
        <v>0</v>
      </c>
      <c r="P3119">
        <v>-3306156</v>
      </c>
      <c r="Q3119" t="s">
        <v>30</v>
      </c>
      <c r="R3119" t="s">
        <v>959</v>
      </c>
      <c r="S3119" t="str">
        <v>#N/A</v>
      </c>
      <c r="T3119" t="str">
        <v>#N/A</v>
      </c>
    </row>
    <row r="3120" spans="1:20" ht="13.7" customHeight="1" x14ac:dyDescent="0.25">
      <c r="A3120" t="s">
        <v>320</v>
      </c>
      <c r="B3120" t="s">
        <v>321</v>
      </c>
      <c r="C3120" t="s">
        <v>142</v>
      </c>
      <c r="D3120">
        <v>496</v>
      </c>
      <c r="E3120" s="5">
        <v>43727</v>
      </c>
      <c r="F3120">
        <v>41350101</v>
      </c>
      <c r="G3120" t="s">
        <v>733</v>
      </c>
      <c r="H3120" t="s">
        <v>1133</v>
      </c>
      <c r="I3120" t="s">
        <v>1134</v>
      </c>
      <c r="J3120">
        <v>1007</v>
      </c>
      <c r="K3120">
        <v>4001</v>
      </c>
      <c r="L3120" s="3">
        <v>-3306156</v>
      </c>
      <c r="M3120" s="3">
        <v>0</v>
      </c>
      <c r="N3120">
        <v>7560</v>
      </c>
      <c r="O3120">
        <v>0</v>
      </c>
      <c r="P3120">
        <v>-3313716</v>
      </c>
      <c r="Q3120" t="s">
        <v>30</v>
      </c>
      <c r="R3120" t="s">
        <v>960</v>
      </c>
      <c r="S3120" t="str">
        <v>#N/A</v>
      </c>
      <c r="T3120" t="str">
        <v>#N/A</v>
      </c>
    </row>
    <row r="3121" spans="1:20" ht="13.7" customHeight="1" x14ac:dyDescent="0.25">
      <c r="A3121" t="s">
        <v>320</v>
      </c>
      <c r="B3121" t="s">
        <v>321</v>
      </c>
      <c r="C3121" t="s">
        <v>142</v>
      </c>
      <c r="D3121">
        <v>507</v>
      </c>
      <c r="E3121" s="5">
        <v>43747</v>
      </c>
      <c r="F3121">
        <v>41350101</v>
      </c>
      <c r="G3121" t="s">
        <v>733</v>
      </c>
      <c r="H3121" t="s">
        <v>1133</v>
      </c>
      <c r="I3121" t="s">
        <v>1134</v>
      </c>
      <c r="J3121">
        <v>1007</v>
      </c>
      <c r="K3121">
        <v>4001</v>
      </c>
      <c r="L3121" s="3">
        <v>-3313716</v>
      </c>
      <c r="M3121" s="3">
        <v>0</v>
      </c>
      <c r="N3121">
        <v>175020</v>
      </c>
      <c r="O3121">
        <v>0</v>
      </c>
      <c r="P3121">
        <v>-3488736</v>
      </c>
      <c r="Q3121" t="s">
        <v>30</v>
      </c>
      <c r="R3121" t="s">
        <v>979</v>
      </c>
      <c r="S3121" t="str">
        <v>#N/A</v>
      </c>
      <c r="T3121" t="str">
        <v>#N/A</v>
      </c>
    </row>
    <row r="3122" spans="1:20" ht="13.7" customHeight="1" x14ac:dyDescent="0.25">
      <c r="A3122" t="s">
        <v>320</v>
      </c>
      <c r="B3122" t="s">
        <v>321</v>
      </c>
      <c r="C3122" t="s">
        <v>142</v>
      </c>
      <c r="D3122">
        <v>516</v>
      </c>
      <c r="E3122" s="5">
        <v>43760</v>
      </c>
      <c r="F3122">
        <v>41350101</v>
      </c>
      <c r="G3122" t="s">
        <v>733</v>
      </c>
      <c r="H3122" t="s">
        <v>1133</v>
      </c>
      <c r="I3122" t="s">
        <v>1134</v>
      </c>
      <c r="J3122">
        <v>1007</v>
      </c>
      <c r="K3122">
        <v>4001</v>
      </c>
      <c r="L3122" s="3">
        <v>-3488736</v>
      </c>
      <c r="M3122" s="3">
        <v>0</v>
      </c>
      <c r="N3122">
        <v>430360</v>
      </c>
      <c r="O3122">
        <v>0</v>
      </c>
      <c r="P3122">
        <v>-3919096</v>
      </c>
      <c r="Q3122" t="s">
        <v>30</v>
      </c>
      <c r="R3122" t="s">
        <v>1000</v>
      </c>
      <c r="S3122" t="str">
        <v>#N/A</v>
      </c>
      <c r="T3122" t="str">
        <v>#N/A</v>
      </c>
    </row>
    <row r="3123" spans="1:20" ht="13.7" customHeight="1" x14ac:dyDescent="0.25">
      <c r="A3123" t="s">
        <v>320</v>
      </c>
      <c r="B3123" t="s">
        <v>321</v>
      </c>
      <c r="C3123" t="s">
        <v>142</v>
      </c>
      <c r="D3123">
        <v>517</v>
      </c>
      <c r="E3123" s="5">
        <v>43762</v>
      </c>
      <c r="F3123">
        <v>41350101</v>
      </c>
      <c r="G3123" t="s">
        <v>733</v>
      </c>
      <c r="H3123" t="s">
        <v>1133</v>
      </c>
      <c r="I3123" t="s">
        <v>1134</v>
      </c>
      <c r="J3123">
        <v>1007</v>
      </c>
      <c r="K3123">
        <v>4001</v>
      </c>
      <c r="L3123" s="3">
        <v>-3919096</v>
      </c>
      <c r="M3123" s="3">
        <v>0</v>
      </c>
      <c r="N3123">
        <v>400200</v>
      </c>
      <c r="O3123">
        <v>0</v>
      </c>
      <c r="P3123">
        <v>-4319296</v>
      </c>
      <c r="Q3123" t="s">
        <v>30</v>
      </c>
      <c r="R3123" t="s">
        <v>1001</v>
      </c>
      <c r="S3123" t="str">
        <v>#N/A</v>
      </c>
      <c r="T3123" t="str">
        <v>#N/A</v>
      </c>
    </row>
    <row r="3124" spans="1:20" ht="13.7" customHeight="1" x14ac:dyDescent="0.25">
      <c r="A3124" t="s">
        <v>320</v>
      </c>
      <c r="B3124" t="s">
        <v>321</v>
      </c>
      <c r="C3124" t="s">
        <v>142</v>
      </c>
      <c r="D3124">
        <v>518</v>
      </c>
      <c r="E3124" s="5">
        <v>43766</v>
      </c>
      <c r="F3124">
        <v>41350101</v>
      </c>
      <c r="G3124" t="s">
        <v>733</v>
      </c>
      <c r="H3124" t="s">
        <v>1133</v>
      </c>
      <c r="I3124" t="s">
        <v>1134</v>
      </c>
      <c r="J3124">
        <v>1007</v>
      </c>
      <c r="K3124">
        <v>4001</v>
      </c>
      <c r="L3124" s="3">
        <v>-4319296</v>
      </c>
      <c r="M3124" s="3">
        <v>0</v>
      </c>
      <c r="N3124">
        <v>89320</v>
      </c>
      <c r="O3124">
        <v>0</v>
      </c>
      <c r="P3124">
        <v>-4408616</v>
      </c>
      <c r="Q3124" t="s">
        <v>30</v>
      </c>
      <c r="R3124" t="s">
        <v>1002</v>
      </c>
      <c r="S3124" t="str">
        <v>#N/A</v>
      </c>
      <c r="T3124" t="str">
        <v>#N/A</v>
      </c>
    </row>
    <row r="3125" spans="1:20" ht="13.7" customHeight="1" x14ac:dyDescent="0.25">
      <c r="A3125" t="s">
        <v>320</v>
      </c>
      <c r="B3125" t="s">
        <v>321</v>
      </c>
      <c r="C3125" t="s">
        <v>142</v>
      </c>
      <c r="D3125">
        <v>518</v>
      </c>
      <c r="E3125" s="5">
        <v>43766</v>
      </c>
      <c r="F3125">
        <v>41350101</v>
      </c>
      <c r="G3125" t="s">
        <v>733</v>
      </c>
      <c r="H3125" t="s">
        <v>1133</v>
      </c>
      <c r="I3125" t="s">
        <v>1134</v>
      </c>
      <c r="J3125">
        <v>1007</v>
      </c>
      <c r="K3125">
        <v>4001</v>
      </c>
      <c r="L3125" s="3">
        <v>-4408616</v>
      </c>
      <c r="M3125" s="3">
        <v>0</v>
      </c>
      <c r="N3125">
        <v>215760</v>
      </c>
      <c r="O3125">
        <v>0</v>
      </c>
      <c r="P3125">
        <v>-4624376</v>
      </c>
      <c r="Q3125" t="s">
        <v>30</v>
      </c>
      <c r="R3125" t="s">
        <v>1003</v>
      </c>
      <c r="S3125" t="str">
        <v>#N/A</v>
      </c>
      <c r="T3125" t="str">
        <v>#N/A</v>
      </c>
    </row>
    <row r="3126" spans="1:20" ht="13.7" customHeight="1" x14ac:dyDescent="0.25">
      <c r="A3126" t="s">
        <v>320</v>
      </c>
      <c r="B3126" t="s">
        <v>321</v>
      </c>
      <c r="C3126" t="s">
        <v>142</v>
      </c>
      <c r="D3126">
        <v>518</v>
      </c>
      <c r="E3126" s="5">
        <v>43766</v>
      </c>
      <c r="F3126">
        <v>41350101</v>
      </c>
      <c r="G3126" t="s">
        <v>733</v>
      </c>
      <c r="H3126" t="s">
        <v>1133</v>
      </c>
      <c r="I3126" t="s">
        <v>1134</v>
      </c>
      <c r="J3126">
        <v>1007</v>
      </c>
      <c r="K3126">
        <v>4001</v>
      </c>
      <c r="L3126" s="3">
        <v>-4624376</v>
      </c>
      <c r="M3126" s="3">
        <v>0</v>
      </c>
      <c r="N3126">
        <v>99760</v>
      </c>
      <c r="O3126">
        <v>0</v>
      </c>
      <c r="P3126">
        <v>-4724136</v>
      </c>
      <c r="Q3126" t="s">
        <v>30</v>
      </c>
      <c r="R3126" t="s">
        <v>1004</v>
      </c>
      <c r="S3126" t="str">
        <v>#N/A</v>
      </c>
      <c r="T3126" t="str">
        <v>#N/A</v>
      </c>
    </row>
    <row r="3127" spans="1:20" ht="13.7" customHeight="1" x14ac:dyDescent="0.25">
      <c r="E3127" s="5">
        <v>43465</v>
      </c>
      <c r="F3127">
        <v>41350101</v>
      </c>
      <c r="G3127" t="s">
        <v>733</v>
      </c>
      <c r="H3127" t="s">
        <v>1137</v>
      </c>
      <c r="I3127" t="s">
        <v>1138</v>
      </c>
      <c r="J3127">
        <v>0</v>
      </c>
      <c r="K3127">
        <v>0</v>
      </c>
      <c r="L3127" s="3">
        <v>0</v>
      </c>
      <c r="M3127" s="3">
        <v>0</v>
      </c>
      <c r="N3127">
        <v>0</v>
      </c>
      <c r="O3127">
        <v>0</v>
      </c>
      <c r="P3127">
        <v>0</v>
      </c>
      <c r="R3127" t="s">
        <v>1100</v>
      </c>
      <c r="S3127" t="str">
        <v>#N/A</v>
      </c>
      <c r="T3127" t="str">
        <v>#N/A</v>
      </c>
    </row>
    <row r="3128" spans="1:20" ht="13.7" customHeight="1" x14ac:dyDescent="0.25">
      <c r="A3128" t="s">
        <v>320</v>
      </c>
      <c r="B3128" t="s">
        <v>321</v>
      </c>
      <c r="C3128" t="s">
        <v>142</v>
      </c>
      <c r="D3128">
        <v>439</v>
      </c>
      <c r="E3128" s="5">
        <v>43608</v>
      </c>
      <c r="F3128">
        <v>41350101</v>
      </c>
      <c r="G3128" t="s">
        <v>733</v>
      </c>
      <c r="H3128" t="s">
        <v>1137</v>
      </c>
      <c r="I3128" t="s">
        <v>1138</v>
      </c>
      <c r="J3128">
        <v>1007</v>
      </c>
      <c r="K3128">
        <v>4001</v>
      </c>
      <c r="L3128" s="3">
        <v>0</v>
      </c>
      <c r="M3128" s="3">
        <v>0</v>
      </c>
      <c r="N3128">
        <v>336000</v>
      </c>
      <c r="O3128">
        <v>0</v>
      </c>
      <c r="P3128">
        <v>-336000</v>
      </c>
      <c r="Q3128" t="s">
        <v>30</v>
      </c>
      <c r="R3128" t="s">
        <v>879</v>
      </c>
      <c r="S3128" t="str">
        <v>#N/A</v>
      </c>
      <c r="T3128" t="str">
        <v>#N/A</v>
      </c>
    </row>
    <row r="3129" spans="1:20" ht="13.7" customHeight="1" x14ac:dyDescent="0.25">
      <c r="A3129" t="s">
        <v>320</v>
      </c>
      <c r="B3129" t="s">
        <v>321</v>
      </c>
      <c r="C3129" t="s">
        <v>142</v>
      </c>
      <c r="D3129">
        <v>450</v>
      </c>
      <c r="E3129" s="5">
        <v>43628</v>
      </c>
      <c r="F3129">
        <v>41350101</v>
      </c>
      <c r="G3129" t="s">
        <v>733</v>
      </c>
      <c r="H3129" t="s">
        <v>1137</v>
      </c>
      <c r="I3129" t="s">
        <v>1138</v>
      </c>
      <c r="J3129">
        <v>1007</v>
      </c>
      <c r="K3129">
        <v>4001</v>
      </c>
      <c r="L3129" s="3">
        <v>-336000</v>
      </c>
      <c r="M3129" s="3">
        <v>0</v>
      </c>
      <c r="N3129">
        <v>1925000</v>
      </c>
      <c r="O3129">
        <v>0</v>
      </c>
      <c r="P3129">
        <v>-2261000</v>
      </c>
      <c r="Q3129" t="s">
        <v>30</v>
      </c>
      <c r="R3129" t="s">
        <v>885</v>
      </c>
      <c r="S3129" t="str">
        <v>#N/A</v>
      </c>
      <c r="T3129" t="str">
        <v>#N/A</v>
      </c>
    </row>
    <row r="3130" spans="1:20" ht="13.7" customHeight="1" x14ac:dyDescent="0.25">
      <c r="A3130" t="s">
        <v>320</v>
      </c>
      <c r="B3130" t="s">
        <v>321</v>
      </c>
      <c r="C3130" t="s">
        <v>142</v>
      </c>
      <c r="D3130">
        <v>500</v>
      </c>
      <c r="E3130" s="5">
        <v>43734</v>
      </c>
      <c r="F3130">
        <v>41350101</v>
      </c>
      <c r="G3130" t="s">
        <v>733</v>
      </c>
      <c r="H3130" t="s">
        <v>1137</v>
      </c>
      <c r="I3130" t="s">
        <v>1138</v>
      </c>
      <c r="J3130">
        <v>1007</v>
      </c>
      <c r="K3130">
        <v>4001</v>
      </c>
      <c r="L3130" s="3">
        <v>-2261000</v>
      </c>
      <c r="M3130" s="3">
        <v>0</v>
      </c>
      <c r="N3130">
        <v>1925000</v>
      </c>
      <c r="O3130">
        <v>0</v>
      </c>
      <c r="P3130">
        <v>-4186000</v>
      </c>
      <c r="Q3130" t="s">
        <v>30</v>
      </c>
      <c r="R3130" t="s">
        <v>967</v>
      </c>
      <c r="S3130" t="str">
        <v>#N/A</v>
      </c>
      <c r="T3130" t="str">
        <v>#N/A</v>
      </c>
    </row>
    <row r="3131" spans="1:20" ht="13.7" customHeight="1" x14ac:dyDescent="0.25">
      <c r="A3131" t="s">
        <v>320</v>
      </c>
      <c r="B3131" t="s">
        <v>321</v>
      </c>
      <c r="C3131" t="s">
        <v>142</v>
      </c>
      <c r="D3131">
        <v>530</v>
      </c>
      <c r="E3131" s="5">
        <v>43785</v>
      </c>
      <c r="F3131">
        <v>41350101</v>
      </c>
      <c r="G3131" t="s">
        <v>733</v>
      </c>
      <c r="H3131" t="s">
        <v>1137</v>
      </c>
      <c r="I3131" t="s">
        <v>1138</v>
      </c>
      <c r="J3131">
        <v>1007</v>
      </c>
      <c r="K3131">
        <v>4001</v>
      </c>
      <c r="L3131" s="3">
        <v>-4186000</v>
      </c>
      <c r="M3131" s="3">
        <v>0</v>
      </c>
      <c r="N3131">
        <v>3850000</v>
      </c>
      <c r="O3131">
        <v>0</v>
      </c>
      <c r="P3131">
        <v>-8036000</v>
      </c>
      <c r="Q3131" t="s">
        <v>30</v>
      </c>
      <c r="R3131" t="s">
        <v>979</v>
      </c>
      <c r="S3131" t="str">
        <v>#N/A</v>
      </c>
      <c r="T3131" t="str">
        <v>#N/A</v>
      </c>
    </row>
    <row r="3132" spans="1:20" ht="13.7" customHeight="1" x14ac:dyDescent="0.25">
      <c r="E3132" s="5">
        <v>43465</v>
      </c>
      <c r="F3132">
        <v>42104001</v>
      </c>
      <c r="G3132" t="s">
        <v>1047</v>
      </c>
      <c r="H3132" t="s">
        <v>1167</v>
      </c>
      <c r="I3132" t="s">
        <v>1168</v>
      </c>
      <c r="J3132">
        <v>0</v>
      </c>
      <c r="K3132">
        <v>0</v>
      </c>
      <c r="L3132" s="3">
        <v>0</v>
      </c>
      <c r="M3132" s="3">
        <v>0</v>
      </c>
      <c r="N3132">
        <v>0</v>
      </c>
      <c r="O3132">
        <v>0</v>
      </c>
      <c r="P3132">
        <v>0</v>
      </c>
      <c r="R3132" t="s">
        <v>1100</v>
      </c>
      <c r="S3132" t="str">
        <v>#N/A</v>
      </c>
      <c r="T3132" t="str">
        <v>31</v>
      </c>
    </row>
    <row r="3133" spans="1:20" ht="13.7" customHeight="1" x14ac:dyDescent="0.25">
      <c r="A3133" t="s">
        <v>26</v>
      </c>
      <c r="B3133" t="s">
        <v>27</v>
      </c>
      <c r="C3133" t="s">
        <v>35</v>
      </c>
      <c r="D3133">
        <v>87</v>
      </c>
      <c r="E3133" s="5">
        <v>43612</v>
      </c>
      <c r="F3133">
        <v>42104001</v>
      </c>
      <c r="G3133" t="s">
        <v>1047</v>
      </c>
      <c r="H3133" t="s">
        <v>1167</v>
      </c>
      <c r="I3133" t="s">
        <v>1168</v>
      </c>
      <c r="J3133">
        <v>1007</v>
      </c>
      <c r="K3133">
        <v>4002</v>
      </c>
      <c r="L3133" s="3">
        <v>0</v>
      </c>
      <c r="M3133" s="3">
        <v>0</v>
      </c>
      <c r="N3133">
        <v>4085</v>
      </c>
      <c r="O3133">
        <v>0</v>
      </c>
      <c r="P3133">
        <v>-4085</v>
      </c>
      <c r="Q3133" t="s">
        <v>30</v>
      </c>
      <c r="R3133" t="s">
        <v>204</v>
      </c>
      <c r="S3133" t="str">
        <v>#N/A</v>
      </c>
      <c r="T3133" t="str">
        <v>31</v>
      </c>
    </row>
    <row r="3134" spans="1:20" ht="13.7" customHeight="1" x14ac:dyDescent="0.25">
      <c r="E3134" s="5">
        <v>43465</v>
      </c>
      <c r="F3134">
        <v>42104001</v>
      </c>
      <c r="G3134" t="s">
        <v>1047</v>
      </c>
      <c r="H3134" t="s">
        <v>1113</v>
      </c>
      <c r="I3134" t="s">
        <v>1114</v>
      </c>
      <c r="J3134">
        <v>0</v>
      </c>
      <c r="K3134">
        <v>0</v>
      </c>
      <c r="L3134" s="3">
        <v>0</v>
      </c>
      <c r="M3134" s="3">
        <v>0</v>
      </c>
      <c r="N3134">
        <v>0</v>
      </c>
      <c r="O3134">
        <v>0</v>
      </c>
      <c r="P3134">
        <v>0</v>
      </c>
      <c r="R3134" t="s">
        <v>1100</v>
      </c>
      <c r="S3134" t="str">
        <v>#N/A</v>
      </c>
      <c r="T3134" t="str">
        <v>31</v>
      </c>
    </row>
    <row r="3135" spans="1:20" ht="13.7" customHeight="1" x14ac:dyDescent="0.25">
      <c r="A3135" t="s">
        <v>26</v>
      </c>
      <c r="B3135" t="s">
        <v>27</v>
      </c>
      <c r="C3135" t="s">
        <v>40</v>
      </c>
      <c r="D3135">
        <v>45</v>
      </c>
      <c r="E3135" s="5">
        <v>43762</v>
      </c>
      <c r="F3135">
        <v>42104001</v>
      </c>
      <c r="G3135" t="s">
        <v>1047</v>
      </c>
      <c r="H3135" t="s">
        <v>1113</v>
      </c>
      <c r="I3135" t="s">
        <v>1114</v>
      </c>
      <c r="J3135">
        <v>1007</v>
      </c>
      <c r="K3135">
        <v>4002</v>
      </c>
      <c r="L3135" s="3">
        <v>0</v>
      </c>
      <c r="M3135" s="3">
        <v>0</v>
      </c>
      <c r="N3135">
        <v>3025</v>
      </c>
      <c r="O3135">
        <v>0</v>
      </c>
      <c r="P3135">
        <v>-3025</v>
      </c>
      <c r="Q3135" t="s">
        <v>30</v>
      </c>
      <c r="R3135" t="s">
        <v>145</v>
      </c>
      <c r="S3135" t="str">
        <v>#N/A</v>
      </c>
      <c r="T3135" t="str">
        <v>31</v>
      </c>
    </row>
    <row r="3136" spans="1:20" ht="13.7" customHeight="1" x14ac:dyDescent="0.25">
      <c r="A3136" t="s">
        <v>26</v>
      </c>
      <c r="B3136" t="s">
        <v>27</v>
      </c>
      <c r="C3136" t="s">
        <v>40</v>
      </c>
      <c r="D3136">
        <v>55</v>
      </c>
      <c r="E3136" s="5">
        <v>43768</v>
      </c>
      <c r="F3136">
        <v>42104001</v>
      </c>
      <c r="G3136" t="s">
        <v>1047</v>
      </c>
      <c r="H3136" t="s">
        <v>1113</v>
      </c>
      <c r="I3136" t="s">
        <v>1114</v>
      </c>
      <c r="J3136">
        <v>1007</v>
      </c>
      <c r="K3136">
        <v>4002</v>
      </c>
      <c r="L3136" s="3">
        <v>-3025</v>
      </c>
      <c r="M3136" s="3">
        <v>0</v>
      </c>
      <c r="N3136">
        <v>3025</v>
      </c>
      <c r="O3136">
        <v>0</v>
      </c>
      <c r="P3136">
        <v>-6050</v>
      </c>
      <c r="Q3136" t="s">
        <v>30</v>
      </c>
      <c r="R3136" t="s">
        <v>145</v>
      </c>
      <c r="S3136" t="str">
        <v>#N/A</v>
      </c>
      <c r="T3136" t="str">
        <v>31</v>
      </c>
    </row>
    <row r="3137" spans="1:20" ht="13.7" customHeight="1" x14ac:dyDescent="0.25">
      <c r="A3137" t="s">
        <v>26</v>
      </c>
      <c r="B3137" t="s">
        <v>27</v>
      </c>
      <c r="C3137" t="s">
        <v>180</v>
      </c>
      <c r="D3137">
        <v>24</v>
      </c>
      <c r="E3137" s="5">
        <v>43811</v>
      </c>
      <c r="F3137">
        <v>42104001</v>
      </c>
      <c r="G3137" t="s">
        <v>1047</v>
      </c>
      <c r="H3137" t="s">
        <v>1113</v>
      </c>
      <c r="I3137" t="s">
        <v>1114</v>
      </c>
      <c r="J3137">
        <v>1007</v>
      </c>
      <c r="K3137">
        <v>5002</v>
      </c>
      <c r="L3137" s="3">
        <v>-6050</v>
      </c>
      <c r="M3137" s="3">
        <v>0</v>
      </c>
      <c r="N3137">
        <v>12100</v>
      </c>
      <c r="O3137">
        <v>0</v>
      </c>
      <c r="P3137">
        <v>-18150</v>
      </c>
      <c r="Q3137" t="s">
        <v>30</v>
      </c>
      <c r="R3137" t="s">
        <v>145</v>
      </c>
      <c r="S3137" t="str">
        <v>#N/A</v>
      </c>
      <c r="T3137" t="str">
        <v>31</v>
      </c>
    </row>
    <row r="3138" spans="1:20" ht="13.7" customHeight="1" x14ac:dyDescent="0.25">
      <c r="E3138" s="5">
        <v>43465</v>
      </c>
      <c r="F3138">
        <v>42958101</v>
      </c>
      <c r="G3138">
        <v>0</v>
      </c>
      <c r="J3138">
        <v>0</v>
      </c>
      <c r="K3138">
        <v>0</v>
      </c>
      <c r="L3138" s="3">
        <v>1</v>
      </c>
      <c r="M3138" s="3">
        <v>0</v>
      </c>
      <c r="N3138">
        <v>0</v>
      </c>
      <c r="O3138">
        <v>0</v>
      </c>
      <c r="P3138">
        <v>1</v>
      </c>
      <c r="R3138" t="s">
        <v>1100</v>
      </c>
      <c r="S3138" t="str">
        <v/>
      </c>
      <c r="T3138" t="str">
        <v>#N/A</v>
      </c>
    </row>
    <row r="3139" spans="1:20" ht="13.7" customHeight="1" x14ac:dyDescent="0.25">
      <c r="E3139" s="5">
        <v>43465</v>
      </c>
      <c r="F3139">
        <v>51052101</v>
      </c>
      <c r="G3139" t="s">
        <v>194</v>
      </c>
      <c r="H3139" t="s">
        <v>1513</v>
      </c>
      <c r="I3139" t="s">
        <v>1514</v>
      </c>
      <c r="J3139">
        <v>0</v>
      </c>
      <c r="K3139">
        <v>0</v>
      </c>
      <c r="L3139" s="3">
        <v>0</v>
      </c>
      <c r="M3139" s="3">
        <v>0</v>
      </c>
      <c r="N3139">
        <v>0</v>
      </c>
      <c r="O3139">
        <v>0</v>
      </c>
      <c r="P3139">
        <v>0</v>
      </c>
      <c r="R3139" t="s">
        <v>1100</v>
      </c>
      <c r="S3139" t="str">
        <v>#N/A</v>
      </c>
      <c r="T3139" t="str">
        <v>#N/A</v>
      </c>
    </row>
    <row r="3140" spans="1:20" ht="13.7" customHeight="1" x14ac:dyDescent="0.25">
      <c r="A3140" t="s">
        <v>26</v>
      </c>
      <c r="B3140" t="s">
        <v>27</v>
      </c>
      <c r="C3140" t="s">
        <v>180</v>
      </c>
      <c r="D3140">
        <v>89</v>
      </c>
      <c r="E3140" s="5">
        <v>43830</v>
      </c>
      <c r="F3140">
        <v>51052101</v>
      </c>
      <c r="G3140" t="s">
        <v>194</v>
      </c>
      <c r="H3140" t="s">
        <v>1513</v>
      </c>
      <c r="I3140" t="s">
        <v>1514</v>
      </c>
      <c r="J3140">
        <v>1001</v>
      </c>
      <c r="K3140">
        <v>5016</v>
      </c>
      <c r="L3140" s="3">
        <v>0</v>
      </c>
      <c r="M3140" s="3">
        <v>125107</v>
      </c>
      <c r="N3140">
        <v>0</v>
      </c>
      <c r="O3140">
        <v>0</v>
      </c>
      <c r="P3140">
        <v>125107</v>
      </c>
      <c r="Q3140" t="s">
        <v>30</v>
      </c>
      <c r="R3140" t="s">
        <v>194</v>
      </c>
      <c r="S3140" t="str">
        <v>#N/A</v>
      </c>
      <c r="T3140" t="str">
        <v>#N/A</v>
      </c>
    </row>
    <row r="3141" spans="1:20" ht="13.7" customHeight="1" x14ac:dyDescent="0.25">
      <c r="E3141" s="5">
        <v>43465</v>
      </c>
      <c r="F3141">
        <v>51052101</v>
      </c>
      <c r="G3141" t="s">
        <v>194</v>
      </c>
      <c r="H3141" t="s">
        <v>1619</v>
      </c>
      <c r="I3141" t="s">
        <v>1620</v>
      </c>
      <c r="J3141">
        <v>0</v>
      </c>
      <c r="K3141">
        <v>0</v>
      </c>
      <c r="L3141" s="3">
        <v>0</v>
      </c>
      <c r="M3141" s="3">
        <v>0</v>
      </c>
      <c r="N3141">
        <v>0</v>
      </c>
      <c r="O3141">
        <v>0</v>
      </c>
      <c r="P3141">
        <v>0</v>
      </c>
      <c r="R3141" t="s">
        <v>1100</v>
      </c>
      <c r="S3141" t="str">
        <v>#N/A</v>
      </c>
      <c r="T3141" t="str">
        <v>#N/A</v>
      </c>
    </row>
    <row r="3142" spans="1:20" ht="13.7" customHeight="1" x14ac:dyDescent="0.25">
      <c r="A3142" t="s">
        <v>26</v>
      </c>
      <c r="B3142" t="s">
        <v>27</v>
      </c>
      <c r="C3142" t="s">
        <v>180</v>
      </c>
      <c r="D3142">
        <v>83</v>
      </c>
      <c r="E3142" s="5">
        <v>43827</v>
      </c>
      <c r="F3142">
        <v>51052101</v>
      </c>
      <c r="G3142" t="s">
        <v>194</v>
      </c>
      <c r="H3142" t="s">
        <v>1619</v>
      </c>
      <c r="I3142" t="s">
        <v>1620</v>
      </c>
      <c r="J3142">
        <v>1001</v>
      </c>
      <c r="K3142">
        <v>5016</v>
      </c>
      <c r="L3142" s="3">
        <v>0</v>
      </c>
      <c r="M3142" s="3">
        <v>113245</v>
      </c>
      <c r="N3142">
        <v>0</v>
      </c>
      <c r="O3142">
        <v>0</v>
      </c>
      <c r="P3142">
        <v>113245</v>
      </c>
      <c r="Q3142" t="s">
        <v>30</v>
      </c>
      <c r="R3142" t="s">
        <v>193</v>
      </c>
      <c r="S3142" t="str">
        <v>#N/A</v>
      </c>
      <c r="T3142" t="str">
        <v>#N/A</v>
      </c>
    </row>
    <row r="3143" spans="1:20" ht="13.7" customHeight="1" x14ac:dyDescent="0.25">
      <c r="E3143" s="5">
        <v>43465</v>
      </c>
      <c r="F3143">
        <v>51103001</v>
      </c>
      <c r="G3143" t="s">
        <v>1265</v>
      </c>
      <c r="H3143" t="s">
        <v>1101</v>
      </c>
      <c r="I3143" t="s">
        <v>1102</v>
      </c>
      <c r="J3143">
        <v>0</v>
      </c>
      <c r="K3143">
        <v>0</v>
      </c>
      <c r="L3143" s="3">
        <v>2670000</v>
      </c>
      <c r="M3143" s="3">
        <v>0</v>
      </c>
      <c r="N3143">
        <v>0</v>
      </c>
      <c r="O3143">
        <v>0</v>
      </c>
      <c r="P3143">
        <v>2670000</v>
      </c>
      <c r="R3143" t="s">
        <v>1100</v>
      </c>
      <c r="S3143" t="str">
        <v>#N/A</v>
      </c>
      <c r="T3143" t="str">
        <v>#N/A</v>
      </c>
    </row>
    <row r="3144" spans="1:20" ht="13.7" customHeight="1" x14ac:dyDescent="0.25">
      <c r="E3144" s="5">
        <v>43465</v>
      </c>
      <c r="F3144">
        <v>51103501</v>
      </c>
      <c r="G3144" t="s">
        <v>1051</v>
      </c>
      <c r="H3144" t="s">
        <v>1115</v>
      </c>
      <c r="I3144" t="s">
        <v>1116</v>
      </c>
      <c r="J3144">
        <v>0</v>
      </c>
      <c r="K3144">
        <v>0</v>
      </c>
      <c r="L3144" s="3">
        <v>3000000</v>
      </c>
      <c r="M3144" s="3">
        <v>0</v>
      </c>
      <c r="N3144">
        <v>0</v>
      </c>
      <c r="O3144">
        <v>0</v>
      </c>
      <c r="P3144">
        <v>3000000</v>
      </c>
      <c r="R3144" t="s">
        <v>1100</v>
      </c>
      <c r="S3144" t="str">
        <v>#N/A</v>
      </c>
      <c r="T3144" t="str">
        <v>13</v>
      </c>
    </row>
    <row r="3145" spans="1:20" ht="13.7" customHeight="1" x14ac:dyDescent="0.25">
      <c r="E3145" s="5">
        <v>43465</v>
      </c>
      <c r="F3145">
        <v>51109501</v>
      </c>
      <c r="G3145" t="s">
        <v>1048</v>
      </c>
      <c r="H3145" t="s">
        <v>1101</v>
      </c>
      <c r="I3145" t="s">
        <v>1102</v>
      </c>
      <c r="J3145">
        <v>0</v>
      </c>
      <c r="K3145">
        <v>0</v>
      </c>
      <c r="L3145" s="3">
        <v>2660000</v>
      </c>
      <c r="M3145" s="3">
        <v>0</v>
      </c>
      <c r="N3145">
        <v>0</v>
      </c>
      <c r="O3145">
        <v>0</v>
      </c>
      <c r="P3145">
        <v>2660000</v>
      </c>
      <c r="R3145" t="s">
        <v>1100</v>
      </c>
      <c r="S3145" t="str">
        <v>#N/A</v>
      </c>
      <c r="T3145" t="str">
        <v>#N/A</v>
      </c>
    </row>
    <row r="3146" spans="1:20" ht="13.7" customHeight="1" x14ac:dyDescent="0.25">
      <c r="A3146" t="s">
        <v>26</v>
      </c>
      <c r="B3146" t="s">
        <v>27</v>
      </c>
      <c r="C3146" t="s">
        <v>28</v>
      </c>
      <c r="D3146">
        <v>76</v>
      </c>
      <c r="E3146" s="5">
        <v>43493</v>
      </c>
      <c r="F3146">
        <v>51109501</v>
      </c>
      <c r="G3146" t="s">
        <v>1048</v>
      </c>
      <c r="H3146" t="s">
        <v>1101</v>
      </c>
      <c r="I3146" t="s">
        <v>1102</v>
      </c>
      <c r="J3146">
        <v>1001</v>
      </c>
      <c r="K3146">
        <v>5002</v>
      </c>
      <c r="L3146" s="3">
        <v>2660000</v>
      </c>
      <c r="M3146" s="3">
        <v>800000</v>
      </c>
      <c r="N3146">
        <v>0</v>
      </c>
      <c r="O3146">
        <v>0</v>
      </c>
      <c r="P3146">
        <v>3460000</v>
      </c>
      <c r="Q3146" t="s">
        <v>30</v>
      </c>
      <c r="R3146" t="s">
        <v>207</v>
      </c>
      <c r="S3146" t="str">
        <v>#N/A</v>
      </c>
      <c r="T3146" t="str">
        <v>#N/A</v>
      </c>
    </row>
    <row r="3147" spans="1:20" ht="13.7" customHeight="1" x14ac:dyDescent="0.25">
      <c r="A3147" t="s">
        <v>26</v>
      </c>
      <c r="B3147" t="s">
        <v>27</v>
      </c>
      <c r="C3147" t="s">
        <v>32</v>
      </c>
      <c r="D3147">
        <v>59</v>
      </c>
      <c r="E3147" s="5">
        <v>43524</v>
      </c>
      <c r="F3147">
        <v>51109501</v>
      </c>
      <c r="G3147" t="s">
        <v>1048</v>
      </c>
      <c r="H3147" t="s">
        <v>1101</v>
      </c>
      <c r="I3147" t="s">
        <v>1102</v>
      </c>
      <c r="J3147">
        <v>1001</v>
      </c>
      <c r="K3147">
        <v>5002</v>
      </c>
      <c r="L3147" s="3">
        <v>3460000</v>
      </c>
      <c r="M3147" s="3">
        <v>890000</v>
      </c>
      <c r="N3147">
        <v>0</v>
      </c>
      <c r="O3147">
        <v>0</v>
      </c>
      <c r="P3147">
        <v>4350000</v>
      </c>
      <c r="Q3147" t="s">
        <v>30</v>
      </c>
      <c r="R3147" t="s">
        <v>230</v>
      </c>
      <c r="S3147" t="str">
        <v>#N/A</v>
      </c>
      <c r="T3147" t="str">
        <v>#N/A</v>
      </c>
    </row>
    <row r="3148" spans="1:20" ht="13.7" customHeight="1" x14ac:dyDescent="0.25">
      <c r="A3148" t="s">
        <v>26</v>
      </c>
      <c r="B3148" t="s">
        <v>27</v>
      </c>
      <c r="C3148" t="s">
        <v>91</v>
      </c>
      <c r="D3148">
        <v>75</v>
      </c>
      <c r="E3148" s="5">
        <v>43555</v>
      </c>
      <c r="F3148">
        <v>51109501</v>
      </c>
      <c r="G3148" t="s">
        <v>1048</v>
      </c>
      <c r="H3148" t="s">
        <v>1101</v>
      </c>
      <c r="I3148" t="s">
        <v>1102</v>
      </c>
      <c r="J3148">
        <v>1001</v>
      </c>
      <c r="K3148">
        <v>5002</v>
      </c>
      <c r="L3148" s="3">
        <v>4350000</v>
      </c>
      <c r="M3148" s="3">
        <v>890000</v>
      </c>
      <c r="N3148">
        <v>0</v>
      </c>
      <c r="O3148">
        <v>0</v>
      </c>
      <c r="P3148">
        <v>5240000</v>
      </c>
      <c r="Q3148" t="s">
        <v>30</v>
      </c>
      <c r="R3148" t="s">
        <v>247</v>
      </c>
      <c r="S3148" t="str">
        <v>#N/A</v>
      </c>
      <c r="T3148" t="str">
        <v>#N/A</v>
      </c>
    </row>
    <row r="3149" spans="1:20" ht="13.7" customHeight="1" x14ac:dyDescent="0.25">
      <c r="A3149" t="s">
        <v>26</v>
      </c>
      <c r="B3149" t="s">
        <v>27</v>
      </c>
      <c r="C3149" t="s">
        <v>34</v>
      </c>
      <c r="D3149">
        <v>3</v>
      </c>
      <c r="E3149" s="5">
        <v>43558</v>
      </c>
      <c r="F3149">
        <v>51109501</v>
      </c>
      <c r="G3149" t="s">
        <v>1048</v>
      </c>
      <c r="H3149" t="s">
        <v>1101</v>
      </c>
      <c r="I3149" t="s">
        <v>1102</v>
      </c>
      <c r="J3149">
        <v>1001</v>
      </c>
      <c r="K3149">
        <v>5002</v>
      </c>
      <c r="L3149" s="3">
        <v>5240000</v>
      </c>
      <c r="M3149" s="3">
        <v>890000</v>
      </c>
      <c r="N3149">
        <v>0</v>
      </c>
      <c r="O3149">
        <v>0</v>
      </c>
      <c r="P3149">
        <v>6130000</v>
      </c>
      <c r="Q3149" t="s">
        <v>30</v>
      </c>
      <c r="R3149" t="s">
        <v>249</v>
      </c>
      <c r="S3149" t="str">
        <v>#N/A</v>
      </c>
      <c r="T3149" t="str">
        <v>#N/A</v>
      </c>
    </row>
    <row r="3150" spans="1:20" ht="13.7" customHeight="1" x14ac:dyDescent="0.25">
      <c r="A3150" t="s">
        <v>26</v>
      </c>
      <c r="B3150" t="s">
        <v>27</v>
      </c>
      <c r="C3150" t="s">
        <v>35</v>
      </c>
      <c r="D3150">
        <v>3</v>
      </c>
      <c r="E3150" s="5">
        <v>43591</v>
      </c>
      <c r="F3150">
        <v>51109501</v>
      </c>
      <c r="G3150" t="s">
        <v>1048</v>
      </c>
      <c r="H3150" t="s">
        <v>1101</v>
      </c>
      <c r="I3150" t="s">
        <v>1102</v>
      </c>
      <c r="J3150">
        <v>1001</v>
      </c>
      <c r="K3150">
        <v>5002</v>
      </c>
      <c r="L3150" s="3">
        <v>6130000</v>
      </c>
      <c r="M3150" s="3">
        <v>890000</v>
      </c>
      <c r="N3150">
        <v>0</v>
      </c>
      <c r="O3150">
        <v>0</v>
      </c>
      <c r="P3150">
        <v>7020000</v>
      </c>
      <c r="Q3150" t="s">
        <v>30</v>
      </c>
      <c r="R3150" t="s">
        <v>257</v>
      </c>
      <c r="S3150" t="str">
        <v>#N/A</v>
      </c>
      <c r="T3150" t="str">
        <v>#N/A</v>
      </c>
    </row>
    <row r="3151" spans="1:20" ht="13.7" customHeight="1" x14ac:dyDescent="0.25">
      <c r="A3151" t="s">
        <v>26</v>
      </c>
      <c r="B3151" t="s">
        <v>27</v>
      </c>
      <c r="C3151" t="s">
        <v>36</v>
      </c>
      <c r="D3151">
        <v>69</v>
      </c>
      <c r="E3151" s="5">
        <v>43646</v>
      </c>
      <c r="F3151">
        <v>51109501</v>
      </c>
      <c r="G3151" t="s">
        <v>1048</v>
      </c>
      <c r="H3151" t="s">
        <v>1101</v>
      </c>
      <c r="I3151" t="s">
        <v>1102</v>
      </c>
      <c r="J3151">
        <v>1001</v>
      </c>
      <c r="K3151">
        <v>5002</v>
      </c>
      <c r="L3151" s="3">
        <v>7020000</v>
      </c>
      <c r="M3151" s="3">
        <v>890000</v>
      </c>
      <c r="N3151">
        <v>0</v>
      </c>
      <c r="O3151">
        <v>0</v>
      </c>
      <c r="P3151">
        <v>7910000</v>
      </c>
      <c r="Q3151" t="s">
        <v>30</v>
      </c>
      <c r="R3151" t="s">
        <v>277</v>
      </c>
      <c r="S3151" t="str">
        <v>#N/A</v>
      </c>
      <c r="T3151" t="str">
        <v>#N/A</v>
      </c>
    </row>
    <row r="3152" spans="1:20" ht="13.7" customHeight="1" x14ac:dyDescent="0.25">
      <c r="A3152" t="s">
        <v>26</v>
      </c>
      <c r="B3152" t="s">
        <v>27</v>
      </c>
      <c r="C3152" t="s">
        <v>37</v>
      </c>
      <c r="D3152">
        <v>15</v>
      </c>
      <c r="E3152" s="5">
        <v>43652</v>
      </c>
      <c r="F3152">
        <v>51109501</v>
      </c>
      <c r="G3152" t="s">
        <v>1048</v>
      </c>
      <c r="H3152" t="s">
        <v>1101</v>
      </c>
      <c r="I3152" t="s">
        <v>1102</v>
      </c>
      <c r="J3152">
        <v>1001</v>
      </c>
      <c r="K3152">
        <v>5002</v>
      </c>
      <c r="L3152" s="3">
        <v>7910000</v>
      </c>
      <c r="M3152" s="3">
        <v>890000</v>
      </c>
      <c r="N3152">
        <v>0</v>
      </c>
      <c r="O3152">
        <v>0</v>
      </c>
      <c r="P3152">
        <v>8800000</v>
      </c>
      <c r="Q3152" t="s">
        <v>30</v>
      </c>
      <c r="R3152" t="s">
        <v>278</v>
      </c>
      <c r="S3152" t="str">
        <v>#N/A</v>
      </c>
      <c r="T3152" t="str">
        <v>#N/A</v>
      </c>
    </row>
    <row r="3153" spans="1:20" ht="13.7" customHeight="1" x14ac:dyDescent="0.25">
      <c r="A3153" t="s">
        <v>26</v>
      </c>
      <c r="B3153" t="s">
        <v>27</v>
      </c>
      <c r="C3153" t="s">
        <v>38</v>
      </c>
      <c r="D3153">
        <v>12</v>
      </c>
      <c r="E3153" s="5">
        <v>43685</v>
      </c>
      <c r="F3153">
        <v>51109501</v>
      </c>
      <c r="G3153" t="s">
        <v>1048</v>
      </c>
      <c r="H3153" t="s">
        <v>1101</v>
      </c>
      <c r="I3153" t="s">
        <v>1102</v>
      </c>
      <c r="J3153">
        <v>1001</v>
      </c>
      <c r="K3153">
        <v>5002</v>
      </c>
      <c r="L3153" s="3">
        <v>8800000</v>
      </c>
      <c r="M3153" s="3">
        <v>890000</v>
      </c>
      <c r="N3153">
        <v>0</v>
      </c>
      <c r="O3153">
        <v>0</v>
      </c>
      <c r="P3153">
        <v>9690000</v>
      </c>
      <c r="Q3153" t="s">
        <v>30</v>
      </c>
      <c r="R3153" t="s">
        <v>283</v>
      </c>
      <c r="S3153" t="str">
        <v>#N/A</v>
      </c>
      <c r="T3153" t="str">
        <v>#N/A</v>
      </c>
    </row>
    <row r="3154" spans="1:20" ht="13.7" customHeight="1" x14ac:dyDescent="0.25">
      <c r="A3154" t="s">
        <v>26</v>
      </c>
      <c r="B3154" t="s">
        <v>27</v>
      </c>
      <c r="C3154" t="s">
        <v>40</v>
      </c>
      <c r="D3154">
        <v>29</v>
      </c>
      <c r="E3154" s="5">
        <v>43755</v>
      </c>
      <c r="F3154">
        <v>51109501</v>
      </c>
      <c r="G3154" t="s">
        <v>1048</v>
      </c>
      <c r="H3154" t="s">
        <v>1101</v>
      </c>
      <c r="I3154" t="s">
        <v>1102</v>
      </c>
      <c r="J3154">
        <v>1001</v>
      </c>
      <c r="K3154">
        <v>5002</v>
      </c>
      <c r="L3154" s="3">
        <v>9690000</v>
      </c>
      <c r="M3154" s="3">
        <v>888000</v>
      </c>
      <c r="N3154">
        <v>0</v>
      </c>
      <c r="O3154">
        <v>0</v>
      </c>
      <c r="P3154">
        <v>10578000</v>
      </c>
      <c r="Q3154" t="s">
        <v>30</v>
      </c>
      <c r="R3154" t="s">
        <v>283</v>
      </c>
      <c r="S3154" t="str">
        <v>#N/A</v>
      </c>
      <c r="T3154" t="str">
        <v>#N/A</v>
      </c>
    </row>
    <row r="3155" spans="1:20" ht="13.7" customHeight="1" x14ac:dyDescent="0.25">
      <c r="A3155" t="s">
        <v>26</v>
      </c>
      <c r="B3155" t="s">
        <v>27</v>
      </c>
      <c r="C3155" t="s">
        <v>41</v>
      </c>
      <c r="D3155">
        <v>75</v>
      </c>
      <c r="E3155" s="5">
        <v>43799</v>
      </c>
      <c r="F3155">
        <v>51109501</v>
      </c>
      <c r="G3155" t="s">
        <v>1048</v>
      </c>
      <c r="H3155" t="s">
        <v>1101</v>
      </c>
      <c r="I3155" t="s">
        <v>1102</v>
      </c>
      <c r="J3155">
        <v>1001</v>
      </c>
      <c r="K3155">
        <v>5002</v>
      </c>
      <c r="L3155" s="3">
        <v>10578000</v>
      </c>
      <c r="M3155" s="3">
        <v>880000</v>
      </c>
      <c r="N3155">
        <v>0</v>
      </c>
      <c r="O3155">
        <v>0</v>
      </c>
      <c r="P3155">
        <v>11458000</v>
      </c>
      <c r="Q3155" t="s">
        <v>30</v>
      </c>
      <c r="R3155" t="s">
        <v>308</v>
      </c>
      <c r="S3155" t="str">
        <v>#N/A</v>
      </c>
      <c r="T3155" t="str">
        <v>#N/A</v>
      </c>
    </row>
    <row r="3156" spans="1:20" ht="13.7" customHeight="1" x14ac:dyDescent="0.25">
      <c r="A3156" t="s">
        <v>26</v>
      </c>
      <c r="B3156" t="s">
        <v>27</v>
      </c>
      <c r="C3156" t="s">
        <v>180</v>
      </c>
      <c r="D3156">
        <v>8</v>
      </c>
      <c r="E3156" s="5">
        <v>43805</v>
      </c>
      <c r="F3156">
        <v>51109501</v>
      </c>
      <c r="G3156" t="s">
        <v>1048</v>
      </c>
      <c r="H3156" t="s">
        <v>1101</v>
      </c>
      <c r="I3156" t="s">
        <v>1102</v>
      </c>
      <c r="J3156">
        <v>1001</v>
      </c>
      <c r="K3156">
        <v>5002</v>
      </c>
      <c r="L3156" s="3">
        <v>11458000</v>
      </c>
      <c r="M3156" s="3">
        <v>880000</v>
      </c>
      <c r="N3156">
        <v>0</v>
      </c>
      <c r="O3156">
        <v>0</v>
      </c>
      <c r="P3156">
        <v>12338000</v>
      </c>
      <c r="Q3156" t="s">
        <v>30</v>
      </c>
      <c r="R3156" t="s">
        <v>311</v>
      </c>
      <c r="S3156" t="str">
        <v>#N/A</v>
      </c>
      <c r="T3156" t="str">
        <v>#N/A</v>
      </c>
    </row>
    <row r="3157" spans="1:20" ht="13.7" customHeight="1" x14ac:dyDescent="0.25">
      <c r="A3157" t="s">
        <v>26</v>
      </c>
      <c r="B3157" t="s">
        <v>27</v>
      </c>
      <c r="C3157" t="s">
        <v>180</v>
      </c>
      <c r="D3157">
        <v>61</v>
      </c>
      <c r="E3157" s="5">
        <v>43822</v>
      </c>
      <c r="F3157">
        <v>51109501</v>
      </c>
      <c r="G3157" t="s">
        <v>1048</v>
      </c>
      <c r="H3157" t="s">
        <v>1101</v>
      </c>
      <c r="I3157" t="s">
        <v>1102</v>
      </c>
      <c r="J3157">
        <v>1001</v>
      </c>
      <c r="K3157">
        <v>5002</v>
      </c>
      <c r="L3157" s="3">
        <v>12338000</v>
      </c>
      <c r="M3157" s="3">
        <v>890000</v>
      </c>
      <c r="N3157">
        <v>0</v>
      </c>
      <c r="O3157">
        <v>0</v>
      </c>
      <c r="P3157">
        <v>13228000</v>
      </c>
      <c r="Q3157" t="s">
        <v>30</v>
      </c>
      <c r="R3157" t="s">
        <v>318</v>
      </c>
      <c r="S3157" t="str">
        <v>#N/A</v>
      </c>
      <c r="T3157" t="str">
        <v>#N/A</v>
      </c>
    </row>
    <row r="3158" spans="1:20" ht="13.7" customHeight="1" x14ac:dyDescent="0.25">
      <c r="E3158" s="5">
        <v>43465</v>
      </c>
      <c r="F3158">
        <v>51109501</v>
      </c>
      <c r="G3158" t="s">
        <v>1048</v>
      </c>
      <c r="H3158" t="s">
        <v>1173</v>
      </c>
      <c r="I3158" t="s">
        <v>1174</v>
      </c>
      <c r="J3158">
        <v>0</v>
      </c>
      <c r="K3158">
        <v>0</v>
      </c>
      <c r="L3158" s="3">
        <v>895624</v>
      </c>
      <c r="M3158" s="3">
        <v>0</v>
      </c>
      <c r="N3158">
        <v>0</v>
      </c>
      <c r="O3158">
        <v>0</v>
      </c>
      <c r="P3158">
        <v>895624</v>
      </c>
      <c r="R3158" t="s">
        <v>1100</v>
      </c>
      <c r="S3158" t="str">
        <v>#N/A</v>
      </c>
      <c r="T3158" t="str">
        <v>#N/A</v>
      </c>
    </row>
    <row r="3159" spans="1:20" ht="13.7" customHeight="1" x14ac:dyDescent="0.25">
      <c r="E3159" s="5">
        <v>43465</v>
      </c>
      <c r="F3159">
        <v>51109501</v>
      </c>
      <c r="G3159" t="s">
        <v>1048</v>
      </c>
      <c r="H3159" t="s">
        <v>1115</v>
      </c>
      <c r="I3159" t="s">
        <v>1116</v>
      </c>
      <c r="J3159">
        <v>0</v>
      </c>
      <c r="K3159">
        <v>0</v>
      </c>
      <c r="L3159" s="3">
        <v>2500000</v>
      </c>
      <c r="M3159" s="3">
        <v>0</v>
      </c>
      <c r="N3159">
        <v>0</v>
      </c>
      <c r="O3159">
        <v>0</v>
      </c>
      <c r="P3159">
        <v>2500000</v>
      </c>
      <c r="R3159" t="s">
        <v>1100</v>
      </c>
      <c r="S3159" t="str">
        <v>#N/A</v>
      </c>
      <c r="T3159" t="str">
        <v>13</v>
      </c>
    </row>
    <row r="3160" spans="1:20" ht="13.7" customHeight="1" x14ac:dyDescent="0.25">
      <c r="E3160" s="5">
        <v>43465</v>
      </c>
      <c r="F3160">
        <v>51109501</v>
      </c>
      <c r="G3160" t="s">
        <v>1048</v>
      </c>
      <c r="H3160" t="s">
        <v>1121</v>
      </c>
      <c r="I3160" t="s">
        <v>1122</v>
      </c>
      <c r="J3160">
        <v>0</v>
      </c>
      <c r="K3160">
        <v>0</v>
      </c>
      <c r="L3160" s="3">
        <v>2120000</v>
      </c>
      <c r="M3160" s="3">
        <v>0</v>
      </c>
      <c r="N3160">
        <v>0</v>
      </c>
      <c r="O3160">
        <v>0</v>
      </c>
      <c r="P3160">
        <v>2120000</v>
      </c>
      <c r="R3160" t="s">
        <v>1100</v>
      </c>
      <c r="S3160" t="str">
        <v>#N/A</v>
      </c>
      <c r="T3160" t="str">
        <v>31</v>
      </c>
    </row>
    <row r="3161" spans="1:20" ht="13.7" customHeight="1" x14ac:dyDescent="0.25">
      <c r="A3161" t="s">
        <v>26</v>
      </c>
      <c r="B3161" t="s">
        <v>27</v>
      </c>
      <c r="C3161" t="s">
        <v>32</v>
      </c>
      <c r="D3161">
        <v>1</v>
      </c>
      <c r="E3161" s="5">
        <v>43497</v>
      </c>
      <c r="F3161">
        <v>51109501</v>
      </c>
      <c r="G3161" t="s">
        <v>1048</v>
      </c>
      <c r="H3161" t="s">
        <v>1121</v>
      </c>
      <c r="I3161" t="s">
        <v>1122</v>
      </c>
      <c r="J3161">
        <v>1001</v>
      </c>
      <c r="K3161">
        <v>5002</v>
      </c>
      <c r="L3161" s="3">
        <v>2120000</v>
      </c>
      <c r="M3161" s="3">
        <v>100000</v>
      </c>
      <c r="N3161">
        <v>0</v>
      </c>
      <c r="O3161">
        <v>0</v>
      </c>
      <c r="P3161">
        <v>2220000</v>
      </c>
      <c r="Q3161" t="s">
        <v>30</v>
      </c>
      <c r="R3161" t="s">
        <v>210</v>
      </c>
      <c r="S3161" t="str">
        <v>#N/A</v>
      </c>
      <c r="T3161" t="str">
        <v>31</v>
      </c>
    </row>
    <row r="3162" spans="1:20" ht="13.7" customHeight="1" x14ac:dyDescent="0.25">
      <c r="A3162" t="s">
        <v>26</v>
      </c>
      <c r="B3162" t="s">
        <v>27</v>
      </c>
      <c r="C3162" t="s">
        <v>34</v>
      </c>
      <c r="D3162">
        <v>4</v>
      </c>
      <c r="E3162" s="5">
        <v>43558</v>
      </c>
      <c r="F3162">
        <v>51109501</v>
      </c>
      <c r="G3162" t="s">
        <v>1048</v>
      </c>
      <c r="H3162" t="s">
        <v>1121</v>
      </c>
      <c r="I3162" t="s">
        <v>1122</v>
      </c>
      <c r="J3162">
        <v>1001</v>
      </c>
      <c r="K3162">
        <v>5002</v>
      </c>
      <c r="L3162" s="3">
        <v>2220000</v>
      </c>
      <c r="M3162" s="3">
        <v>100000</v>
      </c>
      <c r="N3162">
        <v>0</v>
      </c>
      <c r="O3162">
        <v>0</v>
      </c>
      <c r="P3162">
        <v>2320000</v>
      </c>
      <c r="Q3162" t="s">
        <v>30</v>
      </c>
      <c r="R3162" t="s">
        <v>210</v>
      </c>
      <c r="S3162" t="str">
        <v>#N/A</v>
      </c>
      <c r="T3162" t="str">
        <v>31</v>
      </c>
    </row>
    <row r="3163" spans="1:20" ht="13.7" customHeight="1" x14ac:dyDescent="0.25">
      <c r="A3163" t="s">
        <v>26</v>
      </c>
      <c r="B3163" t="s">
        <v>27</v>
      </c>
      <c r="C3163" t="s">
        <v>35</v>
      </c>
      <c r="D3163">
        <v>2</v>
      </c>
      <c r="E3163" s="5">
        <v>43588</v>
      </c>
      <c r="F3163">
        <v>51109501</v>
      </c>
      <c r="G3163" t="s">
        <v>1048</v>
      </c>
      <c r="H3163" t="s">
        <v>1121</v>
      </c>
      <c r="I3163" t="s">
        <v>1122</v>
      </c>
      <c r="J3163">
        <v>1001</v>
      </c>
      <c r="K3163">
        <v>5002</v>
      </c>
      <c r="L3163" s="3">
        <v>2320000</v>
      </c>
      <c r="M3163" s="3">
        <v>100000</v>
      </c>
      <c r="N3163">
        <v>0</v>
      </c>
      <c r="O3163">
        <v>0</v>
      </c>
      <c r="P3163">
        <v>2420000</v>
      </c>
      <c r="Q3163" t="s">
        <v>30</v>
      </c>
      <c r="R3163" t="s">
        <v>210</v>
      </c>
      <c r="S3163" t="str">
        <v>#N/A</v>
      </c>
      <c r="T3163" t="str">
        <v>31</v>
      </c>
    </row>
    <row r="3164" spans="1:20" ht="13.7" customHeight="1" x14ac:dyDescent="0.25">
      <c r="A3164" t="s">
        <v>26</v>
      </c>
      <c r="B3164" t="s">
        <v>27</v>
      </c>
      <c r="C3164" t="s">
        <v>36</v>
      </c>
      <c r="D3164">
        <v>35</v>
      </c>
      <c r="E3164" s="5">
        <v>43633</v>
      </c>
      <c r="F3164">
        <v>51109501</v>
      </c>
      <c r="G3164" t="s">
        <v>1048</v>
      </c>
      <c r="H3164" t="s">
        <v>1121</v>
      </c>
      <c r="I3164" t="s">
        <v>1122</v>
      </c>
      <c r="J3164">
        <v>1001</v>
      </c>
      <c r="K3164">
        <v>5002</v>
      </c>
      <c r="L3164" s="3">
        <v>2420000</v>
      </c>
      <c r="M3164" s="3">
        <v>100000</v>
      </c>
      <c r="N3164">
        <v>0</v>
      </c>
      <c r="O3164">
        <v>0</v>
      </c>
      <c r="P3164">
        <v>2520000</v>
      </c>
      <c r="Q3164" t="s">
        <v>30</v>
      </c>
      <c r="R3164" t="s">
        <v>210</v>
      </c>
      <c r="S3164" t="str">
        <v>#N/A</v>
      </c>
      <c r="T3164" t="str">
        <v>31</v>
      </c>
    </row>
    <row r="3165" spans="1:20" ht="13.7" customHeight="1" x14ac:dyDescent="0.25">
      <c r="A3165" t="s">
        <v>26</v>
      </c>
      <c r="B3165" t="s">
        <v>27</v>
      </c>
      <c r="C3165" t="s">
        <v>37</v>
      </c>
      <c r="D3165">
        <v>12</v>
      </c>
      <c r="E3165" s="5">
        <v>43652</v>
      </c>
      <c r="F3165">
        <v>51109501</v>
      </c>
      <c r="G3165" t="s">
        <v>1048</v>
      </c>
      <c r="H3165" t="s">
        <v>1121</v>
      </c>
      <c r="I3165" t="s">
        <v>1122</v>
      </c>
      <c r="J3165">
        <v>1001</v>
      </c>
      <c r="K3165">
        <v>5002</v>
      </c>
      <c r="L3165" s="3">
        <v>2520000</v>
      </c>
      <c r="M3165" s="3">
        <v>100000</v>
      </c>
      <c r="N3165">
        <v>0</v>
      </c>
      <c r="O3165">
        <v>0</v>
      </c>
      <c r="P3165">
        <v>2620000</v>
      </c>
      <c r="Q3165" t="s">
        <v>30</v>
      </c>
      <c r="R3165" t="s">
        <v>210</v>
      </c>
      <c r="S3165" t="str">
        <v>#N/A</v>
      </c>
      <c r="T3165" t="str">
        <v>31</v>
      </c>
    </row>
    <row r="3166" spans="1:20" ht="13.7" customHeight="1" x14ac:dyDescent="0.25">
      <c r="A3166" t="s">
        <v>26</v>
      </c>
      <c r="B3166" t="s">
        <v>27</v>
      </c>
      <c r="C3166" t="s">
        <v>38</v>
      </c>
      <c r="D3166">
        <v>13</v>
      </c>
      <c r="E3166" s="5">
        <v>43685</v>
      </c>
      <c r="F3166">
        <v>51109501</v>
      </c>
      <c r="G3166" t="s">
        <v>1048</v>
      </c>
      <c r="H3166" t="s">
        <v>1121</v>
      </c>
      <c r="I3166" t="s">
        <v>1122</v>
      </c>
      <c r="J3166">
        <v>1001</v>
      </c>
      <c r="K3166">
        <v>5002</v>
      </c>
      <c r="L3166" s="3">
        <v>2620000</v>
      </c>
      <c r="M3166" s="3">
        <v>100000</v>
      </c>
      <c r="N3166">
        <v>0</v>
      </c>
      <c r="O3166">
        <v>0</v>
      </c>
      <c r="P3166">
        <v>2720000</v>
      </c>
      <c r="Q3166" t="s">
        <v>30</v>
      </c>
      <c r="R3166" t="s">
        <v>210</v>
      </c>
      <c r="S3166" t="str">
        <v>#N/A</v>
      </c>
      <c r="T3166" t="str">
        <v>31</v>
      </c>
    </row>
    <row r="3167" spans="1:20" ht="13.7" customHeight="1" x14ac:dyDescent="0.25">
      <c r="E3167" s="5">
        <v>43465</v>
      </c>
      <c r="F3167">
        <v>51109501</v>
      </c>
      <c r="G3167" t="s">
        <v>1048</v>
      </c>
      <c r="H3167" t="s">
        <v>1105</v>
      </c>
      <c r="I3167" t="s">
        <v>1106</v>
      </c>
      <c r="J3167">
        <v>0</v>
      </c>
      <c r="K3167">
        <v>0</v>
      </c>
      <c r="L3167" s="3">
        <v>100000</v>
      </c>
      <c r="M3167" s="3">
        <v>0</v>
      </c>
      <c r="N3167">
        <v>0</v>
      </c>
      <c r="O3167">
        <v>0</v>
      </c>
      <c r="P3167">
        <v>100000</v>
      </c>
      <c r="R3167" t="s">
        <v>1100</v>
      </c>
      <c r="S3167" t="str">
        <v>#N/A</v>
      </c>
      <c r="T3167" t="str">
        <v>#N/A</v>
      </c>
    </row>
    <row r="3168" spans="1:20" ht="13.7" customHeight="1" x14ac:dyDescent="0.25">
      <c r="E3168" s="5">
        <v>43465</v>
      </c>
      <c r="F3168">
        <v>51154001</v>
      </c>
      <c r="G3168" t="s">
        <v>1270</v>
      </c>
      <c r="H3168" t="s">
        <v>1271</v>
      </c>
      <c r="I3168" t="s">
        <v>1272</v>
      </c>
      <c r="J3168">
        <v>0</v>
      </c>
      <c r="K3168">
        <v>0</v>
      </c>
      <c r="L3168" s="3">
        <v>524500</v>
      </c>
      <c r="M3168" s="3">
        <v>0</v>
      </c>
      <c r="N3168">
        <v>0</v>
      </c>
      <c r="O3168">
        <v>0</v>
      </c>
      <c r="P3168">
        <v>524500</v>
      </c>
      <c r="R3168" t="s">
        <v>1100</v>
      </c>
      <c r="S3168" t="str">
        <v>#N/A</v>
      </c>
      <c r="T3168" t="str">
        <v>#N/A</v>
      </c>
    </row>
    <row r="3169" spans="1:20" ht="13.7" customHeight="1" x14ac:dyDescent="0.25">
      <c r="E3169" s="5">
        <v>43465</v>
      </c>
      <c r="F3169">
        <v>51157001</v>
      </c>
      <c r="G3169" t="s">
        <v>1270</v>
      </c>
      <c r="H3169" t="s">
        <v>1273</v>
      </c>
      <c r="I3169" t="s">
        <v>1274</v>
      </c>
      <c r="J3169">
        <v>0</v>
      </c>
      <c r="K3169">
        <v>0</v>
      </c>
      <c r="L3169" s="3">
        <v>56582</v>
      </c>
      <c r="M3169" s="3">
        <v>0</v>
      </c>
      <c r="N3169">
        <v>0</v>
      </c>
      <c r="O3169">
        <v>0</v>
      </c>
      <c r="P3169">
        <v>56582</v>
      </c>
      <c r="R3169" t="s">
        <v>1100</v>
      </c>
      <c r="S3169" t="str">
        <v>#N/A</v>
      </c>
      <c r="T3169" t="str">
        <v>31</v>
      </c>
    </row>
    <row r="3170" spans="1:20" ht="13.7" customHeight="1" x14ac:dyDescent="0.25">
      <c r="E3170" s="5">
        <v>43465</v>
      </c>
      <c r="F3170">
        <v>51202001</v>
      </c>
      <c r="G3170" t="s">
        <v>1275</v>
      </c>
      <c r="H3170" t="s">
        <v>1663</v>
      </c>
      <c r="I3170" t="s">
        <v>1664</v>
      </c>
      <c r="J3170">
        <v>0</v>
      </c>
      <c r="K3170">
        <v>0</v>
      </c>
      <c r="L3170" s="3">
        <v>85000</v>
      </c>
      <c r="M3170" s="3">
        <v>0</v>
      </c>
      <c r="N3170">
        <v>0</v>
      </c>
      <c r="O3170">
        <v>0</v>
      </c>
      <c r="P3170">
        <v>85000</v>
      </c>
      <c r="R3170" t="s">
        <v>1100</v>
      </c>
      <c r="S3170" t="str">
        <v>#N/A</v>
      </c>
      <c r="T3170" t="str">
        <v>#N/A</v>
      </c>
    </row>
    <row r="3171" spans="1:20" ht="13.7" customHeight="1" x14ac:dyDescent="0.25">
      <c r="E3171" s="5">
        <v>43465</v>
      </c>
      <c r="F3171">
        <v>51202001</v>
      </c>
      <c r="G3171" t="s">
        <v>1275</v>
      </c>
      <c r="H3171" t="s">
        <v>1235</v>
      </c>
      <c r="I3171" t="s">
        <v>1236</v>
      </c>
      <c r="J3171">
        <v>0</v>
      </c>
      <c r="K3171">
        <v>0</v>
      </c>
      <c r="L3171" s="3">
        <v>8403</v>
      </c>
      <c r="M3171" s="3">
        <v>0</v>
      </c>
      <c r="N3171">
        <v>0</v>
      </c>
      <c r="O3171">
        <v>0</v>
      </c>
      <c r="P3171">
        <v>8403</v>
      </c>
      <c r="R3171" t="s">
        <v>1100</v>
      </c>
      <c r="S3171" t="str">
        <v>#N/A</v>
      </c>
      <c r="T3171" t="str">
        <v>#N/A</v>
      </c>
    </row>
    <row r="3172" spans="1:20" ht="13.7" customHeight="1" x14ac:dyDescent="0.25">
      <c r="E3172" s="5">
        <v>43465</v>
      </c>
      <c r="F3172">
        <v>51202001</v>
      </c>
      <c r="G3172" t="s">
        <v>1275</v>
      </c>
      <c r="H3172" t="s">
        <v>1643</v>
      </c>
      <c r="I3172" t="s">
        <v>1644</v>
      </c>
      <c r="J3172">
        <v>0</v>
      </c>
      <c r="K3172">
        <v>0</v>
      </c>
      <c r="L3172" s="3">
        <v>9160</v>
      </c>
      <c r="M3172" s="3">
        <v>0</v>
      </c>
      <c r="N3172">
        <v>0</v>
      </c>
      <c r="O3172">
        <v>0</v>
      </c>
      <c r="P3172">
        <v>9160</v>
      </c>
      <c r="R3172" t="s">
        <v>1100</v>
      </c>
      <c r="S3172" t="str">
        <v>#N/A</v>
      </c>
      <c r="T3172" t="str">
        <v>#N/A</v>
      </c>
    </row>
    <row r="3173" spans="1:20" ht="13.7" customHeight="1" x14ac:dyDescent="0.25">
      <c r="E3173" s="5">
        <v>43465</v>
      </c>
      <c r="F3173">
        <v>51204001</v>
      </c>
      <c r="G3173" t="s">
        <v>1050</v>
      </c>
      <c r="H3173" t="s">
        <v>1607</v>
      </c>
      <c r="I3173" t="s">
        <v>1608</v>
      </c>
      <c r="J3173">
        <v>0</v>
      </c>
      <c r="K3173">
        <v>0</v>
      </c>
      <c r="L3173" s="3">
        <v>1839007.63</v>
      </c>
      <c r="M3173" s="3">
        <v>0</v>
      </c>
      <c r="N3173">
        <v>0</v>
      </c>
      <c r="O3173">
        <v>0</v>
      </c>
      <c r="P3173">
        <v>1839007.63</v>
      </c>
      <c r="R3173" t="s">
        <v>1100</v>
      </c>
      <c r="S3173" t="str">
        <v>#N/A</v>
      </c>
      <c r="T3173" t="str">
        <v>#N/A</v>
      </c>
    </row>
    <row r="3174" spans="1:20" ht="13.7" customHeight="1" x14ac:dyDescent="0.25">
      <c r="E3174" s="5">
        <v>43465</v>
      </c>
      <c r="F3174">
        <v>51304001</v>
      </c>
      <c r="G3174" t="s">
        <v>1049</v>
      </c>
      <c r="H3174" t="s">
        <v>1245</v>
      </c>
      <c r="I3174" t="s">
        <v>1246</v>
      </c>
      <c r="J3174">
        <v>0</v>
      </c>
      <c r="K3174">
        <v>0</v>
      </c>
      <c r="L3174" s="3">
        <v>0</v>
      </c>
      <c r="M3174" s="3">
        <v>0</v>
      </c>
      <c r="N3174">
        <v>0</v>
      </c>
      <c r="O3174">
        <v>0</v>
      </c>
      <c r="P3174">
        <v>0</v>
      </c>
      <c r="R3174" t="s">
        <v>1100</v>
      </c>
      <c r="S3174" t="str">
        <v>#N/A</v>
      </c>
      <c r="T3174" t="str">
        <v>#N/A</v>
      </c>
    </row>
    <row r="3175" spans="1:20" ht="13.7" customHeight="1" x14ac:dyDescent="0.25">
      <c r="A3175" t="s">
        <v>26</v>
      </c>
      <c r="B3175" t="s">
        <v>27</v>
      </c>
      <c r="C3175" t="s">
        <v>41</v>
      </c>
      <c r="D3175">
        <v>49</v>
      </c>
      <c r="E3175" s="5">
        <v>43789</v>
      </c>
      <c r="F3175">
        <v>51304001</v>
      </c>
      <c r="G3175" t="s">
        <v>1049</v>
      </c>
      <c r="H3175" t="s">
        <v>1245</v>
      </c>
      <c r="I3175" t="s">
        <v>1246</v>
      </c>
      <c r="J3175">
        <v>1001</v>
      </c>
      <c r="K3175">
        <v>5016</v>
      </c>
      <c r="L3175" s="3">
        <v>0</v>
      </c>
      <c r="M3175" s="3">
        <v>1235511.98</v>
      </c>
      <c r="N3175">
        <v>0</v>
      </c>
      <c r="O3175">
        <v>0</v>
      </c>
      <c r="P3175">
        <v>1235511.98</v>
      </c>
      <c r="Q3175" t="s">
        <v>30</v>
      </c>
      <c r="R3175" t="s">
        <v>307</v>
      </c>
      <c r="S3175" t="str">
        <v>#N/A</v>
      </c>
      <c r="T3175" t="str">
        <v>#N/A</v>
      </c>
    </row>
    <row r="3176" spans="1:20" ht="13.7" customHeight="1" x14ac:dyDescent="0.25">
      <c r="E3176" s="5">
        <v>43465</v>
      </c>
      <c r="F3176">
        <v>51307501</v>
      </c>
      <c r="G3176" t="s">
        <v>1050</v>
      </c>
      <c r="H3176" t="s">
        <v>1268</v>
      </c>
      <c r="I3176" t="s">
        <v>1269</v>
      </c>
      <c r="J3176">
        <v>0</v>
      </c>
      <c r="K3176">
        <v>0</v>
      </c>
      <c r="L3176" s="3">
        <v>0</v>
      </c>
      <c r="M3176" s="3">
        <v>0</v>
      </c>
      <c r="N3176">
        <v>0</v>
      </c>
      <c r="O3176">
        <v>0</v>
      </c>
      <c r="P3176">
        <v>0</v>
      </c>
      <c r="R3176" t="s">
        <v>1100</v>
      </c>
      <c r="S3176" t="str">
        <v>#N/A</v>
      </c>
      <c r="T3176" t="str">
        <v>#N/A</v>
      </c>
    </row>
    <row r="3177" spans="1:20" ht="13.7" customHeight="1" x14ac:dyDescent="0.25">
      <c r="A3177" t="s">
        <v>26</v>
      </c>
      <c r="B3177" t="s">
        <v>27</v>
      </c>
      <c r="C3177" t="s">
        <v>40</v>
      </c>
      <c r="D3177">
        <v>38</v>
      </c>
      <c r="E3177" s="5">
        <v>43756</v>
      </c>
      <c r="F3177">
        <v>51307501</v>
      </c>
      <c r="G3177" t="s">
        <v>1050</v>
      </c>
      <c r="H3177" t="s">
        <v>1268</v>
      </c>
      <c r="I3177" t="s">
        <v>1269</v>
      </c>
      <c r="J3177">
        <v>1001</v>
      </c>
      <c r="K3177">
        <v>5016</v>
      </c>
      <c r="L3177" s="3">
        <v>0</v>
      </c>
      <c r="M3177" s="3">
        <v>357650</v>
      </c>
      <c r="N3177">
        <v>0</v>
      </c>
      <c r="O3177">
        <v>0</v>
      </c>
      <c r="P3177">
        <v>357650</v>
      </c>
      <c r="Q3177" t="s">
        <v>30</v>
      </c>
      <c r="R3177" t="s">
        <v>298</v>
      </c>
      <c r="S3177" t="str">
        <v>#N/A</v>
      </c>
      <c r="T3177" t="str">
        <v>#N/A</v>
      </c>
    </row>
    <row r="3178" spans="1:20" ht="13.7" customHeight="1" x14ac:dyDescent="0.25">
      <c r="E3178" s="5">
        <v>43465</v>
      </c>
      <c r="F3178">
        <v>51307501</v>
      </c>
      <c r="G3178" t="s">
        <v>1050</v>
      </c>
      <c r="H3178" t="s">
        <v>1266</v>
      </c>
      <c r="I3178" t="s">
        <v>1267</v>
      </c>
      <c r="J3178">
        <v>0</v>
      </c>
      <c r="K3178">
        <v>0</v>
      </c>
      <c r="L3178" s="3">
        <v>0</v>
      </c>
      <c r="M3178" s="3">
        <v>0</v>
      </c>
      <c r="N3178">
        <v>0</v>
      </c>
      <c r="O3178">
        <v>0</v>
      </c>
      <c r="P3178">
        <v>0</v>
      </c>
      <c r="R3178" t="s">
        <v>1100</v>
      </c>
      <c r="S3178" t="str">
        <v>#N/A</v>
      </c>
      <c r="T3178" t="str">
        <v>#N/A</v>
      </c>
    </row>
    <row r="3179" spans="1:20" ht="13.7" customHeight="1" x14ac:dyDescent="0.25">
      <c r="A3179" t="s">
        <v>26</v>
      </c>
      <c r="B3179" t="s">
        <v>27</v>
      </c>
      <c r="C3179" t="s">
        <v>91</v>
      </c>
      <c r="D3179">
        <v>19</v>
      </c>
      <c r="E3179" s="5">
        <v>43565</v>
      </c>
      <c r="F3179">
        <v>51307501</v>
      </c>
      <c r="G3179" t="s">
        <v>1050</v>
      </c>
      <c r="H3179" t="s">
        <v>1266</v>
      </c>
      <c r="I3179" t="s">
        <v>1267</v>
      </c>
      <c r="J3179">
        <v>1001</v>
      </c>
      <c r="K3179">
        <v>5016</v>
      </c>
      <c r="L3179" s="3">
        <v>0</v>
      </c>
      <c r="M3179" s="3">
        <v>673000</v>
      </c>
      <c r="N3179">
        <v>0</v>
      </c>
      <c r="O3179">
        <v>0</v>
      </c>
      <c r="P3179">
        <v>673000</v>
      </c>
      <c r="Q3179" t="s">
        <v>30</v>
      </c>
      <c r="R3179" t="s">
        <v>119</v>
      </c>
      <c r="S3179" t="str">
        <v>#N/A</v>
      </c>
      <c r="T3179" t="str">
        <v>#N/A</v>
      </c>
    </row>
    <row r="3180" spans="1:20" ht="13.7" customHeight="1" x14ac:dyDescent="0.25">
      <c r="E3180" s="5">
        <v>43465</v>
      </c>
      <c r="F3180">
        <v>51309501</v>
      </c>
      <c r="G3180" t="s">
        <v>1050</v>
      </c>
      <c r="H3180" t="s">
        <v>1161</v>
      </c>
      <c r="I3180" t="s">
        <v>1162</v>
      </c>
      <c r="J3180">
        <v>0</v>
      </c>
      <c r="K3180">
        <v>0</v>
      </c>
      <c r="L3180" s="3">
        <v>205200</v>
      </c>
      <c r="M3180" s="3">
        <v>0</v>
      </c>
      <c r="N3180">
        <v>0</v>
      </c>
      <c r="O3180">
        <v>0</v>
      </c>
      <c r="P3180">
        <v>205200</v>
      </c>
      <c r="R3180" t="s">
        <v>1100</v>
      </c>
      <c r="S3180" t="str">
        <v>#N/A</v>
      </c>
      <c r="T3180" t="str">
        <v>#N/A</v>
      </c>
    </row>
    <row r="3181" spans="1:20" ht="13.7" customHeight="1" x14ac:dyDescent="0.25">
      <c r="A3181" t="s">
        <v>26</v>
      </c>
      <c r="B3181" t="s">
        <v>27</v>
      </c>
      <c r="C3181" t="s">
        <v>28</v>
      </c>
      <c r="D3181">
        <v>35</v>
      </c>
      <c r="E3181" s="5">
        <v>43480</v>
      </c>
      <c r="F3181">
        <v>51309501</v>
      </c>
      <c r="G3181" t="s">
        <v>1050</v>
      </c>
      <c r="H3181" t="s">
        <v>1161</v>
      </c>
      <c r="I3181" t="s">
        <v>1162</v>
      </c>
      <c r="J3181">
        <v>1001</v>
      </c>
      <c r="K3181">
        <v>5016</v>
      </c>
      <c r="L3181" s="3">
        <v>205200</v>
      </c>
      <c r="M3181" s="3">
        <v>34200</v>
      </c>
      <c r="N3181">
        <v>0</v>
      </c>
      <c r="O3181">
        <v>0</v>
      </c>
      <c r="P3181">
        <v>239400</v>
      </c>
      <c r="Q3181" t="s">
        <v>30</v>
      </c>
      <c r="R3181" t="s">
        <v>196</v>
      </c>
      <c r="S3181" t="str">
        <v>#N/A</v>
      </c>
      <c r="T3181" t="str">
        <v>#N/A</v>
      </c>
    </row>
    <row r="3182" spans="1:20" ht="13.7" customHeight="1" x14ac:dyDescent="0.25">
      <c r="A3182" t="s">
        <v>26</v>
      </c>
      <c r="B3182" t="s">
        <v>27</v>
      </c>
      <c r="C3182" t="s">
        <v>91</v>
      </c>
      <c r="D3182">
        <v>70</v>
      </c>
      <c r="E3182" s="5">
        <v>43544</v>
      </c>
      <c r="F3182">
        <v>51309501</v>
      </c>
      <c r="G3182" t="s">
        <v>1050</v>
      </c>
      <c r="H3182" t="s">
        <v>1161</v>
      </c>
      <c r="I3182" t="s">
        <v>1162</v>
      </c>
      <c r="J3182">
        <v>1001</v>
      </c>
      <c r="K3182">
        <v>5016</v>
      </c>
      <c r="L3182" s="3">
        <v>239400</v>
      </c>
      <c r="M3182" s="3">
        <v>33500</v>
      </c>
      <c r="N3182">
        <v>0</v>
      </c>
      <c r="O3182">
        <v>0</v>
      </c>
      <c r="P3182">
        <v>272900</v>
      </c>
      <c r="Q3182" t="s">
        <v>30</v>
      </c>
      <c r="R3182" t="s">
        <v>241</v>
      </c>
      <c r="S3182" t="str">
        <v>#N/A</v>
      </c>
      <c r="T3182" t="str">
        <v>#N/A</v>
      </c>
    </row>
    <row r="3183" spans="1:20" ht="13.7" customHeight="1" x14ac:dyDescent="0.25">
      <c r="A3183" t="s">
        <v>26</v>
      </c>
      <c r="B3183" t="s">
        <v>27</v>
      </c>
      <c r="C3183" t="s">
        <v>91</v>
      </c>
      <c r="D3183">
        <v>76</v>
      </c>
      <c r="E3183" s="5">
        <v>43552</v>
      </c>
      <c r="F3183">
        <v>51309501</v>
      </c>
      <c r="G3183" t="s">
        <v>1050</v>
      </c>
      <c r="H3183" t="s">
        <v>1161</v>
      </c>
      <c r="I3183" t="s">
        <v>1162</v>
      </c>
      <c r="J3183">
        <v>1001</v>
      </c>
      <c r="K3183">
        <v>5016</v>
      </c>
      <c r="L3183" s="3">
        <v>272900</v>
      </c>
      <c r="M3183" s="3">
        <v>33500</v>
      </c>
      <c r="N3183">
        <v>0</v>
      </c>
      <c r="O3183">
        <v>0</v>
      </c>
      <c r="P3183">
        <v>306400</v>
      </c>
      <c r="Q3183" t="s">
        <v>30</v>
      </c>
      <c r="R3183" t="s">
        <v>246</v>
      </c>
      <c r="S3183" t="str">
        <v>#N/A</v>
      </c>
      <c r="T3183" t="str">
        <v>#N/A</v>
      </c>
    </row>
    <row r="3184" spans="1:20" ht="13.7" customHeight="1" x14ac:dyDescent="0.25">
      <c r="A3184" t="s">
        <v>26</v>
      </c>
      <c r="B3184" t="s">
        <v>27</v>
      </c>
      <c r="C3184" t="s">
        <v>35</v>
      </c>
      <c r="D3184">
        <v>35</v>
      </c>
      <c r="E3184" s="5">
        <v>43596</v>
      </c>
      <c r="F3184">
        <v>51309501</v>
      </c>
      <c r="G3184" t="s">
        <v>1050</v>
      </c>
      <c r="H3184" t="s">
        <v>1161</v>
      </c>
      <c r="I3184" t="s">
        <v>1162</v>
      </c>
      <c r="J3184">
        <v>1001</v>
      </c>
      <c r="K3184">
        <v>5016</v>
      </c>
      <c r="L3184" s="3">
        <v>306400</v>
      </c>
      <c r="M3184" s="3">
        <v>33500</v>
      </c>
      <c r="N3184">
        <v>0</v>
      </c>
      <c r="O3184">
        <v>0</v>
      </c>
      <c r="P3184">
        <v>339900</v>
      </c>
      <c r="Q3184" t="s">
        <v>30</v>
      </c>
      <c r="R3184" t="s">
        <v>241</v>
      </c>
      <c r="S3184" t="str">
        <v>#N/A</v>
      </c>
      <c r="T3184" t="str">
        <v>#N/A</v>
      </c>
    </row>
    <row r="3185" spans="1:20" ht="13.7" customHeight="1" x14ac:dyDescent="0.25">
      <c r="A3185" t="s">
        <v>26</v>
      </c>
      <c r="B3185" t="s">
        <v>27</v>
      </c>
      <c r="C3185" t="s">
        <v>36</v>
      </c>
      <c r="D3185">
        <v>25</v>
      </c>
      <c r="E3185" s="5">
        <v>43629</v>
      </c>
      <c r="F3185">
        <v>51309501</v>
      </c>
      <c r="G3185" t="s">
        <v>1050</v>
      </c>
      <c r="H3185" t="s">
        <v>1161</v>
      </c>
      <c r="I3185" t="s">
        <v>1162</v>
      </c>
      <c r="J3185">
        <v>1001</v>
      </c>
      <c r="K3185">
        <v>5016</v>
      </c>
      <c r="L3185" s="3">
        <v>339900</v>
      </c>
      <c r="M3185" s="3">
        <v>33500</v>
      </c>
      <c r="N3185">
        <v>0</v>
      </c>
      <c r="O3185">
        <v>0</v>
      </c>
      <c r="P3185">
        <v>373400</v>
      </c>
      <c r="Q3185" t="s">
        <v>30</v>
      </c>
      <c r="R3185" t="s">
        <v>241</v>
      </c>
      <c r="S3185" t="str">
        <v>#N/A</v>
      </c>
      <c r="T3185" t="str">
        <v>#N/A</v>
      </c>
    </row>
    <row r="3186" spans="1:20" ht="13.7" customHeight="1" x14ac:dyDescent="0.25">
      <c r="A3186" t="s">
        <v>26</v>
      </c>
      <c r="B3186" t="s">
        <v>27</v>
      </c>
      <c r="C3186" t="s">
        <v>37</v>
      </c>
      <c r="D3186">
        <v>61</v>
      </c>
      <c r="E3186" s="5">
        <v>43675</v>
      </c>
      <c r="F3186">
        <v>51309501</v>
      </c>
      <c r="G3186" t="s">
        <v>1050</v>
      </c>
      <c r="H3186" t="s">
        <v>1161</v>
      </c>
      <c r="I3186" t="s">
        <v>1162</v>
      </c>
      <c r="J3186">
        <v>1001</v>
      </c>
      <c r="K3186">
        <v>5016</v>
      </c>
      <c r="L3186" s="3">
        <v>373400</v>
      </c>
      <c r="M3186" s="3">
        <v>33500</v>
      </c>
      <c r="N3186">
        <v>0</v>
      </c>
      <c r="O3186">
        <v>0</v>
      </c>
      <c r="P3186">
        <v>406900</v>
      </c>
      <c r="Q3186" t="s">
        <v>30</v>
      </c>
      <c r="R3186" t="s">
        <v>241</v>
      </c>
      <c r="S3186" t="str">
        <v>#N/A</v>
      </c>
      <c r="T3186" t="str">
        <v>#N/A</v>
      </c>
    </row>
    <row r="3187" spans="1:20" ht="13.7" customHeight="1" x14ac:dyDescent="0.25">
      <c r="A3187" t="s">
        <v>26</v>
      </c>
      <c r="B3187" t="s">
        <v>27</v>
      </c>
      <c r="C3187" t="s">
        <v>38</v>
      </c>
      <c r="D3187">
        <v>34</v>
      </c>
      <c r="E3187" s="5">
        <v>43699</v>
      </c>
      <c r="F3187">
        <v>51309501</v>
      </c>
      <c r="G3187" t="s">
        <v>1050</v>
      </c>
      <c r="H3187" t="s">
        <v>1161</v>
      </c>
      <c r="I3187" t="s">
        <v>1162</v>
      </c>
      <c r="J3187">
        <v>1001</v>
      </c>
      <c r="K3187">
        <v>5016</v>
      </c>
      <c r="L3187" s="3">
        <v>406900</v>
      </c>
      <c r="M3187" s="3">
        <v>33500</v>
      </c>
      <c r="N3187">
        <v>0</v>
      </c>
      <c r="O3187">
        <v>0</v>
      </c>
      <c r="P3187">
        <v>440400</v>
      </c>
      <c r="Q3187" t="s">
        <v>30</v>
      </c>
      <c r="R3187" t="s">
        <v>241</v>
      </c>
      <c r="S3187" t="str">
        <v>#N/A</v>
      </c>
      <c r="T3187" t="str">
        <v>#N/A</v>
      </c>
    </row>
    <row r="3188" spans="1:20" ht="13.7" customHeight="1" x14ac:dyDescent="0.25">
      <c r="A3188" t="s">
        <v>26</v>
      </c>
      <c r="B3188" t="s">
        <v>27</v>
      </c>
      <c r="C3188" t="s">
        <v>39</v>
      </c>
      <c r="D3188">
        <v>62</v>
      </c>
      <c r="E3188" s="5">
        <v>43722</v>
      </c>
      <c r="F3188">
        <v>51309501</v>
      </c>
      <c r="G3188" t="s">
        <v>1050</v>
      </c>
      <c r="H3188" t="s">
        <v>1161</v>
      </c>
      <c r="I3188" t="s">
        <v>1162</v>
      </c>
      <c r="J3188">
        <v>1001</v>
      </c>
      <c r="K3188">
        <v>5016</v>
      </c>
      <c r="L3188" s="3">
        <v>440400</v>
      </c>
      <c r="M3188" s="3">
        <v>33500</v>
      </c>
      <c r="N3188">
        <v>0</v>
      </c>
      <c r="O3188">
        <v>0</v>
      </c>
      <c r="P3188">
        <v>473900</v>
      </c>
      <c r="Q3188" t="s">
        <v>30</v>
      </c>
      <c r="R3188" t="s">
        <v>241</v>
      </c>
      <c r="S3188" t="str">
        <v>#N/A</v>
      </c>
      <c r="T3188" t="str">
        <v>#N/A</v>
      </c>
    </row>
    <row r="3189" spans="1:20" ht="13.7" customHeight="1" x14ac:dyDescent="0.25">
      <c r="E3189" s="5">
        <v>43465</v>
      </c>
      <c r="F3189">
        <v>51309501</v>
      </c>
      <c r="G3189" t="s">
        <v>1050</v>
      </c>
      <c r="H3189" t="s">
        <v>1105</v>
      </c>
      <c r="I3189" t="s">
        <v>1106</v>
      </c>
      <c r="J3189">
        <v>0</v>
      </c>
      <c r="K3189">
        <v>0</v>
      </c>
      <c r="L3189" s="3">
        <v>1994</v>
      </c>
      <c r="M3189" s="3">
        <v>0</v>
      </c>
      <c r="N3189">
        <v>0</v>
      </c>
      <c r="O3189">
        <v>0</v>
      </c>
      <c r="P3189">
        <v>1994</v>
      </c>
      <c r="R3189" t="s">
        <v>1100</v>
      </c>
      <c r="S3189" t="str">
        <v>#N/A</v>
      </c>
      <c r="T3189" t="str">
        <v>#N/A</v>
      </c>
    </row>
    <row r="3190" spans="1:20" ht="13.7" customHeight="1" x14ac:dyDescent="0.25">
      <c r="E3190" s="5">
        <v>43465</v>
      </c>
      <c r="F3190">
        <v>51401001</v>
      </c>
      <c r="G3190" t="s">
        <v>1052</v>
      </c>
      <c r="H3190" t="s">
        <v>1165</v>
      </c>
      <c r="I3190" t="s">
        <v>1166</v>
      </c>
      <c r="J3190">
        <v>0</v>
      </c>
      <c r="K3190">
        <v>0</v>
      </c>
      <c r="L3190" s="3">
        <v>1774100</v>
      </c>
      <c r="M3190" s="3">
        <v>0</v>
      </c>
      <c r="N3190">
        <v>0</v>
      </c>
      <c r="O3190">
        <v>0</v>
      </c>
      <c r="P3190">
        <v>1774100</v>
      </c>
      <c r="R3190" t="s">
        <v>1100</v>
      </c>
      <c r="S3190" t="str">
        <v>#N/A</v>
      </c>
      <c r="T3190" t="str">
        <v>31</v>
      </c>
    </row>
    <row r="3191" spans="1:20" ht="13.7" customHeight="1" x14ac:dyDescent="0.25">
      <c r="A3191" t="s">
        <v>26</v>
      </c>
      <c r="B3191" t="s">
        <v>27</v>
      </c>
      <c r="C3191" t="s">
        <v>36</v>
      </c>
      <c r="D3191">
        <v>45</v>
      </c>
      <c r="E3191" s="5">
        <v>43636</v>
      </c>
      <c r="F3191">
        <v>51401001</v>
      </c>
      <c r="G3191" t="s">
        <v>1052</v>
      </c>
      <c r="H3191" t="s">
        <v>1165</v>
      </c>
      <c r="I3191" t="s">
        <v>1166</v>
      </c>
      <c r="J3191">
        <v>1001</v>
      </c>
      <c r="K3191">
        <v>5016</v>
      </c>
      <c r="L3191" s="3">
        <v>1774100</v>
      </c>
      <c r="M3191" s="3">
        <v>50420</v>
      </c>
      <c r="N3191">
        <v>0</v>
      </c>
      <c r="O3191">
        <v>0</v>
      </c>
      <c r="P3191">
        <v>1824520</v>
      </c>
      <c r="Q3191" t="s">
        <v>30</v>
      </c>
      <c r="R3191" t="s">
        <v>148</v>
      </c>
      <c r="S3191" t="str">
        <v>#N/A</v>
      </c>
      <c r="T3191" t="str">
        <v>31</v>
      </c>
    </row>
    <row r="3192" spans="1:20" ht="13.7" customHeight="1" x14ac:dyDescent="0.25">
      <c r="E3192" s="5">
        <v>43465</v>
      </c>
      <c r="F3192">
        <v>51550501</v>
      </c>
      <c r="G3192" t="s">
        <v>1054</v>
      </c>
      <c r="H3192" t="s">
        <v>1665</v>
      </c>
      <c r="I3192" t="s">
        <v>1666</v>
      </c>
      <c r="J3192">
        <v>0</v>
      </c>
      <c r="K3192">
        <v>0</v>
      </c>
      <c r="L3192" s="3">
        <v>0</v>
      </c>
      <c r="M3192" s="3">
        <v>0</v>
      </c>
      <c r="N3192">
        <v>0</v>
      </c>
      <c r="O3192">
        <v>0</v>
      </c>
      <c r="P3192">
        <v>0</v>
      </c>
      <c r="R3192" t="s">
        <v>1100</v>
      </c>
      <c r="S3192" t="str">
        <v>#N/A</v>
      </c>
      <c r="T3192" t="str">
        <v>#N/A</v>
      </c>
    </row>
    <row r="3193" spans="1:20" ht="13.7" customHeight="1" x14ac:dyDescent="0.25">
      <c r="A3193" t="s">
        <v>26</v>
      </c>
      <c r="B3193" t="s">
        <v>27</v>
      </c>
      <c r="C3193" t="s">
        <v>180</v>
      </c>
      <c r="D3193">
        <v>71</v>
      </c>
      <c r="E3193" s="5">
        <v>43825</v>
      </c>
      <c r="F3193">
        <v>51550501</v>
      </c>
      <c r="G3193" t="s">
        <v>1054</v>
      </c>
      <c r="H3193" t="s">
        <v>1665</v>
      </c>
      <c r="I3193" t="s">
        <v>1666</v>
      </c>
      <c r="J3193">
        <v>1001</v>
      </c>
      <c r="K3193">
        <v>5016</v>
      </c>
      <c r="L3193" s="3">
        <v>0</v>
      </c>
      <c r="M3193" s="3">
        <v>70000</v>
      </c>
      <c r="N3193">
        <v>0</v>
      </c>
      <c r="O3193">
        <v>0</v>
      </c>
      <c r="P3193">
        <v>70000</v>
      </c>
      <c r="Q3193" t="s">
        <v>30</v>
      </c>
      <c r="R3193" t="s">
        <v>192</v>
      </c>
      <c r="S3193" t="str">
        <v>#N/A</v>
      </c>
      <c r="T3193" t="str">
        <v>#N/A</v>
      </c>
    </row>
    <row r="3194" spans="1:20" ht="13.7" customHeight="1" x14ac:dyDescent="0.25">
      <c r="E3194" s="5">
        <v>43465</v>
      </c>
      <c r="F3194">
        <v>51550501</v>
      </c>
      <c r="G3194" t="s">
        <v>1054</v>
      </c>
      <c r="H3194" t="s">
        <v>1276</v>
      </c>
      <c r="I3194" t="s">
        <v>1277</v>
      </c>
      <c r="J3194">
        <v>0</v>
      </c>
      <c r="K3194">
        <v>0</v>
      </c>
      <c r="L3194" s="3">
        <v>0</v>
      </c>
      <c r="M3194" s="3">
        <v>0</v>
      </c>
      <c r="N3194">
        <v>0</v>
      </c>
      <c r="O3194">
        <v>0</v>
      </c>
      <c r="P3194">
        <v>0</v>
      </c>
      <c r="R3194" t="s">
        <v>1100</v>
      </c>
      <c r="S3194" t="str">
        <v>#N/A</v>
      </c>
      <c r="T3194" t="str">
        <v>#N/A</v>
      </c>
    </row>
    <row r="3195" spans="1:20" ht="13.7" customHeight="1" x14ac:dyDescent="0.25">
      <c r="A3195" t="s">
        <v>26</v>
      </c>
      <c r="B3195" t="s">
        <v>27</v>
      </c>
      <c r="C3195" t="s">
        <v>28</v>
      </c>
      <c r="D3195">
        <v>11</v>
      </c>
      <c r="E3195" s="5">
        <v>43471</v>
      </c>
      <c r="F3195">
        <v>51550501</v>
      </c>
      <c r="G3195" t="s">
        <v>1054</v>
      </c>
      <c r="H3195" t="s">
        <v>1276</v>
      </c>
      <c r="I3195" t="s">
        <v>1277</v>
      </c>
      <c r="J3195">
        <v>1001</v>
      </c>
      <c r="K3195">
        <v>5016</v>
      </c>
      <c r="L3195" s="3">
        <v>0</v>
      </c>
      <c r="M3195" s="3">
        <v>360000</v>
      </c>
      <c r="N3195">
        <v>0</v>
      </c>
      <c r="O3195">
        <v>0</v>
      </c>
      <c r="P3195">
        <v>360000</v>
      </c>
      <c r="Q3195" t="s">
        <v>30</v>
      </c>
      <c r="R3195" t="s">
        <v>531</v>
      </c>
      <c r="S3195" t="str">
        <v>#N/A</v>
      </c>
      <c r="T3195" t="str">
        <v>#N/A</v>
      </c>
    </row>
    <row r="3196" spans="1:20" ht="13.7" customHeight="1" x14ac:dyDescent="0.25">
      <c r="E3196" s="5">
        <v>43465</v>
      </c>
      <c r="F3196">
        <v>51559501</v>
      </c>
      <c r="G3196" t="s">
        <v>1055</v>
      </c>
      <c r="H3196" t="s">
        <v>1667</v>
      </c>
      <c r="I3196" t="s">
        <v>1668</v>
      </c>
      <c r="J3196">
        <v>0</v>
      </c>
      <c r="K3196">
        <v>0</v>
      </c>
      <c r="L3196" s="3">
        <v>0</v>
      </c>
      <c r="M3196" s="3">
        <v>0</v>
      </c>
      <c r="N3196">
        <v>0</v>
      </c>
      <c r="O3196">
        <v>0</v>
      </c>
      <c r="P3196">
        <v>0</v>
      </c>
      <c r="R3196" t="s">
        <v>1100</v>
      </c>
      <c r="S3196" t="str">
        <v>#N/A</v>
      </c>
      <c r="T3196" t="str">
        <v>#N/A</v>
      </c>
    </row>
    <row r="3197" spans="1:20" ht="13.7" customHeight="1" x14ac:dyDescent="0.25">
      <c r="A3197" t="s">
        <v>26</v>
      </c>
      <c r="B3197" t="s">
        <v>27</v>
      </c>
      <c r="C3197" t="s">
        <v>180</v>
      </c>
      <c r="D3197">
        <v>65</v>
      </c>
      <c r="E3197" s="5">
        <v>43825</v>
      </c>
      <c r="F3197">
        <v>51559501</v>
      </c>
      <c r="G3197" t="s">
        <v>1055</v>
      </c>
      <c r="H3197" t="s">
        <v>1667</v>
      </c>
      <c r="I3197" t="s">
        <v>1668</v>
      </c>
      <c r="J3197">
        <v>1001</v>
      </c>
      <c r="K3197">
        <v>5016</v>
      </c>
      <c r="L3197" s="3">
        <v>0</v>
      </c>
      <c r="M3197" s="3">
        <v>9000</v>
      </c>
      <c r="N3197">
        <v>0</v>
      </c>
      <c r="O3197">
        <v>0</v>
      </c>
      <c r="P3197">
        <v>9000</v>
      </c>
      <c r="Q3197" t="s">
        <v>30</v>
      </c>
      <c r="R3197" t="s">
        <v>191</v>
      </c>
      <c r="S3197" t="str">
        <v>#N/A</v>
      </c>
      <c r="T3197" t="str">
        <v>#N/A</v>
      </c>
    </row>
    <row r="3198" spans="1:20" ht="13.7" customHeight="1" x14ac:dyDescent="0.25">
      <c r="A3198" t="s">
        <v>26</v>
      </c>
      <c r="B3198" t="s">
        <v>27</v>
      </c>
      <c r="C3198" t="s">
        <v>180</v>
      </c>
      <c r="D3198">
        <v>68</v>
      </c>
      <c r="E3198" s="5">
        <v>43825</v>
      </c>
      <c r="F3198">
        <v>51559501</v>
      </c>
      <c r="G3198" t="s">
        <v>1055</v>
      </c>
      <c r="H3198" t="s">
        <v>1667</v>
      </c>
      <c r="I3198" t="s">
        <v>1668</v>
      </c>
      <c r="J3198">
        <v>1001</v>
      </c>
      <c r="K3198">
        <v>5016</v>
      </c>
      <c r="L3198" s="3">
        <v>9000</v>
      </c>
      <c r="M3198" s="3">
        <v>9000</v>
      </c>
      <c r="N3198">
        <v>0</v>
      </c>
      <c r="O3198">
        <v>0</v>
      </c>
      <c r="P3198">
        <v>18000</v>
      </c>
      <c r="Q3198" t="s">
        <v>30</v>
      </c>
      <c r="R3198" t="s">
        <v>191</v>
      </c>
      <c r="S3198" t="str">
        <v>#N/A</v>
      </c>
      <c r="T3198" t="str">
        <v>#N/A</v>
      </c>
    </row>
    <row r="3199" spans="1:20" ht="13.7" customHeight="1" x14ac:dyDescent="0.25">
      <c r="E3199" s="5">
        <v>43465</v>
      </c>
      <c r="F3199">
        <v>51559501</v>
      </c>
      <c r="G3199" t="s">
        <v>1055</v>
      </c>
      <c r="H3199" t="s">
        <v>1669</v>
      </c>
      <c r="I3199" t="s">
        <v>1670</v>
      </c>
      <c r="J3199">
        <v>0</v>
      </c>
      <c r="K3199">
        <v>0</v>
      </c>
      <c r="L3199" s="3">
        <v>0</v>
      </c>
      <c r="M3199" s="3">
        <v>0</v>
      </c>
      <c r="N3199">
        <v>0</v>
      </c>
      <c r="O3199">
        <v>0</v>
      </c>
      <c r="P3199">
        <v>0</v>
      </c>
      <c r="R3199" t="s">
        <v>1100</v>
      </c>
      <c r="S3199" t="str">
        <v>#N/A</v>
      </c>
      <c r="T3199" t="str">
        <v>#N/A</v>
      </c>
    </row>
    <row r="3200" spans="1:20" ht="13.7" customHeight="1" x14ac:dyDescent="0.25">
      <c r="A3200" t="s">
        <v>26</v>
      </c>
      <c r="B3200" t="s">
        <v>27</v>
      </c>
      <c r="C3200" t="s">
        <v>180</v>
      </c>
      <c r="D3200">
        <v>66</v>
      </c>
      <c r="E3200" s="5">
        <v>43825</v>
      </c>
      <c r="F3200">
        <v>51559501</v>
      </c>
      <c r="G3200" t="s">
        <v>1055</v>
      </c>
      <c r="H3200" t="s">
        <v>1669</v>
      </c>
      <c r="I3200" t="s">
        <v>1670</v>
      </c>
      <c r="J3200">
        <v>1001</v>
      </c>
      <c r="K3200">
        <v>5016</v>
      </c>
      <c r="L3200" s="3">
        <v>0</v>
      </c>
      <c r="M3200" s="3">
        <v>6700</v>
      </c>
      <c r="N3200">
        <v>0</v>
      </c>
      <c r="O3200">
        <v>0</v>
      </c>
      <c r="P3200">
        <v>6700</v>
      </c>
      <c r="Q3200" t="s">
        <v>30</v>
      </c>
      <c r="R3200" t="s">
        <v>191</v>
      </c>
      <c r="S3200" t="str">
        <v>#N/A</v>
      </c>
      <c r="T3200" t="str">
        <v>#N/A</v>
      </c>
    </row>
    <row r="3201" spans="1:20" ht="13.7" customHeight="1" x14ac:dyDescent="0.25">
      <c r="A3201" t="s">
        <v>26</v>
      </c>
      <c r="B3201" t="s">
        <v>27</v>
      </c>
      <c r="C3201" t="s">
        <v>180</v>
      </c>
      <c r="D3201">
        <v>67</v>
      </c>
      <c r="E3201" s="5">
        <v>43825</v>
      </c>
      <c r="F3201">
        <v>51559501</v>
      </c>
      <c r="G3201" t="s">
        <v>1055</v>
      </c>
      <c r="H3201" t="s">
        <v>1669</v>
      </c>
      <c r="I3201" t="s">
        <v>1670</v>
      </c>
      <c r="J3201">
        <v>1001</v>
      </c>
      <c r="K3201">
        <v>5016</v>
      </c>
      <c r="L3201" s="3">
        <v>6700</v>
      </c>
      <c r="M3201" s="3">
        <v>8600</v>
      </c>
      <c r="N3201">
        <v>0</v>
      </c>
      <c r="O3201">
        <v>0</v>
      </c>
      <c r="P3201">
        <v>15300</v>
      </c>
      <c r="Q3201" t="s">
        <v>30</v>
      </c>
      <c r="R3201" t="s">
        <v>191</v>
      </c>
      <c r="S3201" t="str">
        <v>#N/A</v>
      </c>
      <c r="T3201" t="str">
        <v>#N/A</v>
      </c>
    </row>
    <row r="3202" spans="1:20" ht="13.7" customHeight="1" x14ac:dyDescent="0.25">
      <c r="E3202" s="5">
        <v>43465</v>
      </c>
      <c r="F3202">
        <v>51559501</v>
      </c>
      <c r="G3202" t="s">
        <v>1055</v>
      </c>
      <c r="H3202" t="s">
        <v>1284</v>
      </c>
      <c r="I3202" t="s">
        <v>1285</v>
      </c>
      <c r="J3202">
        <v>0</v>
      </c>
      <c r="K3202">
        <v>0</v>
      </c>
      <c r="L3202" s="3">
        <v>0</v>
      </c>
      <c r="M3202" s="3">
        <v>0</v>
      </c>
      <c r="N3202">
        <v>0</v>
      </c>
      <c r="O3202">
        <v>0</v>
      </c>
      <c r="P3202">
        <v>0</v>
      </c>
      <c r="R3202" t="s">
        <v>1100</v>
      </c>
      <c r="S3202" t="str">
        <v>#N/A</v>
      </c>
      <c r="T3202" t="str">
        <v>#N/A</v>
      </c>
    </row>
    <row r="3203" spans="1:20" ht="13.7" customHeight="1" x14ac:dyDescent="0.25">
      <c r="A3203" t="s">
        <v>26</v>
      </c>
      <c r="B3203" t="s">
        <v>27</v>
      </c>
      <c r="C3203" t="s">
        <v>28</v>
      </c>
      <c r="D3203">
        <v>8</v>
      </c>
      <c r="E3203" s="5">
        <v>43469</v>
      </c>
      <c r="F3203">
        <v>51559501</v>
      </c>
      <c r="G3203" t="s">
        <v>1055</v>
      </c>
      <c r="H3203" t="s">
        <v>1284</v>
      </c>
      <c r="I3203" t="s">
        <v>1285</v>
      </c>
      <c r="J3203">
        <v>1001</v>
      </c>
      <c r="K3203">
        <v>5016</v>
      </c>
      <c r="L3203" s="3">
        <v>0</v>
      </c>
      <c r="M3203" s="3">
        <v>8200</v>
      </c>
      <c r="N3203">
        <v>0</v>
      </c>
      <c r="O3203">
        <v>0</v>
      </c>
      <c r="P3203">
        <v>8200</v>
      </c>
      <c r="Q3203" t="s">
        <v>30</v>
      </c>
      <c r="R3203" t="s">
        <v>191</v>
      </c>
      <c r="S3203" t="str">
        <v>#N/A</v>
      </c>
      <c r="T3203" t="str">
        <v>#N/A</v>
      </c>
    </row>
    <row r="3204" spans="1:20" ht="13.7" customHeight="1" x14ac:dyDescent="0.25">
      <c r="A3204" t="s">
        <v>26</v>
      </c>
      <c r="B3204" t="s">
        <v>27</v>
      </c>
      <c r="C3204" t="s">
        <v>28</v>
      </c>
      <c r="D3204">
        <v>13</v>
      </c>
      <c r="E3204" s="5">
        <v>43472</v>
      </c>
      <c r="F3204">
        <v>51559501</v>
      </c>
      <c r="G3204" t="s">
        <v>1055</v>
      </c>
      <c r="H3204" t="s">
        <v>1284</v>
      </c>
      <c r="I3204" t="s">
        <v>1285</v>
      </c>
      <c r="J3204">
        <v>1001</v>
      </c>
      <c r="K3204">
        <v>5016</v>
      </c>
      <c r="L3204" s="3">
        <v>8200</v>
      </c>
      <c r="M3204" s="3">
        <v>8200</v>
      </c>
      <c r="N3204">
        <v>0</v>
      </c>
      <c r="O3204">
        <v>0</v>
      </c>
      <c r="P3204">
        <v>16400</v>
      </c>
      <c r="Q3204" t="s">
        <v>30</v>
      </c>
      <c r="R3204" t="s">
        <v>191</v>
      </c>
      <c r="S3204" t="str">
        <v>#N/A</v>
      </c>
      <c r="T3204" t="str">
        <v>#N/A</v>
      </c>
    </row>
    <row r="3205" spans="1:20" ht="13.7" customHeight="1" x14ac:dyDescent="0.25">
      <c r="A3205" t="s">
        <v>26</v>
      </c>
      <c r="B3205" t="s">
        <v>27</v>
      </c>
      <c r="C3205" t="s">
        <v>180</v>
      </c>
      <c r="D3205">
        <v>69</v>
      </c>
      <c r="E3205" s="5">
        <v>43825</v>
      </c>
      <c r="F3205">
        <v>51559501</v>
      </c>
      <c r="G3205" t="s">
        <v>1055</v>
      </c>
      <c r="H3205" t="s">
        <v>1284</v>
      </c>
      <c r="I3205" t="s">
        <v>1285</v>
      </c>
      <c r="J3205">
        <v>1001</v>
      </c>
      <c r="K3205">
        <v>5016</v>
      </c>
      <c r="L3205" s="3">
        <v>16400</v>
      </c>
      <c r="M3205" s="3">
        <v>8500</v>
      </c>
      <c r="N3205">
        <v>0</v>
      </c>
      <c r="O3205">
        <v>0</v>
      </c>
      <c r="P3205">
        <v>24900</v>
      </c>
      <c r="Q3205" t="s">
        <v>30</v>
      </c>
      <c r="R3205" t="s">
        <v>191</v>
      </c>
      <c r="S3205" t="str">
        <v>#N/A</v>
      </c>
      <c r="T3205" t="str">
        <v>#N/A</v>
      </c>
    </row>
    <row r="3206" spans="1:20" ht="13.7" customHeight="1" x14ac:dyDescent="0.25">
      <c r="E3206" s="5">
        <v>43465</v>
      </c>
      <c r="F3206">
        <v>51559501</v>
      </c>
      <c r="G3206" t="s">
        <v>1055</v>
      </c>
      <c r="H3206" t="s">
        <v>1671</v>
      </c>
      <c r="I3206" t="s">
        <v>1672</v>
      </c>
      <c r="J3206">
        <v>0</v>
      </c>
      <c r="K3206">
        <v>0</v>
      </c>
      <c r="L3206" s="3">
        <v>0</v>
      </c>
      <c r="M3206" s="3">
        <v>0</v>
      </c>
      <c r="N3206">
        <v>0</v>
      </c>
      <c r="O3206">
        <v>0</v>
      </c>
      <c r="P3206">
        <v>0</v>
      </c>
      <c r="R3206" t="s">
        <v>1100</v>
      </c>
      <c r="S3206" t="str">
        <v>#N/A</v>
      </c>
      <c r="T3206" t="str">
        <v>#N/A</v>
      </c>
    </row>
    <row r="3207" spans="1:20" ht="13.7" customHeight="1" x14ac:dyDescent="0.25">
      <c r="A3207" t="s">
        <v>26</v>
      </c>
      <c r="B3207" t="s">
        <v>27</v>
      </c>
      <c r="C3207" t="s">
        <v>180</v>
      </c>
      <c r="D3207">
        <v>85</v>
      </c>
      <c r="E3207" s="5">
        <v>43829</v>
      </c>
      <c r="F3207">
        <v>51559501</v>
      </c>
      <c r="G3207" t="s">
        <v>1055</v>
      </c>
      <c r="H3207" t="s">
        <v>1671</v>
      </c>
      <c r="I3207" t="s">
        <v>1672</v>
      </c>
      <c r="J3207">
        <v>1001</v>
      </c>
      <c r="K3207">
        <v>5016</v>
      </c>
      <c r="L3207" s="3">
        <v>0</v>
      </c>
      <c r="M3207" s="3">
        <v>9600</v>
      </c>
      <c r="N3207">
        <v>0</v>
      </c>
      <c r="O3207">
        <v>0</v>
      </c>
      <c r="P3207">
        <v>9600</v>
      </c>
      <c r="Q3207" t="s">
        <v>30</v>
      </c>
      <c r="R3207" t="s">
        <v>191</v>
      </c>
      <c r="S3207" t="str">
        <v>#N/A</v>
      </c>
      <c r="T3207" t="str">
        <v>#N/A</v>
      </c>
    </row>
    <row r="3208" spans="1:20" ht="13.7" customHeight="1" x14ac:dyDescent="0.25">
      <c r="A3208" t="s">
        <v>26</v>
      </c>
      <c r="B3208" t="s">
        <v>27</v>
      </c>
      <c r="C3208" t="s">
        <v>180</v>
      </c>
      <c r="D3208">
        <v>86</v>
      </c>
      <c r="E3208" s="5">
        <v>43829</v>
      </c>
      <c r="F3208">
        <v>51559501</v>
      </c>
      <c r="G3208" t="s">
        <v>1055</v>
      </c>
      <c r="H3208" t="s">
        <v>1671</v>
      </c>
      <c r="I3208" t="s">
        <v>1672</v>
      </c>
      <c r="J3208">
        <v>1001</v>
      </c>
      <c r="K3208">
        <v>5016</v>
      </c>
      <c r="L3208" s="3">
        <v>9600</v>
      </c>
      <c r="M3208" s="3">
        <v>9600</v>
      </c>
      <c r="N3208">
        <v>0</v>
      </c>
      <c r="O3208">
        <v>0</v>
      </c>
      <c r="P3208">
        <v>19200</v>
      </c>
      <c r="Q3208" t="s">
        <v>30</v>
      </c>
      <c r="R3208" t="s">
        <v>191</v>
      </c>
      <c r="S3208" t="str">
        <v>#N/A</v>
      </c>
      <c r="T3208" t="str">
        <v>#N/A</v>
      </c>
    </row>
    <row r="3209" spans="1:20" ht="13.7" customHeight="1" x14ac:dyDescent="0.25">
      <c r="E3209" s="5">
        <v>43465</v>
      </c>
      <c r="F3209">
        <v>51559501</v>
      </c>
      <c r="G3209" t="s">
        <v>1055</v>
      </c>
      <c r="H3209" t="s">
        <v>1673</v>
      </c>
      <c r="I3209" t="s">
        <v>1674</v>
      </c>
      <c r="J3209">
        <v>0</v>
      </c>
      <c r="K3209">
        <v>0</v>
      </c>
      <c r="L3209" s="3">
        <v>0</v>
      </c>
      <c r="M3209" s="3">
        <v>0</v>
      </c>
      <c r="N3209">
        <v>0</v>
      </c>
      <c r="O3209">
        <v>0</v>
      </c>
      <c r="P3209">
        <v>0</v>
      </c>
      <c r="R3209" t="s">
        <v>1100</v>
      </c>
      <c r="S3209" t="str">
        <v>#N/A</v>
      </c>
      <c r="T3209" t="str">
        <v>#N/A</v>
      </c>
    </row>
    <row r="3210" spans="1:20" ht="13.7" customHeight="1" x14ac:dyDescent="0.25">
      <c r="A3210" t="s">
        <v>26</v>
      </c>
      <c r="B3210" t="s">
        <v>27</v>
      </c>
      <c r="C3210" t="s">
        <v>180</v>
      </c>
      <c r="D3210">
        <v>70</v>
      </c>
      <c r="E3210" s="5">
        <v>43825</v>
      </c>
      <c r="F3210">
        <v>51559501</v>
      </c>
      <c r="G3210" t="s">
        <v>1055</v>
      </c>
      <c r="H3210" t="s">
        <v>1673</v>
      </c>
      <c r="I3210" t="s">
        <v>1674</v>
      </c>
      <c r="J3210">
        <v>1001</v>
      </c>
      <c r="K3210">
        <v>5016</v>
      </c>
      <c r="L3210" s="3">
        <v>0</v>
      </c>
      <c r="M3210" s="3">
        <v>10700</v>
      </c>
      <c r="N3210">
        <v>0</v>
      </c>
      <c r="O3210">
        <v>0</v>
      </c>
      <c r="P3210">
        <v>10700</v>
      </c>
      <c r="Q3210" t="s">
        <v>30</v>
      </c>
      <c r="R3210" t="s">
        <v>191</v>
      </c>
      <c r="S3210" t="str">
        <v>#N/A</v>
      </c>
      <c r="T3210" t="str">
        <v>#N/A</v>
      </c>
    </row>
    <row r="3211" spans="1:20" ht="13.7" customHeight="1" x14ac:dyDescent="0.25">
      <c r="A3211" t="s">
        <v>26</v>
      </c>
      <c r="B3211" t="s">
        <v>27</v>
      </c>
      <c r="C3211" t="s">
        <v>180</v>
      </c>
      <c r="D3211">
        <v>75</v>
      </c>
      <c r="E3211" s="5">
        <v>43826</v>
      </c>
      <c r="F3211">
        <v>51559501</v>
      </c>
      <c r="G3211" t="s">
        <v>1055</v>
      </c>
      <c r="H3211" t="s">
        <v>1673</v>
      </c>
      <c r="I3211" t="s">
        <v>1674</v>
      </c>
      <c r="J3211">
        <v>1001</v>
      </c>
      <c r="K3211">
        <v>5016</v>
      </c>
      <c r="L3211" s="3">
        <v>10700</v>
      </c>
      <c r="M3211" s="3">
        <v>10700</v>
      </c>
      <c r="N3211">
        <v>0</v>
      </c>
      <c r="O3211">
        <v>0</v>
      </c>
      <c r="P3211">
        <v>21400</v>
      </c>
      <c r="Q3211" t="s">
        <v>30</v>
      </c>
      <c r="R3211" t="s">
        <v>191</v>
      </c>
      <c r="S3211" t="str">
        <v>#N/A</v>
      </c>
      <c r="T3211" t="str">
        <v>#N/A</v>
      </c>
    </row>
    <row r="3212" spans="1:20" ht="13.7" customHeight="1" x14ac:dyDescent="0.25">
      <c r="E3212" s="5">
        <v>43465</v>
      </c>
      <c r="F3212">
        <v>51559501</v>
      </c>
      <c r="G3212" t="s">
        <v>1055</v>
      </c>
      <c r="H3212" t="s">
        <v>1675</v>
      </c>
      <c r="I3212" t="s">
        <v>1676</v>
      </c>
      <c r="J3212">
        <v>0</v>
      </c>
      <c r="K3212">
        <v>0</v>
      </c>
      <c r="L3212" s="3">
        <v>0</v>
      </c>
      <c r="M3212" s="3">
        <v>0</v>
      </c>
      <c r="N3212">
        <v>0</v>
      </c>
      <c r="O3212">
        <v>0</v>
      </c>
      <c r="P3212">
        <v>0</v>
      </c>
      <c r="R3212" t="s">
        <v>1100</v>
      </c>
      <c r="S3212" t="str">
        <v>#N/A</v>
      </c>
      <c r="T3212" t="str">
        <v>#N/A</v>
      </c>
    </row>
    <row r="3213" spans="1:20" ht="13.7" customHeight="1" x14ac:dyDescent="0.25">
      <c r="A3213" t="s">
        <v>26</v>
      </c>
      <c r="B3213" t="s">
        <v>27</v>
      </c>
      <c r="C3213" t="s">
        <v>180</v>
      </c>
      <c r="D3213">
        <v>72</v>
      </c>
      <c r="E3213" s="5">
        <v>43826</v>
      </c>
      <c r="F3213">
        <v>51559501</v>
      </c>
      <c r="G3213" t="s">
        <v>1055</v>
      </c>
      <c r="H3213" t="s">
        <v>1675</v>
      </c>
      <c r="I3213" t="s">
        <v>1676</v>
      </c>
      <c r="J3213">
        <v>1001</v>
      </c>
      <c r="K3213">
        <v>5016</v>
      </c>
      <c r="L3213" s="3">
        <v>0</v>
      </c>
      <c r="M3213" s="3">
        <v>9400</v>
      </c>
      <c r="N3213">
        <v>0</v>
      </c>
      <c r="O3213">
        <v>0</v>
      </c>
      <c r="P3213">
        <v>9400</v>
      </c>
      <c r="Q3213" t="s">
        <v>30</v>
      </c>
      <c r="R3213" t="s">
        <v>191</v>
      </c>
      <c r="S3213" t="str">
        <v>#N/A</v>
      </c>
      <c r="T3213" t="str">
        <v>#N/A</v>
      </c>
    </row>
    <row r="3214" spans="1:20" ht="13.7" customHeight="1" x14ac:dyDescent="0.25">
      <c r="A3214" t="s">
        <v>26</v>
      </c>
      <c r="B3214" t="s">
        <v>27</v>
      </c>
      <c r="C3214" t="s">
        <v>180</v>
      </c>
      <c r="D3214">
        <v>74</v>
      </c>
      <c r="E3214" s="5">
        <v>43826</v>
      </c>
      <c r="F3214">
        <v>51559501</v>
      </c>
      <c r="G3214" t="s">
        <v>1055</v>
      </c>
      <c r="H3214" t="s">
        <v>1675</v>
      </c>
      <c r="I3214" t="s">
        <v>1676</v>
      </c>
      <c r="J3214">
        <v>1001</v>
      </c>
      <c r="K3214">
        <v>5016</v>
      </c>
      <c r="L3214" s="3">
        <v>9400</v>
      </c>
      <c r="M3214" s="3">
        <v>10500</v>
      </c>
      <c r="N3214">
        <v>0</v>
      </c>
      <c r="O3214">
        <v>0</v>
      </c>
      <c r="P3214">
        <v>19900</v>
      </c>
      <c r="Q3214" t="s">
        <v>30</v>
      </c>
      <c r="R3214" t="s">
        <v>191</v>
      </c>
      <c r="S3214" t="str">
        <v>#N/A</v>
      </c>
      <c r="T3214" t="str">
        <v>#N/A</v>
      </c>
    </row>
    <row r="3215" spans="1:20" ht="13.7" customHeight="1" x14ac:dyDescent="0.25">
      <c r="A3215" t="s">
        <v>26</v>
      </c>
      <c r="B3215" t="s">
        <v>27</v>
      </c>
      <c r="C3215" t="s">
        <v>180</v>
      </c>
      <c r="D3215">
        <v>82</v>
      </c>
      <c r="E3215" s="5">
        <v>43827</v>
      </c>
      <c r="F3215">
        <v>51559501</v>
      </c>
      <c r="G3215" t="s">
        <v>1055</v>
      </c>
      <c r="H3215" t="s">
        <v>1675</v>
      </c>
      <c r="I3215" t="s">
        <v>1676</v>
      </c>
      <c r="J3215">
        <v>1001</v>
      </c>
      <c r="K3215">
        <v>5016</v>
      </c>
      <c r="L3215" s="3">
        <v>19900</v>
      </c>
      <c r="M3215" s="3">
        <v>9400</v>
      </c>
      <c r="N3215">
        <v>0</v>
      </c>
      <c r="O3215">
        <v>0</v>
      </c>
      <c r="P3215">
        <v>29300</v>
      </c>
      <c r="Q3215" t="s">
        <v>30</v>
      </c>
      <c r="R3215" t="s">
        <v>191</v>
      </c>
      <c r="S3215" t="str">
        <v>#N/A</v>
      </c>
      <c r="T3215" t="str">
        <v>#N/A</v>
      </c>
    </row>
    <row r="3216" spans="1:20" ht="13.7" customHeight="1" x14ac:dyDescent="0.25">
      <c r="E3216" s="5">
        <v>43465</v>
      </c>
      <c r="F3216">
        <v>51559501</v>
      </c>
      <c r="G3216" t="s">
        <v>1055</v>
      </c>
      <c r="H3216" t="s">
        <v>1677</v>
      </c>
      <c r="I3216" t="s">
        <v>1678</v>
      </c>
      <c r="J3216">
        <v>0</v>
      </c>
      <c r="K3216">
        <v>0</v>
      </c>
      <c r="L3216" s="3">
        <v>0</v>
      </c>
      <c r="M3216" s="3">
        <v>0</v>
      </c>
      <c r="N3216">
        <v>0</v>
      </c>
      <c r="O3216">
        <v>0</v>
      </c>
      <c r="P3216">
        <v>0</v>
      </c>
      <c r="R3216" t="s">
        <v>1100</v>
      </c>
      <c r="S3216" t="str">
        <v>#N/A</v>
      </c>
      <c r="T3216" t="str">
        <v>#N/A</v>
      </c>
    </row>
    <row r="3217" spans="1:20" ht="13.7" customHeight="1" x14ac:dyDescent="0.25">
      <c r="A3217" t="s">
        <v>26</v>
      </c>
      <c r="B3217" t="s">
        <v>27</v>
      </c>
      <c r="C3217" t="s">
        <v>180</v>
      </c>
      <c r="D3217">
        <v>64</v>
      </c>
      <c r="E3217" s="5">
        <v>43825</v>
      </c>
      <c r="F3217">
        <v>51559501</v>
      </c>
      <c r="G3217" t="s">
        <v>1055</v>
      </c>
      <c r="H3217" t="s">
        <v>1677</v>
      </c>
      <c r="I3217" t="s">
        <v>1678</v>
      </c>
      <c r="J3217">
        <v>1001</v>
      </c>
      <c r="K3217">
        <v>5016</v>
      </c>
      <c r="L3217" s="3">
        <v>0</v>
      </c>
      <c r="M3217" s="3">
        <v>10400</v>
      </c>
      <c r="N3217">
        <v>0</v>
      </c>
      <c r="O3217">
        <v>0</v>
      </c>
      <c r="P3217">
        <v>10400</v>
      </c>
      <c r="Q3217" t="s">
        <v>30</v>
      </c>
      <c r="R3217" t="s">
        <v>191</v>
      </c>
      <c r="S3217" t="str">
        <v>#N/A</v>
      </c>
      <c r="T3217" t="str">
        <v>#N/A</v>
      </c>
    </row>
    <row r="3218" spans="1:20" ht="13.7" customHeight="1" x14ac:dyDescent="0.25">
      <c r="E3218" s="5">
        <v>43465</v>
      </c>
      <c r="F3218">
        <v>51559501</v>
      </c>
      <c r="G3218" t="s">
        <v>1055</v>
      </c>
      <c r="H3218" t="s">
        <v>1278</v>
      </c>
      <c r="I3218" t="s">
        <v>1279</v>
      </c>
      <c r="J3218">
        <v>0</v>
      </c>
      <c r="K3218">
        <v>0</v>
      </c>
      <c r="L3218" s="3">
        <v>31200</v>
      </c>
      <c r="M3218" s="3">
        <v>0</v>
      </c>
      <c r="N3218">
        <v>0</v>
      </c>
      <c r="O3218">
        <v>0</v>
      </c>
      <c r="P3218">
        <v>31200</v>
      </c>
      <c r="R3218" t="s">
        <v>1100</v>
      </c>
      <c r="S3218" t="str">
        <v>#N/A</v>
      </c>
      <c r="T3218" t="str">
        <v>#N/A</v>
      </c>
    </row>
    <row r="3219" spans="1:20" ht="13.7" customHeight="1" x14ac:dyDescent="0.25">
      <c r="A3219" t="s">
        <v>26</v>
      </c>
      <c r="B3219" t="s">
        <v>27</v>
      </c>
      <c r="C3219" t="s">
        <v>28</v>
      </c>
      <c r="D3219">
        <v>5</v>
      </c>
      <c r="E3219" s="5">
        <v>43467</v>
      </c>
      <c r="F3219">
        <v>51559501</v>
      </c>
      <c r="G3219" t="s">
        <v>1055</v>
      </c>
      <c r="H3219" t="s">
        <v>1278</v>
      </c>
      <c r="I3219" t="s">
        <v>1279</v>
      </c>
      <c r="J3219">
        <v>1001</v>
      </c>
      <c r="K3219">
        <v>5016</v>
      </c>
      <c r="L3219" s="3">
        <v>31200</v>
      </c>
      <c r="M3219" s="3">
        <v>7800</v>
      </c>
      <c r="N3219">
        <v>0</v>
      </c>
      <c r="O3219">
        <v>0</v>
      </c>
      <c r="P3219">
        <v>39000</v>
      </c>
      <c r="Q3219" t="s">
        <v>30</v>
      </c>
      <c r="R3219" t="s">
        <v>191</v>
      </c>
      <c r="S3219" t="str">
        <v>#N/A</v>
      </c>
      <c r="T3219" t="str">
        <v>#N/A</v>
      </c>
    </row>
    <row r="3220" spans="1:20" ht="13.7" customHeight="1" x14ac:dyDescent="0.25">
      <c r="A3220" t="s">
        <v>26</v>
      </c>
      <c r="B3220" t="s">
        <v>27</v>
      </c>
      <c r="C3220" t="s">
        <v>28</v>
      </c>
      <c r="D3220">
        <v>6</v>
      </c>
      <c r="E3220" s="5">
        <v>43467</v>
      </c>
      <c r="F3220">
        <v>51559501</v>
      </c>
      <c r="G3220" t="s">
        <v>1055</v>
      </c>
      <c r="H3220" t="s">
        <v>1278</v>
      </c>
      <c r="I3220" t="s">
        <v>1279</v>
      </c>
      <c r="J3220">
        <v>1001</v>
      </c>
      <c r="K3220">
        <v>5016</v>
      </c>
      <c r="L3220" s="3">
        <v>39000</v>
      </c>
      <c r="M3220" s="3">
        <v>7800</v>
      </c>
      <c r="N3220">
        <v>0</v>
      </c>
      <c r="O3220">
        <v>0</v>
      </c>
      <c r="P3220">
        <v>46800</v>
      </c>
      <c r="Q3220" t="s">
        <v>30</v>
      </c>
      <c r="R3220" t="s">
        <v>191</v>
      </c>
      <c r="S3220" t="str">
        <v>#N/A</v>
      </c>
      <c r="T3220" t="str">
        <v>#N/A</v>
      </c>
    </row>
    <row r="3221" spans="1:20" ht="13.7" customHeight="1" x14ac:dyDescent="0.25">
      <c r="E3221" s="5">
        <v>43465</v>
      </c>
      <c r="F3221">
        <v>51559501</v>
      </c>
      <c r="G3221" t="s">
        <v>1055</v>
      </c>
      <c r="H3221" t="s">
        <v>1679</v>
      </c>
      <c r="I3221" t="s">
        <v>1680</v>
      </c>
      <c r="J3221">
        <v>0</v>
      </c>
      <c r="K3221">
        <v>0</v>
      </c>
      <c r="L3221" s="3">
        <v>0</v>
      </c>
      <c r="M3221" s="3">
        <v>0</v>
      </c>
      <c r="N3221">
        <v>0</v>
      </c>
      <c r="O3221">
        <v>0</v>
      </c>
      <c r="P3221">
        <v>0</v>
      </c>
      <c r="R3221" t="s">
        <v>1100</v>
      </c>
      <c r="S3221" t="str">
        <v>#N/A</v>
      </c>
      <c r="T3221" t="str">
        <v>#N/A</v>
      </c>
    </row>
    <row r="3222" spans="1:20" ht="13.7" customHeight="1" x14ac:dyDescent="0.25">
      <c r="A3222" t="s">
        <v>26</v>
      </c>
      <c r="B3222" t="s">
        <v>27</v>
      </c>
      <c r="C3222" t="s">
        <v>180</v>
      </c>
      <c r="D3222">
        <v>76</v>
      </c>
      <c r="E3222" s="5">
        <v>43826</v>
      </c>
      <c r="F3222">
        <v>51559501</v>
      </c>
      <c r="G3222" t="s">
        <v>1055</v>
      </c>
      <c r="H3222" t="s">
        <v>1679</v>
      </c>
      <c r="I3222" t="s">
        <v>1680</v>
      </c>
      <c r="J3222">
        <v>1001</v>
      </c>
      <c r="K3222">
        <v>5016</v>
      </c>
      <c r="L3222" s="3">
        <v>0</v>
      </c>
      <c r="M3222" s="3">
        <v>4800</v>
      </c>
      <c r="N3222">
        <v>0</v>
      </c>
      <c r="O3222">
        <v>0</v>
      </c>
      <c r="P3222">
        <v>4800</v>
      </c>
      <c r="Q3222" t="s">
        <v>30</v>
      </c>
      <c r="R3222" t="s">
        <v>191</v>
      </c>
      <c r="S3222" t="str">
        <v>#N/A</v>
      </c>
      <c r="T3222" t="str">
        <v>#N/A</v>
      </c>
    </row>
    <row r="3223" spans="1:20" ht="13.7" customHeight="1" x14ac:dyDescent="0.25">
      <c r="E3223" s="5">
        <v>43465</v>
      </c>
      <c r="F3223">
        <v>51559501</v>
      </c>
      <c r="G3223" t="s">
        <v>1055</v>
      </c>
      <c r="H3223" t="s">
        <v>1681</v>
      </c>
      <c r="I3223" t="s">
        <v>1682</v>
      </c>
      <c r="J3223">
        <v>0</v>
      </c>
      <c r="K3223">
        <v>0</v>
      </c>
      <c r="L3223" s="3">
        <v>8300</v>
      </c>
      <c r="M3223" s="3">
        <v>0</v>
      </c>
      <c r="N3223">
        <v>0</v>
      </c>
      <c r="O3223">
        <v>0</v>
      </c>
      <c r="P3223">
        <v>8300</v>
      </c>
      <c r="R3223" t="s">
        <v>1100</v>
      </c>
      <c r="S3223" t="str">
        <v>#N/A</v>
      </c>
      <c r="T3223" t="str">
        <v>#N/A</v>
      </c>
    </row>
    <row r="3224" spans="1:20" ht="13.7" customHeight="1" x14ac:dyDescent="0.25">
      <c r="E3224" s="5">
        <v>43465</v>
      </c>
      <c r="F3224">
        <v>51559501</v>
      </c>
      <c r="G3224" t="s">
        <v>1055</v>
      </c>
      <c r="H3224" t="s">
        <v>1683</v>
      </c>
      <c r="I3224" t="s">
        <v>1684</v>
      </c>
      <c r="J3224">
        <v>0</v>
      </c>
      <c r="K3224">
        <v>0</v>
      </c>
      <c r="L3224" s="3">
        <v>0</v>
      </c>
      <c r="M3224" s="3">
        <v>0</v>
      </c>
      <c r="N3224">
        <v>0</v>
      </c>
      <c r="O3224">
        <v>0</v>
      </c>
      <c r="P3224">
        <v>0</v>
      </c>
      <c r="R3224" t="s">
        <v>1100</v>
      </c>
      <c r="S3224" t="str">
        <v>#N/A</v>
      </c>
      <c r="T3224" t="str">
        <v>#N/A</v>
      </c>
    </row>
    <row r="3225" spans="1:20" ht="13.7" customHeight="1" x14ac:dyDescent="0.25">
      <c r="A3225" t="s">
        <v>26</v>
      </c>
      <c r="B3225" t="s">
        <v>27</v>
      </c>
      <c r="C3225" t="s">
        <v>180</v>
      </c>
      <c r="D3225">
        <v>79</v>
      </c>
      <c r="E3225" s="5">
        <v>43827</v>
      </c>
      <c r="F3225">
        <v>51559501</v>
      </c>
      <c r="G3225" t="s">
        <v>1055</v>
      </c>
      <c r="H3225" t="s">
        <v>1683</v>
      </c>
      <c r="I3225" t="s">
        <v>1684</v>
      </c>
      <c r="J3225">
        <v>1001</v>
      </c>
      <c r="K3225">
        <v>5016</v>
      </c>
      <c r="L3225" s="3">
        <v>0</v>
      </c>
      <c r="M3225" s="3">
        <v>8500</v>
      </c>
      <c r="N3225">
        <v>0</v>
      </c>
      <c r="O3225">
        <v>0</v>
      </c>
      <c r="P3225">
        <v>8500</v>
      </c>
      <c r="Q3225" t="s">
        <v>30</v>
      </c>
      <c r="R3225" t="s">
        <v>191</v>
      </c>
      <c r="S3225" t="str">
        <v>#N/A</v>
      </c>
      <c r="T3225" t="str">
        <v>#N/A</v>
      </c>
    </row>
    <row r="3226" spans="1:20" ht="13.7" customHeight="1" x14ac:dyDescent="0.25">
      <c r="A3226" t="s">
        <v>26</v>
      </c>
      <c r="B3226" t="s">
        <v>27</v>
      </c>
      <c r="C3226" t="s">
        <v>180</v>
      </c>
      <c r="D3226">
        <v>80</v>
      </c>
      <c r="E3226" s="5">
        <v>43827</v>
      </c>
      <c r="F3226">
        <v>51559501</v>
      </c>
      <c r="G3226" t="s">
        <v>1055</v>
      </c>
      <c r="H3226" t="s">
        <v>1683</v>
      </c>
      <c r="I3226" t="s">
        <v>1684</v>
      </c>
      <c r="J3226">
        <v>1001</v>
      </c>
      <c r="K3226">
        <v>5016</v>
      </c>
      <c r="L3226" s="3">
        <v>8500</v>
      </c>
      <c r="M3226" s="3">
        <v>8100</v>
      </c>
      <c r="N3226">
        <v>0</v>
      </c>
      <c r="O3226">
        <v>0</v>
      </c>
      <c r="P3226">
        <v>16600</v>
      </c>
      <c r="Q3226" t="s">
        <v>30</v>
      </c>
      <c r="R3226" t="s">
        <v>191</v>
      </c>
      <c r="S3226" t="str">
        <v>#N/A</v>
      </c>
      <c r="T3226" t="str">
        <v>#N/A</v>
      </c>
    </row>
    <row r="3227" spans="1:20" ht="13.7" customHeight="1" x14ac:dyDescent="0.25">
      <c r="A3227" t="s">
        <v>26</v>
      </c>
      <c r="B3227" t="s">
        <v>27</v>
      </c>
      <c r="C3227" t="s">
        <v>180</v>
      </c>
      <c r="D3227">
        <v>81</v>
      </c>
      <c r="E3227" s="5">
        <v>43827</v>
      </c>
      <c r="F3227">
        <v>51559501</v>
      </c>
      <c r="G3227" t="s">
        <v>1055</v>
      </c>
      <c r="H3227" t="s">
        <v>1683</v>
      </c>
      <c r="I3227" t="s">
        <v>1684</v>
      </c>
      <c r="J3227">
        <v>1001</v>
      </c>
      <c r="K3227">
        <v>5016</v>
      </c>
      <c r="L3227" s="3">
        <v>16600</v>
      </c>
      <c r="M3227" s="3">
        <v>7900</v>
      </c>
      <c r="N3227">
        <v>0</v>
      </c>
      <c r="O3227">
        <v>0</v>
      </c>
      <c r="P3227">
        <v>24500</v>
      </c>
      <c r="Q3227" t="s">
        <v>30</v>
      </c>
      <c r="R3227" t="s">
        <v>191</v>
      </c>
      <c r="S3227" t="str">
        <v>#N/A</v>
      </c>
      <c r="T3227" t="str">
        <v>#N/A</v>
      </c>
    </row>
    <row r="3228" spans="1:20" ht="13.7" customHeight="1" x14ac:dyDescent="0.25">
      <c r="E3228" s="5">
        <v>43465</v>
      </c>
      <c r="F3228">
        <v>51559501</v>
      </c>
      <c r="G3228" t="s">
        <v>1055</v>
      </c>
      <c r="H3228" t="s">
        <v>1282</v>
      </c>
      <c r="I3228" t="s">
        <v>1283</v>
      </c>
      <c r="J3228">
        <v>0</v>
      </c>
      <c r="K3228">
        <v>0</v>
      </c>
      <c r="L3228" s="3">
        <v>0</v>
      </c>
      <c r="M3228" s="3">
        <v>0</v>
      </c>
      <c r="N3228">
        <v>0</v>
      </c>
      <c r="O3228">
        <v>0</v>
      </c>
      <c r="P3228">
        <v>0</v>
      </c>
      <c r="R3228" t="s">
        <v>1100</v>
      </c>
      <c r="S3228" t="str">
        <v>#N/A</v>
      </c>
      <c r="T3228" t="str">
        <v>#N/A</v>
      </c>
    </row>
    <row r="3229" spans="1:20" ht="13.7" customHeight="1" x14ac:dyDescent="0.25">
      <c r="A3229" t="s">
        <v>26</v>
      </c>
      <c r="B3229" t="s">
        <v>27</v>
      </c>
      <c r="C3229" t="s">
        <v>28</v>
      </c>
      <c r="D3229">
        <v>7</v>
      </c>
      <c r="E3229" s="5">
        <v>43469</v>
      </c>
      <c r="F3229">
        <v>51559501</v>
      </c>
      <c r="G3229" t="s">
        <v>1055</v>
      </c>
      <c r="H3229" t="s">
        <v>1282</v>
      </c>
      <c r="I3229" t="s">
        <v>1283</v>
      </c>
      <c r="J3229">
        <v>1001</v>
      </c>
      <c r="K3229">
        <v>5016</v>
      </c>
      <c r="L3229" s="3">
        <v>0</v>
      </c>
      <c r="M3229" s="3">
        <v>8300</v>
      </c>
      <c r="N3229">
        <v>0</v>
      </c>
      <c r="O3229">
        <v>0</v>
      </c>
      <c r="P3229">
        <v>8300</v>
      </c>
      <c r="Q3229" t="s">
        <v>30</v>
      </c>
      <c r="R3229" t="s">
        <v>191</v>
      </c>
      <c r="S3229" t="str">
        <v>#N/A</v>
      </c>
      <c r="T3229" t="str">
        <v>#N/A</v>
      </c>
    </row>
    <row r="3230" spans="1:20" ht="13.7" customHeight="1" x14ac:dyDescent="0.25">
      <c r="A3230" t="s">
        <v>26</v>
      </c>
      <c r="B3230" t="s">
        <v>27</v>
      </c>
      <c r="C3230" t="s">
        <v>28</v>
      </c>
      <c r="D3230">
        <v>12</v>
      </c>
      <c r="E3230" s="5">
        <v>43472</v>
      </c>
      <c r="F3230">
        <v>51559501</v>
      </c>
      <c r="G3230" t="s">
        <v>1055</v>
      </c>
      <c r="H3230" t="s">
        <v>1282</v>
      </c>
      <c r="I3230" t="s">
        <v>1283</v>
      </c>
      <c r="J3230">
        <v>1001</v>
      </c>
      <c r="K3230">
        <v>5016</v>
      </c>
      <c r="L3230" s="3">
        <v>8300</v>
      </c>
      <c r="M3230" s="3">
        <v>8300</v>
      </c>
      <c r="N3230">
        <v>0</v>
      </c>
      <c r="O3230">
        <v>0</v>
      </c>
      <c r="P3230">
        <v>16600</v>
      </c>
      <c r="Q3230" t="s">
        <v>30</v>
      </c>
      <c r="R3230" t="s">
        <v>191</v>
      </c>
      <c r="S3230" t="str">
        <v>#N/A</v>
      </c>
      <c r="T3230" t="str">
        <v>#N/A</v>
      </c>
    </row>
    <row r="3231" spans="1:20" ht="13.7" customHeight="1" x14ac:dyDescent="0.25">
      <c r="E3231" s="5">
        <v>43465</v>
      </c>
      <c r="F3231">
        <v>51950501</v>
      </c>
      <c r="G3231" t="s">
        <v>1056</v>
      </c>
      <c r="H3231" t="s">
        <v>1161</v>
      </c>
      <c r="I3231" t="s">
        <v>1162</v>
      </c>
      <c r="J3231">
        <v>0</v>
      </c>
      <c r="K3231">
        <v>0</v>
      </c>
      <c r="L3231" s="3">
        <v>19800</v>
      </c>
      <c r="M3231" s="3">
        <v>0</v>
      </c>
      <c r="N3231">
        <v>0</v>
      </c>
      <c r="O3231">
        <v>0</v>
      </c>
      <c r="P3231">
        <v>19800</v>
      </c>
      <c r="R3231" t="s">
        <v>1100</v>
      </c>
      <c r="S3231" t="str">
        <v>#N/A</v>
      </c>
      <c r="T3231" t="str">
        <v>#N/A</v>
      </c>
    </row>
    <row r="3232" spans="1:20" ht="13.7" customHeight="1" x14ac:dyDescent="0.25">
      <c r="A3232" t="s">
        <v>26</v>
      </c>
      <c r="B3232" t="s">
        <v>27</v>
      </c>
      <c r="C3232" t="s">
        <v>28</v>
      </c>
      <c r="D3232">
        <v>35</v>
      </c>
      <c r="E3232" s="5">
        <v>43480</v>
      </c>
      <c r="F3232">
        <v>51950501</v>
      </c>
      <c r="G3232" t="s">
        <v>1056</v>
      </c>
      <c r="H3232" t="s">
        <v>1161</v>
      </c>
      <c r="I3232" t="s">
        <v>1162</v>
      </c>
      <c r="J3232">
        <v>1001</v>
      </c>
      <c r="K3232">
        <v>5003</v>
      </c>
      <c r="L3232" s="3">
        <v>19800</v>
      </c>
      <c r="M3232" s="3">
        <v>3300</v>
      </c>
      <c r="N3232">
        <v>0</v>
      </c>
      <c r="O3232">
        <v>0</v>
      </c>
      <c r="P3232">
        <v>23100</v>
      </c>
      <c r="Q3232" t="s">
        <v>30</v>
      </c>
      <c r="R3232" t="s">
        <v>196</v>
      </c>
      <c r="S3232" t="str">
        <v>#N/A</v>
      </c>
      <c r="T3232" t="str">
        <v>#N/A</v>
      </c>
    </row>
    <row r="3233" spans="1:20" ht="13.7" customHeight="1" x14ac:dyDescent="0.25">
      <c r="A3233" t="s">
        <v>26</v>
      </c>
      <c r="B3233" t="s">
        <v>27</v>
      </c>
      <c r="C3233" t="s">
        <v>91</v>
      </c>
      <c r="D3233">
        <v>70</v>
      </c>
      <c r="E3233" s="5">
        <v>43544</v>
      </c>
      <c r="F3233">
        <v>51950501</v>
      </c>
      <c r="G3233" t="s">
        <v>1056</v>
      </c>
      <c r="H3233" t="s">
        <v>1161</v>
      </c>
      <c r="I3233" t="s">
        <v>1162</v>
      </c>
      <c r="J3233">
        <v>1001</v>
      </c>
      <c r="K3233">
        <v>5003</v>
      </c>
      <c r="L3233" s="3">
        <v>23100</v>
      </c>
      <c r="M3233" s="3">
        <v>3300</v>
      </c>
      <c r="N3233">
        <v>0</v>
      </c>
      <c r="O3233">
        <v>0</v>
      </c>
      <c r="P3233">
        <v>26400</v>
      </c>
      <c r="Q3233" t="s">
        <v>30</v>
      </c>
      <c r="R3233" t="s">
        <v>241</v>
      </c>
      <c r="S3233" t="str">
        <v>#N/A</v>
      </c>
      <c r="T3233" t="str">
        <v>#N/A</v>
      </c>
    </row>
    <row r="3234" spans="1:20" ht="13.7" customHeight="1" x14ac:dyDescent="0.25">
      <c r="A3234" t="s">
        <v>26</v>
      </c>
      <c r="B3234" t="s">
        <v>27</v>
      </c>
      <c r="C3234" t="s">
        <v>91</v>
      </c>
      <c r="D3234">
        <v>76</v>
      </c>
      <c r="E3234" s="5">
        <v>43552</v>
      </c>
      <c r="F3234">
        <v>51950501</v>
      </c>
      <c r="G3234" t="s">
        <v>1056</v>
      </c>
      <c r="H3234" t="s">
        <v>1161</v>
      </c>
      <c r="I3234" t="s">
        <v>1162</v>
      </c>
      <c r="J3234">
        <v>1001</v>
      </c>
      <c r="K3234">
        <v>5003</v>
      </c>
      <c r="L3234" s="3">
        <v>26400</v>
      </c>
      <c r="M3234" s="3">
        <v>3300</v>
      </c>
      <c r="N3234">
        <v>0</v>
      </c>
      <c r="O3234">
        <v>0</v>
      </c>
      <c r="P3234">
        <v>29700</v>
      </c>
      <c r="Q3234" t="s">
        <v>30</v>
      </c>
      <c r="R3234" t="s">
        <v>246</v>
      </c>
      <c r="S3234" t="str">
        <v>#N/A</v>
      </c>
      <c r="T3234" t="str">
        <v>#N/A</v>
      </c>
    </row>
    <row r="3235" spans="1:20" ht="13.7" customHeight="1" x14ac:dyDescent="0.25">
      <c r="A3235" t="s">
        <v>26</v>
      </c>
      <c r="B3235" t="s">
        <v>27</v>
      </c>
      <c r="C3235" t="s">
        <v>35</v>
      </c>
      <c r="D3235">
        <v>35</v>
      </c>
      <c r="E3235" s="5">
        <v>43596</v>
      </c>
      <c r="F3235">
        <v>51950501</v>
      </c>
      <c r="G3235" t="s">
        <v>1056</v>
      </c>
      <c r="H3235" t="s">
        <v>1161</v>
      </c>
      <c r="I3235" t="s">
        <v>1162</v>
      </c>
      <c r="J3235">
        <v>1001</v>
      </c>
      <c r="K3235">
        <v>5003</v>
      </c>
      <c r="L3235" s="3">
        <v>29700</v>
      </c>
      <c r="M3235" s="3">
        <v>3300</v>
      </c>
      <c r="N3235">
        <v>0</v>
      </c>
      <c r="O3235">
        <v>0</v>
      </c>
      <c r="P3235">
        <v>33000</v>
      </c>
      <c r="Q3235" t="s">
        <v>30</v>
      </c>
      <c r="R3235" t="s">
        <v>241</v>
      </c>
      <c r="S3235" t="str">
        <v>#N/A</v>
      </c>
      <c r="T3235" t="str">
        <v>#N/A</v>
      </c>
    </row>
    <row r="3236" spans="1:20" ht="13.7" customHeight="1" x14ac:dyDescent="0.25">
      <c r="A3236" t="s">
        <v>26</v>
      </c>
      <c r="B3236" t="s">
        <v>27</v>
      </c>
      <c r="C3236" t="s">
        <v>36</v>
      </c>
      <c r="D3236">
        <v>25</v>
      </c>
      <c r="E3236" s="5">
        <v>43629</v>
      </c>
      <c r="F3236">
        <v>51950501</v>
      </c>
      <c r="G3236" t="s">
        <v>1056</v>
      </c>
      <c r="H3236" t="s">
        <v>1161</v>
      </c>
      <c r="I3236" t="s">
        <v>1162</v>
      </c>
      <c r="J3236">
        <v>1001</v>
      </c>
      <c r="K3236">
        <v>5003</v>
      </c>
      <c r="L3236" s="3">
        <v>33000</v>
      </c>
      <c r="M3236" s="3">
        <v>3300</v>
      </c>
      <c r="N3236">
        <v>0</v>
      </c>
      <c r="O3236">
        <v>0</v>
      </c>
      <c r="P3236">
        <v>36300</v>
      </c>
      <c r="Q3236" t="s">
        <v>30</v>
      </c>
      <c r="R3236" t="s">
        <v>241</v>
      </c>
      <c r="S3236" t="str">
        <v>#N/A</v>
      </c>
      <c r="T3236" t="str">
        <v>#N/A</v>
      </c>
    </row>
    <row r="3237" spans="1:20" ht="13.7" customHeight="1" x14ac:dyDescent="0.25">
      <c r="A3237" t="s">
        <v>26</v>
      </c>
      <c r="B3237" t="s">
        <v>27</v>
      </c>
      <c r="C3237" t="s">
        <v>37</v>
      </c>
      <c r="D3237">
        <v>61</v>
      </c>
      <c r="E3237" s="5">
        <v>43675</v>
      </c>
      <c r="F3237">
        <v>51950501</v>
      </c>
      <c r="G3237" t="s">
        <v>1056</v>
      </c>
      <c r="H3237" t="s">
        <v>1161</v>
      </c>
      <c r="I3237" t="s">
        <v>1162</v>
      </c>
      <c r="J3237">
        <v>1001</v>
      </c>
      <c r="K3237">
        <v>5003</v>
      </c>
      <c r="L3237" s="3">
        <v>36300</v>
      </c>
      <c r="M3237" s="3">
        <v>3300</v>
      </c>
      <c r="N3237">
        <v>0</v>
      </c>
      <c r="O3237">
        <v>0</v>
      </c>
      <c r="P3237">
        <v>39600</v>
      </c>
      <c r="Q3237" t="s">
        <v>30</v>
      </c>
      <c r="R3237" t="s">
        <v>241</v>
      </c>
      <c r="S3237" t="str">
        <v>#N/A</v>
      </c>
      <c r="T3237" t="str">
        <v>#N/A</v>
      </c>
    </row>
    <row r="3238" spans="1:20" ht="13.7" customHeight="1" x14ac:dyDescent="0.25">
      <c r="A3238" t="s">
        <v>26</v>
      </c>
      <c r="B3238" t="s">
        <v>27</v>
      </c>
      <c r="C3238" t="s">
        <v>38</v>
      </c>
      <c r="D3238">
        <v>34</v>
      </c>
      <c r="E3238" s="5">
        <v>43699</v>
      </c>
      <c r="F3238">
        <v>51950501</v>
      </c>
      <c r="G3238" t="s">
        <v>1056</v>
      </c>
      <c r="H3238" t="s">
        <v>1161</v>
      </c>
      <c r="I3238" t="s">
        <v>1162</v>
      </c>
      <c r="J3238">
        <v>1001</v>
      </c>
      <c r="K3238">
        <v>5003</v>
      </c>
      <c r="L3238" s="3">
        <v>39600</v>
      </c>
      <c r="M3238" s="3">
        <v>3300</v>
      </c>
      <c r="N3238">
        <v>0</v>
      </c>
      <c r="O3238">
        <v>0</v>
      </c>
      <c r="P3238">
        <v>42900</v>
      </c>
      <c r="Q3238" t="s">
        <v>30</v>
      </c>
      <c r="R3238" t="s">
        <v>241</v>
      </c>
      <c r="S3238" t="str">
        <v>#N/A</v>
      </c>
      <c r="T3238" t="str">
        <v>#N/A</v>
      </c>
    </row>
    <row r="3239" spans="1:20" ht="13.7" customHeight="1" x14ac:dyDescent="0.25">
      <c r="A3239" t="s">
        <v>26</v>
      </c>
      <c r="B3239" t="s">
        <v>27</v>
      </c>
      <c r="C3239" t="s">
        <v>39</v>
      </c>
      <c r="D3239">
        <v>62</v>
      </c>
      <c r="E3239" s="5">
        <v>43722</v>
      </c>
      <c r="F3239">
        <v>51950501</v>
      </c>
      <c r="G3239" t="s">
        <v>1056</v>
      </c>
      <c r="H3239" t="s">
        <v>1161</v>
      </c>
      <c r="I3239" t="s">
        <v>1162</v>
      </c>
      <c r="J3239">
        <v>1001</v>
      </c>
      <c r="K3239">
        <v>5003</v>
      </c>
      <c r="L3239" s="3">
        <v>42900</v>
      </c>
      <c r="M3239" s="3">
        <v>3300</v>
      </c>
      <c r="N3239">
        <v>0</v>
      </c>
      <c r="O3239">
        <v>0</v>
      </c>
      <c r="P3239">
        <v>46200</v>
      </c>
      <c r="Q3239" t="s">
        <v>30</v>
      </c>
      <c r="R3239" t="s">
        <v>241</v>
      </c>
      <c r="S3239" t="str">
        <v>#N/A</v>
      </c>
      <c r="T3239" t="str">
        <v>#N/A</v>
      </c>
    </row>
    <row r="3240" spans="1:20" ht="13.7" customHeight="1" x14ac:dyDescent="0.25">
      <c r="E3240" s="5">
        <v>43465</v>
      </c>
      <c r="F3240">
        <v>51952001</v>
      </c>
      <c r="G3240" t="s">
        <v>1292</v>
      </c>
      <c r="H3240" t="s">
        <v>1293</v>
      </c>
      <c r="I3240" t="s">
        <v>1294</v>
      </c>
      <c r="J3240">
        <v>0</v>
      </c>
      <c r="K3240">
        <v>0</v>
      </c>
      <c r="L3240" s="3">
        <v>108000</v>
      </c>
      <c r="M3240" s="3">
        <v>0</v>
      </c>
      <c r="N3240">
        <v>0</v>
      </c>
      <c r="O3240">
        <v>0</v>
      </c>
      <c r="P3240">
        <v>108000</v>
      </c>
      <c r="R3240" t="s">
        <v>1100</v>
      </c>
      <c r="S3240" t="str">
        <v>#N/A</v>
      </c>
      <c r="T3240" t="str">
        <v>#N/A</v>
      </c>
    </row>
    <row r="3241" spans="1:20" ht="13.7" customHeight="1" x14ac:dyDescent="0.25">
      <c r="E3241" s="5">
        <v>43465</v>
      </c>
      <c r="F3241">
        <v>51952001</v>
      </c>
      <c r="G3241" t="s">
        <v>1292</v>
      </c>
      <c r="H3241" t="s">
        <v>1585</v>
      </c>
      <c r="I3241" t="s">
        <v>1586</v>
      </c>
      <c r="J3241">
        <v>0</v>
      </c>
      <c r="K3241">
        <v>0</v>
      </c>
      <c r="L3241" s="3">
        <v>11900</v>
      </c>
      <c r="M3241" s="3">
        <v>0</v>
      </c>
      <c r="N3241">
        <v>0</v>
      </c>
      <c r="O3241">
        <v>0</v>
      </c>
      <c r="P3241">
        <v>11900</v>
      </c>
      <c r="R3241" t="s">
        <v>1100</v>
      </c>
      <c r="S3241" t="str">
        <v>#N/A</v>
      </c>
      <c r="T3241" t="str">
        <v>#N/A</v>
      </c>
    </row>
    <row r="3242" spans="1:20" ht="13.7" customHeight="1" x14ac:dyDescent="0.25">
      <c r="E3242" s="5">
        <v>43465</v>
      </c>
      <c r="F3242">
        <v>51952001</v>
      </c>
      <c r="G3242" t="s">
        <v>1292</v>
      </c>
      <c r="H3242" t="s">
        <v>1609</v>
      </c>
      <c r="I3242" t="s">
        <v>1610</v>
      </c>
      <c r="J3242">
        <v>0</v>
      </c>
      <c r="K3242">
        <v>0</v>
      </c>
      <c r="L3242" s="3">
        <v>53782</v>
      </c>
      <c r="M3242" s="3">
        <v>0</v>
      </c>
      <c r="N3242">
        <v>0</v>
      </c>
      <c r="O3242">
        <v>0</v>
      </c>
      <c r="P3242">
        <v>53782</v>
      </c>
      <c r="R3242" t="s">
        <v>1100</v>
      </c>
      <c r="S3242" t="str">
        <v>#N/A</v>
      </c>
      <c r="T3242" t="str">
        <v>#N/A</v>
      </c>
    </row>
    <row r="3243" spans="1:20" ht="13.7" customHeight="1" x14ac:dyDescent="0.25">
      <c r="E3243" s="5">
        <v>43465</v>
      </c>
      <c r="F3243">
        <v>51952501</v>
      </c>
      <c r="G3243" t="e">
        <v>#N/A</v>
      </c>
      <c r="H3243" t="s">
        <v>1101</v>
      </c>
      <c r="I3243" t="s">
        <v>1102</v>
      </c>
      <c r="J3243">
        <v>0</v>
      </c>
      <c r="K3243">
        <v>0</v>
      </c>
      <c r="L3243" s="3">
        <v>26000</v>
      </c>
      <c r="M3243" s="3">
        <v>0</v>
      </c>
      <c r="N3243">
        <v>0</v>
      </c>
      <c r="O3243">
        <v>0</v>
      </c>
      <c r="P3243">
        <v>26000</v>
      </c>
      <c r="R3243" t="s">
        <v>1100</v>
      </c>
      <c r="S3243" t="str">
        <v>#N/A</v>
      </c>
      <c r="T3243" t="str">
        <v>#N/A</v>
      </c>
    </row>
    <row r="3244" spans="1:20" ht="13.7" customHeight="1" x14ac:dyDescent="0.25">
      <c r="E3244" s="5">
        <v>43465</v>
      </c>
      <c r="F3244">
        <v>51952501</v>
      </c>
      <c r="G3244" t="e">
        <v>#N/A</v>
      </c>
      <c r="H3244" t="s">
        <v>1455</v>
      </c>
      <c r="I3244" t="s">
        <v>1456</v>
      </c>
      <c r="J3244">
        <v>0</v>
      </c>
      <c r="K3244">
        <v>0</v>
      </c>
      <c r="L3244" s="3">
        <v>3900</v>
      </c>
      <c r="M3244" s="3">
        <v>0</v>
      </c>
      <c r="N3244">
        <v>0</v>
      </c>
      <c r="O3244">
        <v>0</v>
      </c>
      <c r="P3244">
        <v>3900</v>
      </c>
      <c r="R3244" t="s">
        <v>1100</v>
      </c>
      <c r="S3244" t="str">
        <v>#N/A</v>
      </c>
      <c r="T3244" t="str">
        <v>#N/A</v>
      </c>
    </row>
    <row r="3245" spans="1:20" ht="13.7" customHeight="1" x14ac:dyDescent="0.25">
      <c r="E3245" s="5">
        <v>43465</v>
      </c>
      <c r="F3245">
        <v>51952501</v>
      </c>
      <c r="G3245" t="e">
        <v>#N/A</v>
      </c>
      <c r="H3245" t="s">
        <v>1441</v>
      </c>
      <c r="I3245" t="s">
        <v>1442</v>
      </c>
      <c r="J3245">
        <v>0</v>
      </c>
      <c r="K3245">
        <v>0</v>
      </c>
      <c r="L3245" s="3">
        <v>116000</v>
      </c>
      <c r="M3245" s="3">
        <v>0</v>
      </c>
      <c r="N3245">
        <v>0</v>
      </c>
      <c r="O3245">
        <v>0</v>
      </c>
      <c r="P3245">
        <v>116000</v>
      </c>
      <c r="R3245" t="s">
        <v>1100</v>
      </c>
      <c r="S3245" t="str">
        <v>#N/A</v>
      </c>
      <c r="T3245" t="str">
        <v>#N/A</v>
      </c>
    </row>
    <row r="3246" spans="1:20" ht="13.7" customHeight="1" x14ac:dyDescent="0.25">
      <c r="E3246" s="5">
        <v>43465</v>
      </c>
      <c r="F3246">
        <v>51952501</v>
      </c>
      <c r="G3246" t="e">
        <v>#N/A</v>
      </c>
      <c r="H3246" t="s">
        <v>1685</v>
      </c>
      <c r="I3246" t="s">
        <v>1686</v>
      </c>
      <c r="J3246">
        <v>0</v>
      </c>
      <c r="K3246">
        <v>0</v>
      </c>
      <c r="L3246" s="3">
        <v>2500</v>
      </c>
      <c r="M3246" s="3">
        <v>0</v>
      </c>
      <c r="N3246">
        <v>0</v>
      </c>
      <c r="O3246">
        <v>0</v>
      </c>
      <c r="P3246">
        <v>2500</v>
      </c>
      <c r="R3246" t="s">
        <v>1100</v>
      </c>
      <c r="S3246" t="str">
        <v>#N/A</v>
      </c>
      <c r="T3246" t="str">
        <v>#N/A</v>
      </c>
    </row>
    <row r="3247" spans="1:20" ht="13.7" customHeight="1" x14ac:dyDescent="0.25">
      <c r="E3247" s="5">
        <v>43465</v>
      </c>
      <c r="F3247">
        <v>51952501</v>
      </c>
      <c r="G3247" t="e">
        <v>#N/A</v>
      </c>
      <c r="H3247" t="s">
        <v>1217</v>
      </c>
      <c r="I3247" t="s">
        <v>1218</v>
      </c>
      <c r="J3247">
        <v>0</v>
      </c>
      <c r="K3247">
        <v>0</v>
      </c>
      <c r="L3247" s="3">
        <v>5000</v>
      </c>
      <c r="M3247" s="3">
        <v>0</v>
      </c>
      <c r="N3247">
        <v>0</v>
      </c>
      <c r="O3247">
        <v>0</v>
      </c>
      <c r="P3247">
        <v>5000</v>
      </c>
      <c r="R3247" t="s">
        <v>1100</v>
      </c>
      <c r="S3247" t="str">
        <v>#N/A</v>
      </c>
      <c r="T3247" t="str">
        <v>#N/A</v>
      </c>
    </row>
    <row r="3248" spans="1:20" ht="13.7" customHeight="1" x14ac:dyDescent="0.25">
      <c r="E3248" s="5">
        <v>43465</v>
      </c>
      <c r="F3248">
        <v>51952501</v>
      </c>
      <c r="G3248" t="e">
        <v>#N/A</v>
      </c>
      <c r="H3248" t="s">
        <v>1197</v>
      </c>
      <c r="I3248" t="s">
        <v>1198</v>
      </c>
      <c r="J3248">
        <v>0</v>
      </c>
      <c r="K3248">
        <v>0</v>
      </c>
      <c r="L3248" s="3">
        <v>29900</v>
      </c>
      <c r="M3248" s="3">
        <v>0</v>
      </c>
      <c r="N3248">
        <v>0</v>
      </c>
      <c r="O3248">
        <v>0</v>
      </c>
      <c r="P3248">
        <v>29900</v>
      </c>
      <c r="R3248" t="s">
        <v>1100</v>
      </c>
      <c r="S3248" t="str">
        <v>#N/A</v>
      </c>
      <c r="T3248" t="str">
        <v>13</v>
      </c>
    </row>
    <row r="3249" spans="1:20" ht="13.7" customHeight="1" x14ac:dyDescent="0.25">
      <c r="E3249" s="5">
        <v>43465</v>
      </c>
      <c r="F3249">
        <v>51952501</v>
      </c>
      <c r="G3249" t="e">
        <v>#N/A</v>
      </c>
      <c r="H3249" t="s">
        <v>1687</v>
      </c>
      <c r="I3249" t="s">
        <v>1688</v>
      </c>
      <c r="J3249">
        <v>0</v>
      </c>
      <c r="K3249">
        <v>0</v>
      </c>
      <c r="L3249" s="3">
        <v>4000</v>
      </c>
      <c r="M3249" s="3">
        <v>0</v>
      </c>
      <c r="N3249">
        <v>0</v>
      </c>
      <c r="O3249">
        <v>0</v>
      </c>
      <c r="P3249">
        <v>4000</v>
      </c>
      <c r="R3249" t="s">
        <v>1100</v>
      </c>
      <c r="S3249" t="str">
        <v>#N/A</v>
      </c>
      <c r="T3249" t="str">
        <v>43</v>
      </c>
    </row>
    <row r="3250" spans="1:20" ht="13.7" customHeight="1" x14ac:dyDescent="0.25">
      <c r="E3250" s="5">
        <v>43465</v>
      </c>
      <c r="F3250">
        <v>51952501</v>
      </c>
      <c r="G3250" t="e">
        <v>#N/A</v>
      </c>
      <c r="H3250" t="s">
        <v>1171</v>
      </c>
      <c r="I3250" t="s">
        <v>1172</v>
      </c>
      <c r="J3250">
        <v>0</v>
      </c>
      <c r="K3250">
        <v>0</v>
      </c>
      <c r="L3250" s="3">
        <v>45000</v>
      </c>
      <c r="M3250" s="3">
        <v>0</v>
      </c>
      <c r="N3250">
        <v>0</v>
      </c>
      <c r="O3250">
        <v>0</v>
      </c>
      <c r="P3250">
        <v>45000</v>
      </c>
      <c r="R3250" t="s">
        <v>1100</v>
      </c>
      <c r="S3250" t="str">
        <v>#N/A</v>
      </c>
      <c r="T3250" t="str">
        <v>13</v>
      </c>
    </row>
    <row r="3251" spans="1:20" ht="13.7" customHeight="1" x14ac:dyDescent="0.25">
      <c r="E3251" s="5">
        <v>43465</v>
      </c>
      <c r="F3251">
        <v>51952501</v>
      </c>
      <c r="G3251" t="e">
        <v>#N/A</v>
      </c>
      <c r="H3251" t="s">
        <v>1459</v>
      </c>
      <c r="I3251" t="s">
        <v>1460</v>
      </c>
      <c r="J3251">
        <v>0</v>
      </c>
      <c r="K3251">
        <v>0</v>
      </c>
      <c r="L3251" s="3">
        <v>31600</v>
      </c>
      <c r="M3251" s="3">
        <v>0</v>
      </c>
      <c r="N3251">
        <v>0</v>
      </c>
      <c r="O3251">
        <v>0</v>
      </c>
      <c r="P3251">
        <v>31600</v>
      </c>
      <c r="R3251" t="s">
        <v>1100</v>
      </c>
      <c r="S3251" t="str">
        <v>#N/A</v>
      </c>
      <c r="T3251" t="str">
        <v>#N/A</v>
      </c>
    </row>
    <row r="3252" spans="1:20" ht="13.7" customHeight="1" x14ac:dyDescent="0.25">
      <c r="E3252" s="5">
        <v>43465</v>
      </c>
      <c r="F3252">
        <v>51952501</v>
      </c>
      <c r="G3252" t="e">
        <v>#N/A</v>
      </c>
      <c r="H3252" t="s">
        <v>1463</v>
      </c>
      <c r="I3252" t="s">
        <v>1464</v>
      </c>
      <c r="J3252">
        <v>0</v>
      </c>
      <c r="K3252">
        <v>0</v>
      </c>
      <c r="L3252" s="3">
        <v>57000</v>
      </c>
      <c r="M3252" s="3">
        <v>0</v>
      </c>
      <c r="N3252">
        <v>0</v>
      </c>
      <c r="O3252">
        <v>0</v>
      </c>
      <c r="P3252">
        <v>57000</v>
      </c>
      <c r="R3252" t="s">
        <v>1100</v>
      </c>
      <c r="S3252" t="str">
        <v>#N/A</v>
      </c>
      <c r="T3252" t="str">
        <v>13</v>
      </c>
    </row>
    <row r="3253" spans="1:20" ht="13.7" customHeight="1" x14ac:dyDescent="0.25">
      <c r="E3253" s="5">
        <v>43465</v>
      </c>
      <c r="F3253">
        <v>51952501</v>
      </c>
      <c r="G3253" t="e">
        <v>#N/A</v>
      </c>
      <c r="H3253" t="s">
        <v>1207</v>
      </c>
      <c r="I3253" t="s">
        <v>1208</v>
      </c>
      <c r="J3253">
        <v>0</v>
      </c>
      <c r="K3253">
        <v>0</v>
      </c>
      <c r="L3253" s="3">
        <v>60504</v>
      </c>
      <c r="M3253" s="3">
        <v>0</v>
      </c>
      <c r="N3253">
        <v>0</v>
      </c>
      <c r="O3253">
        <v>0</v>
      </c>
      <c r="P3253">
        <v>60504</v>
      </c>
      <c r="R3253" t="s">
        <v>1100</v>
      </c>
      <c r="S3253" t="str">
        <v>#N/A</v>
      </c>
      <c r="T3253" t="str">
        <v>#N/A</v>
      </c>
    </row>
    <row r="3254" spans="1:20" ht="13.7" customHeight="1" x14ac:dyDescent="0.25">
      <c r="E3254" s="5">
        <v>43465</v>
      </c>
      <c r="F3254">
        <v>51952501</v>
      </c>
      <c r="G3254" t="e">
        <v>#N/A</v>
      </c>
      <c r="H3254" t="s">
        <v>1413</v>
      </c>
      <c r="I3254" t="s">
        <v>1414</v>
      </c>
      <c r="J3254">
        <v>0</v>
      </c>
      <c r="K3254">
        <v>0</v>
      </c>
      <c r="L3254" s="3">
        <v>14815</v>
      </c>
      <c r="M3254" s="3">
        <v>0</v>
      </c>
      <c r="N3254">
        <v>0</v>
      </c>
      <c r="O3254">
        <v>0</v>
      </c>
      <c r="P3254">
        <v>14815</v>
      </c>
      <c r="R3254" t="s">
        <v>1100</v>
      </c>
      <c r="S3254" t="str">
        <v>#N/A</v>
      </c>
      <c r="T3254" t="str">
        <v>#N/A</v>
      </c>
    </row>
    <row r="3255" spans="1:20" ht="13.7" customHeight="1" x14ac:dyDescent="0.25">
      <c r="E3255" s="5">
        <v>43465</v>
      </c>
      <c r="F3255">
        <v>51952501</v>
      </c>
      <c r="G3255" t="e">
        <v>#N/A</v>
      </c>
      <c r="H3255" t="s">
        <v>1471</v>
      </c>
      <c r="I3255" t="s">
        <v>1472</v>
      </c>
      <c r="J3255">
        <v>0</v>
      </c>
      <c r="K3255">
        <v>0</v>
      </c>
      <c r="L3255" s="3">
        <v>10000</v>
      </c>
      <c r="M3255" s="3">
        <v>0</v>
      </c>
      <c r="N3255">
        <v>0</v>
      </c>
      <c r="O3255">
        <v>0</v>
      </c>
      <c r="P3255">
        <v>10000</v>
      </c>
      <c r="R3255" t="s">
        <v>1100</v>
      </c>
      <c r="S3255" t="str">
        <v>#N/A</v>
      </c>
      <c r="T3255" t="str">
        <v>#N/A</v>
      </c>
    </row>
    <row r="3256" spans="1:20" ht="13.7" customHeight="1" x14ac:dyDescent="0.25">
      <c r="E3256" s="5">
        <v>43465</v>
      </c>
      <c r="F3256">
        <v>51952501</v>
      </c>
      <c r="G3256" t="e">
        <v>#N/A</v>
      </c>
      <c r="H3256" t="s">
        <v>1229</v>
      </c>
      <c r="I3256" t="s">
        <v>1230</v>
      </c>
      <c r="J3256">
        <v>0</v>
      </c>
      <c r="K3256">
        <v>0</v>
      </c>
      <c r="L3256" s="3">
        <v>68810</v>
      </c>
      <c r="M3256" s="3">
        <v>0</v>
      </c>
      <c r="N3256">
        <v>0</v>
      </c>
      <c r="O3256">
        <v>0</v>
      </c>
      <c r="P3256">
        <v>68810</v>
      </c>
      <c r="R3256" t="s">
        <v>1100</v>
      </c>
      <c r="S3256" t="str">
        <v>#N/A</v>
      </c>
      <c r="T3256" t="str">
        <v>#N/A</v>
      </c>
    </row>
    <row r="3257" spans="1:20" ht="13.7" customHeight="1" x14ac:dyDescent="0.25">
      <c r="E3257" s="5">
        <v>43465</v>
      </c>
      <c r="F3257">
        <v>51953001</v>
      </c>
      <c r="G3257" t="s">
        <v>1057</v>
      </c>
      <c r="H3257" t="s">
        <v>1288</v>
      </c>
      <c r="I3257" t="s">
        <v>1289</v>
      </c>
      <c r="J3257">
        <v>0</v>
      </c>
      <c r="K3257">
        <v>0</v>
      </c>
      <c r="L3257" s="3">
        <v>30000</v>
      </c>
      <c r="M3257" s="3">
        <v>0</v>
      </c>
      <c r="N3257">
        <v>0</v>
      </c>
      <c r="O3257">
        <v>0</v>
      </c>
      <c r="P3257">
        <v>30000</v>
      </c>
      <c r="R3257" t="s">
        <v>1100</v>
      </c>
      <c r="S3257" t="str">
        <v>#N/A</v>
      </c>
      <c r="T3257" t="str">
        <v>#N/A</v>
      </c>
    </row>
    <row r="3258" spans="1:20" ht="13.7" customHeight="1" x14ac:dyDescent="0.25">
      <c r="A3258" t="s">
        <v>26</v>
      </c>
      <c r="B3258" t="s">
        <v>27</v>
      </c>
      <c r="C3258" t="s">
        <v>34</v>
      </c>
      <c r="D3258">
        <v>5</v>
      </c>
      <c r="E3258" s="5">
        <v>43558</v>
      </c>
      <c r="F3258">
        <v>51953001</v>
      </c>
      <c r="G3258" t="s">
        <v>1057</v>
      </c>
      <c r="H3258" t="s">
        <v>1288</v>
      </c>
      <c r="I3258" t="s">
        <v>1289</v>
      </c>
      <c r="J3258">
        <v>1001</v>
      </c>
      <c r="K3258">
        <v>5016</v>
      </c>
      <c r="L3258" s="3">
        <v>30000</v>
      </c>
      <c r="M3258" s="3">
        <v>30000</v>
      </c>
      <c r="N3258">
        <v>0</v>
      </c>
      <c r="O3258">
        <v>0</v>
      </c>
      <c r="P3258">
        <v>60000</v>
      </c>
      <c r="Q3258" t="s">
        <v>30</v>
      </c>
      <c r="R3258" t="s">
        <v>541</v>
      </c>
      <c r="S3258" t="str">
        <v>#N/A</v>
      </c>
      <c r="T3258" t="str">
        <v>#N/A</v>
      </c>
    </row>
    <row r="3259" spans="1:20" ht="13.7" customHeight="1" x14ac:dyDescent="0.25">
      <c r="A3259" t="s">
        <v>26</v>
      </c>
      <c r="B3259" t="s">
        <v>27</v>
      </c>
      <c r="C3259" t="s">
        <v>38</v>
      </c>
      <c r="D3259">
        <v>10</v>
      </c>
      <c r="E3259" s="5">
        <v>43683</v>
      </c>
      <c r="F3259">
        <v>51953001</v>
      </c>
      <c r="G3259" t="s">
        <v>1057</v>
      </c>
      <c r="H3259" t="s">
        <v>1288</v>
      </c>
      <c r="I3259" t="s">
        <v>1289</v>
      </c>
      <c r="J3259">
        <v>1001</v>
      </c>
      <c r="K3259">
        <v>5016</v>
      </c>
      <c r="L3259" s="3">
        <v>60000</v>
      </c>
      <c r="M3259" s="3">
        <v>30000</v>
      </c>
      <c r="N3259">
        <v>0</v>
      </c>
      <c r="O3259">
        <v>0</v>
      </c>
      <c r="P3259">
        <v>90000</v>
      </c>
      <c r="Q3259" t="s">
        <v>30</v>
      </c>
      <c r="R3259" t="s">
        <v>553</v>
      </c>
      <c r="S3259" t="str">
        <v>#N/A</v>
      </c>
      <c r="T3259" t="str">
        <v>#N/A</v>
      </c>
    </row>
    <row r="3260" spans="1:20" ht="13.7" customHeight="1" x14ac:dyDescent="0.25">
      <c r="E3260" s="5">
        <v>43465</v>
      </c>
      <c r="F3260">
        <v>51953001</v>
      </c>
      <c r="G3260" t="s">
        <v>1057</v>
      </c>
      <c r="H3260" t="s">
        <v>1295</v>
      </c>
      <c r="I3260" t="s">
        <v>1296</v>
      </c>
      <c r="J3260">
        <v>0</v>
      </c>
      <c r="K3260">
        <v>0</v>
      </c>
      <c r="L3260" s="3">
        <v>0</v>
      </c>
      <c r="M3260" s="3">
        <v>0</v>
      </c>
      <c r="N3260">
        <v>0</v>
      </c>
      <c r="O3260">
        <v>0</v>
      </c>
      <c r="P3260">
        <v>0</v>
      </c>
      <c r="R3260" t="s">
        <v>1100</v>
      </c>
      <c r="S3260" t="str">
        <v>#N/A</v>
      </c>
      <c r="T3260" t="str">
        <v>#N/A</v>
      </c>
    </row>
    <row r="3261" spans="1:20" ht="13.7" customHeight="1" x14ac:dyDescent="0.25">
      <c r="A3261" t="s">
        <v>26</v>
      </c>
      <c r="B3261" t="s">
        <v>27</v>
      </c>
      <c r="C3261" t="s">
        <v>41</v>
      </c>
      <c r="D3261">
        <v>2</v>
      </c>
      <c r="E3261" s="5">
        <v>43770</v>
      </c>
      <c r="F3261">
        <v>51953001</v>
      </c>
      <c r="G3261" t="s">
        <v>1057</v>
      </c>
      <c r="H3261" t="s">
        <v>1295</v>
      </c>
      <c r="I3261" t="s">
        <v>1296</v>
      </c>
      <c r="J3261">
        <v>1001</v>
      </c>
      <c r="K3261">
        <v>5016</v>
      </c>
      <c r="L3261" s="3">
        <v>0</v>
      </c>
      <c r="M3261" s="3">
        <v>40000</v>
      </c>
      <c r="N3261">
        <v>0</v>
      </c>
      <c r="O3261">
        <v>0</v>
      </c>
      <c r="P3261">
        <v>40000</v>
      </c>
      <c r="Q3261" t="s">
        <v>30</v>
      </c>
      <c r="R3261" t="s">
        <v>571</v>
      </c>
      <c r="S3261" t="str">
        <v>#N/A</v>
      </c>
      <c r="T3261" t="str">
        <v>#N/A</v>
      </c>
    </row>
    <row r="3262" spans="1:20" ht="13.7" customHeight="1" x14ac:dyDescent="0.25">
      <c r="E3262" s="5">
        <v>43465</v>
      </c>
      <c r="F3262">
        <v>51953001</v>
      </c>
      <c r="G3262" t="s">
        <v>1057</v>
      </c>
      <c r="H3262" t="s">
        <v>1290</v>
      </c>
      <c r="I3262" t="s">
        <v>1291</v>
      </c>
      <c r="J3262">
        <v>0</v>
      </c>
      <c r="K3262">
        <v>0</v>
      </c>
      <c r="L3262" s="3">
        <v>0</v>
      </c>
      <c r="M3262" s="3">
        <v>0</v>
      </c>
      <c r="N3262">
        <v>0</v>
      </c>
      <c r="O3262">
        <v>0</v>
      </c>
      <c r="P3262">
        <v>0</v>
      </c>
      <c r="R3262" t="s">
        <v>1100</v>
      </c>
      <c r="S3262" t="str">
        <v>#N/A</v>
      </c>
      <c r="T3262" t="str">
        <v>#N/A</v>
      </c>
    </row>
    <row r="3263" spans="1:20" ht="13.7" customHeight="1" x14ac:dyDescent="0.25">
      <c r="A3263" t="s">
        <v>26</v>
      </c>
      <c r="B3263" t="s">
        <v>27</v>
      </c>
      <c r="C3263" t="s">
        <v>34</v>
      </c>
      <c r="D3263">
        <v>18</v>
      </c>
      <c r="E3263" s="5">
        <v>43563</v>
      </c>
      <c r="F3263">
        <v>51953001</v>
      </c>
      <c r="G3263" t="s">
        <v>1057</v>
      </c>
      <c r="H3263" t="s">
        <v>1290</v>
      </c>
      <c r="I3263" t="s">
        <v>1291</v>
      </c>
      <c r="J3263">
        <v>1001</v>
      </c>
      <c r="K3263">
        <v>5016</v>
      </c>
      <c r="L3263" s="3">
        <v>0</v>
      </c>
      <c r="M3263" s="3">
        <v>53900</v>
      </c>
      <c r="N3263">
        <v>0</v>
      </c>
      <c r="O3263">
        <v>0</v>
      </c>
      <c r="P3263">
        <v>53900</v>
      </c>
      <c r="Q3263" t="s">
        <v>30</v>
      </c>
      <c r="R3263" t="s">
        <v>118</v>
      </c>
      <c r="S3263" t="str">
        <v>#N/A</v>
      </c>
      <c r="T3263" t="str">
        <v>#N/A</v>
      </c>
    </row>
    <row r="3264" spans="1:20" ht="13.7" customHeight="1" x14ac:dyDescent="0.25">
      <c r="E3264" s="5">
        <v>43465</v>
      </c>
      <c r="F3264">
        <v>51953001</v>
      </c>
      <c r="G3264" t="s">
        <v>1057</v>
      </c>
      <c r="H3264" t="s">
        <v>1583</v>
      </c>
      <c r="I3264" t="s">
        <v>1584</v>
      </c>
      <c r="J3264">
        <v>0</v>
      </c>
      <c r="K3264">
        <v>0</v>
      </c>
      <c r="L3264" s="3">
        <v>11008</v>
      </c>
      <c r="M3264" s="3">
        <v>0</v>
      </c>
      <c r="N3264">
        <v>0</v>
      </c>
      <c r="O3264">
        <v>0</v>
      </c>
      <c r="P3264">
        <v>11008</v>
      </c>
      <c r="R3264" t="s">
        <v>1100</v>
      </c>
      <c r="S3264" t="str">
        <v>#N/A</v>
      </c>
      <c r="T3264" t="str">
        <v>#N/A</v>
      </c>
    </row>
    <row r="3265" spans="1:20" ht="13.7" customHeight="1" x14ac:dyDescent="0.25">
      <c r="E3265" s="5">
        <v>43465</v>
      </c>
      <c r="F3265">
        <v>51953001</v>
      </c>
      <c r="G3265" t="s">
        <v>1057</v>
      </c>
      <c r="H3265" t="s">
        <v>1286</v>
      </c>
      <c r="I3265" t="s">
        <v>1287</v>
      </c>
      <c r="J3265">
        <v>0</v>
      </c>
      <c r="K3265">
        <v>0</v>
      </c>
      <c r="L3265" s="3">
        <v>0</v>
      </c>
      <c r="M3265" s="3">
        <v>0</v>
      </c>
      <c r="N3265">
        <v>0</v>
      </c>
      <c r="O3265">
        <v>0</v>
      </c>
      <c r="P3265">
        <v>0</v>
      </c>
      <c r="R3265" t="s">
        <v>1100</v>
      </c>
      <c r="S3265" t="str">
        <v>#N/A</v>
      </c>
      <c r="T3265" t="str">
        <v>#N/A</v>
      </c>
    </row>
    <row r="3266" spans="1:20" ht="13.7" customHeight="1" x14ac:dyDescent="0.25">
      <c r="A3266" t="s">
        <v>26</v>
      </c>
      <c r="B3266" t="s">
        <v>27</v>
      </c>
      <c r="C3266" t="s">
        <v>28</v>
      </c>
      <c r="D3266">
        <v>51</v>
      </c>
      <c r="E3266" s="5">
        <v>43484</v>
      </c>
      <c r="F3266">
        <v>51953001</v>
      </c>
      <c r="G3266" t="s">
        <v>1057</v>
      </c>
      <c r="H3266" t="s">
        <v>1286</v>
      </c>
      <c r="I3266" t="s">
        <v>1287</v>
      </c>
      <c r="J3266">
        <v>1001</v>
      </c>
      <c r="K3266">
        <v>5016</v>
      </c>
      <c r="L3266" s="3">
        <v>0</v>
      </c>
      <c r="M3266" s="3">
        <v>5252</v>
      </c>
      <c r="N3266">
        <v>0</v>
      </c>
      <c r="O3266">
        <v>0</v>
      </c>
      <c r="P3266">
        <v>5252</v>
      </c>
      <c r="Q3266" t="s">
        <v>30</v>
      </c>
      <c r="R3266" t="s">
        <v>535</v>
      </c>
      <c r="S3266" t="str">
        <v>#N/A</v>
      </c>
      <c r="T3266" t="str">
        <v>#N/A</v>
      </c>
    </row>
    <row r="3267" spans="1:20" ht="13.7" customHeight="1" x14ac:dyDescent="0.25">
      <c r="A3267" t="s">
        <v>26</v>
      </c>
      <c r="B3267" t="s">
        <v>27</v>
      </c>
      <c r="C3267" t="s">
        <v>28</v>
      </c>
      <c r="D3267">
        <v>53</v>
      </c>
      <c r="E3267" s="5">
        <v>43484</v>
      </c>
      <c r="F3267">
        <v>51953001</v>
      </c>
      <c r="G3267" t="s">
        <v>1057</v>
      </c>
      <c r="H3267" t="s">
        <v>1286</v>
      </c>
      <c r="I3267" t="s">
        <v>1287</v>
      </c>
      <c r="J3267">
        <v>1001</v>
      </c>
      <c r="K3267">
        <v>5016</v>
      </c>
      <c r="L3267" s="3">
        <v>5252</v>
      </c>
      <c r="M3267" s="3">
        <v>6469</v>
      </c>
      <c r="N3267">
        <v>0</v>
      </c>
      <c r="O3267">
        <v>0</v>
      </c>
      <c r="P3267">
        <v>11721</v>
      </c>
      <c r="Q3267" t="s">
        <v>30</v>
      </c>
      <c r="R3267" t="s">
        <v>118</v>
      </c>
      <c r="S3267" t="str">
        <v>#N/A</v>
      </c>
      <c r="T3267" t="str">
        <v>#N/A</v>
      </c>
    </row>
    <row r="3268" spans="1:20" ht="13.7" customHeight="1" x14ac:dyDescent="0.25">
      <c r="E3268" s="5">
        <v>43465</v>
      </c>
      <c r="F3268">
        <v>51953001</v>
      </c>
      <c r="G3268" t="s">
        <v>1057</v>
      </c>
      <c r="H3268" t="s">
        <v>1297</v>
      </c>
      <c r="I3268" t="s">
        <v>1298</v>
      </c>
      <c r="J3268">
        <v>0</v>
      </c>
      <c r="K3268">
        <v>0</v>
      </c>
      <c r="L3268" s="3">
        <v>0</v>
      </c>
      <c r="M3268" s="3">
        <v>0</v>
      </c>
      <c r="N3268">
        <v>0</v>
      </c>
      <c r="O3268">
        <v>0</v>
      </c>
      <c r="P3268">
        <v>0</v>
      </c>
      <c r="R3268" t="s">
        <v>1100</v>
      </c>
      <c r="S3268" t="str">
        <v>#N/A</v>
      </c>
      <c r="T3268" t="str">
        <v>#N/A</v>
      </c>
    </row>
    <row r="3269" spans="1:20" ht="13.7" customHeight="1" x14ac:dyDescent="0.25">
      <c r="A3269" t="s">
        <v>26</v>
      </c>
      <c r="B3269" t="s">
        <v>27</v>
      </c>
      <c r="C3269" t="s">
        <v>41</v>
      </c>
      <c r="D3269">
        <v>25</v>
      </c>
      <c r="E3269" s="5">
        <v>43781</v>
      </c>
      <c r="F3269">
        <v>51953001</v>
      </c>
      <c r="G3269" t="s">
        <v>1057</v>
      </c>
      <c r="H3269" t="s">
        <v>1297</v>
      </c>
      <c r="I3269" t="s">
        <v>1298</v>
      </c>
      <c r="J3269">
        <v>1001</v>
      </c>
      <c r="K3269">
        <v>5016</v>
      </c>
      <c r="L3269" s="3">
        <v>0</v>
      </c>
      <c r="M3269" s="3">
        <v>129500</v>
      </c>
      <c r="N3269">
        <v>0</v>
      </c>
      <c r="O3269">
        <v>0</v>
      </c>
      <c r="P3269">
        <v>129500</v>
      </c>
      <c r="Q3269" t="s">
        <v>30</v>
      </c>
      <c r="R3269" t="s">
        <v>303</v>
      </c>
      <c r="S3269" t="str">
        <v>#N/A</v>
      </c>
      <c r="T3269" t="str">
        <v>#N/A</v>
      </c>
    </row>
    <row r="3270" spans="1:20" ht="13.7" customHeight="1" x14ac:dyDescent="0.25">
      <c r="E3270" s="5">
        <v>43465</v>
      </c>
      <c r="F3270">
        <v>51953001</v>
      </c>
      <c r="G3270" t="s">
        <v>1057</v>
      </c>
      <c r="H3270" t="s">
        <v>1165</v>
      </c>
      <c r="I3270" t="s">
        <v>1166</v>
      </c>
      <c r="J3270">
        <v>0</v>
      </c>
      <c r="K3270">
        <v>0</v>
      </c>
      <c r="L3270" s="3">
        <v>5500</v>
      </c>
      <c r="M3270" s="3">
        <v>0</v>
      </c>
      <c r="N3270">
        <v>0</v>
      </c>
      <c r="O3270">
        <v>0</v>
      </c>
      <c r="P3270">
        <v>5500</v>
      </c>
      <c r="R3270" t="s">
        <v>1100</v>
      </c>
      <c r="S3270" t="str">
        <v>#N/A</v>
      </c>
      <c r="T3270" t="str">
        <v>31</v>
      </c>
    </row>
    <row r="3271" spans="1:20" ht="13.7" customHeight="1" x14ac:dyDescent="0.25">
      <c r="E3271" s="5">
        <v>43465</v>
      </c>
      <c r="F3271">
        <v>51953001</v>
      </c>
      <c r="G3271" t="s">
        <v>1057</v>
      </c>
      <c r="H3271" t="s">
        <v>1637</v>
      </c>
      <c r="I3271" t="s">
        <v>1638</v>
      </c>
      <c r="J3271">
        <v>0</v>
      </c>
      <c r="K3271">
        <v>0</v>
      </c>
      <c r="L3271" s="3">
        <v>12605</v>
      </c>
      <c r="M3271" s="3">
        <v>0</v>
      </c>
      <c r="N3271">
        <v>0</v>
      </c>
      <c r="O3271">
        <v>0</v>
      </c>
      <c r="P3271">
        <v>12605</v>
      </c>
      <c r="R3271" t="s">
        <v>1100</v>
      </c>
      <c r="S3271" t="str">
        <v>#N/A</v>
      </c>
      <c r="T3271" t="str">
        <v>#N/A</v>
      </c>
    </row>
    <row r="3272" spans="1:20" ht="13.7" customHeight="1" x14ac:dyDescent="0.25">
      <c r="E3272" s="5">
        <v>43465</v>
      </c>
      <c r="F3272">
        <v>51953001</v>
      </c>
      <c r="G3272" t="s">
        <v>1057</v>
      </c>
      <c r="H3272" t="s">
        <v>1689</v>
      </c>
      <c r="I3272" t="s">
        <v>1690</v>
      </c>
      <c r="J3272">
        <v>0</v>
      </c>
      <c r="K3272">
        <v>0</v>
      </c>
      <c r="L3272" s="3">
        <v>0</v>
      </c>
      <c r="M3272" s="3">
        <v>0</v>
      </c>
      <c r="N3272">
        <v>0</v>
      </c>
      <c r="O3272">
        <v>0</v>
      </c>
      <c r="P3272">
        <v>0</v>
      </c>
      <c r="R3272" t="s">
        <v>1100</v>
      </c>
      <c r="S3272" t="str">
        <v>#N/A</v>
      </c>
      <c r="T3272" t="str">
        <v>13</v>
      </c>
    </row>
    <row r="3273" spans="1:20" ht="13.7" customHeight="1" x14ac:dyDescent="0.25">
      <c r="A3273" t="s">
        <v>26</v>
      </c>
      <c r="B3273" t="s">
        <v>27</v>
      </c>
      <c r="C3273" t="s">
        <v>40</v>
      </c>
      <c r="D3273">
        <v>2</v>
      </c>
      <c r="E3273" s="5">
        <v>43742</v>
      </c>
      <c r="F3273">
        <v>51953001</v>
      </c>
      <c r="G3273" t="s">
        <v>1057</v>
      </c>
      <c r="H3273" t="s">
        <v>1689</v>
      </c>
      <c r="I3273" t="s">
        <v>1690</v>
      </c>
      <c r="J3273">
        <v>1001</v>
      </c>
      <c r="K3273">
        <v>5016</v>
      </c>
      <c r="L3273" s="3">
        <v>0</v>
      </c>
      <c r="M3273" s="3">
        <v>40000</v>
      </c>
      <c r="N3273">
        <v>0</v>
      </c>
      <c r="O3273">
        <v>0</v>
      </c>
      <c r="P3273">
        <v>40000</v>
      </c>
      <c r="Q3273" t="s">
        <v>30</v>
      </c>
      <c r="R3273" t="s">
        <v>162</v>
      </c>
      <c r="S3273" t="str">
        <v>#N/A</v>
      </c>
      <c r="T3273" t="str">
        <v>13</v>
      </c>
    </row>
    <row r="3274" spans="1:20" ht="13.7" customHeight="1" x14ac:dyDescent="0.25">
      <c r="E3274" s="5">
        <v>43465</v>
      </c>
      <c r="F3274">
        <v>51953001</v>
      </c>
      <c r="G3274" t="s">
        <v>1057</v>
      </c>
      <c r="H3274" t="s">
        <v>1519</v>
      </c>
      <c r="I3274" t="s">
        <v>1520</v>
      </c>
      <c r="J3274">
        <v>0</v>
      </c>
      <c r="K3274">
        <v>0</v>
      </c>
      <c r="L3274" s="3">
        <v>2100</v>
      </c>
      <c r="M3274" s="3">
        <v>0</v>
      </c>
      <c r="N3274">
        <v>0</v>
      </c>
      <c r="O3274">
        <v>0</v>
      </c>
      <c r="P3274">
        <v>2100</v>
      </c>
      <c r="R3274" t="s">
        <v>1100</v>
      </c>
      <c r="S3274" t="str">
        <v>#N/A</v>
      </c>
      <c r="T3274" t="str">
        <v>#N/A</v>
      </c>
    </row>
    <row r="3275" spans="1:20" ht="13.7" customHeight="1" x14ac:dyDescent="0.25">
      <c r="E3275" s="5">
        <v>43465</v>
      </c>
      <c r="F3275">
        <v>51953501</v>
      </c>
      <c r="G3275" t="s">
        <v>1058</v>
      </c>
      <c r="H3275" t="s">
        <v>1301</v>
      </c>
      <c r="I3275" t="s">
        <v>1302</v>
      </c>
      <c r="J3275">
        <v>0</v>
      </c>
      <c r="K3275">
        <v>0</v>
      </c>
      <c r="L3275" s="3">
        <v>128796</v>
      </c>
      <c r="M3275" s="3">
        <v>0</v>
      </c>
      <c r="N3275">
        <v>0</v>
      </c>
      <c r="O3275">
        <v>0</v>
      </c>
      <c r="P3275">
        <v>128796</v>
      </c>
      <c r="R3275" t="s">
        <v>1100</v>
      </c>
      <c r="S3275" t="str">
        <v>#N/A</v>
      </c>
      <c r="T3275" t="str">
        <v>31</v>
      </c>
    </row>
    <row r="3276" spans="1:20" ht="13.7" customHeight="1" x14ac:dyDescent="0.25">
      <c r="E3276" s="5">
        <v>43465</v>
      </c>
      <c r="F3276">
        <v>51953501</v>
      </c>
      <c r="G3276" t="s">
        <v>1058</v>
      </c>
      <c r="H3276" t="s">
        <v>1691</v>
      </c>
      <c r="I3276" t="s">
        <v>1692</v>
      </c>
      <c r="J3276">
        <v>0</v>
      </c>
      <c r="K3276">
        <v>0</v>
      </c>
      <c r="L3276" s="3">
        <v>0</v>
      </c>
      <c r="M3276" s="3">
        <v>0</v>
      </c>
      <c r="N3276">
        <v>0</v>
      </c>
      <c r="O3276">
        <v>0</v>
      </c>
      <c r="P3276">
        <v>0</v>
      </c>
      <c r="R3276" t="s">
        <v>1100</v>
      </c>
      <c r="S3276" t="str">
        <v>#N/A</v>
      </c>
      <c r="T3276" t="str">
        <v>#N/A</v>
      </c>
    </row>
    <row r="3277" spans="1:20" ht="13.7" customHeight="1" x14ac:dyDescent="0.25">
      <c r="A3277" t="s">
        <v>26</v>
      </c>
      <c r="B3277" t="s">
        <v>27</v>
      </c>
      <c r="C3277" t="s">
        <v>180</v>
      </c>
      <c r="D3277">
        <v>77</v>
      </c>
      <c r="E3277" s="5">
        <v>43826</v>
      </c>
      <c r="F3277">
        <v>51953501</v>
      </c>
      <c r="G3277" t="s">
        <v>1058</v>
      </c>
      <c r="H3277" t="s">
        <v>1691</v>
      </c>
      <c r="I3277" t="s">
        <v>1692</v>
      </c>
      <c r="J3277">
        <v>1001</v>
      </c>
      <c r="K3277">
        <v>5016</v>
      </c>
      <c r="L3277" s="3">
        <v>0</v>
      </c>
      <c r="M3277" s="3">
        <v>100006</v>
      </c>
      <c r="N3277">
        <v>0</v>
      </c>
      <c r="O3277">
        <v>0</v>
      </c>
      <c r="P3277">
        <v>100006</v>
      </c>
      <c r="Q3277" t="s">
        <v>30</v>
      </c>
      <c r="R3277" t="s">
        <v>158</v>
      </c>
      <c r="S3277" t="str">
        <v>#N/A</v>
      </c>
      <c r="T3277" t="str">
        <v>#N/A</v>
      </c>
    </row>
    <row r="3278" spans="1:20" ht="13.7" customHeight="1" x14ac:dyDescent="0.25">
      <c r="E3278" s="5">
        <v>43465</v>
      </c>
      <c r="F3278">
        <v>51953501</v>
      </c>
      <c r="G3278" t="s">
        <v>1058</v>
      </c>
      <c r="H3278" t="s">
        <v>1303</v>
      </c>
      <c r="I3278" t="s">
        <v>1304</v>
      </c>
      <c r="J3278">
        <v>0</v>
      </c>
      <c r="K3278">
        <v>0</v>
      </c>
      <c r="L3278" s="3">
        <v>10000</v>
      </c>
      <c r="M3278" s="3">
        <v>0</v>
      </c>
      <c r="N3278">
        <v>0</v>
      </c>
      <c r="O3278">
        <v>0</v>
      </c>
      <c r="P3278">
        <v>10000</v>
      </c>
      <c r="R3278" t="s">
        <v>1100</v>
      </c>
      <c r="S3278" t="str">
        <v>#N/A</v>
      </c>
      <c r="T3278" t="str">
        <v>#N/A</v>
      </c>
    </row>
    <row r="3279" spans="1:20" ht="13.7" customHeight="1" x14ac:dyDescent="0.25">
      <c r="A3279" t="s">
        <v>26</v>
      </c>
      <c r="B3279" t="s">
        <v>27</v>
      </c>
      <c r="C3279" t="s">
        <v>91</v>
      </c>
      <c r="D3279">
        <v>36</v>
      </c>
      <c r="E3279" s="5">
        <v>43538</v>
      </c>
      <c r="F3279">
        <v>51953501</v>
      </c>
      <c r="G3279" t="s">
        <v>1058</v>
      </c>
      <c r="H3279" t="s">
        <v>1303</v>
      </c>
      <c r="I3279" t="s">
        <v>1304</v>
      </c>
      <c r="J3279">
        <v>1001</v>
      </c>
      <c r="K3279">
        <v>5016</v>
      </c>
      <c r="L3279" s="3">
        <v>10000</v>
      </c>
      <c r="M3279" s="3">
        <v>20000</v>
      </c>
      <c r="N3279">
        <v>0</v>
      </c>
      <c r="O3279">
        <v>0</v>
      </c>
      <c r="P3279">
        <v>30000</v>
      </c>
      <c r="Q3279" t="s">
        <v>30</v>
      </c>
      <c r="R3279" t="s">
        <v>99</v>
      </c>
      <c r="S3279" t="str">
        <v>#N/A</v>
      </c>
      <c r="T3279" t="str">
        <v>#N/A</v>
      </c>
    </row>
    <row r="3280" spans="1:20" ht="13.7" customHeight="1" x14ac:dyDescent="0.25">
      <c r="E3280" s="5">
        <v>43465</v>
      </c>
      <c r="F3280">
        <v>51953501</v>
      </c>
      <c r="G3280" t="s">
        <v>1058</v>
      </c>
      <c r="H3280" t="s">
        <v>1253</v>
      </c>
      <c r="I3280" t="s">
        <v>1254</v>
      </c>
      <c r="J3280">
        <v>0</v>
      </c>
      <c r="K3280">
        <v>0</v>
      </c>
      <c r="L3280" s="3">
        <v>2500</v>
      </c>
      <c r="M3280" s="3">
        <v>0</v>
      </c>
      <c r="N3280">
        <v>0</v>
      </c>
      <c r="O3280">
        <v>0</v>
      </c>
      <c r="P3280">
        <v>2500</v>
      </c>
      <c r="R3280" t="s">
        <v>1100</v>
      </c>
      <c r="S3280" t="str">
        <v>#N/A</v>
      </c>
      <c r="T3280" t="str">
        <v>#N/A</v>
      </c>
    </row>
    <row r="3281" spans="1:20" ht="13.7" customHeight="1" x14ac:dyDescent="0.25">
      <c r="E3281" s="5">
        <v>43465</v>
      </c>
      <c r="F3281">
        <v>51953501</v>
      </c>
      <c r="G3281" t="s">
        <v>1058</v>
      </c>
      <c r="H3281" t="s">
        <v>1693</v>
      </c>
      <c r="I3281" t="s">
        <v>1694</v>
      </c>
      <c r="J3281">
        <v>0</v>
      </c>
      <c r="K3281">
        <v>0</v>
      </c>
      <c r="L3281" s="3">
        <v>0</v>
      </c>
      <c r="M3281" s="3">
        <v>0</v>
      </c>
      <c r="N3281">
        <v>0</v>
      </c>
      <c r="O3281">
        <v>0</v>
      </c>
      <c r="P3281">
        <v>0</v>
      </c>
      <c r="R3281" t="s">
        <v>1100</v>
      </c>
      <c r="S3281" t="str">
        <v>#N/A</v>
      </c>
      <c r="T3281" t="str">
        <v>#N/A</v>
      </c>
    </row>
    <row r="3282" spans="1:20" ht="13.7" customHeight="1" x14ac:dyDescent="0.25">
      <c r="A3282" t="s">
        <v>26</v>
      </c>
      <c r="B3282" t="s">
        <v>27</v>
      </c>
      <c r="C3282" t="s">
        <v>180</v>
      </c>
      <c r="D3282">
        <v>87</v>
      </c>
      <c r="E3282" s="5">
        <v>43822</v>
      </c>
      <c r="F3282">
        <v>51953501</v>
      </c>
      <c r="G3282" t="s">
        <v>1058</v>
      </c>
      <c r="H3282" t="s">
        <v>1693</v>
      </c>
      <c r="I3282" t="s">
        <v>1694</v>
      </c>
      <c r="J3282">
        <v>1001</v>
      </c>
      <c r="K3282">
        <v>5016</v>
      </c>
      <c r="L3282" s="3">
        <v>0</v>
      </c>
      <c r="M3282" s="3">
        <v>115736</v>
      </c>
      <c r="N3282">
        <v>0</v>
      </c>
      <c r="O3282">
        <v>0</v>
      </c>
      <c r="P3282">
        <v>115736</v>
      </c>
      <c r="Q3282" t="s">
        <v>30</v>
      </c>
      <c r="R3282" t="s">
        <v>158</v>
      </c>
      <c r="S3282" t="str">
        <v>#N/A</v>
      </c>
      <c r="T3282" t="str">
        <v>#N/A</v>
      </c>
    </row>
    <row r="3283" spans="1:20" ht="13.7" customHeight="1" x14ac:dyDescent="0.25">
      <c r="E3283" s="5">
        <v>43465</v>
      </c>
      <c r="F3283">
        <v>51953501</v>
      </c>
      <c r="G3283" t="s">
        <v>1058</v>
      </c>
      <c r="H3283" t="s">
        <v>1299</v>
      </c>
      <c r="I3283" t="s">
        <v>1300</v>
      </c>
      <c r="J3283">
        <v>0</v>
      </c>
      <c r="K3283">
        <v>0</v>
      </c>
      <c r="L3283" s="3">
        <v>3498322</v>
      </c>
      <c r="M3283" s="3">
        <v>0</v>
      </c>
      <c r="N3283">
        <v>0</v>
      </c>
      <c r="O3283">
        <v>0</v>
      </c>
      <c r="P3283">
        <v>3498322</v>
      </c>
      <c r="R3283" t="s">
        <v>1100</v>
      </c>
      <c r="S3283" t="str">
        <v>#N/A</v>
      </c>
      <c r="T3283" t="str">
        <v>31</v>
      </c>
    </row>
    <row r="3284" spans="1:20" ht="13.7" customHeight="1" x14ac:dyDescent="0.25">
      <c r="A3284" t="s">
        <v>26</v>
      </c>
      <c r="B3284" t="s">
        <v>27</v>
      </c>
      <c r="C3284" t="s">
        <v>28</v>
      </c>
      <c r="D3284">
        <v>9</v>
      </c>
      <c r="E3284" s="5">
        <v>43469</v>
      </c>
      <c r="F3284">
        <v>51953501</v>
      </c>
      <c r="G3284" t="s">
        <v>1058</v>
      </c>
      <c r="H3284" t="s">
        <v>1299</v>
      </c>
      <c r="I3284" t="s">
        <v>1300</v>
      </c>
      <c r="J3284">
        <v>1001</v>
      </c>
      <c r="K3284">
        <v>5016</v>
      </c>
      <c r="L3284" s="3">
        <v>3498322</v>
      </c>
      <c r="M3284" s="3">
        <v>102012</v>
      </c>
      <c r="N3284">
        <v>0</v>
      </c>
      <c r="O3284">
        <v>0</v>
      </c>
      <c r="P3284">
        <v>3600334</v>
      </c>
      <c r="Q3284" t="s">
        <v>30</v>
      </c>
      <c r="R3284" t="s">
        <v>158</v>
      </c>
      <c r="S3284" t="str">
        <v>#N/A</v>
      </c>
      <c r="T3284" t="str">
        <v>31</v>
      </c>
    </row>
    <row r="3285" spans="1:20" ht="13.7" customHeight="1" x14ac:dyDescent="0.25">
      <c r="A3285" t="s">
        <v>26</v>
      </c>
      <c r="B3285" t="s">
        <v>27</v>
      </c>
      <c r="C3285" t="s">
        <v>28</v>
      </c>
      <c r="D3285">
        <v>14</v>
      </c>
      <c r="E3285" s="5">
        <v>43472</v>
      </c>
      <c r="F3285">
        <v>51953501</v>
      </c>
      <c r="G3285" t="s">
        <v>1058</v>
      </c>
      <c r="H3285" t="s">
        <v>1299</v>
      </c>
      <c r="I3285" t="s">
        <v>1300</v>
      </c>
      <c r="J3285">
        <v>1001</v>
      </c>
      <c r="K3285">
        <v>5016</v>
      </c>
      <c r="L3285" s="3">
        <v>3600334</v>
      </c>
      <c r="M3285" s="3">
        <v>134913</v>
      </c>
      <c r="N3285">
        <v>0</v>
      </c>
      <c r="O3285">
        <v>0</v>
      </c>
      <c r="P3285">
        <v>3735247</v>
      </c>
      <c r="Q3285" t="s">
        <v>30</v>
      </c>
      <c r="R3285" t="s">
        <v>158</v>
      </c>
      <c r="S3285" t="str">
        <v>#N/A</v>
      </c>
      <c r="T3285" t="str">
        <v>31</v>
      </c>
    </row>
    <row r="3286" spans="1:20" ht="13.7" customHeight="1" x14ac:dyDescent="0.25">
      <c r="A3286" t="s">
        <v>26</v>
      </c>
      <c r="B3286" t="s">
        <v>27</v>
      </c>
      <c r="C3286" t="s">
        <v>28</v>
      </c>
      <c r="D3286">
        <v>52</v>
      </c>
      <c r="E3286" s="5">
        <v>43484</v>
      </c>
      <c r="F3286">
        <v>51953501</v>
      </c>
      <c r="G3286" t="s">
        <v>1058</v>
      </c>
      <c r="H3286" t="s">
        <v>1299</v>
      </c>
      <c r="I3286" t="s">
        <v>1300</v>
      </c>
      <c r="J3286">
        <v>1001</v>
      </c>
      <c r="K3286">
        <v>5016</v>
      </c>
      <c r="L3286" s="3">
        <v>3735247</v>
      </c>
      <c r="M3286" s="3">
        <v>124017</v>
      </c>
      <c r="N3286">
        <v>0</v>
      </c>
      <c r="O3286">
        <v>0</v>
      </c>
      <c r="P3286">
        <v>3859264</v>
      </c>
      <c r="Q3286" t="s">
        <v>30</v>
      </c>
      <c r="R3286" t="s">
        <v>158</v>
      </c>
      <c r="S3286" t="str">
        <v>#N/A</v>
      </c>
      <c r="T3286" t="str">
        <v>31</v>
      </c>
    </row>
    <row r="3287" spans="1:20" ht="13.7" customHeight="1" x14ac:dyDescent="0.25">
      <c r="A3287" t="s">
        <v>26</v>
      </c>
      <c r="B3287" t="s">
        <v>27</v>
      </c>
      <c r="C3287" t="s">
        <v>28</v>
      </c>
      <c r="D3287">
        <v>69</v>
      </c>
      <c r="E3287" s="5">
        <v>43492</v>
      </c>
      <c r="F3287">
        <v>51953501</v>
      </c>
      <c r="G3287" t="s">
        <v>1058</v>
      </c>
      <c r="H3287" t="s">
        <v>1299</v>
      </c>
      <c r="I3287" t="s">
        <v>1300</v>
      </c>
      <c r="J3287">
        <v>1001</v>
      </c>
      <c r="K3287">
        <v>5016</v>
      </c>
      <c r="L3287" s="3">
        <v>3859264</v>
      </c>
      <c r="M3287" s="3">
        <v>114883</v>
      </c>
      <c r="N3287">
        <v>0</v>
      </c>
      <c r="O3287">
        <v>0</v>
      </c>
      <c r="P3287">
        <v>3974147</v>
      </c>
      <c r="Q3287" t="s">
        <v>30</v>
      </c>
      <c r="R3287" t="s">
        <v>158</v>
      </c>
      <c r="S3287" t="str">
        <v>#N/A</v>
      </c>
      <c r="T3287" t="str">
        <v>31</v>
      </c>
    </row>
    <row r="3288" spans="1:20" ht="13.7" customHeight="1" x14ac:dyDescent="0.25">
      <c r="A3288" t="s">
        <v>26</v>
      </c>
      <c r="B3288" t="s">
        <v>27</v>
      </c>
      <c r="C3288" t="s">
        <v>32</v>
      </c>
      <c r="D3288">
        <v>33</v>
      </c>
      <c r="E3288" s="5">
        <v>43512</v>
      </c>
      <c r="F3288">
        <v>51953501</v>
      </c>
      <c r="G3288" t="s">
        <v>1058</v>
      </c>
      <c r="H3288" t="s">
        <v>1299</v>
      </c>
      <c r="I3288" t="s">
        <v>1300</v>
      </c>
      <c r="J3288">
        <v>1001</v>
      </c>
      <c r="K3288">
        <v>5016</v>
      </c>
      <c r="L3288" s="3">
        <v>3974147</v>
      </c>
      <c r="M3288" s="3">
        <v>135459</v>
      </c>
      <c r="N3288">
        <v>0</v>
      </c>
      <c r="O3288">
        <v>0</v>
      </c>
      <c r="P3288">
        <v>4109606</v>
      </c>
      <c r="Q3288" t="s">
        <v>30</v>
      </c>
      <c r="R3288" t="s">
        <v>158</v>
      </c>
      <c r="S3288" t="str">
        <v>#N/A</v>
      </c>
      <c r="T3288" t="str">
        <v>31</v>
      </c>
    </row>
    <row r="3289" spans="1:20" ht="13.7" customHeight="1" x14ac:dyDescent="0.25">
      <c r="A3289" t="s">
        <v>26</v>
      </c>
      <c r="B3289" t="s">
        <v>27</v>
      </c>
      <c r="C3289" t="s">
        <v>32</v>
      </c>
      <c r="D3289">
        <v>49</v>
      </c>
      <c r="E3289" s="5">
        <v>43520</v>
      </c>
      <c r="F3289">
        <v>51953501</v>
      </c>
      <c r="G3289" t="s">
        <v>1058</v>
      </c>
      <c r="H3289" t="s">
        <v>1299</v>
      </c>
      <c r="I3289" t="s">
        <v>1300</v>
      </c>
      <c r="J3289">
        <v>1001</v>
      </c>
      <c r="K3289">
        <v>5016</v>
      </c>
      <c r="L3289" s="3">
        <v>4109606</v>
      </c>
      <c r="M3289" s="3">
        <v>98057</v>
      </c>
      <c r="N3289">
        <v>0</v>
      </c>
      <c r="O3289">
        <v>0</v>
      </c>
      <c r="P3289">
        <v>4207663</v>
      </c>
      <c r="Q3289" t="s">
        <v>30</v>
      </c>
      <c r="R3289" t="s">
        <v>158</v>
      </c>
      <c r="S3289" t="str">
        <v>#N/A</v>
      </c>
      <c r="T3289" t="str">
        <v>31</v>
      </c>
    </row>
    <row r="3290" spans="1:20" ht="13.7" customHeight="1" x14ac:dyDescent="0.25">
      <c r="A3290" t="s">
        <v>26</v>
      </c>
      <c r="B3290" t="s">
        <v>27</v>
      </c>
      <c r="C3290" t="s">
        <v>91</v>
      </c>
      <c r="D3290">
        <v>8</v>
      </c>
      <c r="E3290" s="5">
        <v>43526</v>
      </c>
      <c r="F3290">
        <v>51953501</v>
      </c>
      <c r="G3290" t="s">
        <v>1058</v>
      </c>
      <c r="H3290" t="s">
        <v>1299</v>
      </c>
      <c r="I3290" t="s">
        <v>1300</v>
      </c>
      <c r="J3290">
        <v>1001</v>
      </c>
      <c r="K3290">
        <v>5016</v>
      </c>
      <c r="L3290" s="3">
        <v>4207663</v>
      </c>
      <c r="M3290" s="3">
        <v>107674</v>
      </c>
      <c r="N3290">
        <v>0</v>
      </c>
      <c r="O3290">
        <v>0</v>
      </c>
      <c r="P3290">
        <v>4315337</v>
      </c>
      <c r="Q3290" t="s">
        <v>30</v>
      </c>
      <c r="R3290" t="s">
        <v>158</v>
      </c>
      <c r="S3290" t="str">
        <v>#N/A</v>
      </c>
      <c r="T3290" t="str">
        <v>31</v>
      </c>
    </row>
    <row r="3291" spans="1:20" ht="13.7" customHeight="1" x14ac:dyDescent="0.25">
      <c r="A3291" t="s">
        <v>26</v>
      </c>
      <c r="B3291" t="s">
        <v>27</v>
      </c>
      <c r="C3291" t="s">
        <v>91</v>
      </c>
      <c r="D3291">
        <v>9</v>
      </c>
      <c r="E3291" s="5">
        <v>43527</v>
      </c>
      <c r="F3291">
        <v>51953501</v>
      </c>
      <c r="G3291" t="s">
        <v>1058</v>
      </c>
      <c r="H3291" t="s">
        <v>1299</v>
      </c>
      <c r="I3291" t="s">
        <v>1300</v>
      </c>
      <c r="J3291">
        <v>1001</v>
      </c>
      <c r="K3291">
        <v>5016</v>
      </c>
      <c r="L3291" s="3">
        <v>4315337</v>
      </c>
      <c r="M3291" s="3">
        <v>124307</v>
      </c>
      <c r="N3291">
        <v>0</v>
      </c>
      <c r="O3291">
        <v>0</v>
      </c>
      <c r="P3291">
        <v>4439644</v>
      </c>
      <c r="Q3291" t="s">
        <v>30</v>
      </c>
      <c r="R3291" t="s">
        <v>158</v>
      </c>
      <c r="S3291" t="str">
        <v>#N/A</v>
      </c>
      <c r="T3291" t="str">
        <v>31</v>
      </c>
    </row>
    <row r="3292" spans="1:20" ht="13.7" customHeight="1" x14ac:dyDescent="0.25">
      <c r="A3292" t="s">
        <v>26</v>
      </c>
      <c r="B3292" t="s">
        <v>27</v>
      </c>
      <c r="C3292" t="s">
        <v>91</v>
      </c>
      <c r="D3292">
        <v>28</v>
      </c>
      <c r="E3292" s="5">
        <v>43534</v>
      </c>
      <c r="F3292">
        <v>51953501</v>
      </c>
      <c r="G3292" t="s">
        <v>1058</v>
      </c>
      <c r="H3292" t="s">
        <v>1299</v>
      </c>
      <c r="I3292" t="s">
        <v>1300</v>
      </c>
      <c r="J3292">
        <v>1001</v>
      </c>
      <c r="K3292">
        <v>5016</v>
      </c>
      <c r="L3292" s="3">
        <v>4439644</v>
      </c>
      <c r="M3292" s="3">
        <v>77577</v>
      </c>
      <c r="N3292">
        <v>0</v>
      </c>
      <c r="O3292">
        <v>0</v>
      </c>
      <c r="P3292">
        <v>4517221</v>
      </c>
      <c r="Q3292" t="s">
        <v>30</v>
      </c>
      <c r="R3292" t="s">
        <v>540</v>
      </c>
      <c r="S3292" t="str">
        <v>#N/A</v>
      </c>
      <c r="T3292" t="str">
        <v>31</v>
      </c>
    </row>
    <row r="3293" spans="1:20" ht="13.7" customHeight="1" x14ac:dyDescent="0.25">
      <c r="A3293" t="s">
        <v>26</v>
      </c>
      <c r="B3293" t="s">
        <v>27</v>
      </c>
      <c r="C3293" t="s">
        <v>91</v>
      </c>
      <c r="D3293">
        <v>40</v>
      </c>
      <c r="E3293" s="5">
        <v>43540</v>
      </c>
      <c r="F3293">
        <v>51953501</v>
      </c>
      <c r="G3293" t="s">
        <v>1058</v>
      </c>
      <c r="H3293" t="s">
        <v>1299</v>
      </c>
      <c r="I3293" t="s">
        <v>1300</v>
      </c>
      <c r="J3293">
        <v>1001</v>
      </c>
      <c r="K3293">
        <v>5016</v>
      </c>
      <c r="L3293" s="3">
        <v>4517221</v>
      </c>
      <c r="M3293" s="3">
        <v>124441</v>
      </c>
      <c r="N3293">
        <v>0</v>
      </c>
      <c r="O3293">
        <v>0</v>
      </c>
      <c r="P3293">
        <v>4641662</v>
      </c>
      <c r="Q3293" t="s">
        <v>30</v>
      </c>
      <c r="R3293" t="s">
        <v>99</v>
      </c>
      <c r="S3293" t="str">
        <v>#N/A</v>
      </c>
      <c r="T3293" t="str">
        <v>31</v>
      </c>
    </row>
    <row r="3294" spans="1:20" ht="13.7" customHeight="1" x14ac:dyDescent="0.25">
      <c r="A3294" t="s">
        <v>26</v>
      </c>
      <c r="B3294" t="s">
        <v>27</v>
      </c>
      <c r="C3294" t="s">
        <v>91</v>
      </c>
      <c r="D3294">
        <v>74</v>
      </c>
      <c r="E3294" s="5">
        <v>43555</v>
      </c>
      <c r="F3294">
        <v>51953501</v>
      </c>
      <c r="G3294" t="s">
        <v>1058</v>
      </c>
      <c r="H3294" t="s">
        <v>1299</v>
      </c>
      <c r="I3294" t="s">
        <v>1300</v>
      </c>
      <c r="J3294">
        <v>1001</v>
      </c>
      <c r="K3294">
        <v>5016</v>
      </c>
      <c r="L3294" s="3">
        <v>4641662</v>
      </c>
      <c r="M3294" s="3">
        <v>109841</v>
      </c>
      <c r="N3294">
        <v>0</v>
      </c>
      <c r="O3294">
        <v>0</v>
      </c>
      <c r="P3294">
        <v>4751503</v>
      </c>
      <c r="Q3294" t="s">
        <v>30</v>
      </c>
      <c r="R3294" t="s">
        <v>158</v>
      </c>
      <c r="S3294" t="str">
        <v>#N/A</v>
      </c>
      <c r="T3294" t="str">
        <v>31</v>
      </c>
    </row>
    <row r="3295" spans="1:20" ht="13.7" customHeight="1" x14ac:dyDescent="0.25">
      <c r="E3295" s="5">
        <v>43465</v>
      </c>
      <c r="F3295">
        <v>51953501</v>
      </c>
      <c r="G3295" t="s">
        <v>1058</v>
      </c>
      <c r="H3295" t="s">
        <v>1695</v>
      </c>
      <c r="I3295" t="s">
        <v>1696</v>
      </c>
      <c r="J3295">
        <v>0</v>
      </c>
      <c r="K3295">
        <v>0</v>
      </c>
      <c r="L3295" s="3">
        <v>37000</v>
      </c>
      <c r="M3295" s="3">
        <v>0</v>
      </c>
      <c r="N3295">
        <v>0</v>
      </c>
      <c r="O3295">
        <v>0</v>
      </c>
      <c r="P3295">
        <v>37000</v>
      </c>
      <c r="R3295" t="s">
        <v>1100</v>
      </c>
      <c r="S3295" t="str">
        <v>#N/A</v>
      </c>
      <c r="T3295" t="str">
        <v>#N/A</v>
      </c>
    </row>
    <row r="3296" spans="1:20" ht="13.7" customHeight="1" x14ac:dyDescent="0.25">
      <c r="E3296" s="5">
        <v>43465</v>
      </c>
      <c r="F3296">
        <v>51953501</v>
      </c>
      <c r="G3296" t="s">
        <v>1058</v>
      </c>
      <c r="H3296" t="s">
        <v>1305</v>
      </c>
      <c r="I3296" t="s">
        <v>1306</v>
      </c>
      <c r="J3296">
        <v>0</v>
      </c>
      <c r="K3296">
        <v>0</v>
      </c>
      <c r="L3296" s="3">
        <v>10734</v>
      </c>
      <c r="M3296" s="3">
        <v>0</v>
      </c>
      <c r="N3296">
        <v>0</v>
      </c>
      <c r="O3296">
        <v>0</v>
      </c>
      <c r="P3296">
        <v>10734</v>
      </c>
      <c r="R3296" t="s">
        <v>1100</v>
      </c>
      <c r="S3296" t="str">
        <v>#N/A</v>
      </c>
      <c r="T3296" t="str">
        <v>#N/A</v>
      </c>
    </row>
    <row r="3297" spans="1:20" ht="13.7" customHeight="1" x14ac:dyDescent="0.25">
      <c r="A3297" t="s">
        <v>26</v>
      </c>
      <c r="B3297" t="s">
        <v>27</v>
      </c>
      <c r="C3297" t="s">
        <v>37</v>
      </c>
      <c r="D3297">
        <v>65</v>
      </c>
      <c r="E3297" s="5">
        <v>43676</v>
      </c>
      <c r="F3297">
        <v>51953501</v>
      </c>
      <c r="G3297" t="s">
        <v>1058</v>
      </c>
      <c r="H3297" t="s">
        <v>1305</v>
      </c>
      <c r="I3297" t="s">
        <v>1306</v>
      </c>
      <c r="J3297">
        <v>1001</v>
      </c>
      <c r="K3297">
        <v>5016</v>
      </c>
      <c r="L3297" s="3">
        <v>10734</v>
      </c>
      <c r="M3297" s="3">
        <v>10886</v>
      </c>
      <c r="N3297">
        <v>0</v>
      </c>
      <c r="O3297">
        <v>0</v>
      </c>
      <c r="P3297">
        <v>21620</v>
      </c>
      <c r="Q3297" t="s">
        <v>30</v>
      </c>
      <c r="R3297" t="s">
        <v>158</v>
      </c>
      <c r="S3297" t="str">
        <v>#N/A</v>
      </c>
      <c r="T3297" t="str">
        <v>#N/A</v>
      </c>
    </row>
    <row r="3298" spans="1:20" ht="13.7" customHeight="1" x14ac:dyDescent="0.25">
      <c r="E3298" s="5">
        <v>43465</v>
      </c>
      <c r="F3298">
        <v>51953501</v>
      </c>
      <c r="G3298" t="s">
        <v>1058</v>
      </c>
      <c r="H3298" t="s">
        <v>1261</v>
      </c>
      <c r="I3298" t="s">
        <v>1262</v>
      </c>
      <c r="J3298">
        <v>0</v>
      </c>
      <c r="K3298">
        <v>0</v>
      </c>
      <c r="L3298" s="3">
        <v>0</v>
      </c>
      <c r="M3298" s="3">
        <v>0</v>
      </c>
      <c r="N3298">
        <v>0</v>
      </c>
      <c r="O3298">
        <v>0</v>
      </c>
      <c r="P3298">
        <v>0</v>
      </c>
      <c r="R3298" t="s">
        <v>1100</v>
      </c>
      <c r="S3298" t="str">
        <v>#N/A</v>
      </c>
      <c r="T3298" t="str">
        <v>#N/A</v>
      </c>
    </row>
    <row r="3299" spans="1:20" ht="13.7" customHeight="1" x14ac:dyDescent="0.25">
      <c r="A3299" t="s">
        <v>26</v>
      </c>
      <c r="B3299" t="s">
        <v>27</v>
      </c>
      <c r="C3299" t="s">
        <v>34</v>
      </c>
      <c r="D3299">
        <v>29</v>
      </c>
      <c r="E3299" s="5">
        <v>43568</v>
      </c>
      <c r="F3299">
        <v>51953501</v>
      </c>
      <c r="G3299" t="s">
        <v>1058</v>
      </c>
      <c r="H3299" t="s">
        <v>1261</v>
      </c>
      <c r="I3299" t="s">
        <v>1262</v>
      </c>
      <c r="J3299">
        <v>1001</v>
      </c>
      <c r="K3299">
        <v>5016</v>
      </c>
      <c r="L3299" s="3">
        <v>0</v>
      </c>
      <c r="M3299" s="3">
        <v>70016</v>
      </c>
      <c r="N3299">
        <v>0</v>
      </c>
      <c r="O3299">
        <v>0</v>
      </c>
      <c r="P3299">
        <v>70016</v>
      </c>
      <c r="Q3299" t="s">
        <v>30</v>
      </c>
      <c r="R3299" t="s">
        <v>158</v>
      </c>
      <c r="S3299" t="str">
        <v>#N/A</v>
      </c>
      <c r="T3299" t="str">
        <v>#N/A</v>
      </c>
    </row>
    <row r="3300" spans="1:20" ht="13.7" customHeight="1" x14ac:dyDescent="0.25">
      <c r="A3300" t="s">
        <v>26</v>
      </c>
      <c r="B3300" t="s">
        <v>27</v>
      </c>
      <c r="C3300" t="s">
        <v>34</v>
      </c>
      <c r="D3300">
        <v>30</v>
      </c>
      <c r="E3300" s="5">
        <v>43568</v>
      </c>
      <c r="F3300">
        <v>51953501</v>
      </c>
      <c r="G3300" t="s">
        <v>1058</v>
      </c>
      <c r="H3300" t="s">
        <v>1261</v>
      </c>
      <c r="I3300" t="s">
        <v>1262</v>
      </c>
      <c r="J3300">
        <v>1001</v>
      </c>
      <c r="K3300">
        <v>5016</v>
      </c>
      <c r="L3300" s="3">
        <v>70016</v>
      </c>
      <c r="M3300" s="3">
        <v>127338</v>
      </c>
      <c r="N3300">
        <v>0</v>
      </c>
      <c r="O3300">
        <v>0</v>
      </c>
      <c r="P3300">
        <v>197354</v>
      </c>
      <c r="Q3300" t="s">
        <v>30</v>
      </c>
      <c r="R3300" t="s">
        <v>158</v>
      </c>
      <c r="S3300" t="str">
        <v>#N/A</v>
      </c>
      <c r="T3300" t="str">
        <v>#N/A</v>
      </c>
    </row>
    <row r="3301" spans="1:20" ht="13.7" customHeight="1" x14ac:dyDescent="0.25">
      <c r="A3301" t="s">
        <v>26</v>
      </c>
      <c r="B3301" t="s">
        <v>27</v>
      </c>
      <c r="C3301" t="s">
        <v>34</v>
      </c>
      <c r="D3301">
        <v>48</v>
      </c>
      <c r="E3301" s="5">
        <v>43576</v>
      </c>
      <c r="F3301">
        <v>51953501</v>
      </c>
      <c r="G3301" t="s">
        <v>1058</v>
      </c>
      <c r="H3301" t="s">
        <v>1261</v>
      </c>
      <c r="I3301" t="s">
        <v>1262</v>
      </c>
      <c r="J3301">
        <v>1001</v>
      </c>
      <c r="K3301">
        <v>5016</v>
      </c>
      <c r="L3301" s="3">
        <v>197354</v>
      </c>
      <c r="M3301" s="3">
        <v>120000</v>
      </c>
      <c r="N3301">
        <v>0</v>
      </c>
      <c r="O3301">
        <v>0</v>
      </c>
      <c r="P3301">
        <v>317354</v>
      </c>
      <c r="Q3301" t="s">
        <v>30</v>
      </c>
      <c r="R3301" t="s">
        <v>158</v>
      </c>
      <c r="S3301" t="str">
        <v>#N/A</v>
      </c>
      <c r="T3301" t="str">
        <v>#N/A</v>
      </c>
    </row>
    <row r="3302" spans="1:20" ht="13.7" customHeight="1" x14ac:dyDescent="0.25">
      <c r="A3302" t="s">
        <v>26</v>
      </c>
      <c r="B3302" t="s">
        <v>27</v>
      </c>
      <c r="C3302" t="s">
        <v>34</v>
      </c>
      <c r="D3302">
        <v>64</v>
      </c>
      <c r="E3302" s="5">
        <v>43583</v>
      </c>
      <c r="F3302">
        <v>51953501</v>
      </c>
      <c r="G3302" t="s">
        <v>1058</v>
      </c>
      <c r="H3302" t="s">
        <v>1261</v>
      </c>
      <c r="I3302" t="s">
        <v>1262</v>
      </c>
      <c r="J3302">
        <v>1001</v>
      </c>
      <c r="K3302">
        <v>5016</v>
      </c>
      <c r="L3302" s="3">
        <v>317354</v>
      </c>
      <c r="M3302" s="3">
        <v>110378</v>
      </c>
      <c r="N3302">
        <v>0</v>
      </c>
      <c r="O3302">
        <v>0</v>
      </c>
      <c r="P3302">
        <v>427732</v>
      </c>
      <c r="Q3302" t="s">
        <v>30</v>
      </c>
      <c r="R3302" t="s">
        <v>158</v>
      </c>
      <c r="S3302" t="str">
        <v>#N/A</v>
      </c>
      <c r="T3302" t="str">
        <v>#N/A</v>
      </c>
    </row>
    <row r="3303" spans="1:20" ht="13.7" customHeight="1" x14ac:dyDescent="0.25">
      <c r="A3303" t="s">
        <v>26</v>
      </c>
      <c r="B3303" t="s">
        <v>27</v>
      </c>
      <c r="C3303" t="s">
        <v>35</v>
      </c>
      <c r="D3303">
        <v>18</v>
      </c>
      <c r="E3303" s="5">
        <v>43589</v>
      </c>
      <c r="F3303">
        <v>51953501</v>
      </c>
      <c r="G3303" t="s">
        <v>1058</v>
      </c>
      <c r="H3303" t="s">
        <v>1261</v>
      </c>
      <c r="I3303" t="s">
        <v>1262</v>
      </c>
      <c r="J3303">
        <v>1001</v>
      </c>
      <c r="K3303">
        <v>5016</v>
      </c>
      <c r="L3303" s="3">
        <v>427732</v>
      </c>
      <c r="M3303" s="3">
        <v>141019</v>
      </c>
      <c r="N3303">
        <v>0</v>
      </c>
      <c r="O3303">
        <v>0</v>
      </c>
      <c r="P3303">
        <v>568751</v>
      </c>
      <c r="Q3303" t="s">
        <v>30</v>
      </c>
      <c r="R3303" t="s">
        <v>158</v>
      </c>
      <c r="S3303" t="str">
        <v>#N/A</v>
      </c>
      <c r="T3303" t="str">
        <v>#N/A</v>
      </c>
    </row>
    <row r="3304" spans="1:20" ht="13.7" customHeight="1" x14ac:dyDescent="0.25">
      <c r="A3304" t="s">
        <v>26</v>
      </c>
      <c r="B3304" t="s">
        <v>27</v>
      </c>
      <c r="C3304" t="s">
        <v>35</v>
      </c>
      <c r="D3304">
        <v>37</v>
      </c>
      <c r="E3304" s="5">
        <v>43596</v>
      </c>
      <c r="F3304">
        <v>51953501</v>
      </c>
      <c r="G3304" t="s">
        <v>1058</v>
      </c>
      <c r="H3304" t="s">
        <v>1261</v>
      </c>
      <c r="I3304" t="s">
        <v>1262</v>
      </c>
      <c r="J3304">
        <v>1001</v>
      </c>
      <c r="K3304">
        <v>5016</v>
      </c>
      <c r="L3304" s="3">
        <v>568751</v>
      </c>
      <c r="M3304" s="3">
        <v>98002</v>
      </c>
      <c r="N3304">
        <v>0</v>
      </c>
      <c r="O3304">
        <v>0</v>
      </c>
      <c r="P3304">
        <v>666753</v>
      </c>
      <c r="Q3304" t="s">
        <v>30</v>
      </c>
      <c r="R3304" t="s">
        <v>158</v>
      </c>
      <c r="S3304" t="str">
        <v>#N/A</v>
      </c>
      <c r="T3304" t="str">
        <v>#N/A</v>
      </c>
    </row>
    <row r="3305" spans="1:20" ht="13.7" customHeight="1" x14ac:dyDescent="0.25">
      <c r="A3305" t="s">
        <v>26</v>
      </c>
      <c r="B3305" t="s">
        <v>27</v>
      </c>
      <c r="C3305" t="s">
        <v>35</v>
      </c>
      <c r="D3305">
        <v>38</v>
      </c>
      <c r="E3305" s="5">
        <v>43597</v>
      </c>
      <c r="F3305">
        <v>51953501</v>
      </c>
      <c r="G3305" t="s">
        <v>1058</v>
      </c>
      <c r="H3305" t="s">
        <v>1261</v>
      </c>
      <c r="I3305" t="s">
        <v>1262</v>
      </c>
      <c r="J3305">
        <v>1001</v>
      </c>
      <c r="K3305">
        <v>5016</v>
      </c>
      <c r="L3305" s="3">
        <v>666753</v>
      </c>
      <c r="M3305" s="3">
        <v>90002</v>
      </c>
      <c r="N3305">
        <v>0</v>
      </c>
      <c r="O3305">
        <v>0</v>
      </c>
      <c r="P3305">
        <v>756755</v>
      </c>
      <c r="Q3305" t="s">
        <v>30</v>
      </c>
      <c r="R3305" t="s">
        <v>158</v>
      </c>
      <c r="S3305" t="str">
        <v>#N/A</v>
      </c>
      <c r="T3305" t="str">
        <v>#N/A</v>
      </c>
    </row>
    <row r="3306" spans="1:20" ht="13.7" customHeight="1" x14ac:dyDescent="0.25">
      <c r="A3306" t="s">
        <v>26</v>
      </c>
      <c r="B3306" t="s">
        <v>27</v>
      </c>
      <c r="C3306" t="s">
        <v>35</v>
      </c>
      <c r="D3306">
        <v>78</v>
      </c>
      <c r="E3306" s="5">
        <v>43608</v>
      </c>
      <c r="F3306">
        <v>51953501</v>
      </c>
      <c r="G3306" t="s">
        <v>1058</v>
      </c>
      <c r="H3306" t="s">
        <v>1261</v>
      </c>
      <c r="I3306" t="s">
        <v>1262</v>
      </c>
      <c r="J3306">
        <v>1001</v>
      </c>
      <c r="K3306">
        <v>5016</v>
      </c>
      <c r="L3306" s="3">
        <v>756755</v>
      </c>
      <c r="M3306" s="3">
        <v>50000</v>
      </c>
      <c r="N3306">
        <v>0</v>
      </c>
      <c r="O3306">
        <v>0</v>
      </c>
      <c r="P3306">
        <v>806755</v>
      </c>
      <c r="Q3306" t="s">
        <v>30</v>
      </c>
      <c r="R3306" t="s">
        <v>158</v>
      </c>
      <c r="S3306" t="str">
        <v>#N/A</v>
      </c>
      <c r="T3306" t="str">
        <v>#N/A</v>
      </c>
    </row>
    <row r="3307" spans="1:20" ht="13.7" customHeight="1" x14ac:dyDescent="0.25">
      <c r="A3307" t="s">
        <v>26</v>
      </c>
      <c r="B3307" t="s">
        <v>27</v>
      </c>
      <c r="C3307" t="s">
        <v>35</v>
      </c>
      <c r="D3307">
        <v>83</v>
      </c>
      <c r="E3307" s="5">
        <v>43610</v>
      </c>
      <c r="F3307">
        <v>51953501</v>
      </c>
      <c r="G3307" t="s">
        <v>1058</v>
      </c>
      <c r="H3307" t="s">
        <v>1261</v>
      </c>
      <c r="I3307" t="s">
        <v>1262</v>
      </c>
      <c r="J3307">
        <v>1001</v>
      </c>
      <c r="K3307">
        <v>5016</v>
      </c>
      <c r="L3307" s="3">
        <v>806755</v>
      </c>
      <c r="M3307" s="3">
        <v>120009</v>
      </c>
      <c r="N3307">
        <v>0</v>
      </c>
      <c r="O3307">
        <v>0</v>
      </c>
      <c r="P3307">
        <v>926764</v>
      </c>
      <c r="Q3307" t="s">
        <v>30</v>
      </c>
      <c r="R3307" t="s">
        <v>158</v>
      </c>
      <c r="S3307" t="str">
        <v>#N/A</v>
      </c>
      <c r="T3307" t="str">
        <v>#N/A</v>
      </c>
    </row>
    <row r="3308" spans="1:20" ht="13.7" customHeight="1" x14ac:dyDescent="0.25">
      <c r="A3308" t="s">
        <v>26</v>
      </c>
      <c r="B3308" t="s">
        <v>27</v>
      </c>
      <c r="C3308" t="s">
        <v>36</v>
      </c>
      <c r="D3308">
        <v>2</v>
      </c>
      <c r="E3308" s="5">
        <v>43617</v>
      </c>
      <c r="F3308">
        <v>51953501</v>
      </c>
      <c r="G3308" t="s">
        <v>1058</v>
      </c>
      <c r="H3308" t="s">
        <v>1261</v>
      </c>
      <c r="I3308" t="s">
        <v>1262</v>
      </c>
      <c r="J3308">
        <v>1001</v>
      </c>
      <c r="K3308">
        <v>5016</v>
      </c>
      <c r="L3308" s="3">
        <v>926764</v>
      </c>
      <c r="M3308" s="3">
        <v>200000</v>
      </c>
      <c r="N3308">
        <v>0</v>
      </c>
      <c r="O3308">
        <v>0</v>
      </c>
      <c r="P3308">
        <v>1126764</v>
      </c>
      <c r="Q3308" t="s">
        <v>30</v>
      </c>
      <c r="R3308" t="s">
        <v>158</v>
      </c>
      <c r="S3308" t="str">
        <v>#N/A</v>
      </c>
      <c r="T3308" t="str">
        <v>#N/A</v>
      </c>
    </row>
    <row r="3309" spans="1:20" ht="13.7" customHeight="1" x14ac:dyDescent="0.25">
      <c r="A3309" t="s">
        <v>26</v>
      </c>
      <c r="B3309" t="s">
        <v>27</v>
      </c>
      <c r="C3309" t="s">
        <v>36</v>
      </c>
      <c r="D3309">
        <v>34</v>
      </c>
      <c r="E3309" s="5">
        <v>43632</v>
      </c>
      <c r="F3309">
        <v>51953501</v>
      </c>
      <c r="G3309" t="s">
        <v>1058</v>
      </c>
      <c r="H3309" t="s">
        <v>1261</v>
      </c>
      <c r="I3309" t="s">
        <v>1262</v>
      </c>
      <c r="J3309">
        <v>1001</v>
      </c>
      <c r="K3309">
        <v>5016</v>
      </c>
      <c r="L3309" s="3">
        <v>1126764</v>
      </c>
      <c r="M3309" s="3">
        <v>114980</v>
      </c>
      <c r="N3309">
        <v>0</v>
      </c>
      <c r="O3309">
        <v>0</v>
      </c>
      <c r="P3309">
        <v>1241744</v>
      </c>
      <c r="Q3309" t="s">
        <v>30</v>
      </c>
      <c r="R3309" t="s">
        <v>158</v>
      </c>
      <c r="S3309" t="str">
        <v>#N/A</v>
      </c>
      <c r="T3309" t="str">
        <v>#N/A</v>
      </c>
    </row>
    <row r="3310" spans="1:20" ht="13.7" customHeight="1" x14ac:dyDescent="0.25">
      <c r="A3310" t="s">
        <v>26</v>
      </c>
      <c r="B3310" t="s">
        <v>27</v>
      </c>
      <c r="C3310" t="s">
        <v>36</v>
      </c>
      <c r="D3310">
        <v>51</v>
      </c>
      <c r="E3310" s="5">
        <v>43638</v>
      </c>
      <c r="F3310">
        <v>51953501</v>
      </c>
      <c r="G3310" t="s">
        <v>1058</v>
      </c>
      <c r="H3310" t="s">
        <v>1261</v>
      </c>
      <c r="I3310" t="s">
        <v>1262</v>
      </c>
      <c r="J3310">
        <v>1001</v>
      </c>
      <c r="K3310">
        <v>5016</v>
      </c>
      <c r="L3310" s="3">
        <v>1241744</v>
      </c>
      <c r="M3310" s="3">
        <v>93161</v>
      </c>
      <c r="N3310">
        <v>0</v>
      </c>
      <c r="O3310">
        <v>0</v>
      </c>
      <c r="P3310">
        <v>1334905</v>
      </c>
      <c r="Q3310" t="s">
        <v>30</v>
      </c>
      <c r="R3310" t="s">
        <v>158</v>
      </c>
      <c r="S3310" t="str">
        <v>#N/A</v>
      </c>
      <c r="T3310" t="str">
        <v>#N/A</v>
      </c>
    </row>
    <row r="3311" spans="1:20" ht="13.7" customHeight="1" x14ac:dyDescent="0.25">
      <c r="A3311" t="s">
        <v>26</v>
      </c>
      <c r="B3311" t="s">
        <v>27</v>
      </c>
      <c r="C3311" t="s">
        <v>36</v>
      </c>
      <c r="D3311">
        <v>53</v>
      </c>
      <c r="E3311" s="5">
        <v>43640</v>
      </c>
      <c r="F3311">
        <v>51953501</v>
      </c>
      <c r="G3311" t="s">
        <v>1058</v>
      </c>
      <c r="H3311" t="s">
        <v>1261</v>
      </c>
      <c r="I3311" t="s">
        <v>1262</v>
      </c>
      <c r="J3311">
        <v>1001</v>
      </c>
      <c r="K3311">
        <v>5016</v>
      </c>
      <c r="L3311" s="3">
        <v>1334905</v>
      </c>
      <c r="M3311" s="3">
        <v>113999</v>
      </c>
      <c r="N3311">
        <v>0</v>
      </c>
      <c r="O3311">
        <v>0</v>
      </c>
      <c r="P3311">
        <v>1448904</v>
      </c>
      <c r="Q3311" t="s">
        <v>30</v>
      </c>
      <c r="R3311" t="s">
        <v>158</v>
      </c>
      <c r="S3311" t="str">
        <v>#N/A</v>
      </c>
      <c r="T3311" t="str">
        <v>#N/A</v>
      </c>
    </row>
    <row r="3312" spans="1:20" ht="13.7" customHeight="1" x14ac:dyDescent="0.25">
      <c r="A3312" t="s">
        <v>26</v>
      </c>
      <c r="B3312" t="s">
        <v>27</v>
      </c>
      <c r="C3312" t="s">
        <v>36</v>
      </c>
      <c r="D3312">
        <v>66</v>
      </c>
      <c r="E3312" s="5">
        <v>43645</v>
      </c>
      <c r="F3312">
        <v>51953501</v>
      </c>
      <c r="G3312" t="s">
        <v>1058</v>
      </c>
      <c r="H3312" t="s">
        <v>1261</v>
      </c>
      <c r="I3312" t="s">
        <v>1262</v>
      </c>
      <c r="J3312">
        <v>1001</v>
      </c>
      <c r="K3312">
        <v>5016</v>
      </c>
      <c r="L3312" s="3">
        <v>1448904</v>
      </c>
      <c r="M3312" s="3">
        <v>96641</v>
      </c>
      <c r="N3312">
        <v>0</v>
      </c>
      <c r="O3312">
        <v>0</v>
      </c>
      <c r="P3312">
        <v>1545545</v>
      </c>
      <c r="Q3312" t="s">
        <v>30</v>
      </c>
      <c r="R3312" t="s">
        <v>158</v>
      </c>
      <c r="S3312" t="str">
        <v>#N/A</v>
      </c>
      <c r="T3312" t="str">
        <v>#N/A</v>
      </c>
    </row>
    <row r="3313" spans="1:20" ht="13.7" customHeight="1" x14ac:dyDescent="0.25">
      <c r="A3313" t="s">
        <v>26</v>
      </c>
      <c r="B3313" t="s">
        <v>27</v>
      </c>
      <c r="C3313" t="s">
        <v>37</v>
      </c>
      <c r="D3313">
        <v>18</v>
      </c>
      <c r="E3313" s="5">
        <v>43652</v>
      </c>
      <c r="F3313">
        <v>51953501</v>
      </c>
      <c r="G3313" t="s">
        <v>1058</v>
      </c>
      <c r="H3313" t="s">
        <v>1261</v>
      </c>
      <c r="I3313" t="s">
        <v>1262</v>
      </c>
      <c r="J3313">
        <v>1001</v>
      </c>
      <c r="K3313">
        <v>5016</v>
      </c>
      <c r="L3313" s="3">
        <v>1545545</v>
      </c>
      <c r="M3313" s="3">
        <v>137795</v>
      </c>
      <c r="N3313">
        <v>0</v>
      </c>
      <c r="O3313">
        <v>0</v>
      </c>
      <c r="P3313">
        <v>1683340</v>
      </c>
      <c r="Q3313" t="s">
        <v>30</v>
      </c>
      <c r="R3313" t="s">
        <v>158</v>
      </c>
      <c r="S3313" t="str">
        <v>#N/A</v>
      </c>
      <c r="T3313" t="str">
        <v>#N/A</v>
      </c>
    </row>
    <row r="3314" spans="1:20" ht="13.7" customHeight="1" x14ac:dyDescent="0.25">
      <c r="A3314" t="s">
        <v>26</v>
      </c>
      <c r="B3314" t="s">
        <v>27</v>
      </c>
      <c r="C3314" t="s">
        <v>37</v>
      </c>
      <c r="D3314">
        <v>38</v>
      </c>
      <c r="E3314" s="5">
        <v>43660</v>
      </c>
      <c r="F3314">
        <v>51953501</v>
      </c>
      <c r="G3314" t="s">
        <v>1058</v>
      </c>
      <c r="H3314" t="s">
        <v>1261</v>
      </c>
      <c r="I3314" t="s">
        <v>1262</v>
      </c>
      <c r="J3314">
        <v>1001</v>
      </c>
      <c r="K3314">
        <v>5016</v>
      </c>
      <c r="L3314" s="3">
        <v>1683340</v>
      </c>
      <c r="M3314" s="3">
        <v>222279</v>
      </c>
      <c r="N3314">
        <v>0</v>
      </c>
      <c r="O3314">
        <v>0</v>
      </c>
      <c r="P3314">
        <v>1905619</v>
      </c>
      <c r="Q3314" t="s">
        <v>30</v>
      </c>
      <c r="R3314" t="s">
        <v>158</v>
      </c>
      <c r="S3314" t="str">
        <v>#N/A</v>
      </c>
      <c r="T3314" t="str">
        <v>#N/A</v>
      </c>
    </row>
    <row r="3315" spans="1:20" ht="13.7" customHeight="1" x14ac:dyDescent="0.25">
      <c r="A3315" t="s">
        <v>26</v>
      </c>
      <c r="B3315" t="s">
        <v>27</v>
      </c>
      <c r="C3315" t="s">
        <v>37</v>
      </c>
      <c r="D3315">
        <v>48</v>
      </c>
      <c r="E3315" s="5">
        <v>43667</v>
      </c>
      <c r="F3315">
        <v>51953501</v>
      </c>
      <c r="G3315" t="s">
        <v>1058</v>
      </c>
      <c r="H3315" t="s">
        <v>1261</v>
      </c>
      <c r="I3315" t="s">
        <v>1262</v>
      </c>
      <c r="J3315">
        <v>1001</v>
      </c>
      <c r="K3315">
        <v>5016</v>
      </c>
      <c r="L3315" s="3">
        <v>1905619</v>
      </c>
      <c r="M3315" s="3">
        <v>125986</v>
      </c>
      <c r="N3315">
        <v>0</v>
      </c>
      <c r="O3315">
        <v>0</v>
      </c>
      <c r="P3315">
        <v>2031605</v>
      </c>
      <c r="Q3315" t="s">
        <v>30</v>
      </c>
      <c r="R3315" t="s">
        <v>158</v>
      </c>
      <c r="S3315" t="str">
        <v>#N/A</v>
      </c>
      <c r="T3315" t="str">
        <v>#N/A</v>
      </c>
    </row>
    <row r="3316" spans="1:20" ht="13.7" customHeight="1" x14ac:dyDescent="0.25">
      <c r="A3316" t="s">
        <v>26</v>
      </c>
      <c r="B3316" t="s">
        <v>27</v>
      </c>
      <c r="C3316" t="s">
        <v>38</v>
      </c>
      <c r="D3316">
        <v>5</v>
      </c>
      <c r="E3316" s="5">
        <v>43680</v>
      </c>
      <c r="F3316">
        <v>51953501</v>
      </c>
      <c r="G3316" t="s">
        <v>1058</v>
      </c>
      <c r="H3316" t="s">
        <v>1261</v>
      </c>
      <c r="I3316" t="s">
        <v>1262</v>
      </c>
      <c r="J3316">
        <v>1001</v>
      </c>
      <c r="K3316">
        <v>5016</v>
      </c>
      <c r="L3316" s="3">
        <v>2031605</v>
      </c>
      <c r="M3316" s="3">
        <v>126215</v>
      </c>
      <c r="N3316">
        <v>0</v>
      </c>
      <c r="O3316">
        <v>0</v>
      </c>
      <c r="P3316">
        <v>2157820</v>
      </c>
      <c r="Q3316" t="s">
        <v>30</v>
      </c>
      <c r="R3316" t="s">
        <v>158</v>
      </c>
      <c r="S3316" t="str">
        <v>#N/A</v>
      </c>
      <c r="T3316" t="str">
        <v>#N/A</v>
      </c>
    </row>
    <row r="3317" spans="1:20" ht="13.7" customHeight="1" x14ac:dyDescent="0.25">
      <c r="A3317" t="s">
        <v>26</v>
      </c>
      <c r="B3317" t="s">
        <v>27</v>
      </c>
      <c r="C3317" t="s">
        <v>38</v>
      </c>
      <c r="D3317">
        <v>17</v>
      </c>
      <c r="E3317" s="5">
        <v>43688</v>
      </c>
      <c r="F3317">
        <v>51953501</v>
      </c>
      <c r="G3317" t="s">
        <v>1058</v>
      </c>
      <c r="H3317" t="s">
        <v>1261</v>
      </c>
      <c r="I3317" t="s">
        <v>1262</v>
      </c>
      <c r="J3317">
        <v>1001</v>
      </c>
      <c r="K3317">
        <v>5016</v>
      </c>
      <c r="L3317" s="3">
        <v>2157820</v>
      </c>
      <c r="M3317" s="3">
        <v>128017</v>
      </c>
      <c r="N3317">
        <v>0</v>
      </c>
      <c r="O3317">
        <v>0</v>
      </c>
      <c r="P3317">
        <v>2285837</v>
      </c>
      <c r="Q3317" t="s">
        <v>30</v>
      </c>
      <c r="R3317" t="s">
        <v>158</v>
      </c>
      <c r="S3317" t="str">
        <v>#N/A</v>
      </c>
      <c r="T3317" t="str">
        <v>#N/A</v>
      </c>
    </row>
    <row r="3318" spans="1:20" ht="13.7" customHeight="1" x14ac:dyDescent="0.25">
      <c r="A3318" t="s">
        <v>26</v>
      </c>
      <c r="B3318" t="s">
        <v>27</v>
      </c>
      <c r="C3318" t="s">
        <v>38</v>
      </c>
      <c r="D3318">
        <v>19</v>
      </c>
      <c r="E3318" s="5">
        <v>43688</v>
      </c>
      <c r="F3318">
        <v>51953501</v>
      </c>
      <c r="G3318" t="s">
        <v>1058</v>
      </c>
      <c r="H3318" t="s">
        <v>1261</v>
      </c>
      <c r="I3318" t="s">
        <v>1262</v>
      </c>
      <c r="J3318">
        <v>1001</v>
      </c>
      <c r="K3318">
        <v>5016</v>
      </c>
      <c r="L3318" s="3">
        <v>2285837</v>
      </c>
      <c r="M3318" s="3">
        <v>9500</v>
      </c>
      <c r="N3318">
        <v>0</v>
      </c>
      <c r="O3318">
        <v>0</v>
      </c>
      <c r="P3318">
        <v>2295337</v>
      </c>
      <c r="Q3318" t="s">
        <v>30</v>
      </c>
      <c r="R3318" t="s">
        <v>554</v>
      </c>
      <c r="S3318" t="str">
        <v>#N/A</v>
      </c>
      <c r="T3318" t="str">
        <v>#N/A</v>
      </c>
    </row>
    <row r="3319" spans="1:20" ht="13.7" customHeight="1" x14ac:dyDescent="0.25">
      <c r="A3319" t="s">
        <v>26</v>
      </c>
      <c r="B3319" t="s">
        <v>27</v>
      </c>
      <c r="C3319" t="s">
        <v>38</v>
      </c>
      <c r="D3319">
        <v>32</v>
      </c>
      <c r="E3319" s="5">
        <v>43696</v>
      </c>
      <c r="F3319">
        <v>51953501</v>
      </c>
      <c r="G3319" t="s">
        <v>1058</v>
      </c>
      <c r="H3319" t="s">
        <v>1261</v>
      </c>
      <c r="I3319" t="s">
        <v>1262</v>
      </c>
      <c r="J3319">
        <v>1001</v>
      </c>
      <c r="K3319">
        <v>5016</v>
      </c>
      <c r="L3319" s="3">
        <v>2295337</v>
      </c>
      <c r="M3319" s="3">
        <v>121657</v>
      </c>
      <c r="N3319">
        <v>0</v>
      </c>
      <c r="O3319">
        <v>0</v>
      </c>
      <c r="P3319">
        <v>2416994</v>
      </c>
      <c r="Q3319" t="s">
        <v>30</v>
      </c>
      <c r="R3319" t="s">
        <v>158</v>
      </c>
      <c r="S3319" t="str">
        <v>#N/A</v>
      </c>
      <c r="T3319" t="str">
        <v>#N/A</v>
      </c>
    </row>
    <row r="3320" spans="1:20" ht="13.7" customHeight="1" x14ac:dyDescent="0.25">
      <c r="A3320" t="s">
        <v>26</v>
      </c>
      <c r="B3320" t="s">
        <v>27</v>
      </c>
      <c r="C3320" t="s">
        <v>39</v>
      </c>
      <c r="D3320">
        <v>2</v>
      </c>
      <c r="E3320" s="5">
        <v>43709</v>
      </c>
      <c r="F3320">
        <v>51953501</v>
      </c>
      <c r="G3320" t="s">
        <v>1058</v>
      </c>
      <c r="H3320" t="s">
        <v>1261</v>
      </c>
      <c r="I3320" t="s">
        <v>1262</v>
      </c>
      <c r="J3320">
        <v>1001</v>
      </c>
      <c r="K3320">
        <v>5016</v>
      </c>
      <c r="L3320" s="3">
        <v>2416994</v>
      </c>
      <c r="M3320" s="3">
        <v>120003</v>
      </c>
      <c r="N3320">
        <v>0</v>
      </c>
      <c r="O3320">
        <v>0</v>
      </c>
      <c r="P3320">
        <v>2536997</v>
      </c>
      <c r="Q3320" t="s">
        <v>30</v>
      </c>
      <c r="R3320" t="s">
        <v>158</v>
      </c>
      <c r="S3320" t="str">
        <v>#N/A</v>
      </c>
      <c r="T3320" t="str">
        <v>#N/A</v>
      </c>
    </row>
    <row r="3321" spans="1:20" ht="13.7" customHeight="1" x14ac:dyDescent="0.25">
      <c r="A3321" t="s">
        <v>26</v>
      </c>
      <c r="B3321" t="s">
        <v>27</v>
      </c>
      <c r="C3321" t="s">
        <v>39</v>
      </c>
      <c r="D3321">
        <v>32</v>
      </c>
      <c r="E3321" s="5">
        <v>43722</v>
      </c>
      <c r="F3321">
        <v>51953501</v>
      </c>
      <c r="G3321" t="s">
        <v>1058</v>
      </c>
      <c r="H3321" t="s">
        <v>1261</v>
      </c>
      <c r="I3321" t="s">
        <v>1262</v>
      </c>
      <c r="J3321">
        <v>1001</v>
      </c>
      <c r="K3321">
        <v>5016</v>
      </c>
      <c r="L3321" s="3">
        <v>2536997</v>
      </c>
      <c r="M3321" s="3">
        <v>134928</v>
      </c>
      <c r="N3321">
        <v>0</v>
      </c>
      <c r="O3321">
        <v>0</v>
      </c>
      <c r="P3321">
        <v>2671925</v>
      </c>
      <c r="Q3321" t="s">
        <v>30</v>
      </c>
      <c r="R3321" t="s">
        <v>158</v>
      </c>
      <c r="S3321" t="str">
        <v>#N/A</v>
      </c>
      <c r="T3321" t="str">
        <v>#N/A</v>
      </c>
    </row>
    <row r="3322" spans="1:20" ht="13.7" customHeight="1" x14ac:dyDescent="0.25">
      <c r="A3322" t="s">
        <v>26</v>
      </c>
      <c r="B3322" t="s">
        <v>27</v>
      </c>
      <c r="C3322" t="s">
        <v>39</v>
      </c>
      <c r="D3322">
        <v>33</v>
      </c>
      <c r="E3322" s="5">
        <v>43723</v>
      </c>
      <c r="F3322">
        <v>51953501</v>
      </c>
      <c r="G3322" t="s">
        <v>1058</v>
      </c>
      <c r="H3322" t="s">
        <v>1261</v>
      </c>
      <c r="I3322" t="s">
        <v>1262</v>
      </c>
      <c r="J3322">
        <v>1001</v>
      </c>
      <c r="K3322">
        <v>5016</v>
      </c>
      <c r="L3322" s="3">
        <v>2671925</v>
      </c>
      <c r="M3322" s="3">
        <v>113175</v>
      </c>
      <c r="N3322">
        <v>0</v>
      </c>
      <c r="O3322">
        <v>0</v>
      </c>
      <c r="P3322">
        <v>2785100</v>
      </c>
      <c r="Q3322" t="s">
        <v>30</v>
      </c>
      <c r="R3322" t="s">
        <v>158</v>
      </c>
      <c r="S3322" t="str">
        <v>#N/A</v>
      </c>
      <c r="T3322" t="str">
        <v>#N/A</v>
      </c>
    </row>
    <row r="3323" spans="1:20" ht="13.7" customHeight="1" x14ac:dyDescent="0.25">
      <c r="A3323" t="s">
        <v>26</v>
      </c>
      <c r="B3323" t="s">
        <v>27</v>
      </c>
      <c r="C3323" t="s">
        <v>39</v>
      </c>
      <c r="D3323">
        <v>57</v>
      </c>
      <c r="E3323" s="5">
        <v>43736</v>
      </c>
      <c r="F3323">
        <v>51953501</v>
      </c>
      <c r="G3323" t="s">
        <v>1058</v>
      </c>
      <c r="H3323" t="s">
        <v>1261</v>
      </c>
      <c r="I3323" t="s">
        <v>1262</v>
      </c>
      <c r="J3323">
        <v>1001</v>
      </c>
      <c r="K3323">
        <v>5016</v>
      </c>
      <c r="L3323" s="3">
        <v>2785100</v>
      </c>
      <c r="M3323" s="3">
        <v>120950</v>
      </c>
      <c r="N3323">
        <v>0</v>
      </c>
      <c r="O3323">
        <v>0</v>
      </c>
      <c r="P3323">
        <v>2906050</v>
      </c>
      <c r="Q3323" t="s">
        <v>30</v>
      </c>
      <c r="R3323" t="s">
        <v>158</v>
      </c>
      <c r="S3323" t="str">
        <v>#N/A</v>
      </c>
      <c r="T3323" t="str">
        <v>#N/A</v>
      </c>
    </row>
    <row r="3324" spans="1:20" ht="13.7" customHeight="1" x14ac:dyDescent="0.25">
      <c r="A3324" t="s">
        <v>26</v>
      </c>
      <c r="B3324" t="s">
        <v>27</v>
      </c>
      <c r="C3324" t="s">
        <v>40</v>
      </c>
      <c r="D3324">
        <v>6</v>
      </c>
      <c r="E3324" s="5">
        <v>43744</v>
      </c>
      <c r="F3324">
        <v>51953501</v>
      </c>
      <c r="G3324" t="s">
        <v>1058</v>
      </c>
      <c r="H3324" t="s">
        <v>1261</v>
      </c>
      <c r="I3324" t="s">
        <v>1262</v>
      </c>
      <c r="J3324">
        <v>1001</v>
      </c>
      <c r="K3324">
        <v>5016</v>
      </c>
      <c r="L3324" s="3">
        <v>2906050</v>
      </c>
      <c r="M3324" s="3">
        <v>9500</v>
      </c>
      <c r="N3324">
        <v>0</v>
      </c>
      <c r="O3324">
        <v>0</v>
      </c>
      <c r="P3324">
        <v>2915550</v>
      </c>
      <c r="Q3324" t="s">
        <v>30</v>
      </c>
      <c r="R3324" t="s">
        <v>554</v>
      </c>
      <c r="S3324" t="str">
        <v>#N/A</v>
      </c>
      <c r="T3324" t="str">
        <v>#N/A</v>
      </c>
    </row>
    <row r="3325" spans="1:20" ht="13.7" customHeight="1" x14ac:dyDescent="0.25">
      <c r="A3325" t="s">
        <v>26</v>
      </c>
      <c r="B3325" t="s">
        <v>27</v>
      </c>
      <c r="C3325" t="s">
        <v>40</v>
      </c>
      <c r="D3325">
        <v>7</v>
      </c>
      <c r="E3325" s="5">
        <v>43744</v>
      </c>
      <c r="F3325">
        <v>51953501</v>
      </c>
      <c r="G3325" t="s">
        <v>1058</v>
      </c>
      <c r="H3325" t="s">
        <v>1261</v>
      </c>
      <c r="I3325" t="s">
        <v>1262</v>
      </c>
      <c r="J3325">
        <v>1001</v>
      </c>
      <c r="K3325">
        <v>5016</v>
      </c>
      <c r="L3325" s="3">
        <v>2915550</v>
      </c>
      <c r="M3325" s="3">
        <v>100015</v>
      </c>
      <c r="N3325">
        <v>0</v>
      </c>
      <c r="O3325">
        <v>0</v>
      </c>
      <c r="P3325">
        <v>3015565</v>
      </c>
      <c r="Q3325" t="s">
        <v>30</v>
      </c>
      <c r="R3325" t="s">
        <v>158</v>
      </c>
      <c r="S3325" t="str">
        <v>#N/A</v>
      </c>
      <c r="T3325" t="str">
        <v>#N/A</v>
      </c>
    </row>
    <row r="3326" spans="1:20" ht="13.7" customHeight="1" x14ac:dyDescent="0.25">
      <c r="A3326" t="s">
        <v>26</v>
      </c>
      <c r="B3326" t="s">
        <v>27</v>
      </c>
      <c r="C3326" t="s">
        <v>40</v>
      </c>
      <c r="D3326">
        <v>19</v>
      </c>
      <c r="E3326" s="5">
        <v>43750</v>
      </c>
      <c r="F3326">
        <v>51953501</v>
      </c>
      <c r="G3326" t="s">
        <v>1058</v>
      </c>
      <c r="H3326" t="s">
        <v>1261</v>
      </c>
      <c r="I3326" t="s">
        <v>1262</v>
      </c>
      <c r="J3326">
        <v>1001</v>
      </c>
      <c r="K3326">
        <v>5016</v>
      </c>
      <c r="L3326" s="3">
        <v>3015565</v>
      </c>
      <c r="M3326" s="3">
        <v>133044</v>
      </c>
      <c r="N3326">
        <v>0</v>
      </c>
      <c r="O3326">
        <v>0</v>
      </c>
      <c r="P3326">
        <v>3148609</v>
      </c>
      <c r="Q3326" t="s">
        <v>30</v>
      </c>
      <c r="R3326" t="s">
        <v>158</v>
      </c>
      <c r="S3326" t="str">
        <v>#N/A</v>
      </c>
      <c r="T3326" t="str">
        <v>#N/A</v>
      </c>
    </row>
    <row r="3327" spans="1:20" ht="13.7" customHeight="1" x14ac:dyDescent="0.25">
      <c r="A3327" t="s">
        <v>26</v>
      </c>
      <c r="B3327" t="s">
        <v>27</v>
      </c>
      <c r="C3327" t="s">
        <v>40</v>
      </c>
      <c r="D3327">
        <v>40</v>
      </c>
      <c r="E3327" s="5">
        <v>43758</v>
      </c>
      <c r="F3327">
        <v>51953501</v>
      </c>
      <c r="G3327" t="s">
        <v>1058</v>
      </c>
      <c r="H3327" t="s">
        <v>1261</v>
      </c>
      <c r="I3327" t="s">
        <v>1262</v>
      </c>
      <c r="J3327">
        <v>1001</v>
      </c>
      <c r="K3327">
        <v>5016</v>
      </c>
      <c r="L3327" s="3">
        <v>3148609</v>
      </c>
      <c r="M3327" s="3">
        <v>128008</v>
      </c>
      <c r="N3327">
        <v>0</v>
      </c>
      <c r="O3327">
        <v>0</v>
      </c>
      <c r="P3327">
        <v>3276617</v>
      </c>
      <c r="Q3327" t="s">
        <v>30</v>
      </c>
      <c r="R3327" t="s">
        <v>158</v>
      </c>
      <c r="S3327" t="str">
        <v>#N/A</v>
      </c>
      <c r="T3327" t="str">
        <v>#N/A</v>
      </c>
    </row>
    <row r="3328" spans="1:20" ht="13.7" customHeight="1" x14ac:dyDescent="0.25">
      <c r="A3328" t="s">
        <v>26</v>
      </c>
      <c r="B3328" t="s">
        <v>27</v>
      </c>
      <c r="C3328" t="s">
        <v>40</v>
      </c>
      <c r="D3328">
        <v>41</v>
      </c>
      <c r="E3328" s="5">
        <v>43758</v>
      </c>
      <c r="F3328">
        <v>51953501</v>
      </c>
      <c r="G3328" t="s">
        <v>1058</v>
      </c>
      <c r="H3328" t="s">
        <v>1261</v>
      </c>
      <c r="I3328" t="s">
        <v>1262</v>
      </c>
      <c r="J3328">
        <v>1001</v>
      </c>
      <c r="K3328">
        <v>5016</v>
      </c>
      <c r="L3328" s="3">
        <v>3276617</v>
      </c>
      <c r="M3328" s="3">
        <v>106007</v>
      </c>
      <c r="N3328">
        <v>0</v>
      </c>
      <c r="O3328">
        <v>0</v>
      </c>
      <c r="P3328">
        <v>3382624</v>
      </c>
      <c r="Q3328" t="s">
        <v>30</v>
      </c>
      <c r="R3328" t="s">
        <v>158</v>
      </c>
      <c r="S3328" t="str">
        <v>#N/A</v>
      </c>
      <c r="T3328" t="str">
        <v>#N/A</v>
      </c>
    </row>
    <row r="3329" spans="1:20" ht="13.7" customHeight="1" x14ac:dyDescent="0.25">
      <c r="A3329" t="s">
        <v>26</v>
      </c>
      <c r="B3329" t="s">
        <v>27</v>
      </c>
      <c r="C3329" t="s">
        <v>41</v>
      </c>
      <c r="D3329">
        <v>10</v>
      </c>
      <c r="E3329" s="5">
        <v>43773</v>
      </c>
      <c r="F3329">
        <v>51953501</v>
      </c>
      <c r="G3329" t="s">
        <v>1058</v>
      </c>
      <c r="H3329" t="s">
        <v>1261</v>
      </c>
      <c r="I3329" t="s">
        <v>1262</v>
      </c>
      <c r="J3329">
        <v>1001</v>
      </c>
      <c r="K3329">
        <v>5016</v>
      </c>
      <c r="L3329" s="3">
        <v>3382624</v>
      </c>
      <c r="M3329" s="3">
        <v>106972</v>
      </c>
      <c r="N3329">
        <v>0</v>
      </c>
      <c r="O3329">
        <v>0</v>
      </c>
      <c r="P3329">
        <v>3489596</v>
      </c>
      <c r="Q3329" t="s">
        <v>30</v>
      </c>
      <c r="R3329" t="s">
        <v>158</v>
      </c>
      <c r="S3329" t="str">
        <v>#N/A</v>
      </c>
      <c r="T3329" t="str">
        <v>#N/A</v>
      </c>
    </row>
    <row r="3330" spans="1:20" ht="13.7" customHeight="1" x14ac:dyDescent="0.25">
      <c r="A3330" t="s">
        <v>26</v>
      </c>
      <c r="B3330" t="s">
        <v>27</v>
      </c>
      <c r="C3330" t="s">
        <v>41</v>
      </c>
      <c r="D3330">
        <v>20</v>
      </c>
      <c r="E3330" s="5">
        <v>43780</v>
      </c>
      <c r="F3330">
        <v>51953501</v>
      </c>
      <c r="G3330" t="s">
        <v>1058</v>
      </c>
      <c r="H3330" t="s">
        <v>1261</v>
      </c>
      <c r="I3330" t="s">
        <v>1262</v>
      </c>
      <c r="J3330">
        <v>1001</v>
      </c>
      <c r="K3330">
        <v>5016</v>
      </c>
      <c r="L3330" s="3">
        <v>3489596</v>
      </c>
      <c r="M3330" s="3">
        <v>90420</v>
      </c>
      <c r="N3330">
        <v>0</v>
      </c>
      <c r="O3330">
        <v>0</v>
      </c>
      <c r="P3330">
        <v>3580016</v>
      </c>
      <c r="Q3330" t="s">
        <v>30</v>
      </c>
      <c r="R3330" t="s">
        <v>158</v>
      </c>
      <c r="S3330" t="str">
        <v>#N/A</v>
      </c>
      <c r="T3330" t="str">
        <v>#N/A</v>
      </c>
    </row>
    <row r="3331" spans="1:20" ht="13.7" customHeight="1" x14ac:dyDescent="0.25">
      <c r="A3331" t="s">
        <v>26</v>
      </c>
      <c r="B3331" t="s">
        <v>27</v>
      </c>
      <c r="C3331" t="s">
        <v>41</v>
      </c>
      <c r="D3331">
        <v>21</v>
      </c>
      <c r="E3331" s="5">
        <v>43780</v>
      </c>
      <c r="F3331">
        <v>51953501</v>
      </c>
      <c r="G3331" t="s">
        <v>1058</v>
      </c>
      <c r="H3331" t="s">
        <v>1261</v>
      </c>
      <c r="I3331" t="s">
        <v>1262</v>
      </c>
      <c r="J3331">
        <v>1001</v>
      </c>
      <c r="K3331">
        <v>5016</v>
      </c>
      <c r="L3331" s="3">
        <v>3580016</v>
      </c>
      <c r="M3331" s="3">
        <v>78703</v>
      </c>
      <c r="N3331">
        <v>0</v>
      </c>
      <c r="O3331">
        <v>0</v>
      </c>
      <c r="P3331">
        <v>3658719</v>
      </c>
      <c r="Q3331" t="s">
        <v>30</v>
      </c>
      <c r="R3331" t="s">
        <v>158</v>
      </c>
      <c r="S3331" t="str">
        <v>#N/A</v>
      </c>
      <c r="T3331" t="str">
        <v>#N/A</v>
      </c>
    </row>
    <row r="3332" spans="1:20" ht="13.7" customHeight="1" x14ac:dyDescent="0.25">
      <c r="A3332" t="s">
        <v>26</v>
      </c>
      <c r="B3332" t="s">
        <v>27</v>
      </c>
      <c r="C3332" t="s">
        <v>41</v>
      </c>
      <c r="D3332">
        <v>57</v>
      </c>
      <c r="E3332" s="5">
        <v>43793</v>
      </c>
      <c r="F3332">
        <v>51953501</v>
      </c>
      <c r="G3332" t="s">
        <v>1058</v>
      </c>
      <c r="H3332" t="s">
        <v>1261</v>
      </c>
      <c r="I3332" t="s">
        <v>1262</v>
      </c>
      <c r="J3332">
        <v>1001</v>
      </c>
      <c r="K3332">
        <v>5016</v>
      </c>
      <c r="L3332" s="3">
        <v>3658719</v>
      </c>
      <c r="M3332" s="3">
        <v>119443</v>
      </c>
      <c r="N3332">
        <v>0</v>
      </c>
      <c r="O3332">
        <v>0</v>
      </c>
      <c r="P3332">
        <v>3778162</v>
      </c>
      <c r="Q3332" t="s">
        <v>30</v>
      </c>
      <c r="R3332" t="s">
        <v>158</v>
      </c>
      <c r="S3332" t="str">
        <v>#N/A</v>
      </c>
      <c r="T3332" t="str">
        <v>#N/A</v>
      </c>
    </row>
    <row r="3333" spans="1:20" ht="13.7" customHeight="1" x14ac:dyDescent="0.25">
      <c r="A3333" t="s">
        <v>26</v>
      </c>
      <c r="B3333" t="s">
        <v>27</v>
      </c>
      <c r="C3333" t="s">
        <v>41</v>
      </c>
      <c r="D3333">
        <v>71</v>
      </c>
      <c r="E3333" s="5">
        <v>43799</v>
      </c>
      <c r="F3333">
        <v>51953501</v>
      </c>
      <c r="G3333" t="s">
        <v>1058</v>
      </c>
      <c r="H3333" t="s">
        <v>1261</v>
      </c>
      <c r="I3333" t="s">
        <v>1262</v>
      </c>
      <c r="J3333">
        <v>1001</v>
      </c>
      <c r="K3333">
        <v>5016</v>
      </c>
      <c r="L3333" s="3">
        <v>3778162</v>
      </c>
      <c r="M3333" s="3">
        <v>117310</v>
      </c>
      <c r="N3333">
        <v>0</v>
      </c>
      <c r="O3333">
        <v>0</v>
      </c>
      <c r="P3333">
        <v>3895472</v>
      </c>
      <c r="Q3333" t="s">
        <v>30</v>
      </c>
      <c r="R3333" t="s">
        <v>158</v>
      </c>
      <c r="S3333" t="str">
        <v>#N/A</v>
      </c>
      <c r="T3333" t="str">
        <v>#N/A</v>
      </c>
    </row>
    <row r="3334" spans="1:20" ht="13.7" customHeight="1" x14ac:dyDescent="0.25">
      <c r="A3334" t="s">
        <v>26</v>
      </c>
      <c r="B3334" t="s">
        <v>27</v>
      </c>
      <c r="C3334" t="s">
        <v>180</v>
      </c>
      <c r="D3334">
        <v>10</v>
      </c>
      <c r="E3334" s="5">
        <v>43807</v>
      </c>
      <c r="F3334">
        <v>51953501</v>
      </c>
      <c r="G3334" t="s">
        <v>1058</v>
      </c>
      <c r="H3334" t="s">
        <v>1261</v>
      </c>
      <c r="I3334" t="s">
        <v>1262</v>
      </c>
      <c r="J3334">
        <v>1001</v>
      </c>
      <c r="K3334">
        <v>5016</v>
      </c>
      <c r="L3334" s="3">
        <v>3895472</v>
      </c>
      <c r="M3334" s="3">
        <v>113469</v>
      </c>
      <c r="N3334">
        <v>0</v>
      </c>
      <c r="O3334">
        <v>0</v>
      </c>
      <c r="P3334">
        <v>4008941</v>
      </c>
      <c r="Q3334" t="s">
        <v>30</v>
      </c>
      <c r="R3334" t="s">
        <v>158</v>
      </c>
      <c r="S3334" t="str">
        <v>#N/A</v>
      </c>
      <c r="T3334" t="str">
        <v>#N/A</v>
      </c>
    </row>
    <row r="3335" spans="1:20" ht="13.7" customHeight="1" x14ac:dyDescent="0.25">
      <c r="A3335" t="s">
        <v>26</v>
      </c>
      <c r="B3335" t="s">
        <v>27</v>
      </c>
      <c r="C3335" t="s">
        <v>180</v>
      </c>
      <c r="D3335">
        <v>38</v>
      </c>
      <c r="E3335" s="5">
        <v>43814</v>
      </c>
      <c r="F3335">
        <v>51953501</v>
      </c>
      <c r="G3335" t="s">
        <v>1058</v>
      </c>
      <c r="H3335" t="s">
        <v>1261</v>
      </c>
      <c r="I3335" t="s">
        <v>1262</v>
      </c>
      <c r="J3335">
        <v>1001</v>
      </c>
      <c r="K3335">
        <v>5016</v>
      </c>
      <c r="L3335" s="3">
        <v>4008941</v>
      </c>
      <c r="M3335" s="3">
        <v>110004</v>
      </c>
      <c r="N3335">
        <v>0</v>
      </c>
      <c r="O3335">
        <v>0</v>
      </c>
      <c r="P3335">
        <v>4118945</v>
      </c>
      <c r="Q3335" t="s">
        <v>30</v>
      </c>
      <c r="R3335" t="s">
        <v>158</v>
      </c>
      <c r="S3335" t="str">
        <v>#N/A</v>
      </c>
      <c r="T3335" t="str">
        <v>#N/A</v>
      </c>
    </row>
    <row r="3336" spans="1:20" ht="13.7" customHeight="1" x14ac:dyDescent="0.25">
      <c r="A3336" t="s">
        <v>26</v>
      </c>
      <c r="B3336" t="s">
        <v>27</v>
      </c>
      <c r="C3336" t="s">
        <v>180</v>
      </c>
      <c r="D3336">
        <v>59</v>
      </c>
      <c r="E3336" s="5">
        <v>43822</v>
      </c>
      <c r="F3336">
        <v>51953501</v>
      </c>
      <c r="G3336" t="s">
        <v>1058</v>
      </c>
      <c r="H3336" t="s">
        <v>1261</v>
      </c>
      <c r="I3336" t="s">
        <v>1262</v>
      </c>
      <c r="J3336">
        <v>1001</v>
      </c>
      <c r="K3336">
        <v>5016</v>
      </c>
      <c r="L3336" s="3">
        <v>4118945</v>
      </c>
      <c r="M3336" s="3">
        <v>106218</v>
      </c>
      <c r="N3336">
        <v>0</v>
      </c>
      <c r="O3336">
        <v>0</v>
      </c>
      <c r="P3336">
        <v>4225163</v>
      </c>
      <c r="Q3336" t="s">
        <v>30</v>
      </c>
      <c r="R3336" t="s">
        <v>158</v>
      </c>
      <c r="S3336" t="str">
        <v>#N/A</v>
      </c>
      <c r="T3336" t="str">
        <v>#N/A</v>
      </c>
    </row>
    <row r="3337" spans="1:20" ht="13.7" customHeight="1" x14ac:dyDescent="0.25">
      <c r="E3337" s="5">
        <v>43465</v>
      </c>
      <c r="F3337">
        <v>51956001</v>
      </c>
      <c r="G3337" t="s">
        <v>1059</v>
      </c>
      <c r="H3337" t="s">
        <v>1309</v>
      </c>
      <c r="I3337" t="s">
        <v>1310</v>
      </c>
      <c r="J3337">
        <v>0</v>
      </c>
      <c r="K3337">
        <v>0</v>
      </c>
      <c r="L3337" s="3">
        <v>0</v>
      </c>
      <c r="M3337" s="3">
        <v>0</v>
      </c>
      <c r="N3337">
        <v>0</v>
      </c>
      <c r="O3337">
        <v>0</v>
      </c>
      <c r="P3337">
        <v>0</v>
      </c>
      <c r="R3337" t="s">
        <v>1100</v>
      </c>
      <c r="S3337" t="str">
        <v>#N/A</v>
      </c>
      <c r="T3337" t="str">
        <v>#N/A</v>
      </c>
    </row>
    <row r="3338" spans="1:20" ht="13.7" customHeight="1" x14ac:dyDescent="0.25">
      <c r="A3338" t="s">
        <v>26</v>
      </c>
      <c r="B3338" t="s">
        <v>27</v>
      </c>
      <c r="C3338" t="s">
        <v>39</v>
      </c>
      <c r="D3338">
        <v>63</v>
      </c>
      <c r="E3338" s="5">
        <v>43736</v>
      </c>
      <c r="F3338">
        <v>51956001</v>
      </c>
      <c r="G3338" t="s">
        <v>1059</v>
      </c>
      <c r="H3338" t="s">
        <v>1309</v>
      </c>
      <c r="I3338" t="s">
        <v>1310</v>
      </c>
      <c r="J3338">
        <v>1001</v>
      </c>
      <c r="K3338">
        <v>5016</v>
      </c>
      <c r="L3338" s="3">
        <v>0</v>
      </c>
      <c r="M3338" s="3">
        <v>34000</v>
      </c>
      <c r="N3338">
        <v>0</v>
      </c>
      <c r="O3338">
        <v>0</v>
      </c>
      <c r="P3338">
        <v>34000</v>
      </c>
      <c r="Q3338" t="s">
        <v>30</v>
      </c>
      <c r="R3338" t="s">
        <v>70</v>
      </c>
      <c r="S3338" t="str">
        <v>#N/A</v>
      </c>
      <c r="T3338" t="str">
        <v>#N/A</v>
      </c>
    </row>
    <row r="3339" spans="1:20" ht="13.7" customHeight="1" x14ac:dyDescent="0.25">
      <c r="E3339" s="5">
        <v>43465</v>
      </c>
      <c r="F3339">
        <v>51956001</v>
      </c>
      <c r="G3339" t="s">
        <v>1059</v>
      </c>
      <c r="H3339" t="s">
        <v>1325</v>
      </c>
      <c r="I3339" t="s">
        <v>1326</v>
      </c>
      <c r="J3339">
        <v>0</v>
      </c>
      <c r="K3339">
        <v>0</v>
      </c>
      <c r="L3339" s="3">
        <v>0</v>
      </c>
      <c r="M3339" s="3">
        <v>0</v>
      </c>
      <c r="N3339">
        <v>0</v>
      </c>
      <c r="O3339">
        <v>0</v>
      </c>
      <c r="P3339">
        <v>0</v>
      </c>
      <c r="R3339" t="s">
        <v>1100</v>
      </c>
      <c r="S3339" t="str">
        <v>#N/A</v>
      </c>
      <c r="T3339" t="str">
        <v>#N/A</v>
      </c>
    </row>
    <row r="3340" spans="1:20" ht="13.7" customHeight="1" x14ac:dyDescent="0.25">
      <c r="A3340" t="s">
        <v>26</v>
      </c>
      <c r="B3340" t="s">
        <v>27</v>
      </c>
      <c r="C3340" t="s">
        <v>35</v>
      </c>
      <c r="D3340">
        <v>39</v>
      </c>
      <c r="E3340" s="5">
        <v>43597</v>
      </c>
      <c r="F3340">
        <v>51956001</v>
      </c>
      <c r="G3340" t="s">
        <v>1059</v>
      </c>
      <c r="H3340" t="s">
        <v>1325</v>
      </c>
      <c r="I3340" t="s">
        <v>1326</v>
      </c>
      <c r="J3340">
        <v>1001</v>
      </c>
      <c r="K3340">
        <v>5016</v>
      </c>
      <c r="L3340" s="3">
        <v>0</v>
      </c>
      <c r="M3340" s="3">
        <v>87000</v>
      </c>
      <c r="N3340">
        <v>0</v>
      </c>
      <c r="O3340">
        <v>0</v>
      </c>
      <c r="P3340">
        <v>87000</v>
      </c>
      <c r="Q3340" t="s">
        <v>30</v>
      </c>
      <c r="R3340" t="s">
        <v>544</v>
      </c>
      <c r="S3340" t="str">
        <v>#N/A</v>
      </c>
      <c r="T3340" t="str">
        <v>#N/A</v>
      </c>
    </row>
    <row r="3341" spans="1:20" ht="13.7" customHeight="1" x14ac:dyDescent="0.25">
      <c r="E3341" s="5">
        <v>43465</v>
      </c>
      <c r="F3341">
        <v>51956001</v>
      </c>
      <c r="G3341" t="s">
        <v>1059</v>
      </c>
      <c r="H3341" t="s">
        <v>1697</v>
      </c>
      <c r="I3341" t="s">
        <v>1698</v>
      </c>
      <c r="J3341">
        <v>0</v>
      </c>
      <c r="K3341">
        <v>0</v>
      </c>
      <c r="L3341" s="3">
        <v>0</v>
      </c>
      <c r="M3341" s="3">
        <v>0</v>
      </c>
      <c r="N3341">
        <v>0</v>
      </c>
      <c r="O3341">
        <v>0</v>
      </c>
      <c r="P3341">
        <v>0</v>
      </c>
      <c r="R3341" t="s">
        <v>1100</v>
      </c>
      <c r="S3341" t="str">
        <v>#N/A</v>
      </c>
      <c r="T3341" t="str">
        <v>#N/A</v>
      </c>
    </row>
    <row r="3342" spans="1:20" ht="13.7" customHeight="1" x14ac:dyDescent="0.25">
      <c r="A3342" t="s">
        <v>26</v>
      </c>
      <c r="B3342" t="s">
        <v>27</v>
      </c>
      <c r="C3342" t="s">
        <v>180</v>
      </c>
      <c r="D3342">
        <v>78</v>
      </c>
      <c r="E3342" s="5">
        <v>43827</v>
      </c>
      <c r="F3342">
        <v>51956001</v>
      </c>
      <c r="G3342" t="s">
        <v>1059</v>
      </c>
      <c r="H3342" t="s">
        <v>1697</v>
      </c>
      <c r="I3342" t="s">
        <v>1698</v>
      </c>
      <c r="J3342">
        <v>1001</v>
      </c>
      <c r="K3342">
        <v>5016</v>
      </c>
      <c r="L3342" s="3">
        <v>0</v>
      </c>
      <c r="M3342" s="3">
        <v>37500</v>
      </c>
      <c r="N3342">
        <v>0</v>
      </c>
      <c r="O3342">
        <v>0</v>
      </c>
      <c r="P3342">
        <v>37500</v>
      </c>
      <c r="Q3342" t="s">
        <v>30</v>
      </c>
      <c r="R3342" t="s">
        <v>70</v>
      </c>
      <c r="S3342" t="str">
        <v>#N/A</v>
      </c>
      <c r="T3342" t="str">
        <v>#N/A</v>
      </c>
    </row>
    <row r="3343" spans="1:20" ht="13.7" customHeight="1" x14ac:dyDescent="0.25">
      <c r="E3343" s="5">
        <v>43465</v>
      </c>
      <c r="F3343">
        <v>51956001</v>
      </c>
      <c r="G3343" t="s">
        <v>1059</v>
      </c>
      <c r="H3343" t="s">
        <v>1217</v>
      </c>
      <c r="I3343" t="s">
        <v>1218</v>
      </c>
      <c r="J3343">
        <v>0</v>
      </c>
      <c r="K3343">
        <v>0</v>
      </c>
      <c r="L3343" s="3">
        <v>8400</v>
      </c>
      <c r="M3343" s="3">
        <v>0</v>
      </c>
      <c r="N3343">
        <v>0</v>
      </c>
      <c r="O3343">
        <v>0</v>
      </c>
      <c r="P3343">
        <v>8400</v>
      </c>
      <c r="R3343" t="s">
        <v>1100</v>
      </c>
      <c r="S3343" t="str">
        <v>#N/A</v>
      </c>
      <c r="T3343" t="str">
        <v>#N/A</v>
      </c>
    </row>
    <row r="3344" spans="1:20" ht="13.7" customHeight="1" x14ac:dyDescent="0.25">
      <c r="E3344" s="5">
        <v>43465</v>
      </c>
      <c r="F3344">
        <v>51956001</v>
      </c>
      <c r="G3344" t="s">
        <v>1059</v>
      </c>
      <c r="H3344" t="s">
        <v>1507</v>
      </c>
      <c r="I3344" t="s">
        <v>1508</v>
      </c>
      <c r="J3344">
        <v>0</v>
      </c>
      <c r="K3344">
        <v>0</v>
      </c>
      <c r="L3344" s="3">
        <v>17600</v>
      </c>
      <c r="M3344" s="3">
        <v>0</v>
      </c>
      <c r="N3344">
        <v>0</v>
      </c>
      <c r="O3344">
        <v>0</v>
      </c>
      <c r="P3344">
        <v>17600</v>
      </c>
      <c r="R3344" t="s">
        <v>1100</v>
      </c>
      <c r="S3344" t="str">
        <v>#N/A</v>
      </c>
      <c r="T3344" t="str">
        <v>#N/A</v>
      </c>
    </row>
    <row r="3345" spans="1:20" ht="13.7" customHeight="1" x14ac:dyDescent="0.25">
      <c r="E3345" s="5">
        <v>43465</v>
      </c>
      <c r="F3345">
        <v>51956001</v>
      </c>
      <c r="G3345" t="s">
        <v>1059</v>
      </c>
      <c r="H3345" t="s">
        <v>1699</v>
      </c>
      <c r="I3345" t="s">
        <v>1700</v>
      </c>
      <c r="J3345">
        <v>0</v>
      </c>
      <c r="K3345">
        <v>0</v>
      </c>
      <c r="L3345" s="3">
        <v>23000</v>
      </c>
      <c r="M3345" s="3">
        <v>0</v>
      </c>
      <c r="N3345">
        <v>0</v>
      </c>
      <c r="O3345">
        <v>0</v>
      </c>
      <c r="P3345">
        <v>23000</v>
      </c>
      <c r="R3345" t="s">
        <v>1100</v>
      </c>
      <c r="S3345" t="str">
        <v>#N/A</v>
      </c>
      <c r="T3345" t="str">
        <v>#N/A</v>
      </c>
    </row>
    <row r="3346" spans="1:20" ht="13.7" customHeight="1" x14ac:dyDescent="0.25">
      <c r="E3346" s="5">
        <v>43465</v>
      </c>
      <c r="F3346">
        <v>51956001</v>
      </c>
      <c r="G3346" t="s">
        <v>1059</v>
      </c>
      <c r="H3346" t="s">
        <v>1701</v>
      </c>
      <c r="I3346" t="s">
        <v>1702</v>
      </c>
      <c r="J3346">
        <v>0</v>
      </c>
      <c r="K3346">
        <v>0</v>
      </c>
      <c r="L3346" s="3">
        <v>5800</v>
      </c>
      <c r="M3346" s="3">
        <v>0</v>
      </c>
      <c r="N3346">
        <v>0</v>
      </c>
      <c r="O3346">
        <v>0</v>
      </c>
      <c r="P3346">
        <v>5800</v>
      </c>
      <c r="R3346" t="s">
        <v>1100</v>
      </c>
      <c r="S3346" t="str">
        <v>#N/A</v>
      </c>
      <c r="T3346" t="str">
        <v>#N/A</v>
      </c>
    </row>
    <row r="3347" spans="1:20" ht="13.7" customHeight="1" x14ac:dyDescent="0.25">
      <c r="E3347" s="5">
        <v>43465</v>
      </c>
      <c r="F3347">
        <v>51956001</v>
      </c>
      <c r="G3347" t="s">
        <v>1059</v>
      </c>
      <c r="H3347" t="s">
        <v>1197</v>
      </c>
      <c r="I3347" t="s">
        <v>1198</v>
      </c>
      <c r="J3347">
        <v>0</v>
      </c>
      <c r="K3347">
        <v>0</v>
      </c>
      <c r="L3347" s="3">
        <v>55000</v>
      </c>
      <c r="M3347" s="3">
        <v>0</v>
      </c>
      <c r="N3347">
        <v>0</v>
      </c>
      <c r="O3347">
        <v>0</v>
      </c>
      <c r="P3347">
        <v>55000</v>
      </c>
      <c r="R3347" t="s">
        <v>1100</v>
      </c>
      <c r="S3347" t="str">
        <v>#N/A</v>
      </c>
      <c r="T3347" t="str">
        <v>13</v>
      </c>
    </row>
    <row r="3348" spans="1:20" ht="13.7" customHeight="1" x14ac:dyDescent="0.25">
      <c r="A3348" t="s">
        <v>26</v>
      </c>
      <c r="B3348" t="s">
        <v>27</v>
      </c>
      <c r="C3348" t="s">
        <v>91</v>
      </c>
      <c r="D3348">
        <v>29</v>
      </c>
      <c r="E3348" s="5">
        <v>43535</v>
      </c>
      <c r="F3348">
        <v>51956001</v>
      </c>
      <c r="G3348" t="s">
        <v>1059</v>
      </c>
      <c r="H3348" t="s">
        <v>1197</v>
      </c>
      <c r="I3348" t="s">
        <v>1198</v>
      </c>
      <c r="J3348">
        <v>1001</v>
      </c>
      <c r="K3348">
        <v>5016</v>
      </c>
      <c r="L3348" s="3">
        <v>55000</v>
      </c>
      <c r="M3348" s="3">
        <v>6700</v>
      </c>
      <c r="N3348">
        <v>0</v>
      </c>
      <c r="O3348">
        <v>0</v>
      </c>
      <c r="P3348">
        <v>61700</v>
      </c>
      <c r="Q3348" t="s">
        <v>30</v>
      </c>
      <c r="R3348" t="s">
        <v>97</v>
      </c>
      <c r="S3348" t="str">
        <v>#N/A</v>
      </c>
      <c r="T3348" t="str">
        <v>13</v>
      </c>
    </row>
    <row r="3349" spans="1:20" ht="13.7" customHeight="1" x14ac:dyDescent="0.25">
      <c r="A3349" t="s">
        <v>26</v>
      </c>
      <c r="B3349" t="s">
        <v>27</v>
      </c>
      <c r="C3349" t="s">
        <v>91</v>
      </c>
      <c r="D3349">
        <v>34</v>
      </c>
      <c r="E3349" s="5">
        <v>43536</v>
      </c>
      <c r="F3349">
        <v>51956001</v>
      </c>
      <c r="G3349" t="s">
        <v>1059</v>
      </c>
      <c r="H3349" t="s">
        <v>1197</v>
      </c>
      <c r="I3349" t="s">
        <v>1198</v>
      </c>
      <c r="J3349">
        <v>1001</v>
      </c>
      <c r="K3349">
        <v>5016</v>
      </c>
      <c r="L3349" s="3">
        <v>61700</v>
      </c>
      <c r="M3349" s="3">
        <v>12200</v>
      </c>
      <c r="N3349">
        <v>0</v>
      </c>
      <c r="O3349">
        <v>0</v>
      </c>
      <c r="P3349">
        <v>73900</v>
      </c>
      <c r="Q3349" t="s">
        <v>30</v>
      </c>
      <c r="R3349" t="s">
        <v>97</v>
      </c>
      <c r="S3349" t="str">
        <v>#N/A</v>
      </c>
      <c r="T3349" t="str">
        <v>13</v>
      </c>
    </row>
    <row r="3350" spans="1:20" ht="13.7" customHeight="1" x14ac:dyDescent="0.25">
      <c r="A3350" t="s">
        <v>26</v>
      </c>
      <c r="B3350" t="s">
        <v>27</v>
      </c>
      <c r="C3350" t="s">
        <v>91</v>
      </c>
      <c r="D3350">
        <v>33</v>
      </c>
      <c r="E3350" s="5">
        <v>43537</v>
      </c>
      <c r="F3350">
        <v>51956001</v>
      </c>
      <c r="G3350" t="s">
        <v>1059</v>
      </c>
      <c r="H3350" t="s">
        <v>1197</v>
      </c>
      <c r="I3350" t="s">
        <v>1198</v>
      </c>
      <c r="J3350">
        <v>1001</v>
      </c>
      <c r="K3350">
        <v>5016</v>
      </c>
      <c r="L3350" s="3">
        <v>73900</v>
      </c>
      <c r="M3350" s="3">
        <v>5200</v>
      </c>
      <c r="N3350">
        <v>0</v>
      </c>
      <c r="O3350">
        <v>0</v>
      </c>
      <c r="P3350">
        <v>79100</v>
      </c>
      <c r="Q3350" t="s">
        <v>30</v>
      </c>
      <c r="R3350" t="s">
        <v>98</v>
      </c>
      <c r="S3350" t="str">
        <v>#N/A</v>
      </c>
      <c r="T3350" t="str">
        <v>13</v>
      </c>
    </row>
    <row r="3351" spans="1:20" ht="13.7" customHeight="1" x14ac:dyDescent="0.25">
      <c r="A3351" t="s">
        <v>26</v>
      </c>
      <c r="B3351" t="s">
        <v>27</v>
      </c>
      <c r="C3351" t="s">
        <v>91</v>
      </c>
      <c r="D3351">
        <v>42</v>
      </c>
      <c r="E3351" s="5">
        <v>43542</v>
      </c>
      <c r="F3351">
        <v>51956001</v>
      </c>
      <c r="G3351" t="s">
        <v>1059</v>
      </c>
      <c r="H3351" t="s">
        <v>1197</v>
      </c>
      <c r="I3351" t="s">
        <v>1198</v>
      </c>
      <c r="J3351">
        <v>1001</v>
      </c>
      <c r="K3351">
        <v>5016</v>
      </c>
      <c r="L3351" s="3">
        <v>79100</v>
      </c>
      <c r="M3351" s="3">
        <v>4500</v>
      </c>
      <c r="N3351">
        <v>0</v>
      </c>
      <c r="O3351">
        <v>0</v>
      </c>
      <c r="P3351">
        <v>83600</v>
      </c>
      <c r="Q3351" t="s">
        <v>30</v>
      </c>
      <c r="R3351" t="s">
        <v>97</v>
      </c>
      <c r="S3351" t="str">
        <v>#N/A</v>
      </c>
      <c r="T3351" t="str">
        <v>13</v>
      </c>
    </row>
    <row r="3352" spans="1:20" ht="13.7" customHeight="1" x14ac:dyDescent="0.25">
      <c r="A3352" t="s">
        <v>26</v>
      </c>
      <c r="B3352" t="s">
        <v>27</v>
      </c>
      <c r="C3352" t="s">
        <v>91</v>
      </c>
      <c r="D3352">
        <v>47</v>
      </c>
      <c r="E3352" s="5">
        <v>43546</v>
      </c>
      <c r="F3352">
        <v>51956001</v>
      </c>
      <c r="G3352" t="s">
        <v>1059</v>
      </c>
      <c r="H3352" t="s">
        <v>1197</v>
      </c>
      <c r="I3352" t="s">
        <v>1198</v>
      </c>
      <c r="J3352">
        <v>1001</v>
      </c>
      <c r="K3352">
        <v>5016</v>
      </c>
      <c r="L3352" s="3">
        <v>83600</v>
      </c>
      <c r="M3352" s="3">
        <v>9400</v>
      </c>
      <c r="N3352">
        <v>0</v>
      </c>
      <c r="O3352">
        <v>0</v>
      </c>
      <c r="P3352">
        <v>93000</v>
      </c>
      <c r="Q3352" t="s">
        <v>30</v>
      </c>
      <c r="R3352" t="s">
        <v>104</v>
      </c>
      <c r="S3352" t="str">
        <v>#N/A</v>
      </c>
      <c r="T3352" t="str">
        <v>13</v>
      </c>
    </row>
    <row r="3353" spans="1:20" ht="13.7" customHeight="1" x14ac:dyDescent="0.25">
      <c r="A3353" t="s">
        <v>26</v>
      </c>
      <c r="B3353" t="s">
        <v>27</v>
      </c>
      <c r="C3353" t="s">
        <v>91</v>
      </c>
      <c r="D3353">
        <v>60</v>
      </c>
      <c r="E3353" s="5">
        <v>43551</v>
      </c>
      <c r="F3353">
        <v>51956001</v>
      </c>
      <c r="G3353" t="s">
        <v>1059</v>
      </c>
      <c r="H3353" t="s">
        <v>1197</v>
      </c>
      <c r="I3353" t="s">
        <v>1198</v>
      </c>
      <c r="J3353">
        <v>1001</v>
      </c>
      <c r="K3353">
        <v>5016</v>
      </c>
      <c r="L3353" s="3">
        <v>93000</v>
      </c>
      <c r="M3353" s="3">
        <v>3000</v>
      </c>
      <c r="N3353">
        <v>0</v>
      </c>
      <c r="O3353">
        <v>0</v>
      </c>
      <c r="P3353">
        <v>96000</v>
      </c>
      <c r="Q3353" t="s">
        <v>30</v>
      </c>
      <c r="R3353" t="s">
        <v>97</v>
      </c>
      <c r="S3353" t="str">
        <v>#N/A</v>
      </c>
      <c r="T3353" t="str">
        <v>13</v>
      </c>
    </row>
    <row r="3354" spans="1:20" ht="13.7" customHeight="1" x14ac:dyDescent="0.25">
      <c r="A3354" t="s">
        <v>26</v>
      </c>
      <c r="B3354" t="s">
        <v>27</v>
      </c>
      <c r="C3354" t="s">
        <v>91</v>
      </c>
      <c r="D3354">
        <v>62</v>
      </c>
      <c r="E3354" s="5">
        <v>43552</v>
      </c>
      <c r="F3354">
        <v>51956001</v>
      </c>
      <c r="G3354" t="s">
        <v>1059</v>
      </c>
      <c r="H3354" t="s">
        <v>1197</v>
      </c>
      <c r="I3354" t="s">
        <v>1198</v>
      </c>
      <c r="J3354">
        <v>1001</v>
      </c>
      <c r="K3354">
        <v>5016</v>
      </c>
      <c r="L3354" s="3">
        <v>96000</v>
      </c>
      <c r="M3354" s="3">
        <v>2400</v>
      </c>
      <c r="N3354">
        <v>0</v>
      </c>
      <c r="O3354">
        <v>0</v>
      </c>
      <c r="P3354">
        <v>98400</v>
      </c>
      <c r="Q3354" t="s">
        <v>30</v>
      </c>
      <c r="R3354" t="s">
        <v>97</v>
      </c>
      <c r="S3354" t="str">
        <v>#N/A</v>
      </c>
      <c r="T3354" t="str">
        <v>13</v>
      </c>
    </row>
    <row r="3355" spans="1:20" ht="13.7" customHeight="1" x14ac:dyDescent="0.25">
      <c r="A3355" t="s">
        <v>26</v>
      </c>
      <c r="B3355" t="s">
        <v>27</v>
      </c>
      <c r="C3355" t="s">
        <v>91</v>
      </c>
      <c r="D3355">
        <v>63</v>
      </c>
      <c r="E3355" s="5">
        <v>43552</v>
      </c>
      <c r="F3355">
        <v>51956001</v>
      </c>
      <c r="G3355" t="s">
        <v>1059</v>
      </c>
      <c r="H3355" t="s">
        <v>1197</v>
      </c>
      <c r="I3355" t="s">
        <v>1198</v>
      </c>
      <c r="J3355">
        <v>1001</v>
      </c>
      <c r="K3355">
        <v>5016</v>
      </c>
      <c r="L3355" s="3">
        <v>98400</v>
      </c>
      <c r="M3355" s="3">
        <v>800</v>
      </c>
      <c r="N3355">
        <v>0</v>
      </c>
      <c r="O3355">
        <v>0</v>
      </c>
      <c r="P3355">
        <v>99200</v>
      </c>
      <c r="Q3355" t="s">
        <v>30</v>
      </c>
      <c r="R3355" t="s">
        <v>97</v>
      </c>
      <c r="S3355" t="str">
        <v>#N/A</v>
      </c>
      <c r="T3355" t="str">
        <v>13</v>
      </c>
    </row>
    <row r="3356" spans="1:20" ht="13.7" customHeight="1" x14ac:dyDescent="0.25">
      <c r="A3356" t="s">
        <v>26</v>
      </c>
      <c r="B3356" t="s">
        <v>27</v>
      </c>
      <c r="C3356" t="s">
        <v>91</v>
      </c>
      <c r="D3356">
        <v>64</v>
      </c>
      <c r="E3356" s="5">
        <v>43553</v>
      </c>
      <c r="F3356">
        <v>51956001</v>
      </c>
      <c r="G3356" t="s">
        <v>1059</v>
      </c>
      <c r="H3356" t="s">
        <v>1197</v>
      </c>
      <c r="I3356" t="s">
        <v>1198</v>
      </c>
      <c r="J3356">
        <v>1001</v>
      </c>
      <c r="K3356">
        <v>5016</v>
      </c>
      <c r="L3356" s="3">
        <v>99200</v>
      </c>
      <c r="M3356" s="3">
        <v>8557</v>
      </c>
      <c r="N3356">
        <v>0</v>
      </c>
      <c r="O3356">
        <v>0</v>
      </c>
      <c r="P3356">
        <v>107757</v>
      </c>
      <c r="Q3356" t="s">
        <v>30</v>
      </c>
      <c r="R3356" t="s">
        <v>97</v>
      </c>
      <c r="S3356" t="str">
        <v>#N/A</v>
      </c>
      <c r="T3356" t="str">
        <v>13</v>
      </c>
    </row>
    <row r="3357" spans="1:20" ht="13.7" customHeight="1" x14ac:dyDescent="0.25">
      <c r="A3357" t="s">
        <v>26</v>
      </c>
      <c r="B3357" t="s">
        <v>27</v>
      </c>
      <c r="C3357" t="s">
        <v>91</v>
      </c>
      <c r="D3357">
        <v>59</v>
      </c>
      <c r="E3357" s="5">
        <v>43565</v>
      </c>
      <c r="F3357">
        <v>51956001</v>
      </c>
      <c r="G3357" t="s">
        <v>1059</v>
      </c>
      <c r="H3357" t="s">
        <v>1197</v>
      </c>
      <c r="I3357" t="s">
        <v>1198</v>
      </c>
      <c r="J3357">
        <v>1001</v>
      </c>
      <c r="K3357">
        <v>5016</v>
      </c>
      <c r="L3357" s="3">
        <v>107757</v>
      </c>
      <c r="M3357" s="3">
        <v>3563</v>
      </c>
      <c r="N3357">
        <v>0</v>
      </c>
      <c r="O3357">
        <v>0</v>
      </c>
      <c r="P3357">
        <v>111320</v>
      </c>
      <c r="Q3357" t="s">
        <v>30</v>
      </c>
      <c r="R3357" t="s">
        <v>97</v>
      </c>
      <c r="S3357" t="str">
        <v>#N/A</v>
      </c>
      <c r="T3357" t="str">
        <v>13</v>
      </c>
    </row>
    <row r="3358" spans="1:20" ht="13.7" customHeight="1" x14ac:dyDescent="0.25">
      <c r="E3358" s="5">
        <v>43465</v>
      </c>
      <c r="F3358">
        <v>51956001</v>
      </c>
      <c r="G3358" t="s">
        <v>1059</v>
      </c>
      <c r="H3358" t="s">
        <v>1703</v>
      </c>
      <c r="I3358" t="s">
        <v>1704</v>
      </c>
      <c r="J3358">
        <v>0</v>
      </c>
      <c r="K3358">
        <v>0</v>
      </c>
      <c r="L3358" s="3">
        <v>48000</v>
      </c>
      <c r="M3358" s="3">
        <v>0</v>
      </c>
      <c r="N3358">
        <v>0</v>
      </c>
      <c r="O3358">
        <v>0</v>
      </c>
      <c r="P3358">
        <v>48000</v>
      </c>
      <c r="R3358" t="s">
        <v>1100</v>
      </c>
      <c r="S3358" t="str">
        <v>#N/A</v>
      </c>
      <c r="T3358" t="str">
        <v>#N/A</v>
      </c>
    </row>
    <row r="3359" spans="1:20" ht="13.7" customHeight="1" x14ac:dyDescent="0.25">
      <c r="A3359" t="s">
        <v>26</v>
      </c>
      <c r="B3359" t="s">
        <v>27</v>
      </c>
      <c r="C3359" t="s">
        <v>40</v>
      </c>
      <c r="D3359">
        <v>59</v>
      </c>
      <c r="E3359" s="5">
        <v>43769</v>
      </c>
      <c r="F3359">
        <v>51956001</v>
      </c>
      <c r="G3359" t="s">
        <v>1059</v>
      </c>
      <c r="H3359" t="s">
        <v>1703</v>
      </c>
      <c r="I3359" t="s">
        <v>1704</v>
      </c>
      <c r="J3359">
        <v>1001</v>
      </c>
      <c r="K3359">
        <v>5016</v>
      </c>
      <c r="L3359" s="3">
        <v>48000</v>
      </c>
      <c r="M3359" s="3">
        <v>66500</v>
      </c>
      <c r="N3359">
        <v>0</v>
      </c>
      <c r="O3359">
        <v>0</v>
      </c>
      <c r="P3359">
        <v>114500</v>
      </c>
      <c r="Q3359" t="s">
        <v>30</v>
      </c>
      <c r="R3359" t="s">
        <v>70</v>
      </c>
      <c r="S3359" t="str">
        <v>#N/A</v>
      </c>
      <c r="T3359" t="str">
        <v>#N/A</v>
      </c>
    </row>
    <row r="3360" spans="1:20" ht="13.7" customHeight="1" x14ac:dyDescent="0.25">
      <c r="E3360" s="5">
        <v>43465</v>
      </c>
      <c r="F3360">
        <v>51956001</v>
      </c>
      <c r="G3360" t="s">
        <v>1059</v>
      </c>
      <c r="H3360" t="s">
        <v>1171</v>
      </c>
      <c r="I3360" t="s">
        <v>1172</v>
      </c>
      <c r="J3360">
        <v>0</v>
      </c>
      <c r="K3360">
        <v>0</v>
      </c>
      <c r="L3360" s="3">
        <v>1094500</v>
      </c>
      <c r="M3360" s="3">
        <v>0</v>
      </c>
      <c r="N3360">
        <v>0</v>
      </c>
      <c r="O3360">
        <v>0</v>
      </c>
      <c r="P3360">
        <v>1094500</v>
      </c>
      <c r="R3360" t="s">
        <v>1100</v>
      </c>
      <c r="S3360" t="str">
        <v>#N/A</v>
      </c>
      <c r="T3360" t="str">
        <v>13</v>
      </c>
    </row>
    <row r="3361" spans="1:20" ht="13.7" customHeight="1" x14ac:dyDescent="0.25">
      <c r="A3361" t="s">
        <v>26</v>
      </c>
      <c r="B3361" t="s">
        <v>27</v>
      </c>
      <c r="C3361" t="s">
        <v>28</v>
      </c>
      <c r="D3361">
        <v>27</v>
      </c>
      <c r="E3361" s="5">
        <v>43477</v>
      </c>
      <c r="F3361">
        <v>51956001</v>
      </c>
      <c r="G3361" t="s">
        <v>1059</v>
      </c>
      <c r="H3361" t="s">
        <v>1171</v>
      </c>
      <c r="I3361" t="s">
        <v>1172</v>
      </c>
      <c r="J3361">
        <v>1001</v>
      </c>
      <c r="K3361">
        <v>5016</v>
      </c>
      <c r="L3361" s="3">
        <v>1094500</v>
      </c>
      <c r="M3361" s="3">
        <v>37000</v>
      </c>
      <c r="N3361">
        <v>0</v>
      </c>
      <c r="O3361">
        <v>0</v>
      </c>
      <c r="P3361">
        <v>1131500</v>
      </c>
      <c r="Q3361" t="s">
        <v>30</v>
      </c>
      <c r="R3361" t="s">
        <v>52</v>
      </c>
      <c r="S3361" t="str">
        <v>#N/A</v>
      </c>
      <c r="T3361" t="str">
        <v>13</v>
      </c>
    </row>
    <row r="3362" spans="1:20" ht="13.7" customHeight="1" x14ac:dyDescent="0.25">
      <c r="A3362" t="s">
        <v>26</v>
      </c>
      <c r="B3362" t="s">
        <v>27</v>
      </c>
      <c r="C3362" t="s">
        <v>28</v>
      </c>
      <c r="D3362">
        <v>49</v>
      </c>
      <c r="E3362" s="5">
        <v>43484</v>
      </c>
      <c r="F3362">
        <v>51956001</v>
      </c>
      <c r="G3362" t="s">
        <v>1059</v>
      </c>
      <c r="H3362" t="s">
        <v>1171</v>
      </c>
      <c r="I3362" t="s">
        <v>1172</v>
      </c>
      <c r="J3362">
        <v>1001</v>
      </c>
      <c r="K3362">
        <v>5016</v>
      </c>
      <c r="L3362" s="3">
        <v>1131500</v>
      </c>
      <c r="M3362" s="3">
        <v>19000</v>
      </c>
      <c r="N3362">
        <v>0</v>
      </c>
      <c r="O3362">
        <v>0</v>
      </c>
      <c r="P3362">
        <v>1150500</v>
      </c>
      <c r="Q3362" t="s">
        <v>30</v>
      </c>
      <c r="R3362" t="s">
        <v>52</v>
      </c>
      <c r="S3362" t="str">
        <v>#N/A</v>
      </c>
      <c r="T3362" t="str">
        <v>13</v>
      </c>
    </row>
    <row r="3363" spans="1:20" ht="13.7" customHeight="1" x14ac:dyDescent="0.25">
      <c r="A3363" t="s">
        <v>26</v>
      </c>
      <c r="B3363" t="s">
        <v>27</v>
      </c>
      <c r="C3363" t="s">
        <v>28</v>
      </c>
      <c r="D3363">
        <v>64</v>
      </c>
      <c r="E3363" s="5">
        <v>43491</v>
      </c>
      <c r="F3363">
        <v>51956001</v>
      </c>
      <c r="G3363" t="s">
        <v>1059</v>
      </c>
      <c r="H3363" t="s">
        <v>1171</v>
      </c>
      <c r="I3363" t="s">
        <v>1172</v>
      </c>
      <c r="J3363">
        <v>1001</v>
      </c>
      <c r="K3363">
        <v>5016</v>
      </c>
      <c r="L3363" s="3">
        <v>1150500</v>
      </c>
      <c r="M3363" s="3">
        <v>28000</v>
      </c>
      <c r="N3363">
        <v>0</v>
      </c>
      <c r="O3363">
        <v>0</v>
      </c>
      <c r="P3363">
        <v>1178500</v>
      </c>
      <c r="Q3363" t="s">
        <v>30</v>
      </c>
      <c r="R3363" t="s">
        <v>52</v>
      </c>
      <c r="S3363" t="str">
        <v>#N/A</v>
      </c>
      <c r="T3363" t="str">
        <v>13</v>
      </c>
    </row>
    <row r="3364" spans="1:20" ht="13.7" customHeight="1" x14ac:dyDescent="0.25">
      <c r="A3364" t="s">
        <v>26</v>
      </c>
      <c r="B3364" t="s">
        <v>27</v>
      </c>
      <c r="C3364" t="s">
        <v>32</v>
      </c>
      <c r="D3364">
        <v>5</v>
      </c>
      <c r="E3364" s="5">
        <v>43498</v>
      </c>
      <c r="F3364">
        <v>51956001</v>
      </c>
      <c r="G3364" t="s">
        <v>1059</v>
      </c>
      <c r="H3364" t="s">
        <v>1171</v>
      </c>
      <c r="I3364" t="s">
        <v>1172</v>
      </c>
      <c r="J3364">
        <v>1001</v>
      </c>
      <c r="K3364">
        <v>5016</v>
      </c>
      <c r="L3364" s="3">
        <v>1178500</v>
      </c>
      <c r="M3364" s="3">
        <v>19000</v>
      </c>
      <c r="N3364">
        <v>0</v>
      </c>
      <c r="O3364">
        <v>0</v>
      </c>
      <c r="P3364">
        <v>1197500</v>
      </c>
      <c r="Q3364" t="s">
        <v>30</v>
      </c>
      <c r="R3364" t="s">
        <v>70</v>
      </c>
      <c r="S3364" t="str">
        <v>#N/A</v>
      </c>
      <c r="T3364" t="str">
        <v>13</v>
      </c>
    </row>
    <row r="3365" spans="1:20" ht="13.7" customHeight="1" x14ac:dyDescent="0.25">
      <c r="A3365" t="s">
        <v>26</v>
      </c>
      <c r="B3365" t="s">
        <v>27</v>
      </c>
      <c r="C3365" t="s">
        <v>32</v>
      </c>
      <c r="D3365">
        <v>16</v>
      </c>
      <c r="E3365" s="5">
        <v>43505</v>
      </c>
      <c r="F3365">
        <v>51956001</v>
      </c>
      <c r="G3365" t="s">
        <v>1059</v>
      </c>
      <c r="H3365" t="s">
        <v>1171</v>
      </c>
      <c r="I3365" t="s">
        <v>1172</v>
      </c>
      <c r="J3365">
        <v>1001</v>
      </c>
      <c r="K3365">
        <v>5016</v>
      </c>
      <c r="L3365" s="3">
        <v>1197500</v>
      </c>
      <c r="M3365" s="3">
        <v>37000</v>
      </c>
      <c r="N3365">
        <v>0</v>
      </c>
      <c r="O3365">
        <v>0</v>
      </c>
      <c r="P3365">
        <v>1234500</v>
      </c>
      <c r="Q3365" t="s">
        <v>30</v>
      </c>
      <c r="R3365" t="s">
        <v>70</v>
      </c>
      <c r="S3365" t="str">
        <v>#N/A</v>
      </c>
      <c r="T3365" t="str">
        <v>13</v>
      </c>
    </row>
    <row r="3366" spans="1:20" ht="13.7" customHeight="1" x14ac:dyDescent="0.25">
      <c r="A3366" t="s">
        <v>26</v>
      </c>
      <c r="B3366" t="s">
        <v>27</v>
      </c>
      <c r="C3366" t="s">
        <v>32</v>
      </c>
      <c r="D3366">
        <v>42</v>
      </c>
      <c r="E3366" s="5">
        <v>43519</v>
      </c>
      <c r="F3366">
        <v>51956001</v>
      </c>
      <c r="G3366" t="s">
        <v>1059</v>
      </c>
      <c r="H3366" t="s">
        <v>1171</v>
      </c>
      <c r="I3366" t="s">
        <v>1172</v>
      </c>
      <c r="J3366">
        <v>1001</v>
      </c>
      <c r="K3366">
        <v>5016</v>
      </c>
      <c r="L3366" s="3">
        <v>1234500</v>
      </c>
      <c r="M3366" s="3">
        <v>28000</v>
      </c>
      <c r="N3366">
        <v>0</v>
      </c>
      <c r="O3366">
        <v>0</v>
      </c>
      <c r="P3366">
        <v>1262500</v>
      </c>
      <c r="Q3366" t="s">
        <v>30</v>
      </c>
      <c r="R3366" t="s">
        <v>70</v>
      </c>
      <c r="S3366" t="str">
        <v>#N/A</v>
      </c>
      <c r="T3366" t="str">
        <v>13</v>
      </c>
    </row>
    <row r="3367" spans="1:20" ht="13.7" customHeight="1" x14ac:dyDescent="0.25">
      <c r="A3367" t="s">
        <v>26</v>
      </c>
      <c r="B3367" t="s">
        <v>27</v>
      </c>
      <c r="C3367" t="s">
        <v>91</v>
      </c>
      <c r="D3367">
        <v>7</v>
      </c>
      <c r="E3367" s="5">
        <v>43526</v>
      </c>
      <c r="F3367">
        <v>51956001</v>
      </c>
      <c r="G3367" t="s">
        <v>1059</v>
      </c>
      <c r="H3367" t="s">
        <v>1171</v>
      </c>
      <c r="I3367" t="s">
        <v>1172</v>
      </c>
      <c r="J3367">
        <v>1001</v>
      </c>
      <c r="K3367">
        <v>5016</v>
      </c>
      <c r="L3367" s="3">
        <v>1262500</v>
      </c>
      <c r="M3367" s="3">
        <v>18000</v>
      </c>
      <c r="N3367">
        <v>0</v>
      </c>
      <c r="O3367">
        <v>0</v>
      </c>
      <c r="P3367">
        <v>1280500</v>
      </c>
      <c r="Q3367" t="s">
        <v>30</v>
      </c>
      <c r="R3367" t="s">
        <v>70</v>
      </c>
      <c r="S3367" t="str">
        <v>#N/A</v>
      </c>
      <c r="T3367" t="str">
        <v>13</v>
      </c>
    </row>
    <row r="3368" spans="1:20" ht="13.7" customHeight="1" x14ac:dyDescent="0.25">
      <c r="A3368" t="s">
        <v>26</v>
      </c>
      <c r="B3368" t="s">
        <v>27</v>
      </c>
      <c r="C3368" t="s">
        <v>91</v>
      </c>
      <c r="D3368">
        <v>69</v>
      </c>
      <c r="E3368" s="5">
        <v>43540</v>
      </c>
      <c r="F3368">
        <v>51956001</v>
      </c>
      <c r="G3368" t="s">
        <v>1059</v>
      </c>
      <c r="H3368" t="s">
        <v>1171</v>
      </c>
      <c r="I3368" t="s">
        <v>1172</v>
      </c>
      <c r="J3368">
        <v>1001</v>
      </c>
      <c r="K3368">
        <v>5016</v>
      </c>
      <c r="L3368" s="3">
        <v>1280500</v>
      </c>
      <c r="M3368" s="3">
        <v>19000</v>
      </c>
      <c r="N3368">
        <v>0</v>
      </c>
      <c r="O3368">
        <v>0</v>
      </c>
      <c r="P3368">
        <v>1299500</v>
      </c>
      <c r="Q3368" t="s">
        <v>30</v>
      </c>
      <c r="R3368" t="s">
        <v>97</v>
      </c>
      <c r="S3368" t="str">
        <v>#N/A</v>
      </c>
      <c r="T3368" t="str">
        <v>13</v>
      </c>
    </row>
    <row r="3369" spans="1:20" ht="13.7" customHeight="1" x14ac:dyDescent="0.25">
      <c r="A3369" t="s">
        <v>26</v>
      </c>
      <c r="B3369" t="s">
        <v>27</v>
      </c>
      <c r="C3369" t="s">
        <v>91</v>
      </c>
      <c r="D3369">
        <v>53</v>
      </c>
      <c r="E3369" s="5">
        <v>43547</v>
      </c>
      <c r="F3369">
        <v>51956001</v>
      </c>
      <c r="G3369" t="s">
        <v>1059</v>
      </c>
      <c r="H3369" t="s">
        <v>1171</v>
      </c>
      <c r="I3369" t="s">
        <v>1172</v>
      </c>
      <c r="J3369">
        <v>1001</v>
      </c>
      <c r="K3369">
        <v>5016</v>
      </c>
      <c r="L3369" s="3">
        <v>1299500</v>
      </c>
      <c r="M3369" s="3">
        <v>28500</v>
      </c>
      <c r="N3369">
        <v>0</v>
      </c>
      <c r="O3369">
        <v>0</v>
      </c>
      <c r="P3369">
        <v>1328000</v>
      </c>
      <c r="Q3369" t="s">
        <v>30</v>
      </c>
      <c r="R3369" t="s">
        <v>97</v>
      </c>
      <c r="S3369" t="str">
        <v>#N/A</v>
      </c>
      <c r="T3369" t="str">
        <v>13</v>
      </c>
    </row>
    <row r="3370" spans="1:20" ht="13.7" customHeight="1" x14ac:dyDescent="0.25">
      <c r="A3370" t="s">
        <v>26</v>
      </c>
      <c r="B3370" t="s">
        <v>27</v>
      </c>
      <c r="C3370" t="s">
        <v>35</v>
      </c>
      <c r="D3370">
        <v>16</v>
      </c>
      <c r="E3370" s="5">
        <v>43589</v>
      </c>
      <c r="F3370">
        <v>51956001</v>
      </c>
      <c r="G3370" t="s">
        <v>1059</v>
      </c>
      <c r="H3370" t="s">
        <v>1171</v>
      </c>
      <c r="I3370" t="s">
        <v>1172</v>
      </c>
      <c r="J3370">
        <v>1001</v>
      </c>
      <c r="K3370">
        <v>5016</v>
      </c>
      <c r="L3370" s="3">
        <v>1328000</v>
      </c>
      <c r="M3370" s="3">
        <v>40000</v>
      </c>
      <c r="N3370">
        <v>0</v>
      </c>
      <c r="O3370">
        <v>0</v>
      </c>
      <c r="P3370">
        <v>1368000</v>
      </c>
      <c r="Q3370" t="s">
        <v>30</v>
      </c>
      <c r="R3370" t="s">
        <v>70</v>
      </c>
      <c r="S3370" t="str">
        <v>#N/A</v>
      </c>
      <c r="T3370" t="str">
        <v>13</v>
      </c>
    </row>
    <row r="3371" spans="1:20" ht="13.7" customHeight="1" x14ac:dyDescent="0.25">
      <c r="A3371" t="s">
        <v>26</v>
      </c>
      <c r="B3371" t="s">
        <v>27</v>
      </c>
      <c r="C3371" t="s">
        <v>36</v>
      </c>
      <c r="D3371">
        <v>6</v>
      </c>
      <c r="E3371" s="5">
        <v>43617</v>
      </c>
      <c r="F3371">
        <v>51956001</v>
      </c>
      <c r="G3371" t="s">
        <v>1059</v>
      </c>
      <c r="H3371" t="s">
        <v>1171</v>
      </c>
      <c r="I3371" t="s">
        <v>1172</v>
      </c>
      <c r="J3371">
        <v>1001</v>
      </c>
      <c r="K3371">
        <v>5016</v>
      </c>
      <c r="L3371" s="3">
        <v>1368000</v>
      </c>
      <c r="M3371" s="3">
        <v>51000</v>
      </c>
      <c r="N3371">
        <v>0</v>
      </c>
      <c r="O3371">
        <v>0</v>
      </c>
      <c r="P3371">
        <v>1419000</v>
      </c>
      <c r="Q3371" t="s">
        <v>30</v>
      </c>
      <c r="R3371" t="s">
        <v>70</v>
      </c>
      <c r="S3371" t="str">
        <v>#N/A</v>
      </c>
      <c r="T3371" t="str">
        <v>13</v>
      </c>
    </row>
    <row r="3372" spans="1:20" ht="13.7" customHeight="1" x14ac:dyDescent="0.25">
      <c r="A3372" t="s">
        <v>26</v>
      </c>
      <c r="B3372" t="s">
        <v>27</v>
      </c>
      <c r="C3372" t="s">
        <v>38</v>
      </c>
      <c r="D3372">
        <v>16</v>
      </c>
      <c r="E3372" s="5">
        <v>43687</v>
      </c>
      <c r="F3372">
        <v>51956001</v>
      </c>
      <c r="G3372" t="s">
        <v>1059</v>
      </c>
      <c r="H3372" t="s">
        <v>1171</v>
      </c>
      <c r="I3372" t="s">
        <v>1172</v>
      </c>
      <c r="J3372">
        <v>1001</v>
      </c>
      <c r="K3372">
        <v>5016</v>
      </c>
      <c r="L3372" s="3">
        <v>1419000</v>
      </c>
      <c r="M3372" s="3">
        <v>20000</v>
      </c>
      <c r="N3372">
        <v>0</v>
      </c>
      <c r="O3372">
        <v>0</v>
      </c>
      <c r="P3372">
        <v>1439000</v>
      </c>
      <c r="Q3372" t="s">
        <v>30</v>
      </c>
      <c r="R3372" t="s">
        <v>70</v>
      </c>
      <c r="S3372" t="str">
        <v>#N/A</v>
      </c>
      <c r="T3372" t="str">
        <v>13</v>
      </c>
    </row>
    <row r="3373" spans="1:20" ht="13.7" customHeight="1" x14ac:dyDescent="0.25">
      <c r="A3373" t="s">
        <v>26</v>
      </c>
      <c r="B3373" t="s">
        <v>27</v>
      </c>
      <c r="C3373" t="s">
        <v>38</v>
      </c>
      <c r="D3373">
        <v>37</v>
      </c>
      <c r="E3373" s="5">
        <v>43701</v>
      </c>
      <c r="F3373">
        <v>51956001</v>
      </c>
      <c r="G3373" t="s">
        <v>1059</v>
      </c>
      <c r="H3373" t="s">
        <v>1171</v>
      </c>
      <c r="I3373" t="s">
        <v>1172</v>
      </c>
      <c r="J3373">
        <v>1001</v>
      </c>
      <c r="K3373">
        <v>5016</v>
      </c>
      <c r="L3373" s="3">
        <v>1439000</v>
      </c>
      <c r="M3373" s="3">
        <v>30000</v>
      </c>
      <c r="N3373">
        <v>0</v>
      </c>
      <c r="O3373">
        <v>0</v>
      </c>
      <c r="P3373">
        <v>1469000</v>
      </c>
      <c r="Q3373" t="s">
        <v>30</v>
      </c>
      <c r="R3373" t="s">
        <v>160</v>
      </c>
      <c r="S3373" t="str">
        <v>#N/A</v>
      </c>
      <c r="T3373" t="str">
        <v>13</v>
      </c>
    </row>
    <row r="3374" spans="1:20" ht="13.7" customHeight="1" x14ac:dyDescent="0.25">
      <c r="A3374" t="s">
        <v>26</v>
      </c>
      <c r="B3374" t="s">
        <v>27</v>
      </c>
      <c r="C3374" t="s">
        <v>38</v>
      </c>
      <c r="D3374">
        <v>38</v>
      </c>
      <c r="E3374" s="5">
        <v>43701</v>
      </c>
      <c r="F3374">
        <v>51956001</v>
      </c>
      <c r="G3374" t="s">
        <v>1059</v>
      </c>
      <c r="H3374" t="s">
        <v>1171</v>
      </c>
      <c r="I3374" t="s">
        <v>1172</v>
      </c>
      <c r="J3374">
        <v>1001</v>
      </c>
      <c r="K3374">
        <v>5016</v>
      </c>
      <c r="L3374" s="3">
        <v>1469000</v>
      </c>
      <c r="M3374" s="3">
        <v>20000</v>
      </c>
      <c r="N3374">
        <v>0</v>
      </c>
      <c r="O3374">
        <v>0</v>
      </c>
      <c r="P3374">
        <v>1489000</v>
      </c>
      <c r="Q3374" t="s">
        <v>30</v>
      </c>
      <c r="R3374" t="s">
        <v>160</v>
      </c>
      <c r="S3374" t="str">
        <v>#N/A</v>
      </c>
      <c r="T3374" t="str">
        <v>13</v>
      </c>
    </row>
    <row r="3375" spans="1:20" ht="13.7" customHeight="1" x14ac:dyDescent="0.25">
      <c r="A3375" t="s">
        <v>26</v>
      </c>
      <c r="B3375" t="s">
        <v>27</v>
      </c>
      <c r="C3375" t="s">
        <v>39</v>
      </c>
      <c r="D3375">
        <v>17</v>
      </c>
      <c r="E3375" s="5">
        <v>43715</v>
      </c>
      <c r="F3375">
        <v>51956001</v>
      </c>
      <c r="G3375" t="s">
        <v>1059</v>
      </c>
      <c r="H3375" t="s">
        <v>1171</v>
      </c>
      <c r="I3375" t="s">
        <v>1172</v>
      </c>
      <c r="J3375">
        <v>1001</v>
      </c>
      <c r="K3375">
        <v>5016</v>
      </c>
      <c r="L3375" s="3">
        <v>1489000</v>
      </c>
      <c r="M3375" s="3">
        <v>30000</v>
      </c>
      <c r="N3375">
        <v>0</v>
      </c>
      <c r="O3375">
        <v>0</v>
      </c>
      <c r="P3375">
        <v>1519000</v>
      </c>
      <c r="Q3375" t="s">
        <v>30</v>
      </c>
      <c r="R3375" t="s">
        <v>70</v>
      </c>
      <c r="S3375" t="str">
        <v>#N/A</v>
      </c>
      <c r="T3375" t="str">
        <v>13</v>
      </c>
    </row>
    <row r="3376" spans="1:20" ht="13.7" customHeight="1" x14ac:dyDescent="0.25">
      <c r="A3376" t="s">
        <v>26</v>
      </c>
      <c r="B3376" t="s">
        <v>27</v>
      </c>
      <c r="C3376" t="s">
        <v>39</v>
      </c>
      <c r="D3376">
        <v>31</v>
      </c>
      <c r="E3376" s="5">
        <v>43722</v>
      </c>
      <c r="F3376">
        <v>51956001</v>
      </c>
      <c r="G3376" t="s">
        <v>1059</v>
      </c>
      <c r="H3376" t="s">
        <v>1171</v>
      </c>
      <c r="I3376" t="s">
        <v>1172</v>
      </c>
      <c r="J3376">
        <v>1001</v>
      </c>
      <c r="K3376">
        <v>5016</v>
      </c>
      <c r="L3376" s="3">
        <v>1519000</v>
      </c>
      <c r="M3376" s="3">
        <v>80000</v>
      </c>
      <c r="N3376">
        <v>0</v>
      </c>
      <c r="O3376">
        <v>0</v>
      </c>
      <c r="P3376">
        <v>1599000</v>
      </c>
      <c r="Q3376" t="s">
        <v>30</v>
      </c>
      <c r="R3376" t="s">
        <v>70</v>
      </c>
      <c r="S3376" t="str">
        <v>#N/A</v>
      </c>
      <c r="T3376" t="str">
        <v>13</v>
      </c>
    </row>
    <row r="3377" spans="1:20" ht="13.7" customHeight="1" x14ac:dyDescent="0.25">
      <c r="A3377" t="s">
        <v>26</v>
      </c>
      <c r="B3377" t="s">
        <v>27</v>
      </c>
      <c r="C3377" t="s">
        <v>40</v>
      </c>
      <c r="D3377">
        <v>39</v>
      </c>
      <c r="E3377" s="5">
        <v>43757</v>
      </c>
      <c r="F3377">
        <v>51956001</v>
      </c>
      <c r="G3377" t="s">
        <v>1059</v>
      </c>
      <c r="H3377" t="s">
        <v>1171</v>
      </c>
      <c r="I3377" t="s">
        <v>1172</v>
      </c>
      <c r="J3377">
        <v>1001</v>
      </c>
      <c r="K3377">
        <v>5016</v>
      </c>
      <c r="L3377" s="3">
        <v>1599000</v>
      </c>
      <c r="M3377" s="3">
        <v>10000</v>
      </c>
      <c r="N3377">
        <v>0</v>
      </c>
      <c r="O3377">
        <v>0</v>
      </c>
      <c r="P3377">
        <v>1609000</v>
      </c>
      <c r="Q3377" t="s">
        <v>30</v>
      </c>
      <c r="R3377" t="s">
        <v>70</v>
      </c>
      <c r="S3377" t="str">
        <v>#N/A</v>
      </c>
      <c r="T3377" t="str">
        <v>13</v>
      </c>
    </row>
    <row r="3378" spans="1:20" ht="13.7" customHeight="1" x14ac:dyDescent="0.25">
      <c r="A3378" t="s">
        <v>26</v>
      </c>
      <c r="B3378" t="s">
        <v>27</v>
      </c>
      <c r="C3378" t="s">
        <v>41</v>
      </c>
      <c r="D3378">
        <v>19</v>
      </c>
      <c r="E3378" s="5">
        <v>43778</v>
      </c>
      <c r="F3378">
        <v>51956001</v>
      </c>
      <c r="G3378" t="s">
        <v>1059</v>
      </c>
      <c r="H3378" t="s">
        <v>1171</v>
      </c>
      <c r="I3378" t="s">
        <v>1172</v>
      </c>
      <c r="J3378">
        <v>1001</v>
      </c>
      <c r="K3378">
        <v>5016</v>
      </c>
      <c r="L3378" s="3">
        <v>1609000</v>
      </c>
      <c r="M3378" s="3">
        <v>36000</v>
      </c>
      <c r="N3378">
        <v>0</v>
      </c>
      <c r="O3378">
        <v>0</v>
      </c>
      <c r="P3378">
        <v>1645000</v>
      </c>
      <c r="Q3378" t="s">
        <v>30</v>
      </c>
      <c r="R3378" t="s">
        <v>70</v>
      </c>
      <c r="S3378" t="str">
        <v>#N/A</v>
      </c>
      <c r="T3378" t="str">
        <v>13</v>
      </c>
    </row>
    <row r="3379" spans="1:20" ht="13.7" customHeight="1" x14ac:dyDescent="0.25">
      <c r="A3379" t="s">
        <v>26</v>
      </c>
      <c r="B3379" t="s">
        <v>27</v>
      </c>
      <c r="C3379" t="s">
        <v>180</v>
      </c>
      <c r="D3379">
        <v>12</v>
      </c>
      <c r="E3379" s="5">
        <v>43811</v>
      </c>
      <c r="F3379">
        <v>51956001</v>
      </c>
      <c r="G3379" t="s">
        <v>1059</v>
      </c>
      <c r="H3379" t="s">
        <v>1171</v>
      </c>
      <c r="I3379" t="s">
        <v>1172</v>
      </c>
      <c r="J3379">
        <v>1001</v>
      </c>
      <c r="K3379">
        <v>5016</v>
      </c>
      <c r="L3379" s="3">
        <v>1645000</v>
      </c>
      <c r="M3379" s="3">
        <v>10000</v>
      </c>
      <c r="N3379">
        <v>0</v>
      </c>
      <c r="O3379">
        <v>0</v>
      </c>
      <c r="P3379">
        <v>1655000</v>
      </c>
      <c r="Q3379" t="s">
        <v>30</v>
      </c>
      <c r="R3379" t="s">
        <v>70</v>
      </c>
      <c r="S3379" t="str">
        <v>#N/A</v>
      </c>
      <c r="T3379" t="str">
        <v>13</v>
      </c>
    </row>
    <row r="3380" spans="1:20" ht="13.7" customHeight="1" x14ac:dyDescent="0.25">
      <c r="E3380" s="5">
        <v>43465</v>
      </c>
      <c r="F3380">
        <v>51956001</v>
      </c>
      <c r="G3380" t="s">
        <v>1059</v>
      </c>
      <c r="H3380" t="s">
        <v>1311</v>
      </c>
      <c r="I3380" t="s">
        <v>1312</v>
      </c>
      <c r="J3380">
        <v>0</v>
      </c>
      <c r="K3380">
        <v>0</v>
      </c>
      <c r="L3380" s="3">
        <v>10000</v>
      </c>
      <c r="M3380" s="3">
        <v>0</v>
      </c>
      <c r="N3380">
        <v>0</v>
      </c>
      <c r="O3380">
        <v>0</v>
      </c>
      <c r="P3380">
        <v>10000</v>
      </c>
      <c r="R3380" t="s">
        <v>1100</v>
      </c>
      <c r="S3380" t="str">
        <v>#N/A</v>
      </c>
      <c r="T3380" t="str">
        <v>#N/A</v>
      </c>
    </row>
    <row r="3381" spans="1:20" ht="13.7" customHeight="1" x14ac:dyDescent="0.25">
      <c r="A3381" t="s">
        <v>26</v>
      </c>
      <c r="B3381" t="s">
        <v>27</v>
      </c>
      <c r="C3381" t="s">
        <v>34</v>
      </c>
      <c r="D3381">
        <v>62</v>
      </c>
      <c r="E3381" s="5">
        <v>43582</v>
      </c>
      <c r="F3381">
        <v>51956001</v>
      </c>
      <c r="G3381" t="s">
        <v>1059</v>
      </c>
      <c r="H3381" t="s">
        <v>1311</v>
      </c>
      <c r="I3381" t="s">
        <v>1312</v>
      </c>
      <c r="J3381">
        <v>1001</v>
      </c>
      <c r="K3381">
        <v>5016</v>
      </c>
      <c r="L3381" s="3">
        <v>10000</v>
      </c>
      <c r="M3381" s="3">
        <v>40000</v>
      </c>
      <c r="N3381">
        <v>0</v>
      </c>
      <c r="O3381">
        <v>0</v>
      </c>
      <c r="P3381">
        <v>50000</v>
      </c>
      <c r="Q3381" t="s">
        <v>30</v>
      </c>
      <c r="R3381" t="s">
        <v>70</v>
      </c>
      <c r="S3381" t="str">
        <v>#N/A</v>
      </c>
      <c r="T3381" t="str">
        <v>#N/A</v>
      </c>
    </row>
    <row r="3382" spans="1:20" ht="13.7" customHeight="1" x14ac:dyDescent="0.25">
      <c r="A3382" t="s">
        <v>26</v>
      </c>
      <c r="B3382" t="s">
        <v>27</v>
      </c>
      <c r="C3382" t="s">
        <v>35</v>
      </c>
      <c r="D3382">
        <v>58</v>
      </c>
      <c r="E3382" s="5">
        <v>43603</v>
      </c>
      <c r="F3382">
        <v>51956001</v>
      </c>
      <c r="G3382" t="s">
        <v>1059</v>
      </c>
      <c r="H3382" t="s">
        <v>1311</v>
      </c>
      <c r="I3382" t="s">
        <v>1312</v>
      </c>
      <c r="J3382">
        <v>1001</v>
      </c>
      <c r="K3382">
        <v>5016</v>
      </c>
      <c r="L3382" s="3">
        <v>50000</v>
      </c>
      <c r="M3382" s="3">
        <v>20000</v>
      </c>
      <c r="N3382">
        <v>0</v>
      </c>
      <c r="O3382">
        <v>0</v>
      </c>
      <c r="P3382">
        <v>70000</v>
      </c>
      <c r="Q3382" t="s">
        <v>30</v>
      </c>
      <c r="R3382" t="s">
        <v>70</v>
      </c>
      <c r="S3382" t="str">
        <v>#N/A</v>
      </c>
      <c r="T3382" t="str">
        <v>#N/A</v>
      </c>
    </row>
    <row r="3383" spans="1:20" ht="13.7" customHeight="1" x14ac:dyDescent="0.25">
      <c r="A3383" t="s">
        <v>26</v>
      </c>
      <c r="B3383" t="s">
        <v>27</v>
      </c>
      <c r="C3383" t="s">
        <v>35</v>
      </c>
      <c r="D3383">
        <v>84</v>
      </c>
      <c r="E3383" s="5">
        <v>43610</v>
      </c>
      <c r="F3383">
        <v>51956001</v>
      </c>
      <c r="G3383" t="s">
        <v>1059</v>
      </c>
      <c r="H3383" t="s">
        <v>1311</v>
      </c>
      <c r="I3383" t="s">
        <v>1312</v>
      </c>
      <c r="J3383">
        <v>1001</v>
      </c>
      <c r="K3383">
        <v>5016</v>
      </c>
      <c r="L3383" s="3">
        <v>70000</v>
      </c>
      <c r="M3383" s="3">
        <v>14000</v>
      </c>
      <c r="N3383">
        <v>0</v>
      </c>
      <c r="O3383">
        <v>0</v>
      </c>
      <c r="P3383">
        <v>84000</v>
      </c>
      <c r="Q3383" t="s">
        <v>30</v>
      </c>
      <c r="R3383" t="s">
        <v>70</v>
      </c>
      <c r="S3383" t="str">
        <v>#N/A</v>
      </c>
      <c r="T3383" t="str">
        <v>#N/A</v>
      </c>
    </row>
    <row r="3384" spans="1:20" ht="13.7" customHeight="1" x14ac:dyDescent="0.25">
      <c r="A3384" t="s">
        <v>26</v>
      </c>
      <c r="B3384" t="s">
        <v>27</v>
      </c>
      <c r="C3384" t="s">
        <v>36</v>
      </c>
      <c r="D3384">
        <v>17</v>
      </c>
      <c r="E3384" s="5">
        <v>43624</v>
      </c>
      <c r="F3384">
        <v>51956001</v>
      </c>
      <c r="G3384" t="s">
        <v>1059</v>
      </c>
      <c r="H3384" t="s">
        <v>1311</v>
      </c>
      <c r="I3384" t="s">
        <v>1312</v>
      </c>
      <c r="J3384">
        <v>1001</v>
      </c>
      <c r="K3384">
        <v>5016</v>
      </c>
      <c r="L3384" s="3">
        <v>84000</v>
      </c>
      <c r="M3384" s="3">
        <v>10000</v>
      </c>
      <c r="N3384">
        <v>0</v>
      </c>
      <c r="O3384">
        <v>0</v>
      </c>
      <c r="P3384">
        <v>94000</v>
      </c>
      <c r="Q3384" t="s">
        <v>30</v>
      </c>
      <c r="R3384" t="s">
        <v>144</v>
      </c>
      <c r="S3384" t="str">
        <v>#N/A</v>
      </c>
      <c r="T3384" t="str">
        <v>#N/A</v>
      </c>
    </row>
    <row r="3385" spans="1:20" ht="13.7" customHeight="1" x14ac:dyDescent="0.25">
      <c r="A3385" t="s">
        <v>26</v>
      </c>
      <c r="B3385" t="s">
        <v>27</v>
      </c>
      <c r="C3385" t="s">
        <v>36</v>
      </c>
      <c r="D3385">
        <v>32</v>
      </c>
      <c r="E3385" s="5">
        <v>43631</v>
      </c>
      <c r="F3385">
        <v>51956001</v>
      </c>
      <c r="G3385" t="s">
        <v>1059</v>
      </c>
      <c r="H3385" t="s">
        <v>1311</v>
      </c>
      <c r="I3385" t="s">
        <v>1312</v>
      </c>
      <c r="J3385">
        <v>1001</v>
      </c>
      <c r="K3385">
        <v>5016</v>
      </c>
      <c r="L3385" s="3">
        <v>94000</v>
      </c>
      <c r="M3385" s="3">
        <v>30000</v>
      </c>
      <c r="N3385">
        <v>0</v>
      </c>
      <c r="O3385">
        <v>0</v>
      </c>
      <c r="P3385">
        <v>124000</v>
      </c>
      <c r="Q3385" t="s">
        <v>30</v>
      </c>
      <c r="R3385" t="s">
        <v>70</v>
      </c>
      <c r="S3385" t="str">
        <v>#N/A</v>
      </c>
      <c r="T3385" t="str">
        <v>#N/A</v>
      </c>
    </row>
    <row r="3386" spans="1:20" ht="13.7" customHeight="1" x14ac:dyDescent="0.25">
      <c r="A3386" t="s">
        <v>26</v>
      </c>
      <c r="B3386" t="s">
        <v>27</v>
      </c>
      <c r="C3386" t="s">
        <v>36</v>
      </c>
      <c r="D3386">
        <v>52</v>
      </c>
      <c r="E3386" s="5">
        <v>43638</v>
      </c>
      <c r="F3386">
        <v>51956001</v>
      </c>
      <c r="G3386" t="s">
        <v>1059</v>
      </c>
      <c r="H3386" t="s">
        <v>1311</v>
      </c>
      <c r="I3386" t="s">
        <v>1312</v>
      </c>
      <c r="J3386">
        <v>1001</v>
      </c>
      <c r="K3386">
        <v>5016</v>
      </c>
      <c r="L3386" s="3">
        <v>124000</v>
      </c>
      <c r="M3386" s="3">
        <v>10000</v>
      </c>
      <c r="N3386">
        <v>0</v>
      </c>
      <c r="O3386">
        <v>0</v>
      </c>
      <c r="P3386">
        <v>134000</v>
      </c>
      <c r="Q3386" t="s">
        <v>30</v>
      </c>
      <c r="R3386" t="s">
        <v>70</v>
      </c>
      <c r="S3386" t="str">
        <v>#N/A</v>
      </c>
      <c r="T3386" t="str">
        <v>#N/A</v>
      </c>
    </row>
    <row r="3387" spans="1:20" ht="13.7" customHeight="1" x14ac:dyDescent="0.25">
      <c r="A3387" t="s">
        <v>26</v>
      </c>
      <c r="B3387" t="s">
        <v>27</v>
      </c>
      <c r="C3387" t="s">
        <v>36</v>
      </c>
      <c r="D3387">
        <v>67</v>
      </c>
      <c r="E3387" s="5">
        <v>43645</v>
      </c>
      <c r="F3387">
        <v>51956001</v>
      </c>
      <c r="G3387" t="s">
        <v>1059</v>
      </c>
      <c r="H3387" t="s">
        <v>1311</v>
      </c>
      <c r="I3387" t="s">
        <v>1312</v>
      </c>
      <c r="J3387">
        <v>1001</v>
      </c>
      <c r="K3387">
        <v>5016</v>
      </c>
      <c r="L3387" s="3">
        <v>134000</v>
      </c>
      <c r="M3387" s="3">
        <v>20000</v>
      </c>
      <c r="N3387">
        <v>0</v>
      </c>
      <c r="O3387">
        <v>0</v>
      </c>
      <c r="P3387">
        <v>154000</v>
      </c>
      <c r="Q3387" t="s">
        <v>30</v>
      </c>
      <c r="R3387" t="s">
        <v>70</v>
      </c>
      <c r="S3387" t="str">
        <v>#N/A</v>
      </c>
      <c r="T3387" t="str">
        <v>#N/A</v>
      </c>
    </row>
    <row r="3388" spans="1:20" ht="13.7" customHeight="1" x14ac:dyDescent="0.25">
      <c r="A3388" t="s">
        <v>26</v>
      </c>
      <c r="B3388" t="s">
        <v>27</v>
      </c>
      <c r="C3388" t="s">
        <v>37</v>
      </c>
      <c r="D3388">
        <v>16</v>
      </c>
      <c r="E3388" s="5">
        <v>43652</v>
      </c>
      <c r="F3388">
        <v>51956001</v>
      </c>
      <c r="G3388" t="s">
        <v>1059</v>
      </c>
      <c r="H3388" t="s">
        <v>1311</v>
      </c>
      <c r="I3388" t="s">
        <v>1312</v>
      </c>
      <c r="J3388">
        <v>1001</v>
      </c>
      <c r="K3388">
        <v>5016</v>
      </c>
      <c r="L3388" s="3">
        <v>154000</v>
      </c>
      <c r="M3388" s="3">
        <v>10000</v>
      </c>
      <c r="N3388">
        <v>0</v>
      </c>
      <c r="O3388">
        <v>0</v>
      </c>
      <c r="P3388">
        <v>164000</v>
      </c>
      <c r="Q3388" t="s">
        <v>30</v>
      </c>
      <c r="R3388" t="s">
        <v>70</v>
      </c>
      <c r="S3388" t="str">
        <v>#N/A</v>
      </c>
      <c r="T3388" t="str">
        <v>#N/A</v>
      </c>
    </row>
    <row r="3389" spans="1:20" ht="13.7" customHeight="1" x14ac:dyDescent="0.25">
      <c r="A3389" t="s">
        <v>26</v>
      </c>
      <c r="B3389" t="s">
        <v>27</v>
      </c>
      <c r="C3389" t="s">
        <v>37</v>
      </c>
      <c r="D3389">
        <v>34</v>
      </c>
      <c r="E3389" s="5">
        <v>43659</v>
      </c>
      <c r="F3389">
        <v>51956001</v>
      </c>
      <c r="G3389" t="s">
        <v>1059</v>
      </c>
      <c r="H3389" t="s">
        <v>1311</v>
      </c>
      <c r="I3389" t="s">
        <v>1312</v>
      </c>
      <c r="J3389">
        <v>1001</v>
      </c>
      <c r="K3389">
        <v>5016</v>
      </c>
      <c r="L3389" s="3">
        <v>164000</v>
      </c>
      <c r="M3389" s="3">
        <v>34000</v>
      </c>
      <c r="N3389">
        <v>0</v>
      </c>
      <c r="O3389">
        <v>0</v>
      </c>
      <c r="P3389">
        <v>198000</v>
      </c>
      <c r="Q3389" t="s">
        <v>30</v>
      </c>
      <c r="R3389" t="s">
        <v>70</v>
      </c>
      <c r="S3389" t="str">
        <v>#N/A</v>
      </c>
      <c r="T3389" t="str">
        <v>#N/A</v>
      </c>
    </row>
    <row r="3390" spans="1:20" ht="13.7" customHeight="1" x14ac:dyDescent="0.25">
      <c r="A3390" t="s">
        <v>26</v>
      </c>
      <c r="B3390" t="s">
        <v>27</v>
      </c>
      <c r="C3390" t="s">
        <v>37</v>
      </c>
      <c r="D3390">
        <v>59</v>
      </c>
      <c r="E3390" s="5">
        <v>43673</v>
      </c>
      <c r="F3390">
        <v>51956001</v>
      </c>
      <c r="G3390" t="s">
        <v>1059</v>
      </c>
      <c r="H3390" t="s">
        <v>1311</v>
      </c>
      <c r="I3390" t="s">
        <v>1312</v>
      </c>
      <c r="J3390">
        <v>1001</v>
      </c>
      <c r="K3390">
        <v>5016</v>
      </c>
      <c r="L3390" s="3">
        <v>198000</v>
      </c>
      <c r="M3390" s="3">
        <v>10000</v>
      </c>
      <c r="N3390">
        <v>0</v>
      </c>
      <c r="O3390">
        <v>0</v>
      </c>
      <c r="P3390">
        <v>208000</v>
      </c>
      <c r="Q3390" t="s">
        <v>30</v>
      </c>
      <c r="R3390" t="s">
        <v>70</v>
      </c>
      <c r="S3390" t="str">
        <v>#N/A</v>
      </c>
      <c r="T3390" t="str">
        <v>#N/A</v>
      </c>
    </row>
    <row r="3391" spans="1:20" ht="13.7" customHeight="1" x14ac:dyDescent="0.25">
      <c r="A3391" t="s">
        <v>26</v>
      </c>
      <c r="B3391" t="s">
        <v>27</v>
      </c>
      <c r="C3391" t="s">
        <v>38</v>
      </c>
      <c r="D3391">
        <v>7</v>
      </c>
      <c r="E3391" s="5">
        <v>43680</v>
      </c>
      <c r="F3391">
        <v>51956001</v>
      </c>
      <c r="G3391" t="s">
        <v>1059</v>
      </c>
      <c r="H3391" t="s">
        <v>1311</v>
      </c>
      <c r="I3391" t="s">
        <v>1312</v>
      </c>
      <c r="J3391">
        <v>1001</v>
      </c>
      <c r="K3391">
        <v>5016</v>
      </c>
      <c r="L3391" s="3">
        <v>208000</v>
      </c>
      <c r="M3391" s="3">
        <v>10000</v>
      </c>
      <c r="N3391">
        <v>0</v>
      </c>
      <c r="O3391">
        <v>0</v>
      </c>
      <c r="P3391">
        <v>218000</v>
      </c>
      <c r="Q3391" t="s">
        <v>30</v>
      </c>
      <c r="R3391" t="s">
        <v>70</v>
      </c>
      <c r="S3391" t="str">
        <v>#N/A</v>
      </c>
      <c r="T3391" t="str">
        <v>#N/A</v>
      </c>
    </row>
    <row r="3392" spans="1:20" ht="13.7" customHeight="1" x14ac:dyDescent="0.25">
      <c r="A3392" t="s">
        <v>26</v>
      </c>
      <c r="B3392" t="s">
        <v>27</v>
      </c>
      <c r="C3392" t="s">
        <v>38</v>
      </c>
      <c r="D3392">
        <v>45</v>
      </c>
      <c r="E3392" s="5">
        <v>43703</v>
      </c>
      <c r="F3392">
        <v>51956001</v>
      </c>
      <c r="G3392" t="s">
        <v>1059</v>
      </c>
      <c r="H3392" t="s">
        <v>1311</v>
      </c>
      <c r="I3392" t="s">
        <v>1312</v>
      </c>
      <c r="J3392">
        <v>1001</v>
      </c>
      <c r="K3392">
        <v>5016</v>
      </c>
      <c r="L3392" s="3">
        <v>218000</v>
      </c>
      <c r="M3392" s="3">
        <v>10000</v>
      </c>
      <c r="N3392">
        <v>0</v>
      </c>
      <c r="O3392">
        <v>0</v>
      </c>
      <c r="P3392">
        <v>228000</v>
      </c>
      <c r="Q3392" t="s">
        <v>30</v>
      </c>
      <c r="R3392" t="s">
        <v>70</v>
      </c>
      <c r="S3392" t="str">
        <v>#N/A</v>
      </c>
      <c r="T3392" t="str">
        <v>#N/A</v>
      </c>
    </row>
    <row r="3393" spans="1:20" ht="13.7" customHeight="1" x14ac:dyDescent="0.25">
      <c r="A3393" t="s">
        <v>26</v>
      </c>
      <c r="B3393" t="s">
        <v>27</v>
      </c>
      <c r="C3393" t="s">
        <v>39</v>
      </c>
      <c r="D3393">
        <v>40</v>
      </c>
      <c r="E3393" s="5">
        <v>43728</v>
      </c>
      <c r="F3393">
        <v>51956001</v>
      </c>
      <c r="G3393" t="s">
        <v>1059</v>
      </c>
      <c r="H3393" t="s">
        <v>1311</v>
      </c>
      <c r="I3393" t="s">
        <v>1312</v>
      </c>
      <c r="J3393">
        <v>1001</v>
      </c>
      <c r="K3393">
        <v>5016</v>
      </c>
      <c r="L3393" s="3">
        <v>228000</v>
      </c>
      <c r="M3393" s="3">
        <v>18000</v>
      </c>
      <c r="N3393">
        <v>0</v>
      </c>
      <c r="O3393">
        <v>0</v>
      </c>
      <c r="P3393">
        <v>246000</v>
      </c>
      <c r="Q3393" t="s">
        <v>30</v>
      </c>
      <c r="R3393" t="s">
        <v>70</v>
      </c>
      <c r="S3393" t="str">
        <v>#N/A</v>
      </c>
      <c r="T3393" t="str">
        <v>#N/A</v>
      </c>
    </row>
    <row r="3394" spans="1:20" ht="13.7" customHeight="1" x14ac:dyDescent="0.25">
      <c r="A3394" t="s">
        <v>26</v>
      </c>
      <c r="B3394" t="s">
        <v>27</v>
      </c>
      <c r="C3394" t="s">
        <v>39</v>
      </c>
      <c r="D3394">
        <v>42</v>
      </c>
      <c r="E3394" s="5">
        <v>43729</v>
      </c>
      <c r="F3394">
        <v>51956001</v>
      </c>
      <c r="G3394" t="s">
        <v>1059</v>
      </c>
      <c r="H3394" t="s">
        <v>1311</v>
      </c>
      <c r="I3394" t="s">
        <v>1312</v>
      </c>
      <c r="J3394">
        <v>1001</v>
      </c>
      <c r="K3394">
        <v>5016</v>
      </c>
      <c r="L3394" s="3">
        <v>246000</v>
      </c>
      <c r="M3394" s="3">
        <v>18000</v>
      </c>
      <c r="N3394">
        <v>0</v>
      </c>
      <c r="O3394">
        <v>0</v>
      </c>
      <c r="P3394">
        <v>264000</v>
      </c>
      <c r="Q3394" t="s">
        <v>30</v>
      </c>
      <c r="R3394" t="s">
        <v>70</v>
      </c>
      <c r="S3394" t="str">
        <v>#N/A</v>
      </c>
      <c r="T3394" t="str">
        <v>#N/A</v>
      </c>
    </row>
    <row r="3395" spans="1:20" ht="13.7" customHeight="1" x14ac:dyDescent="0.25">
      <c r="A3395" t="s">
        <v>26</v>
      </c>
      <c r="B3395" t="s">
        <v>27</v>
      </c>
      <c r="C3395" t="s">
        <v>39</v>
      </c>
      <c r="D3395">
        <v>50</v>
      </c>
      <c r="E3395" s="5">
        <v>43733</v>
      </c>
      <c r="F3395">
        <v>51956001</v>
      </c>
      <c r="G3395" t="s">
        <v>1059</v>
      </c>
      <c r="H3395" t="s">
        <v>1311</v>
      </c>
      <c r="I3395" t="s">
        <v>1312</v>
      </c>
      <c r="J3395">
        <v>1001</v>
      </c>
      <c r="K3395">
        <v>5016</v>
      </c>
      <c r="L3395" s="3">
        <v>264000</v>
      </c>
      <c r="M3395" s="3">
        <v>18000</v>
      </c>
      <c r="N3395">
        <v>0</v>
      </c>
      <c r="O3395">
        <v>0</v>
      </c>
      <c r="P3395">
        <v>282000</v>
      </c>
      <c r="Q3395" t="s">
        <v>30</v>
      </c>
      <c r="R3395" t="s">
        <v>70</v>
      </c>
      <c r="S3395" t="str">
        <v>#N/A</v>
      </c>
      <c r="T3395" t="str">
        <v>#N/A</v>
      </c>
    </row>
    <row r="3396" spans="1:20" ht="13.7" customHeight="1" x14ac:dyDescent="0.25">
      <c r="A3396" t="s">
        <v>26</v>
      </c>
      <c r="B3396" t="s">
        <v>27</v>
      </c>
      <c r="C3396" t="s">
        <v>39</v>
      </c>
      <c r="D3396">
        <v>56</v>
      </c>
      <c r="E3396" s="5">
        <v>43736</v>
      </c>
      <c r="F3396">
        <v>51956001</v>
      </c>
      <c r="G3396" t="s">
        <v>1059</v>
      </c>
      <c r="H3396" t="s">
        <v>1311</v>
      </c>
      <c r="I3396" t="s">
        <v>1312</v>
      </c>
      <c r="J3396">
        <v>1001</v>
      </c>
      <c r="K3396">
        <v>5016</v>
      </c>
      <c r="L3396" s="3">
        <v>282000</v>
      </c>
      <c r="M3396" s="3">
        <v>22000</v>
      </c>
      <c r="N3396">
        <v>0</v>
      </c>
      <c r="O3396">
        <v>0</v>
      </c>
      <c r="P3396">
        <v>304000</v>
      </c>
      <c r="Q3396" t="s">
        <v>30</v>
      </c>
      <c r="R3396" t="s">
        <v>70</v>
      </c>
      <c r="S3396" t="str">
        <v>#N/A</v>
      </c>
      <c r="T3396" t="str">
        <v>#N/A</v>
      </c>
    </row>
    <row r="3397" spans="1:20" ht="13.7" customHeight="1" x14ac:dyDescent="0.25">
      <c r="A3397" t="s">
        <v>26</v>
      </c>
      <c r="B3397" t="s">
        <v>27</v>
      </c>
      <c r="C3397" t="s">
        <v>40</v>
      </c>
      <c r="D3397">
        <v>4</v>
      </c>
      <c r="E3397" s="5">
        <v>43743</v>
      </c>
      <c r="F3397">
        <v>51956001</v>
      </c>
      <c r="G3397" t="s">
        <v>1059</v>
      </c>
      <c r="H3397" t="s">
        <v>1311</v>
      </c>
      <c r="I3397" t="s">
        <v>1312</v>
      </c>
      <c r="J3397">
        <v>1001</v>
      </c>
      <c r="K3397">
        <v>5016</v>
      </c>
      <c r="L3397" s="3">
        <v>304000</v>
      </c>
      <c r="M3397" s="3">
        <v>18000</v>
      </c>
      <c r="N3397">
        <v>0</v>
      </c>
      <c r="O3397">
        <v>0</v>
      </c>
      <c r="P3397">
        <v>322000</v>
      </c>
      <c r="Q3397" t="s">
        <v>30</v>
      </c>
      <c r="R3397" t="s">
        <v>70</v>
      </c>
      <c r="S3397" t="str">
        <v>#N/A</v>
      </c>
      <c r="T3397" t="str">
        <v>#N/A</v>
      </c>
    </row>
    <row r="3398" spans="1:20" ht="13.7" customHeight="1" x14ac:dyDescent="0.25">
      <c r="A3398" t="s">
        <v>26</v>
      </c>
      <c r="B3398" t="s">
        <v>27</v>
      </c>
      <c r="C3398" t="s">
        <v>40</v>
      </c>
      <c r="D3398">
        <v>23</v>
      </c>
      <c r="E3398" s="5">
        <v>43750</v>
      </c>
      <c r="F3398">
        <v>51956001</v>
      </c>
      <c r="G3398" t="s">
        <v>1059</v>
      </c>
      <c r="H3398" t="s">
        <v>1311</v>
      </c>
      <c r="I3398" t="s">
        <v>1312</v>
      </c>
      <c r="J3398">
        <v>1001</v>
      </c>
      <c r="K3398">
        <v>5016</v>
      </c>
      <c r="L3398" s="3">
        <v>322000</v>
      </c>
      <c r="M3398" s="3">
        <v>18000</v>
      </c>
      <c r="N3398">
        <v>0</v>
      </c>
      <c r="O3398">
        <v>0</v>
      </c>
      <c r="P3398">
        <v>340000</v>
      </c>
      <c r="Q3398" t="s">
        <v>30</v>
      </c>
      <c r="R3398" t="s">
        <v>70</v>
      </c>
      <c r="S3398" t="str">
        <v>#N/A</v>
      </c>
      <c r="T3398" t="str">
        <v>#N/A</v>
      </c>
    </row>
    <row r="3399" spans="1:20" ht="13.7" customHeight="1" x14ac:dyDescent="0.25">
      <c r="A3399" t="s">
        <v>26</v>
      </c>
      <c r="B3399" t="s">
        <v>27</v>
      </c>
      <c r="C3399" t="s">
        <v>40</v>
      </c>
      <c r="D3399">
        <v>44</v>
      </c>
      <c r="E3399" s="5">
        <v>43760</v>
      </c>
      <c r="F3399">
        <v>51956001</v>
      </c>
      <c r="G3399" t="s">
        <v>1059</v>
      </c>
      <c r="H3399" t="s">
        <v>1311</v>
      </c>
      <c r="I3399" t="s">
        <v>1312</v>
      </c>
      <c r="J3399">
        <v>1001</v>
      </c>
      <c r="K3399">
        <v>5016</v>
      </c>
      <c r="L3399" s="3">
        <v>340000</v>
      </c>
      <c r="M3399" s="3">
        <v>18000</v>
      </c>
      <c r="N3399">
        <v>0</v>
      </c>
      <c r="O3399">
        <v>0</v>
      </c>
      <c r="P3399">
        <v>358000</v>
      </c>
      <c r="Q3399" t="s">
        <v>30</v>
      </c>
      <c r="R3399" t="s">
        <v>70</v>
      </c>
      <c r="S3399" t="str">
        <v>#N/A</v>
      </c>
      <c r="T3399" t="str">
        <v>#N/A</v>
      </c>
    </row>
    <row r="3400" spans="1:20" ht="13.7" customHeight="1" x14ac:dyDescent="0.25">
      <c r="A3400" t="s">
        <v>26</v>
      </c>
      <c r="B3400" t="s">
        <v>27</v>
      </c>
      <c r="C3400" t="s">
        <v>40</v>
      </c>
      <c r="D3400">
        <v>48</v>
      </c>
      <c r="E3400" s="5">
        <v>43764</v>
      </c>
      <c r="F3400">
        <v>51956001</v>
      </c>
      <c r="G3400" t="s">
        <v>1059</v>
      </c>
      <c r="H3400" t="s">
        <v>1311</v>
      </c>
      <c r="I3400" t="s">
        <v>1312</v>
      </c>
      <c r="J3400">
        <v>1001</v>
      </c>
      <c r="K3400">
        <v>5016</v>
      </c>
      <c r="L3400" s="3">
        <v>358000</v>
      </c>
      <c r="M3400" s="3">
        <v>47000</v>
      </c>
      <c r="N3400">
        <v>0</v>
      </c>
      <c r="O3400">
        <v>0</v>
      </c>
      <c r="P3400">
        <v>405000</v>
      </c>
      <c r="Q3400" t="s">
        <v>30</v>
      </c>
      <c r="R3400" t="s">
        <v>70</v>
      </c>
      <c r="S3400" t="str">
        <v>#N/A</v>
      </c>
      <c r="T3400" t="str">
        <v>#N/A</v>
      </c>
    </row>
    <row r="3401" spans="1:20" ht="13.7" customHeight="1" x14ac:dyDescent="0.25">
      <c r="A3401" t="s">
        <v>26</v>
      </c>
      <c r="B3401" t="s">
        <v>27</v>
      </c>
      <c r="C3401" t="s">
        <v>41</v>
      </c>
      <c r="D3401">
        <v>6</v>
      </c>
      <c r="E3401" s="5">
        <v>43771</v>
      </c>
      <c r="F3401">
        <v>51956001</v>
      </c>
      <c r="G3401" t="s">
        <v>1059</v>
      </c>
      <c r="H3401" t="s">
        <v>1311</v>
      </c>
      <c r="I3401" t="s">
        <v>1312</v>
      </c>
      <c r="J3401">
        <v>1001</v>
      </c>
      <c r="K3401">
        <v>5016</v>
      </c>
      <c r="L3401" s="3">
        <v>405000</v>
      </c>
      <c r="M3401" s="3">
        <v>38000</v>
      </c>
      <c r="N3401">
        <v>0</v>
      </c>
      <c r="O3401">
        <v>0</v>
      </c>
      <c r="P3401">
        <v>443000</v>
      </c>
      <c r="Q3401" t="s">
        <v>30</v>
      </c>
      <c r="R3401" t="s">
        <v>70</v>
      </c>
      <c r="S3401" t="str">
        <v>#N/A</v>
      </c>
      <c r="T3401" t="str">
        <v>#N/A</v>
      </c>
    </row>
    <row r="3402" spans="1:20" ht="13.7" customHeight="1" x14ac:dyDescent="0.25">
      <c r="A3402" t="s">
        <v>26</v>
      </c>
      <c r="B3402" t="s">
        <v>27</v>
      </c>
      <c r="C3402" t="s">
        <v>41</v>
      </c>
      <c r="D3402">
        <v>8</v>
      </c>
      <c r="E3402" s="5">
        <v>43773</v>
      </c>
      <c r="F3402">
        <v>51956001</v>
      </c>
      <c r="G3402" t="s">
        <v>1059</v>
      </c>
      <c r="H3402" t="s">
        <v>1311</v>
      </c>
      <c r="I3402" t="s">
        <v>1312</v>
      </c>
      <c r="J3402">
        <v>1001</v>
      </c>
      <c r="K3402">
        <v>5016</v>
      </c>
      <c r="L3402" s="3">
        <v>443000</v>
      </c>
      <c r="M3402" s="3">
        <v>10000</v>
      </c>
      <c r="N3402">
        <v>0</v>
      </c>
      <c r="O3402">
        <v>0</v>
      </c>
      <c r="P3402">
        <v>453000</v>
      </c>
      <c r="Q3402" t="s">
        <v>30</v>
      </c>
      <c r="R3402" t="s">
        <v>70</v>
      </c>
      <c r="S3402" t="str">
        <v>#N/A</v>
      </c>
      <c r="T3402" t="str">
        <v>#N/A</v>
      </c>
    </row>
    <row r="3403" spans="1:20" ht="13.7" customHeight="1" x14ac:dyDescent="0.25">
      <c r="A3403" t="s">
        <v>26</v>
      </c>
      <c r="B3403" t="s">
        <v>27</v>
      </c>
      <c r="C3403" t="s">
        <v>41</v>
      </c>
      <c r="D3403">
        <v>54</v>
      </c>
      <c r="E3403" s="5">
        <v>43790</v>
      </c>
      <c r="F3403">
        <v>51956001</v>
      </c>
      <c r="G3403" t="s">
        <v>1059</v>
      </c>
      <c r="H3403" t="s">
        <v>1311</v>
      </c>
      <c r="I3403" t="s">
        <v>1312</v>
      </c>
      <c r="J3403">
        <v>1001</v>
      </c>
      <c r="K3403">
        <v>5016</v>
      </c>
      <c r="L3403" s="3">
        <v>453000</v>
      </c>
      <c r="M3403" s="3">
        <v>18000</v>
      </c>
      <c r="N3403">
        <v>0</v>
      </c>
      <c r="O3403">
        <v>0</v>
      </c>
      <c r="P3403">
        <v>471000</v>
      </c>
      <c r="Q3403" t="s">
        <v>30</v>
      </c>
      <c r="R3403" t="s">
        <v>70</v>
      </c>
      <c r="S3403" t="str">
        <v>#N/A</v>
      </c>
      <c r="T3403" t="str">
        <v>#N/A</v>
      </c>
    </row>
    <row r="3404" spans="1:20" ht="13.7" customHeight="1" x14ac:dyDescent="0.25">
      <c r="A3404" t="s">
        <v>26</v>
      </c>
      <c r="B3404" t="s">
        <v>27</v>
      </c>
      <c r="C3404" t="s">
        <v>41</v>
      </c>
      <c r="D3404">
        <v>69</v>
      </c>
      <c r="E3404" s="5">
        <v>43796</v>
      </c>
      <c r="F3404">
        <v>51956001</v>
      </c>
      <c r="G3404" t="s">
        <v>1059</v>
      </c>
      <c r="H3404" t="s">
        <v>1311</v>
      </c>
      <c r="I3404" t="s">
        <v>1312</v>
      </c>
      <c r="J3404">
        <v>1001</v>
      </c>
      <c r="K3404">
        <v>5016</v>
      </c>
      <c r="L3404" s="3">
        <v>471000</v>
      </c>
      <c r="M3404" s="3">
        <v>18000</v>
      </c>
      <c r="N3404">
        <v>0</v>
      </c>
      <c r="O3404">
        <v>0</v>
      </c>
      <c r="P3404">
        <v>489000</v>
      </c>
      <c r="Q3404" t="s">
        <v>30</v>
      </c>
      <c r="R3404" t="s">
        <v>70</v>
      </c>
      <c r="S3404" t="str">
        <v>#N/A</v>
      </c>
      <c r="T3404" t="str">
        <v>#N/A</v>
      </c>
    </row>
    <row r="3405" spans="1:20" ht="13.7" customHeight="1" x14ac:dyDescent="0.25">
      <c r="A3405" t="s">
        <v>26</v>
      </c>
      <c r="B3405" t="s">
        <v>27</v>
      </c>
      <c r="C3405" t="s">
        <v>180</v>
      </c>
      <c r="D3405">
        <v>17</v>
      </c>
      <c r="E3405" s="5">
        <v>43806</v>
      </c>
      <c r="F3405">
        <v>51956001</v>
      </c>
      <c r="G3405" t="s">
        <v>1059</v>
      </c>
      <c r="H3405" t="s">
        <v>1311</v>
      </c>
      <c r="I3405" t="s">
        <v>1312</v>
      </c>
      <c r="J3405">
        <v>1001</v>
      </c>
      <c r="K3405">
        <v>5016</v>
      </c>
      <c r="L3405" s="3">
        <v>489000</v>
      </c>
      <c r="M3405" s="3">
        <v>20000</v>
      </c>
      <c r="N3405">
        <v>0</v>
      </c>
      <c r="O3405">
        <v>0</v>
      </c>
      <c r="P3405">
        <v>509000</v>
      </c>
      <c r="Q3405" t="s">
        <v>30</v>
      </c>
      <c r="R3405" t="s">
        <v>70</v>
      </c>
      <c r="S3405" t="str">
        <v>#N/A</v>
      </c>
      <c r="T3405" t="str">
        <v>#N/A</v>
      </c>
    </row>
    <row r="3406" spans="1:20" ht="13.7" customHeight="1" x14ac:dyDescent="0.25">
      <c r="A3406" t="s">
        <v>26</v>
      </c>
      <c r="B3406" t="s">
        <v>27</v>
      </c>
      <c r="C3406" t="s">
        <v>180</v>
      </c>
      <c r="D3406">
        <v>34</v>
      </c>
      <c r="E3406" s="5">
        <v>43813</v>
      </c>
      <c r="F3406">
        <v>51956001</v>
      </c>
      <c r="G3406" t="s">
        <v>1059</v>
      </c>
      <c r="H3406" t="s">
        <v>1311</v>
      </c>
      <c r="I3406" t="s">
        <v>1312</v>
      </c>
      <c r="J3406">
        <v>1001</v>
      </c>
      <c r="K3406">
        <v>5016</v>
      </c>
      <c r="L3406" s="3">
        <v>509000</v>
      </c>
      <c r="M3406" s="3">
        <v>30000</v>
      </c>
      <c r="N3406">
        <v>0</v>
      </c>
      <c r="O3406">
        <v>0</v>
      </c>
      <c r="P3406">
        <v>539000</v>
      </c>
      <c r="Q3406" t="s">
        <v>30</v>
      </c>
      <c r="R3406" t="s">
        <v>70</v>
      </c>
      <c r="S3406" t="str">
        <v>#N/A</v>
      </c>
      <c r="T3406" t="str">
        <v>#N/A</v>
      </c>
    </row>
    <row r="3407" spans="1:20" ht="13.7" customHeight="1" x14ac:dyDescent="0.25">
      <c r="E3407" s="5">
        <v>43465</v>
      </c>
      <c r="F3407">
        <v>51956001</v>
      </c>
      <c r="G3407" t="s">
        <v>1059</v>
      </c>
      <c r="H3407" t="s">
        <v>1317</v>
      </c>
      <c r="I3407" t="s">
        <v>1318</v>
      </c>
      <c r="J3407">
        <v>0</v>
      </c>
      <c r="K3407">
        <v>0</v>
      </c>
      <c r="L3407" s="3">
        <v>735000</v>
      </c>
      <c r="M3407" s="3">
        <v>0</v>
      </c>
      <c r="N3407">
        <v>0</v>
      </c>
      <c r="O3407">
        <v>0</v>
      </c>
      <c r="P3407">
        <v>735000</v>
      </c>
      <c r="R3407" t="s">
        <v>1100</v>
      </c>
      <c r="S3407" t="str">
        <v>#N/A</v>
      </c>
      <c r="T3407" t="str">
        <v>13</v>
      </c>
    </row>
    <row r="3408" spans="1:20" ht="13.7" customHeight="1" x14ac:dyDescent="0.25">
      <c r="A3408" t="s">
        <v>26</v>
      </c>
      <c r="B3408" t="s">
        <v>27</v>
      </c>
      <c r="C3408" t="s">
        <v>32</v>
      </c>
      <c r="D3408">
        <v>56</v>
      </c>
      <c r="E3408" s="5">
        <v>43524</v>
      </c>
      <c r="F3408">
        <v>51956001</v>
      </c>
      <c r="G3408" t="s">
        <v>1059</v>
      </c>
      <c r="H3408" t="s">
        <v>1317</v>
      </c>
      <c r="I3408" t="s">
        <v>1318</v>
      </c>
      <c r="J3408">
        <v>1001</v>
      </c>
      <c r="K3408">
        <v>5016</v>
      </c>
      <c r="L3408" s="3">
        <v>735000</v>
      </c>
      <c r="M3408" s="3">
        <v>73000</v>
      </c>
      <c r="N3408">
        <v>0</v>
      </c>
      <c r="O3408">
        <v>0</v>
      </c>
      <c r="P3408">
        <v>808000</v>
      </c>
      <c r="Q3408" t="s">
        <v>30</v>
      </c>
      <c r="R3408" t="s">
        <v>70</v>
      </c>
      <c r="S3408" t="str">
        <v>#N/A</v>
      </c>
      <c r="T3408" t="str">
        <v>13</v>
      </c>
    </row>
    <row r="3409" spans="1:20" ht="13.7" customHeight="1" x14ac:dyDescent="0.25">
      <c r="A3409" t="s">
        <v>26</v>
      </c>
      <c r="B3409" t="s">
        <v>27</v>
      </c>
      <c r="C3409" t="s">
        <v>91</v>
      </c>
      <c r="D3409">
        <v>66</v>
      </c>
      <c r="E3409" s="5">
        <v>43554</v>
      </c>
      <c r="F3409">
        <v>51956001</v>
      </c>
      <c r="G3409" t="s">
        <v>1059</v>
      </c>
      <c r="H3409" t="s">
        <v>1317</v>
      </c>
      <c r="I3409" t="s">
        <v>1318</v>
      </c>
      <c r="J3409">
        <v>1001</v>
      </c>
      <c r="K3409">
        <v>5016</v>
      </c>
      <c r="L3409" s="3">
        <v>808000</v>
      </c>
      <c r="M3409" s="3">
        <v>86000</v>
      </c>
      <c r="N3409">
        <v>0</v>
      </c>
      <c r="O3409">
        <v>0</v>
      </c>
      <c r="P3409">
        <v>894000</v>
      </c>
      <c r="Q3409" t="s">
        <v>30</v>
      </c>
      <c r="R3409" t="s">
        <v>97</v>
      </c>
      <c r="S3409" t="str">
        <v>#N/A</v>
      </c>
      <c r="T3409" t="str">
        <v>13</v>
      </c>
    </row>
    <row r="3410" spans="1:20" ht="13.7" customHeight="1" x14ac:dyDescent="0.25">
      <c r="A3410" t="s">
        <v>26</v>
      </c>
      <c r="B3410" t="s">
        <v>27</v>
      </c>
      <c r="C3410" t="s">
        <v>34</v>
      </c>
      <c r="D3410">
        <v>70</v>
      </c>
      <c r="E3410" s="5">
        <v>43585</v>
      </c>
      <c r="F3410">
        <v>51956001</v>
      </c>
      <c r="G3410" t="s">
        <v>1059</v>
      </c>
      <c r="H3410" t="s">
        <v>1317</v>
      </c>
      <c r="I3410" t="s">
        <v>1318</v>
      </c>
      <c r="J3410">
        <v>1001</v>
      </c>
      <c r="K3410">
        <v>5016</v>
      </c>
      <c r="L3410" s="3">
        <v>894000</v>
      </c>
      <c r="M3410" s="3">
        <v>136000</v>
      </c>
      <c r="N3410">
        <v>0</v>
      </c>
      <c r="O3410">
        <v>0</v>
      </c>
      <c r="P3410">
        <v>1030000</v>
      </c>
      <c r="Q3410" t="s">
        <v>30</v>
      </c>
      <c r="R3410" t="s">
        <v>124</v>
      </c>
      <c r="S3410" t="str">
        <v>#N/A</v>
      </c>
      <c r="T3410" t="str">
        <v>13</v>
      </c>
    </row>
    <row r="3411" spans="1:20" ht="13.7" customHeight="1" x14ac:dyDescent="0.25">
      <c r="A3411" t="s">
        <v>26</v>
      </c>
      <c r="B3411" t="s">
        <v>27</v>
      </c>
      <c r="C3411" t="s">
        <v>35</v>
      </c>
      <c r="D3411">
        <v>94</v>
      </c>
      <c r="E3411" s="5">
        <v>43616</v>
      </c>
      <c r="F3411">
        <v>51956001</v>
      </c>
      <c r="G3411" t="s">
        <v>1059</v>
      </c>
      <c r="H3411" t="s">
        <v>1317</v>
      </c>
      <c r="I3411" t="s">
        <v>1318</v>
      </c>
      <c r="J3411">
        <v>1001</v>
      </c>
      <c r="K3411">
        <v>5016</v>
      </c>
      <c r="L3411" s="3">
        <v>1030000</v>
      </c>
      <c r="M3411" s="3">
        <v>199000</v>
      </c>
      <c r="N3411">
        <v>0</v>
      </c>
      <c r="O3411">
        <v>0</v>
      </c>
      <c r="P3411">
        <v>1229000</v>
      </c>
      <c r="Q3411" t="s">
        <v>30</v>
      </c>
      <c r="R3411" t="s">
        <v>70</v>
      </c>
      <c r="S3411" t="str">
        <v>#N/A</v>
      </c>
      <c r="T3411" t="str">
        <v>13</v>
      </c>
    </row>
    <row r="3412" spans="1:20" ht="13.7" customHeight="1" x14ac:dyDescent="0.25">
      <c r="A3412" t="s">
        <v>26</v>
      </c>
      <c r="B3412" t="s">
        <v>27</v>
      </c>
      <c r="C3412" t="s">
        <v>36</v>
      </c>
      <c r="D3412">
        <v>63</v>
      </c>
      <c r="E3412" s="5">
        <v>43645</v>
      </c>
      <c r="F3412">
        <v>51956001</v>
      </c>
      <c r="G3412" t="s">
        <v>1059</v>
      </c>
      <c r="H3412" t="s">
        <v>1317</v>
      </c>
      <c r="I3412" t="s">
        <v>1318</v>
      </c>
      <c r="J3412">
        <v>1001</v>
      </c>
      <c r="K3412">
        <v>5016</v>
      </c>
      <c r="L3412" s="3">
        <v>1229000</v>
      </c>
      <c r="M3412" s="3">
        <v>99000</v>
      </c>
      <c r="N3412">
        <v>0</v>
      </c>
      <c r="O3412">
        <v>0</v>
      </c>
      <c r="P3412">
        <v>1328000</v>
      </c>
      <c r="Q3412" t="s">
        <v>30</v>
      </c>
      <c r="R3412" t="s">
        <v>70</v>
      </c>
      <c r="S3412" t="str">
        <v>#N/A</v>
      </c>
      <c r="T3412" t="str">
        <v>13</v>
      </c>
    </row>
    <row r="3413" spans="1:20" ht="13.7" customHeight="1" x14ac:dyDescent="0.25">
      <c r="A3413" t="s">
        <v>26</v>
      </c>
      <c r="B3413" t="s">
        <v>27</v>
      </c>
      <c r="C3413" t="s">
        <v>37</v>
      </c>
      <c r="D3413">
        <v>64</v>
      </c>
      <c r="E3413" s="5">
        <v>43677</v>
      </c>
      <c r="F3413">
        <v>51956001</v>
      </c>
      <c r="G3413" t="s">
        <v>1059</v>
      </c>
      <c r="H3413" t="s">
        <v>1317</v>
      </c>
      <c r="I3413" t="s">
        <v>1318</v>
      </c>
      <c r="J3413">
        <v>1001</v>
      </c>
      <c r="K3413">
        <v>5016</v>
      </c>
      <c r="L3413" s="3">
        <v>1328000</v>
      </c>
      <c r="M3413" s="3">
        <v>126000</v>
      </c>
      <c r="N3413">
        <v>0</v>
      </c>
      <c r="O3413">
        <v>0</v>
      </c>
      <c r="P3413">
        <v>1454000</v>
      </c>
      <c r="Q3413" t="s">
        <v>30</v>
      </c>
      <c r="R3413" t="s">
        <v>70</v>
      </c>
      <c r="S3413" t="str">
        <v>#N/A</v>
      </c>
      <c r="T3413" t="str">
        <v>13</v>
      </c>
    </row>
    <row r="3414" spans="1:20" ht="13.7" customHeight="1" x14ac:dyDescent="0.25">
      <c r="A3414" t="s">
        <v>26</v>
      </c>
      <c r="B3414" t="s">
        <v>27</v>
      </c>
      <c r="C3414" t="s">
        <v>38</v>
      </c>
      <c r="D3414">
        <v>53</v>
      </c>
      <c r="E3414" s="5">
        <v>43708</v>
      </c>
      <c r="F3414">
        <v>51956001</v>
      </c>
      <c r="G3414" t="s">
        <v>1059</v>
      </c>
      <c r="H3414" t="s">
        <v>1317</v>
      </c>
      <c r="I3414" t="s">
        <v>1318</v>
      </c>
      <c r="J3414">
        <v>1001</v>
      </c>
      <c r="K3414">
        <v>5016</v>
      </c>
      <c r="L3414" s="3">
        <v>1454000</v>
      </c>
      <c r="M3414" s="3">
        <v>99000</v>
      </c>
      <c r="N3414">
        <v>0</v>
      </c>
      <c r="O3414">
        <v>0</v>
      </c>
      <c r="P3414">
        <v>1553000</v>
      </c>
      <c r="Q3414" t="s">
        <v>30</v>
      </c>
      <c r="R3414" t="s">
        <v>70</v>
      </c>
      <c r="S3414" t="str">
        <v>#N/A</v>
      </c>
      <c r="T3414" t="str">
        <v>13</v>
      </c>
    </row>
    <row r="3415" spans="1:20" ht="13.7" customHeight="1" x14ac:dyDescent="0.25">
      <c r="A3415" t="s">
        <v>26</v>
      </c>
      <c r="B3415" t="s">
        <v>27</v>
      </c>
      <c r="C3415" t="s">
        <v>39</v>
      </c>
      <c r="D3415">
        <v>66</v>
      </c>
      <c r="E3415" s="5">
        <v>43738</v>
      </c>
      <c r="F3415">
        <v>51956001</v>
      </c>
      <c r="G3415" t="s">
        <v>1059</v>
      </c>
      <c r="H3415" t="s">
        <v>1317</v>
      </c>
      <c r="I3415" t="s">
        <v>1318</v>
      </c>
      <c r="J3415">
        <v>1001</v>
      </c>
      <c r="K3415">
        <v>5016</v>
      </c>
      <c r="L3415" s="3">
        <v>1553000</v>
      </c>
      <c r="M3415" s="3">
        <v>153000</v>
      </c>
      <c r="N3415">
        <v>0</v>
      </c>
      <c r="O3415">
        <v>0</v>
      </c>
      <c r="P3415">
        <v>1706000</v>
      </c>
      <c r="Q3415" t="s">
        <v>30</v>
      </c>
      <c r="R3415" t="s">
        <v>643</v>
      </c>
      <c r="S3415" t="str">
        <v>#N/A</v>
      </c>
      <c r="T3415" t="str">
        <v>13</v>
      </c>
    </row>
    <row r="3416" spans="1:20" ht="13.7" customHeight="1" x14ac:dyDescent="0.25">
      <c r="A3416" t="s">
        <v>26</v>
      </c>
      <c r="B3416" t="s">
        <v>27</v>
      </c>
      <c r="C3416" t="s">
        <v>40</v>
      </c>
      <c r="D3416">
        <v>58</v>
      </c>
      <c r="E3416" s="5">
        <v>43769</v>
      </c>
      <c r="F3416">
        <v>51956001</v>
      </c>
      <c r="G3416" t="s">
        <v>1059</v>
      </c>
      <c r="H3416" t="s">
        <v>1317</v>
      </c>
      <c r="I3416" t="s">
        <v>1318</v>
      </c>
      <c r="J3416">
        <v>1001</v>
      </c>
      <c r="K3416">
        <v>5016</v>
      </c>
      <c r="L3416" s="3">
        <v>1706000</v>
      </c>
      <c r="M3416" s="3">
        <v>209000</v>
      </c>
      <c r="N3416">
        <v>0</v>
      </c>
      <c r="O3416">
        <v>0</v>
      </c>
      <c r="P3416">
        <v>1915000</v>
      </c>
      <c r="Q3416" t="s">
        <v>30</v>
      </c>
      <c r="R3416" t="s">
        <v>70</v>
      </c>
      <c r="S3416" t="str">
        <v>#N/A</v>
      </c>
      <c r="T3416" t="str">
        <v>13</v>
      </c>
    </row>
    <row r="3417" spans="1:20" ht="13.7" customHeight="1" x14ac:dyDescent="0.25">
      <c r="A3417" t="s">
        <v>26</v>
      </c>
      <c r="B3417" t="s">
        <v>27</v>
      </c>
      <c r="C3417" t="s">
        <v>41</v>
      </c>
      <c r="D3417">
        <v>70</v>
      </c>
      <c r="E3417" s="5">
        <v>43799</v>
      </c>
      <c r="F3417">
        <v>51956001</v>
      </c>
      <c r="G3417" t="s">
        <v>1059</v>
      </c>
      <c r="H3417" t="s">
        <v>1317</v>
      </c>
      <c r="I3417" t="s">
        <v>1318</v>
      </c>
      <c r="J3417">
        <v>1001</v>
      </c>
      <c r="K3417">
        <v>5016</v>
      </c>
      <c r="L3417" s="3">
        <v>1915000</v>
      </c>
      <c r="M3417" s="3">
        <v>117000</v>
      </c>
      <c r="N3417">
        <v>0</v>
      </c>
      <c r="O3417">
        <v>0</v>
      </c>
      <c r="P3417">
        <v>2032000</v>
      </c>
      <c r="Q3417" t="s">
        <v>30</v>
      </c>
      <c r="R3417" t="s">
        <v>70</v>
      </c>
      <c r="S3417" t="str">
        <v>#N/A</v>
      </c>
      <c r="T3417" t="str">
        <v>13</v>
      </c>
    </row>
    <row r="3418" spans="1:20" ht="13.7" customHeight="1" x14ac:dyDescent="0.25">
      <c r="E3418" s="5">
        <v>43465</v>
      </c>
      <c r="F3418">
        <v>51956001</v>
      </c>
      <c r="G3418" t="s">
        <v>1059</v>
      </c>
      <c r="H3418" t="s">
        <v>1705</v>
      </c>
      <c r="I3418" t="s">
        <v>1706</v>
      </c>
      <c r="J3418">
        <v>0</v>
      </c>
      <c r="K3418">
        <v>0</v>
      </c>
      <c r="L3418" s="3">
        <v>48400</v>
      </c>
      <c r="M3418" s="3">
        <v>0</v>
      </c>
      <c r="N3418">
        <v>0</v>
      </c>
      <c r="O3418">
        <v>0</v>
      </c>
      <c r="P3418">
        <v>48400</v>
      </c>
      <c r="R3418" t="s">
        <v>1100</v>
      </c>
      <c r="S3418" t="str">
        <v>#N/A</v>
      </c>
      <c r="T3418" t="str">
        <v>#N/A</v>
      </c>
    </row>
    <row r="3419" spans="1:20" ht="13.7" customHeight="1" x14ac:dyDescent="0.25">
      <c r="E3419" s="5">
        <v>43465</v>
      </c>
      <c r="F3419">
        <v>51956001</v>
      </c>
      <c r="G3419" t="s">
        <v>1059</v>
      </c>
      <c r="H3419" t="s">
        <v>1307</v>
      </c>
      <c r="I3419" t="s">
        <v>1308</v>
      </c>
      <c r="J3419">
        <v>0</v>
      </c>
      <c r="K3419">
        <v>0</v>
      </c>
      <c r="L3419" s="3">
        <v>246123</v>
      </c>
      <c r="M3419" s="3">
        <v>0</v>
      </c>
      <c r="N3419">
        <v>0</v>
      </c>
      <c r="O3419">
        <v>0</v>
      </c>
      <c r="P3419">
        <v>246123</v>
      </c>
      <c r="R3419" t="s">
        <v>1100</v>
      </c>
      <c r="S3419" t="str">
        <v>#N/A</v>
      </c>
      <c r="T3419" t="str">
        <v>#N/A</v>
      </c>
    </row>
    <row r="3420" spans="1:20" ht="13.7" customHeight="1" x14ac:dyDescent="0.25">
      <c r="A3420" t="s">
        <v>26</v>
      </c>
      <c r="B3420" t="s">
        <v>27</v>
      </c>
      <c r="C3420" t="s">
        <v>28</v>
      </c>
      <c r="D3420">
        <v>15</v>
      </c>
      <c r="E3420" s="5">
        <v>43472</v>
      </c>
      <c r="F3420">
        <v>51956001</v>
      </c>
      <c r="G3420" t="s">
        <v>1059</v>
      </c>
      <c r="H3420" t="s">
        <v>1307</v>
      </c>
      <c r="I3420" t="s">
        <v>1308</v>
      </c>
      <c r="J3420">
        <v>1001</v>
      </c>
      <c r="K3420">
        <v>5016</v>
      </c>
      <c r="L3420" s="3">
        <v>246123</v>
      </c>
      <c r="M3420" s="3">
        <v>19900</v>
      </c>
      <c r="N3420">
        <v>0</v>
      </c>
      <c r="O3420">
        <v>0</v>
      </c>
      <c r="P3420">
        <v>266023</v>
      </c>
      <c r="Q3420" t="s">
        <v>30</v>
      </c>
      <c r="R3420" t="s">
        <v>532</v>
      </c>
      <c r="S3420" t="str">
        <v>#N/A</v>
      </c>
      <c r="T3420" t="str">
        <v>#N/A</v>
      </c>
    </row>
    <row r="3421" spans="1:20" ht="13.7" customHeight="1" x14ac:dyDescent="0.25">
      <c r="A3421" t="s">
        <v>26</v>
      </c>
      <c r="B3421" t="s">
        <v>27</v>
      </c>
      <c r="C3421" t="s">
        <v>32</v>
      </c>
      <c r="D3421">
        <v>47</v>
      </c>
      <c r="E3421" s="5">
        <v>43519</v>
      </c>
      <c r="F3421">
        <v>51956001</v>
      </c>
      <c r="G3421" t="s">
        <v>1059</v>
      </c>
      <c r="H3421" t="s">
        <v>1307</v>
      </c>
      <c r="I3421" t="s">
        <v>1308</v>
      </c>
      <c r="J3421">
        <v>1001</v>
      </c>
      <c r="K3421">
        <v>5016</v>
      </c>
      <c r="L3421" s="3">
        <v>266023</v>
      </c>
      <c r="M3421" s="3">
        <v>64949</v>
      </c>
      <c r="N3421">
        <v>0</v>
      </c>
      <c r="O3421">
        <v>0</v>
      </c>
      <c r="P3421">
        <v>330972</v>
      </c>
      <c r="Q3421" t="s">
        <v>30</v>
      </c>
      <c r="R3421" t="s">
        <v>70</v>
      </c>
      <c r="S3421" t="str">
        <v>#N/A</v>
      </c>
      <c r="T3421" t="str">
        <v>#N/A</v>
      </c>
    </row>
    <row r="3422" spans="1:20" ht="13.7" customHeight="1" x14ac:dyDescent="0.25">
      <c r="A3422" t="s">
        <v>26</v>
      </c>
      <c r="B3422" t="s">
        <v>27</v>
      </c>
      <c r="C3422" t="s">
        <v>38</v>
      </c>
      <c r="D3422">
        <v>43</v>
      </c>
      <c r="E3422" s="5">
        <v>43702</v>
      </c>
      <c r="F3422">
        <v>51956001</v>
      </c>
      <c r="G3422" t="s">
        <v>1059</v>
      </c>
      <c r="H3422" t="s">
        <v>1307</v>
      </c>
      <c r="I3422" t="s">
        <v>1308</v>
      </c>
      <c r="J3422">
        <v>1001</v>
      </c>
      <c r="K3422">
        <v>5016</v>
      </c>
      <c r="L3422" s="3">
        <v>330972</v>
      </c>
      <c r="M3422" s="3">
        <v>48300</v>
      </c>
      <c r="N3422">
        <v>0</v>
      </c>
      <c r="O3422">
        <v>0</v>
      </c>
      <c r="P3422">
        <v>379272</v>
      </c>
      <c r="Q3422" t="s">
        <v>30</v>
      </c>
      <c r="R3422" t="s">
        <v>70</v>
      </c>
      <c r="S3422" t="str">
        <v>#N/A</v>
      </c>
      <c r="T3422" t="str">
        <v>#N/A</v>
      </c>
    </row>
    <row r="3423" spans="1:20" ht="13.7" customHeight="1" x14ac:dyDescent="0.25">
      <c r="A3423" t="s">
        <v>26</v>
      </c>
      <c r="B3423" t="s">
        <v>27</v>
      </c>
      <c r="C3423" t="s">
        <v>40</v>
      </c>
      <c r="D3423">
        <v>22</v>
      </c>
      <c r="E3423" s="5">
        <v>43750</v>
      </c>
      <c r="F3423">
        <v>51956001</v>
      </c>
      <c r="G3423" t="s">
        <v>1059</v>
      </c>
      <c r="H3423" t="s">
        <v>1307</v>
      </c>
      <c r="I3423" t="s">
        <v>1308</v>
      </c>
      <c r="J3423">
        <v>1001</v>
      </c>
      <c r="K3423">
        <v>5016</v>
      </c>
      <c r="L3423" s="3">
        <v>379272</v>
      </c>
      <c r="M3423" s="3">
        <v>28900</v>
      </c>
      <c r="N3423">
        <v>0</v>
      </c>
      <c r="O3423">
        <v>0</v>
      </c>
      <c r="P3423">
        <v>408172</v>
      </c>
      <c r="Q3423" t="s">
        <v>30</v>
      </c>
      <c r="R3423" t="s">
        <v>70</v>
      </c>
      <c r="S3423" t="str">
        <v>#N/A</v>
      </c>
      <c r="T3423" t="str">
        <v>#N/A</v>
      </c>
    </row>
    <row r="3424" spans="1:20" ht="13.7" customHeight="1" x14ac:dyDescent="0.25">
      <c r="A3424" t="s">
        <v>26</v>
      </c>
      <c r="B3424" t="s">
        <v>27</v>
      </c>
      <c r="C3424" t="s">
        <v>41</v>
      </c>
      <c r="D3424">
        <v>58</v>
      </c>
      <c r="E3424" s="5">
        <v>43793</v>
      </c>
      <c r="F3424">
        <v>51956001</v>
      </c>
      <c r="G3424" t="s">
        <v>1059</v>
      </c>
      <c r="H3424" t="s">
        <v>1307</v>
      </c>
      <c r="I3424" t="s">
        <v>1308</v>
      </c>
      <c r="J3424">
        <v>1001</v>
      </c>
      <c r="K3424">
        <v>5016</v>
      </c>
      <c r="L3424" s="3">
        <v>408172</v>
      </c>
      <c r="M3424" s="3">
        <v>33900</v>
      </c>
      <c r="N3424">
        <v>0</v>
      </c>
      <c r="O3424">
        <v>0</v>
      </c>
      <c r="P3424">
        <v>442072</v>
      </c>
      <c r="Q3424" t="s">
        <v>30</v>
      </c>
      <c r="R3424" t="s">
        <v>70</v>
      </c>
      <c r="S3424" t="str">
        <v>#N/A</v>
      </c>
      <c r="T3424" t="str">
        <v>#N/A</v>
      </c>
    </row>
    <row r="3425" spans="1:20" ht="13.7" customHeight="1" x14ac:dyDescent="0.25">
      <c r="A3425" t="s">
        <v>26</v>
      </c>
      <c r="B3425" t="s">
        <v>27</v>
      </c>
      <c r="C3425" t="s">
        <v>180</v>
      </c>
      <c r="D3425">
        <v>57</v>
      </c>
      <c r="E3425" s="5">
        <v>43822</v>
      </c>
      <c r="F3425">
        <v>51956001</v>
      </c>
      <c r="G3425" t="s">
        <v>1059</v>
      </c>
      <c r="H3425" t="s">
        <v>1307</v>
      </c>
      <c r="I3425" t="s">
        <v>1308</v>
      </c>
      <c r="J3425">
        <v>1001</v>
      </c>
      <c r="K3425">
        <v>5016</v>
      </c>
      <c r="L3425" s="3">
        <v>442072</v>
      </c>
      <c r="M3425" s="3">
        <v>140700</v>
      </c>
      <c r="N3425">
        <v>0</v>
      </c>
      <c r="O3425">
        <v>0</v>
      </c>
      <c r="P3425">
        <v>582772</v>
      </c>
      <c r="Q3425" t="s">
        <v>30</v>
      </c>
      <c r="R3425" t="s">
        <v>70</v>
      </c>
      <c r="S3425" t="str">
        <v>#N/A</v>
      </c>
      <c r="T3425" t="str">
        <v>#N/A</v>
      </c>
    </row>
    <row r="3426" spans="1:20" ht="13.7" customHeight="1" x14ac:dyDescent="0.25">
      <c r="E3426" s="5">
        <v>43465</v>
      </c>
      <c r="F3426">
        <v>51956001</v>
      </c>
      <c r="G3426" t="s">
        <v>1059</v>
      </c>
      <c r="H3426" t="s">
        <v>1707</v>
      </c>
      <c r="I3426" t="s">
        <v>1708</v>
      </c>
      <c r="J3426">
        <v>0</v>
      </c>
      <c r="K3426">
        <v>0</v>
      </c>
      <c r="L3426" s="3">
        <v>25700</v>
      </c>
      <c r="M3426" s="3">
        <v>0</v>
      </c>
      <c r="N3426">
        <v>0</v>
      </c>
      <c r="O3426">
        <v>0</v>
      </c>
      <c r="P3426">
        <v>25700</v>
      </c>
      <c r="R3426" t="s">
        <v>1100</v>
      </c>
      <c r="S3426" t="str">
        <v>#N/A</v>
      </c>
      <c r="T3426" t="str">
        <v>#N/A</v>
      </c>
    </row>
    <row r="3427" spans="1:20" ht="13.7" customHeight="1" x14ac:dyDescent="0.25">
      <c r="E3427" s="5">
        <v>43465</v>
      </c>
      <c r="F3427">
        <v>51956001</v>
      </c>
      <c r="G3427" t="s">
        <v>1059</v>
      </c>
      <c r="H3427" t="s">
        <v>1459</v>
      </c>
      <c r="I3427" t="s">
        <v>1460</v>
      </c>
      <c r="J3427">
        <v>0</v>
      </c>
      <c r="K3427">
        <v>0</v>
      </c>
      <c r="L3427" s="3">
        <v>117700</v>
      </c>
      <c r="M3427" s="3">
        <v>0</v>
      </c>
      <c r="N3427">
        <v>0</v>
      </c>
      <c r="O3427">
        <v>0</v>
      </c>
      <c r="P3427">
        <v>117700</v>
      </c>
      <c r="R3427" t="s">
        <v>1100</v>
      </c>
      <c r="S3427" t="str">
        <v>#N/A</v>
      </c>
      <c r="T3427" t="str">
        <v>#N/A</v>
      </c>
    </row>
    <row r="3428" spans="1:20" ht="13.7" customHeight="1" x14ac:dyDescent="0.25">
      <c r="E3428" s="5">
        <v>43465</v>
      </c>
      <c r="F3428">
        <v>51956001</v>
      </c>
      <c r="G3428" t="s">
        <v>1059</v>
      </c>
      <c r="H3428" t="s">
        <v>1709</v>
      </c>
      <c r="I3428" t="s">
        <v>1710</v>
      </c>
      <c r="J3428">
        <v>0</v>
      </c>
      <c r="K3428">
        <v>0</v>
      </c>
      <c r="L3428" s="3">
        <v>91000</v>
      </c>
      <c r="M3428" s="3">
        <v>0</v>
      </c>
      <c r="N3428">
        <v>0</v>
      </c>
      <c r="O3428">
        <v>0</v>
      </c>
      <c r="P3428">
        <v>91000</v>
      </c>
      <c r="R3428" t="s">
        <v>1100</v>
      </c>
      <c r="S3428" t="str">
        <v>#N/A</v>
      </c>
      <c r="T3428" t="str">
        <v>#N/A</v>
      </c>
    </row>
    <row r="3429" spans="1:20" ht="13.7" customHeight="1" x14ac:dyDescent="0.25">
      <c r="E3429" s="5">
        <v>43465</v>
      </c>
      <c r="F3429">
        <v>51956001</v>
      </c>
      <c r="G3429" t="s">
        <v>1059</v>
      </c>
      <c r="H3429" t="s">
        <v>1463</v>
      </c>
      <c r="I3429" t="s">
        <v>1464</v>
      </c>
      <c r="J3429">
        <v>0</v>
      </c>
      <c r="K3429">
        <v>0</v>
      </c>
      <c r="L3429" s="3">
        <v>7000</v>
      </c>
      <c r="M3429" s="3">
        <v>0</v>
      </c>
      <c r="N3429">
        <v>0</v>
      </c>
      <c r="O3429">
        <v>0</v>
      </c>
      <c r="P3429">
        <v>7000</v>
      </c>
      <c r="R3429" t="s">
        <v>1100</v>
      </c>
      <c r="S3429" t="str">
        <v>#N/A</v>
      </c>
      <c r="T3429" t="str">
        <v>13</v>
      </c>
    </row>
    <row r="3430" spans="1:20" ht="13.7" customHeight="1" x14ac:dyDescent="0.25">
      <c r="E3430" s="5">
        <v>43465</v>
      </c>
      <c r="F3430">
        <v>51956001</v>
      </c>
      <c r="G3430" t="s">
        <v>1059</v>
      </c>
      <c r="H3430" t="s">
        <v>1207</v>
      </c>
      <c r="I3430" t="s">
        <v>1208</v>
      </c>
      <c r="J3430">
        <v>0</v>
      </c>
      <c r="K3430">
        <v>0</v>
      </c>
      <c r="L3430" s="3">
        <v>44168</v>
      </c>
      <c r="M3430" s="3">
        <v>0</v>
      </c>
      <c r="N3430">
        <v>0</v>
      </c>
      <c r="O3430">
        <v>0</v>
      </c>
      <c r="P3430">
        <v>44168</v>
      </c>
      <c r="R3430" t="s">
        <v>1100</v>
      </c>
      <c r="S3430" t="str">
        <v>#N/A</v>
      </c>
      <c r="T3430" t="str">
        <v>#N/A</v>
      </c>
    </row>
    <row r="3431" spans="1:20" ht="13.7" customHeight="1" x14ac:dyDescent="0.25">
      <c r="E3431" s="5">
        <v>43465</v>
      </c>
      <c r="F3431">
        <v>51956001</v>
      </c>
      <c r="G3431" t="s">
        <v>1059</v>
      </c>
      <c r="H3431" t="s">
        <v>1335</v>
      </c>
      <c r="I3431" t="s">
        <v>1336</v>
      </c>
      <c r="J3431">
        <v>0</v>
      </c>
      <c r="K3431">
        <v>0</v>
      </c>
      <c r="L3431" s="3">
        <v>26500</v>
      </c>
      <c r="M3431" s="3">
        <v>0</v>
      </c>
      <c r="N3431">
        <v>0</v>
      </c>
      <c r="O3431">
        <v>0</v>
      </c>
      <c r="P3431">
        <v>26500</v>
      </c>
      <c r="R3431" t="s">
        <v>1100</v>
      </c>
      <c r="S3431" t="str">
        <v>#N/A</v>
      </c>
      <c r="T3431" t="str">
        <v>#N/A</v>
      </c>
    </row>
    <row r="3432" spans="1:20" ht="13.7" customHeight="1" x14ac:dyDescent="0.25">
      <c r="A3432" t="s">
        <v>26</v>
      </c>
      <c r="B3432" t="s">
        <v>27</v>
      </c>
      <c r="C3432" t="s">
        <v>91</v>
      </c>
      <c r="D3432">
        <v>15</v>
      </c>
      <c r="E3432" s="5">
        <v>43528</v>
      </c>
      <c r="F3432">
        <v>51956001</v>
      </c>
      <c r="G3432" t="s">
        <v>1059</v>
      </c>
      <c r="H3432" t="s">
        <v>1335</v>
      </c>
      <c r="I3432" t="s">
        <v>1336</v>
      </c>
      <c r="J3432">
        <v>1001</v>
      </c>
      <c r="K3432">
        <v>5016</v>
      </c>
      <c r="L3432" s="3">
        <v>26500</v>
      </c>
      <c r="M3432" s="3">
        <v>19000</v>
      </c>
      <c r="N3432">
        <v>0</v>
      </c>
      <c r="O3432">
        <v>0</v>
      </c>
      <c r="P3432">
        <v>45500</v>
      </c>
      <c r="Q3432" t="s">
        <v>30</v>
      </c>
      <c r="R3432" t="s">
        <v>70</v>
      </c>
      <c r="S3432" t="str">
        <v>#N/A</v>
      </c>
      <c r="T3432" t="str">
        <v>#N/A</v>
      </c>
    </row>
    <row r="3433" spans="1:20" ht="13.7" customHeight="1" x14ac:dyDescent="0.25">
      <c r="A3433" t="s">
        <v>26</v>
      </c>
      <c r="B3433" t="s">
        <v>27</v>
      </c>
      <c r="C3433" t="s">
        <v>34</v>
      </c>
      <c r="D3433">
        <v>31</v>
      </c>
      <c r="E3433" s="5">
        <v>43568</v>
      </c>
      <c r="F3433">
        <v>51956001</v>
      </c>
      <c r="G3433" t="s">
        <v>1059</v>
      </c>
      <c r="H3433" t="s">
        <v>1335</v>
      </c>
      <c r="I3433" t="s">
        <v>1336</v>
      </c>
      <c r="J3433">
        <v>1001</v>
      </c>
      <c r="K3433">
        <v>5016</v>
      </c>
      <c r="L3433" s="3">
        <v>45500</v>
      </c>
      <c r="M3433" s="3">
        <v>27000</v>
      </c>
      <c r="N3433">
        <v>0</v>
      </c>
      <c r="O3433">
        <v>0</v>
      </c>
      <c r="P3433">
        <v>72500</v>
      </c>
      <c r="Q3433" t="s">
        <v>30</v>
      </c>
      <c r="R3433" t="s">
        <v>70</v>
      </c>
      <c r="S3433" t="str">
        <v>#N/A</v>
      </c>
      <c r="T3433" t="str">
        <v>#N/A</v>
      </c>
    </row>
    <row r="3434" spans="1:20" ht="13.7" customHeight="1" x14ac:dyDescent="0.25">
      <c r="A3434" t="s">
        <v>26</v>
      </c>
      <c r="B3434" t="s">
        <v>27</v>
      </c>
      <c r="C3434" t="s">
        <v>41</v>
      </c>
      <c r="D3434">
        <v>43</v>
      </c>
      <c r="E3434" s="5">
        <v>43785</v>
      </c>
      <c r="F3434">
        <v>51956001</v>
      </c>
      <c r="G3434" t="s">
        <v>1059</v>
      </c>
      <c r="H3434" t="s">
        <v>1335</v>
      </c>
      <c r="I3434" t="s">
        <v>1336</v>
      </c>
      <c r="J3434">
        <v>1001</v>
      </c>
      <c r="K3434">
        <v>5016</v>
      </c>
      <c r="L3434" s="3">
        <v>72500</v>
      </c>
      <c r="M3434" s="3">
        <v>29000</v>
      </c>
      <c r="N3434">
        <v>0</v>
      </c>
      <c r="O3434">
        <v>0</v>
      </c>
      <c r="P3434">
        <v>101500</v>
      </c>
      <c r="Q3434" t="s">
        <v>30</v>
      </c>
      <c r="R3434" t="s">
        <v>70</v>
      </c>
      <c r="S3434" t="str">
        <v>#N/A</v>
      </c>
      <c r="T3434" t="str">
        <v>#N/A</v>
      </c>
    </row>
    <row r="3435" spans="1:20" ht="13.7" customHeight="1" x14ac:dyDescent="0.25">
      <c r="A3435" t="s">
        <v>26</v>
      </c>
      <c r="B3435" t="s">
        <v>27</v>
      </c>
      <c r="C3435" t="s">
        <v>41</v>
      </c>
      <c r="D3435">
        <v>55</v>
      </c>
      <c r="E3435" s="5">
        <v>43792</v>
      </c>
      <c r="F3435">
        <v>51956001</v>
      </c>
      <c r="G3435" t="s">
        <v>1059</v>
      </c>
      <c r="H3435" t="s">
        <v>1335</v>
      </c>
      <c r="I3435" t="s">
        <v>1336</v>
      </c>
      <c r="J3435">
        <v>1001</v>
      </c>
      <c r="K3435">
        <v>5016</v>
      </c>
      <c r="L3435" s="3">
        <v>101500</v>
      </c>
      <c r="M3435" s="3">
        <v>18500</v>
      </c>
      <c r="N3435">
        <v>0</v>
      </c>
      <c r="O3435">
        <v>0</v>
      </c>
      <c r="P3435">
        <v>120000</v>
      </c>
      <c r="Q3435" t="s">
        <v>30</v>
      </c>
      <c r="R3435" t="s">
        <v>70</v>
      </c>
      <c r="S3435" t="str">
        <v>#N/A</v>
      </c>
      <c r="T3435" t="str">
        <v>#N/A</v>
      </c>
    </row>
    <row r="3436" spans="1:20" ht="13.7" customHeight="1" x14ac:dyDescent="0.25">
      <c r="E3436" s="5">
        <v>43465</v>
      </c>
      <c r="F3436">
        <v>51956001</v>
      </c>
      <c r="G3436" t="s">
        <v>1059</v>
      </c>
      <c r="H3436" t="s">
        <v>1337</v>
      </c>
      <c r="I3436" t="s">
        <v>1338</v>
      </c>
      <c r="J3436">
        <v>0</v>
      </c>
      <c r="K3436">
        <v>0</v>
      </c>
      <c r="L3436" s="3">
        <v>28000</v>
      </c>
      <c r="M3436" s="3">
        <v>0</v>
      </c>
      <c r="N3436">
        <v>0</v>
      </c>
      <c r="O3436">
        <v>0</v>
      </c>
      <c r="P3436">
        <v>28000</v>
      </c>
      <c r="R3436" t="s">
        <v>1100</v>
      </c>
      <c r="S3436" t="str">
        <v>#N/A</v>
      </c>
      <c r="T3436" t="str">
        <v>#N/A</v>
      </c>
    </row>
    <row r="3437" spans="1:20" ht="13.7" customHeight="1" x14ac:dyDescent="0.25">
      <c r="A3437" t="s">
        <v>26</v>
      </c>
      <c r="B3437" t="s">
        <v>27</v>
      </c>
      <c r="C3437" t="s">
        <v>28</v>
      </c>
      <c r="D3437">
        <v>19</v>
      </c>
      <c r="E3437" s="5">
        <v>43476</v>
      </c>
      <c r="F3437">
        <v>51956001</v>
      </c>
      <c r="G3437" t="s">
        <v>1059</v>
      </c>
      <c r="H3437" t="s">
        <v>1337</v>
      </c>
      <c r="I3437" t="s">
        <v>1338</v>
      </c>
      <c r="J3437">
        <v>1001</v>
      </c>
      <c r="K3437">
        <v>5016</v>
      </c>
      <c r="L3437" s="3">
        <v>28000</v>
      </c>
      <c r="M3437" s="3">
        <v>26500</v>
      </c>
      <c r="N3437">
        <v>0</v>
      </c>
      <c r="O3437">
        <v>0</v>
      </c>
      <c r="P3437">
        <v>54500</v>
      </c>
      <c r="Q3437" t="s">
        <v>30</v>
      </c>
      <c r="R3437" t="s">
        <v>52</v>
      </c>
      <c r="S3437" t="str">
        <v>#N/A</v>
      </c>
      <c r="T3437" t="str">
        <v>#N/A</v>
      </c>
    </row>
    <row r="3438" spans="1:20" ht="13.7" customHeight="1" x14ac:dyDescent="0.25">
      <c r="A3438" t="s">
        <v>26</v>
      </c>
      <c r="B3438" t="s">
        <v>27</v>
      </c>
      <c r="C3438" t="s">
        <v>41</v>
      </c>
      <c r="D3438">
        <v>74</v>
      </c>
      <c r="E3438" s="5">
        <v>43792</v>
      </c>
      <c r="F3438">
        <v>51956001</v>
      </c>
      <c r="G3438" t="s">
        <v>1059</v>
      </c>
      <c r="H3438" t="s">
        <v>1337</v>
      </c>
      <c r="I3438" t="s">
        <v>1338</v>
      </c>
      <c r="J3438">
        <v>1001</v>
      </c>
      <c r="K3438">
        <v>5016</v>
      </c>
      <c r="L3438" s="3">
        <v>54500</v>
      </c>
      <c r="M3438" s="3">
        <v>18500</v>
      </c>
      <c r="N3438">
        <v>0</v>
      </c>
      <c r="O3438">
        <v>0</v>
      </c>
      <c r="P3438">
        <v>73000</v>
      </c>
      <c r="Q3438" t="s">
        <v>30</v>
      </c>
      <c r="R3438" t="s">
        <v>70</v>
      </c>
      <c r="S3438" t="str">
        <v>#N/A</v>
      </c>
      <c r="T3438" t="str">
        <v>#N/A</v>
      </c>
    </row>
    <row r="3439" spans="1:20" ht="13.7" customHeight="1" x14ac:dyDescent="0.25">
      <c r="E3439" s="5">
        <v>43465</v>
      </c>
      <c r="F3439">
        <v>51956001</v>
      </c>
      <c r="G3439" t="s">
        <v>1059</v>
      </c>
      <c r="H3439" t="s">
        <v>1319</v>
      </c>
      <c r="I3439" t="s">
        <v>1320</v>
      </c>
      <c r="J3439">
        <v>0</v>
      </c>
      <c r="K3439">
        <v>0</v>
      </c>
      <c r="L3439" s="3">
        <v>176600</v>
      </c>
      <c r="M3439" s="3">
        <v>0</v>
      </c>
      <c r="N3439">
        <v>0</v>
      </c>
      <c r="O3439">
        <v>0</v>
      </c>
      <c r="P3439">
        <v>176600</v>
      </c>
      <c r="R3439" t="s">
        <v>1100</v>
      </c>
      <c r="S3439" t="str">
        <v>#N/A</v>
      </c>
      <c r="T3439" t="str">
        <v>#N/A</v>
      </c>
    </row>
    <row r="3440" spans="1:20" ht="13.7" customHeight="1" x14ac:dyDescent="0.25">
      <c r="A3440" t="s">
        <v>26</v>
      </c>
      <c r="B3440" t="s">
        <v>27</v>
      </c>
      <c r="C3440" t="s">
        <v>91</v>
      </c>
      <c r="D3440">
        <v>68</v>
      </c>
      <c r="E3440" s="5">
        <v>43554</v>
      </c>
      <c r="F3440">
        <v>51956001</v>
      </c>
      <c r="G3440" t="s">
        <v>1059</v>
      </c>
      <c r="H3440" t="s">
        <v>1319</v>
      </c>
      <c r="I3440" t="s">
        <v>1320</v>
      </c>
      <c r="J3440">
        <v>1001</v>
      </c>
      <c r="K3440">
        <v>5016</v>
      </c>
      <c r="L3440" s="3">
        <v>176600</v>
      </c>
      <c r="M3440" s="3">
        <v>110100</v>
      </c>
      <c r="N3440">
        <v>0</v>
      </c>
      <c r="O3440">
        <v>0</v>
      </c>
      <c r="P3440">
        <v>286700</v>
      </c>
      <c r="Q3440" t="s">
        <v>30</v>
      </c>
      <c r="R3440" t="s">
        <v>97</v>
      </c>
      <c r="S3440" t="str">
        <v>#N/A</v>
      </c>
      <c r="T3440" t="str">
        <v>#N/A</v>
      </c>
    </row>
    <row r="3441" spans="1:20" ht="13.7" customHeight="1" x14ac:dyDescent="0.25">
      <c r="A3441" t="s">
        <v>26</v>
      </c>
      <c r="B3441" t="s">
        <v>27</v>
      </c>
      <c r="C3441" t="s">
        <v>180</v>
      </c>
      <c r="D3441">
        <v>15</v>
      </c>
      <c r="E3441" s="5">
        <v>43808</v>
      </c>
      <c r="F3441">
        <v>51956001</v>
      </c>
      <c r="G3441" t="s">
        <v>1059</v>
      </c>
      <c r="H3441" t="s">
        <v>1319</v>
      </c>
      <c r="I3441" t="s">
        <v>1320</v>
      </c>
      <c r="J3441">
        <v>1001</v>
      </c>
      <c r="K3441">
        <v>5016</v>
      </c>
      <c r="L3441" s="3">
        <v>286700</v>
      </c>
      <c r="M3441" s="3">
        <v>32700</v>
      </c>
      <c r="N3441">
        <v>0</v>
      </c>
      <c r="O3441">
        <v>0</v>
      </c>
      <c r="P3441">
        <v>319400</v>
      </c>
      <c r="Q3441" t="s">
        <v>30</v>
      </c>
      <c r="R3441" t="s">
        <v>70</v>
      </c>
      <c r="S3441" t="str">
        <v>#N/A</v>
      </c>
      <c r="T3441" t="str">
        <v>#N/A</v>
      </c>
    </row>
    <row r="3442" spans="1:20" ht="13.7" customHeight="1" x14ac:dyDescent="0.25">
      <c r="E3442" s="5">
        <v>43465</v>
      </c>
      <c r="F3442">
        <v>51956001</v>
      </c>
      <c r="G3442" t="s">
        <v>1059</v>
      </c>
      <c r="H3442" t="s">
        <v>1301</v>
      </c>
      <c r="I3442" t="s">
        <v>1302</v>
      </c>
      <c r="J3442">
        <v>0</v>
      </c>
      <c r="K3442">
        <v>0</v>
      </c>
      <c r="L3442" s="3">
        <v>312200</v>
      </c>
      <c r="M3442" s="3">
        <v>0</v>
      </c>
      <c r="N3442">
        <v>0</v>
      </c>
      <c r="O3442">
        <v>0</v>
      </c>
      <c r="P3442">
        <v>312200</v>
      </c>
      <c r="R3442" t="s">
        <v>1100</v>
      </c>
      <c r="S3442" t="str">
        <v>#N/A</v>
      </c>
      <c r="T3442" t="str">
        <v>31</v>
      </c>
    </row>
    <row r="3443" spans="1:20" ht="13.7" customHeight="1" x14ac:dyDescent="0.25">
      <c r="A3443" t="s">
        <v>26</v>
      </c>
      <c r="B3443" t="s">
        <v>27</v>
      </c>
      <c r="C3443" t="s">
        <v>28</v>
      </c>
      <c r="D3443">
        <v>16</v>
      </c>
      <c r="E3443" s="5">
        <v>43472</v>
      </c>
      <c r="F3443">
        <v>51956001</v>
      </c>
      <c r="G3443" t="s">
        <v>1059</v>
      </c>
      <c r="H3443" t="s">
        <v>1301</v>
      </c>
      <c r="I3443" t="s">
        <v>1302</v>
      </c>
      <c r="J3443">
        <v>1001</v>
      </c>
      <c r="K3443">
        <v>5016</v>
      </c>
      <c r="L3443" s="3">
        <v>312200</v>
      </c>
      <c r="M3443" s="3">
        <v>15900</v>
      </c>
      <c r="N3443">
        <v>0</v>
      </c>
      <c r="O3443">
        <v>0</v>
      </c>
      <c r="P3443">
        <v>328100</v>
      </c>
      <c r="Q3443" t="s">
        <v>30</v>
      </c>
      <c r="R3443" t="s">
        <v>52</v>
      </c>
      <c r="S3443" t="str">
        <v>#N/A</v>
      </c>
      <c r="T3443" t="str">
        <v>31</v>
      </c>
    </row>
    <row r="3444" spans="1:20" ht="13.7" customHeight="1" x14ac:dyDescent="0.25">
      <c r="A3444" t="s">
        <v>26</v>
      </c>
      <c r="B3444" t="s">
        <v>27</v>
      </c>
      <c r="C3444" t="s">
        <v>32</v>
      </c>
      <c r="D3444">
        <v>6</v>
      </c>
      <c r="E3444" s="5">
        <v>43499</v>
      </c>
      <c r="F3444">
        <v>51956001</v>
      </c>
      <c r="G3444" t="s">
        <v>1059</v>
      </c>
      <c r="H3444" t="s">
        <v>1301</v>
      </c>
      <c r="I3444" t="s">
        <v>1302</v>
      </c>
      <c r="J3444">
        <v>1001</v>
      </c>
      <c r="K3444">
        <v>5016</v>
      </c>
      <c r="L3444" s="3">
        <v>328100</v>
      </c>
      <c r="M3444" s="3">
        <v>31800</v>
      </c>
      <c r="N3444">
        <v>0</v>
      </c>
      <c r="O3444">
        <v>0</v>
      </c>
      <c r="P3444">
        <v>359900</v>
      </c>
      <c r="Q3444" t="s">
        <v>30</v>
      </c>
      <c r="R3444" t="s">
        <v>70</v>
      </c>
      <c r="S3444" t="str">
        <v>#N/A</v>
      </c>
      <c r="T3444" t="str">
        <v>31</v>
      </c>
    </row>
    <row r="3445" spans="1:20" ht="13.7" customHeight="1" x14ac:dyDescent="0.25">
      <c r="A3445" t="s">
        <v>26</v>
      </c>
      <c r="B3445" t="s">
        <v>27</v>
      </c>
      <c r="C3445" t="s">
        <v>36</v>
      </c>
      <c r="D3445">
        <v>8</v>
      </c>
      <c r="E3445" s="5">
        <v>43618</v>
      </c>
      <c r="F3445">
        <v>51956001</v>
      </c>
      <c r="G3445" t="s">
        <v>1059</v>
      </c>
      <c r="H3445" t="s">
        <v>1301</v>
      </c>
      <c r="I3445" t="s">
        <v>1302</v>
      </c>
      <c r="J3445">
        <v>1001</v>
      </c>
      <c r="K3445">
        <v>5016</v>
      </c>
      <c r="L3445" s="3">
        <v>359900</v>
      </c>
      <c r="M3445" s="3">
        <v>27900</v>
      </c>
      <c r="N3445">
        <v>0</v>
      </c>
      <c r="O3445">
        <v>0</v>
      </c>
      <c r="P3445">
        <v>387800</v>
      </c>
      <c r="Q3445" t="s">
        <v>30</v>
      </c>
      <c r="R3445" t="s">
        <v>70</v>
      </c>
      <c r="S3445" t="str">
        <v>#N/A</v>
      </c>
      <c r="T3445" t="str">
        <v>31</v>
      </c>
    </row>
    <row r="3446" spans="1:20" ht="13.7" customHeight="1" x14ac:dyDescent="0.25">
      <c r="A3446" t="s">
        <v>26</v>
      </c>
      <c r="B3446" t="s">
        <v>27</v>
      </c>
      <c r="C3446" t="s">
        <v>39</v>
      </c>
      <c r="D3446">
        <v>5</v>
      </c>
      <c r="E3446" s="5">
        <v>43709</v>
      </c>
      <c r="F3446">
        <v>51956001</v>
      </c>
      <c r="G3446" t="s">
        <v>1059</v>
      </c>
      <c r="H3446" t="s">
        <v>1301</v>
      </c>
      <c r="I3446" t="s">
        <v>1302</v>
      </c>
      <c r="J3446">
        <v>1001</v>
      </c>
      <c r="K3446">
        <v>5016</v>
      </c>
      <c r="L3446" s="3">
        <v>387800</v>
      </c>
      <c r="M3446" s="3">
        <v>17900</v>
      </c>
      <c r="N3446">
        <v>0</v>
      </c>
      <c r="O3446">
        <v>0</v>
      </c>
      <c r="P3446">
        <v>405700</v>
      </c>
      <c r="Q3446" t="s">
        <v>30</v>
      </c>
      <c r="R3446" t="s">
        <v>563</v>
      </c>
      <c r="S3446" t="str">
        <v>#N/A</v>
      </c>
      <c r="T3446" t="str">
        <v>31</v>
      </c>
    </row>
    <row r="3447" spans="1:20" ht="13.7" customHeight="1" x14ac:dyDescent="0.25">
      <c r="E3447" s="5">
        <v>43465</v>
      </c>
      <c r="F3447">
        <v>51956001</v>
      </c>
      <c r="G3447" t="s">
        <v>1059</v>
      </c>
      <c r="H3447" t="s">
        <v>1711</v>
      </c>
      <c r="I3447" t="s">
        <v>1712</v>
      </c>
      <c r="J3447">
        <v>0</v>
      </c>
      <c r="K3447">
        <v>0</v>
      </c>
      <c r="L3447" s="3">
        <v>10800</v>
      </c>
      <c r="M3447" s="3">
        <v>0</v>
      </c>
      <c r="N3447">
        <v>0</v>
      </c>
      <c r="O3447">
        <v>0</v>
      </c>
      <c r="P3447">
        <v>10800</v>
      </c>
      <c r="R3447" t="s">
        <v>1100</v>
      </c>
      <c r="S3447" t="str">
        <v>#N/A</v>
      </c>
      <c r="T3447" t="str">
        <v>#N/A</v>
      </c>
    </row>
    <row r="3448" spans="1:20" ht="13.7" customHeight="1" x14ac:dyDescent="0.25">
      <c r="E3448" s="5">
        <v>43465</v>
      </c>
      <c r="F3448">
        <v>51956001</v>
      </c>
      <c r="G3448" t="s">
        <v>1059</v>
      </c>
      <c r="H3448" t="s">
        <v>1315</v>
      </c>
      <c r="I3448" t="s">
        <v>1316</v>
      </c>
      <c r="J3448">
        <v>0</v>
      </c>
      <c r="K3448">
        <v>0</v>
      </c>
      <c r="L3448" s="3">
        <v>1044410</v>
      </c>
      <c r="M3448" s="3">
        <v>0</v>
      </c>
      <c r="N3448">
        <v>0</v>
      </c>
      <c r="O3448">
        <v>0</v>
      </c>
      <c r="P3448">
        <v>1044410</v>
      </c>
      <c r="R3448" t="s">
        <v>1100</v>
      </c>
      <c r="S3448" t="str">
        <v>#N/A</v>
      </c>
      <c r="T3448" t="str">
        <v>31</v>
      </c>
    </row>
    <row r="3449" spans="1:20" ht="13.7" customHeight="1" x14ac:dyDescent="0.25">
      <c r="A3449" t="s">
        <v>26</v>
      </c>
      <c r="B3449" t="s">
        <v>27</v>
      </c>
      <c r="C3449" t="s">
        <v>34</v>
      </c>
      <c r="D3449">
        <v>28</v>
      </c>
      <c r="E3449" s="5">
        <v>43568</v>
      </c>
      <c r="F3449">
        <v>51956001</v>
      </c>
      <c r="G3449" t="s">
        <v>1059</v>
      </c>
      <c r="H3449" t="s">
        <v>1315</v>
      </c>
      <c r="I3449" t="s">
        <v>1316</v>
      </c>
      <c r="J3449">
        <v>1001</v>
      </c>
      <c r="K3449">
        <v>5016</v>
      </c>
      <c r="L3449" s="3">
        <v>1044410</v>
      </c>
      <c r="M3449" s="3">
        <v>120185</v>
      </c>
      <c r="N3449">
        <v>0</v>
      </c>
      <c r="O3449">
        <v>0</v>
      </c>
      <c r="P3449">
        <v>1164595</v>
      </c>
      <c r="Q3449" t="s">
        <v>30</v>
      </c>
      <c r="R3449" t="s">
        <v>253</v>
      </c>
      <c r="S3449" t="str">
        <v>#N/A</v>
      </c>
      <c r="T3449" t="str">
        <v>31</v>
      </c>
    </row>
    <row r="3450" spans="1:20" ht="13.7" customHeight="1" x14ac:dyDescent="0.25">
      <c r="A3450" t="s">
        <v>26</v>
      </c>
      <c r="B3450" t="s">
        <v>27</v>
      </c>
      <c r="C3450" t="s">
        <v>37</v>
      </c>
      <c r="D3450">
        <v>35</v>
      </c>
      <c r="E3450" s="5">
        <v>43660</v>
      </c>
      <c r="F3450">
        <v>51956001</v>
      </c>
      <c r="G3450" t="s">
        <v>1059</v>
      </c>
      <c r="H3450" t="s">
        <v>1315</v>
      </c>
      <c r="I3450" t="s">
        <v>1316</v>
      </c>
      <c r="J3450">
        <v>1001</v>
      </c>
      <c r="K3450">
        <v>5016</v>
      </c>
      <c r="L3450" s="3">
        <v>1164595</v>
      </c>
      <c r="M3450" s="3">
        <v>165528</v>
      </c>
      <c r="N3450">
        <v>0</v>
      </c>
      <c r="O3450">
        <v>0</v>
      </c>
      <c r="P3450">
        <v>1330123</v>
      </c>
      <c r="Q3450" t="s">
        <v>30</v>
      </c>
      <c r="R3450" t="s">
        <v>70</v>
      </c>
      <c r="S3450" t="str">
        <v>#N/A</v>
      </c>
      <c r="T3450" t="str">
        <v>31</v>
      </c>
    </row>
    <row r="3451" spans="1:20" ht="13.7" customHeight="1" x14ac:dyDescent="0.25">
      <c r="E3451" s="5">
        <v>43465</v>
      </c>
      <c r="F3451">
        <v>51956001</v>
      </c>
      <c r="G3451" t="s">
        <v>1059</v>
      </c>
      <c r="H3451" t="s">
        <v>1344</v>
      </c>
      <c r="I3451" t="s">
        <v>1345</v>
      </c>
      <c r="J3451">
        <v>0</v>
      </c>
      <c r="K3451">
        <v>0</v>
      </c>
      <c r="L3451" s="3">
        <v>139815</v>
      </c>
      <c r="M3451" s="3">
        <v>0</v>
      </c>
      <c r="N3451">
        <v>0</v>
      </c>
      <c r="O3451">
        <v>0</v>
      </c>
      <c r="P3451">
        <v>139815</v>
      </c>
      <c r="R3451" t="s">
        <v>1100</v>
      </c>
      <c r="S3451" t="str">
        <v>#N/A</v>
      </c>
      <c r="T3451" t="str">
        <v>#N/A</v>
      </c>
    </row>
    <row r="3452" spans="1:20" ht="13.7" customHeight="1" x14ac:dyDescent="0.25">
      <c r="E3452" s="5">
        <v>43465</v>
      </c>
      <c r="F3452">
        <v>51956001</v>
      </c>
      <c r="G3452" t="s">
        <v>1059</v>
      </c>
      <c r="H3452" t="s">
        <v>1313</v>
      </c>
      <c r="I3452" t="s">
        <v>1314</v>
      </c>
      <c r="J3452">
        <v>0</v>
      </c>
      <c r="K3452">
        <v>0</v>
      </c>
      <c r="L3452" s="3">
        <v>39600</v>
      </c>
      <c r="M3452" s="3">
        <v>0</v>
      </c>
      <c r="N3452">
        <v>0</v>
      </c>
      <c r="O3452">
        <v>0</v>
      </c>
      <c r="P3452">
        <v>39600</v>
      </c>
      <c r="R3452" t="s">
        <v>1100</v>
      </c>
      <c r="S3452" t="str">
        <v>#N/A</v>
      </c>
      <c r="T3452" t="str">
        <v>#N/A</v>
      </c>
    </row>
    <row r="3453" spans="1:20" ht="13.7" customHeight="1" x14ac:dyDescent="0.25">
      <c r="A3453" t="s">
        <v>26</v>
      </c>
      <c r="B3453" t="s">
        <v>27</v>
      </c>
      <c r="C3453" t="s">
        <v>91</v>
      </c>
      <c r="D3453">
        <v>2</v>
      </c>
      <c r="E3453" s="5">
        <v>43525</v>
      </c>
      <c r="F3453">
        <v>51956001</v>
      </c>
      <c r="G3453" t="s">
        <v>1059</v>
      </c>
      <c r="H3453" t="s">
        <v>1313</v>
      </c>
      <c r="I3453" t="s">
        <v>1314</v>
      </c>
      <c r="J3453">
        <v>1001</v>
      </c>
      <c r="K3453">
        <v>5016</v>
      </c>
      <c r="L3453" s="3">
        <v>39600</v>
      </c>
      <c r="M3453" s="3">
        <v>9900</v>
      </c>
      <c r="N3453">
        <v>0</v>
      </c>
      <c r="O3453">
        <v>0</v>
      </c>
      <c r="P3453">
        <v>49500</v>
      </c>
      <c r="Q3453" t="s">
        <v>30</v>
      </c>
      <c r="R3453" t="s">
        <v>70</v>
      </c>
      <c r="S3453" t="str">
        <v>#N/A</v>
      </c>
      <c r="T3453" t="str">
        <v>#N/A</v>
      </c>
    </row>
    <row r="3454" spans="1:20" ht="13.7" customHeight="1" x14ac:dyDescent="0.25">
      <c r="A3454" t="s">
        <v>26</v>
      </c>
      <c r="B3454" t="s">
        <v>27</v>
      </c>
      <c r="C3454" t="s">
        <v>91</v>
      </c>
      <c r="D3454">
        <v>3</v>
      </c>
      <c r="E3454" s="5">
        <v>43525</v>
      </c>
      <c r="F3454">
        <v>51956001</v>
      </c>
      <c r="G3454" t="s">
        <v>1059</v>
      </c>
      <c r="H3454" t="s">
        <v>1313</v>
      </c>
      <c r="I3454" t="s">
        <v>1314</v>
      </c>
      <c r="J3454">
        <v>1001</v>
      </c>
      <c r="K3454">
        <v>5016</v>
      </c>
      <c r="L3454" s="3">
        <v>49500</v>
      </c>
      <c r="M3454" s="3">
        <v>12800</v>
      </c>
      <c r="N3454">
        <v>0</v>
      </c>
      <c r="O3454">
        <v>0</v>
      </c>
      <c r="P3454">
        <v>62300</v>
      </c>
      <c r="Q3454" t="s">
        <v>30</v>
      </c>
      <c r="R3454" t="s">
        <v>70</v>
      </c>
      <c r="S3454" t="str">
        <v>#N/A</v>
      </c>
      <c r="T3454" t="str">
        <v>#N/A</v>
      </c>
    </row>
    <row r="3455" spans="1:20" ht="13.7" customHeight="1" x14ac:dyDescent="0.25">
      <c r="E3455" s="5">
        <v>43465</v>
      </c>
      <c r="F3455">
        <v>51956001</v>
      </c>
      <c r="G3455" t="s">
        <v>1059</v>
      </c>
      <c r="H3455" t="s">
        <v>1713</v>
      </c>
      <c r="I3455" t="s">
        <v>1714</v>
      </c>
      <c r="J3455">
        <v>0</v>
      </c>
      <c r="K3455">
        <v>0</v>
      </c>
      <c r="L3455" s="3">
        <v>0</v>
      </c>
      <c r="M3455" s="3">
        <v>0</v>
      </c>
      <c r="N3455">
        <v>0</v>
      </c>
      <c r="O3455">
        <v>0</v>
      </c>
      <c r="P3455">
        <v>0</v>
      </c>
      <c r="R3455" t="s">
        <v>1100</v>
      </c>
      <c r="S3455" t="str">
        <v>#N/A</v>
      </c>
      <c r="T3455" t="str">
        <v>#N/A</v>
      </c>
    </row>
    <row r="3456" spans="1:20" ht="13.7" customHeight="1" x14ac:dyDescent="0.25">
      <c r="A3456" t="s">
        <v>26</v>
      </c>
      <c r="B3456" t="s">
        <v>27</v>
      </c>
      <c r="C3456" t="s">
        <v>180</v>
      </c>
      <c r="D3456">
        <v>4</v>
      </c>
      <c r="E3456" s="5">
        <v>43803</v>
      </c>
      <c r="F3456">
        <v>51956001</v>
      </c>
      <c r="G3456" t="s">
        <v>1059</v>
      </c>
      <c r="H3456" t="s">
        <v>1713</v>
      </c>
      <c r="I3456" t="s">
        <v>1714</v>
      </c>
      <c r="J3456">
        <v>1001</v>
      </c>
      <c r="K3456">
        <v>5016</v>
      </c>
      <c r="L3456" s="3">
        <v>0</v>
      </c>
      <c r="M3456" s="3">
        <v>21900</v>
      </c>
      <c r="N3456">
        <v>0</v>
      </c>
      <c r="O3456">
        <v>0</v>
      </c>
      <c r="P3456">
        <v>21900</v>
      </c>
      <c r="Q3456" t="s">
        <v>30</v>
      </c>
      <c r="R3456" t="s">
        <v>70</v>
      </c>
      <c r="S3456" t="str">
        <v>#N/A</v>
      </c>
      <c r="T3456" t="str">
        <v>#N/A</v>
      </c>
    </row>
    <row r="3457" spans="1:20" ht="13.7" customHeight="1" x14ac:dyDescent="0.25">
      <c r="E3457" s="5">
        <v>43465</v>
      </c>
      <c r="F3457">
        <v>51956001</v>
      </c>
      <c r="G3457" t="s">
        <v>1059</v>
      </c>
      <c r="H3457" t="s">
        <v>1413</v>
      </c>
      <c r="I3457" t="s">
        <v>1414</v>
      </c>
      <c r="J3457">
        <v>0</v>
      </c>
      <c r="K3457">
        <v>0</v>
      </c>
      <c r="L3457" s="3">
        <v>51599</v>
      </c>
      <c r="M3457" s="3">
        <v>0</v>
      </c>
      <c r="N3457">
        <v>0</v>
      </c>
      <c r="O3457">
        <v>0</v>
      </c>
      <c r="P3457">
        <v>51599</v>
      </c>
      <c r="R3457" t="s">
        <v>1100</v>
      </c>
      <c r="S3457" t="str">
        <v>#N/A</v>
      </c>
      <c r="T3457" t="str">
        <v>#N/A</v>
      </c>
    </row>
    <row r="3458" spans="1:20" ht="13.7" customHeight="1" x14ac:dyDescent="0.25">
      <c r="E3458" s="5">
        <v>43465</v>
      </c>
      <c r="F3458">
        <v>51956001</v>
      </c>
      <c r="G3458" t="s">
        <v>1059</v>
      </c>
      <c r="H3458" t="s">
        <v>1467</v>
      </c>
      <c r="I3458" t="s">
        <v>1468</v>
      </c>
      <c r="J3458">
        <v>0</v>
      </c>
      <c r="K3458">
        <v>0</v>
      </c>
      <c r="L3458" s="3">
        <v>14700</v>
      </c>
      <c r="M3458" s="3">
        <v>0</v>
      </c>
      <c r="N3458">
        <v>0</v>
      </c>
      <c r="O3458">
        <v>0</v>
      </c>
      <c r="P3458">
        <v>14700</v>
      </c>
      <c r="R3458" t="s">
        <v>1100</v>
      </c>
      <c r="S3458" t="str">
        <v>#N/A</v>
      </c>
      <c r="T3458" t="str">
        <v>#N/A</v>
      </c>
    </row>
    <row r="3459" spans="1:20" ht="13.7" customHeight="1" x14ac:dyDescent="0.25">
      <c r="A3459" t="s">
        <v>26</v>
      </c>
      <c r="B3459" t="s">
        <v>27</v>
      </c>
      <c r="C3459" t="s">
        <v>91</v>
      </c>
      <c r="D3459">
        <v>35</v>
      </c>
      <c r="E3459" s="5">
        <v>43538</v>
      </c>
      <c r="F3459">
        <v>51956001</v>
      </c>
      <c r="G3459" t="s">
        <v>1059</v>
      </c>
      <c r="H3459" t="s">
        <v>1467</v>
      </c>
      <c r="I3459" t="s">
        <v>1468</v>
      </c>
      <c r="J3459">
        <v>1001</v>
      </c>
      <c r="K3459">
        <v>5016</v>
      </c>
      <c r="L3459" s="3">
        <v>14700</v>
      </c>
      <c r="M3459" s="3">
        <v>13700</v>
      </c>
      <c r="N3459">
        <v>0</v>
      </c>
      <c r="O3459">
        <v>0</v>
      </c>
      <c r="P3459">
        <v>28400</v>
      </c>
      <c r="Q3459" t="s">
        <v>30</v>
      </c>
      <c r="R3459" t="s">
        <v>97</v>
      </c>
      <c r="S3459" t="str">
        <v>#N/A</v>
      </c>
      <c r="T3459" t="str">
        <v>#N/A</v>
      </c>
    </row>
    <row r="3460" spans="1:20" ht="13.7" customHeight="1" x14ac:dyDescent="0.25">
      <c r="E3460" s="5">
        <v>43465</v>
      </c>
      <c r="F3460">
        <v>51956001</v>
      </c>
      <c r="G3460" t="s">
        <v>1059</v>
      </c>
      <c r="H3460" t="s">
        <v>1323</v>
      </c>
      <c r="I3460" t="s">
        <v>1324</v>
      </c>
      <c r="J3460">
        <v>0</v>
      </c>
      <c r="K3460">
        <v>0</v>
      </c>
      <c r="L3460" s="3">
        <v>0</v>
      </c>
      <c r="M3460" s="3">
        <v>0</v>
      </c>
      <c r="N3460">
        <v>0</v>
      </c>
      <c r="O3460">
        <v>0</v>
      </c>
      <c r="P3460">
        <v>0</v>
      </c>
      <c r="R3460" t="s">
        <v>1100</v>
      </c>
      <c r="S3460" t="str">
        <v>#N/A</v>
      </c>
      <c r="T3460" t="str">
        <v>#N/A</v>
      </c>
    </row>
    <row r="3461" spans="1:20" ht="13.7" customHeight="1" x14ac:dyDescent="0.25">
      <c r="A3461" t="s">
        <v>26</v>
      </c>
      <c r="B3461" t="s">
        <v>27</v>
      </c>
      <c r="C3461" t="s">
        <v>35</v>
      </c>
      <c r="D3461">
        <v>36</v>
      </c>
      <c r="E3461" s="5">
        <v>43596</v>
      </c>
      <c r="F3461">
        <v>51956001</v>
      </c>
      <c r="G3461" t="s">
        <v>1059</v>
      </c>
      <c r="H3461" t="s">
        <v>1323</v>
      </c>
      <c r="I3461" t="s">
        <v>1324</v>
      </c>
      <c r="J3461">
        <v>1001</v>
      </c>
      <c r="K3461">
        <v>5016</v>
      </c>
      <c r="L3461" s="3">
        <v>0</v>
      </c>
      <c r="M3461" s="3">
        <v>89811</v>
      </c>
      <c r="N3461">
        <v>0</v>
      </c>
      <c r="O3461">
        <v>0</v>
      </c>
      <c r="P3461">
        <v>89811</v>
      </c>
      <c r="Q3461" t="s">
        <v>30</v>
      </c>
      <c r="R3461" t="s">
        <v>70</v>
      </c>
      <c r="S3461" t="str">
        <v>#N/A</v>
      </c>
      <c r="T3461" t="str">
        <v>#N/A</v>
      </c>
    </row>
    <row r="3462" spans="1:20" ht="13.7" customHeight="1" x14ac:dyDescent="0.25">
      <c r="E3462" s="5">
        <v>43465</v>
      </c>
      <c r="F3462">
        <v>51956001</v>
      </c>
      <c r="G3462" t="s">
        <v>1059</v>
      </c>
      <c r="H3462" t="s">
        <v>1715</v>
      </c>
      <c r="I3462" t="s">
        <v>1716</v>
      </c>
      <c r="J3462">
        <v>0</v>
      </c>
      <c r="K3462">
        <v>0</v>
      </c>
      <c r="L3462" s="3">
        <v>74900</v>
      </c>
      <c r="M3462" s="3">
        <v>0</v>
      </c>
      <c r="N3462">
        <v>0</v>
      </c>
      <c r="O3462">
        <v>0</v>
      </c>
      <c r="P3462">
        <v>74900</v>
      </c>
      <c r="R3462" t="s">
        <v>1100</v>
      </c>
      <c r="S3462" t="str">
        <v>#N/A</v>
      </c>
      <c r="T3462" t="str">
        <v>#N/A</v>
      </c>
    </row>
    <row r="3463" spans="1:20" ht="13.7" customHeight="1" x14ac:dyDescent="0.25">
      <c r="E3463" s="5">
        <v>43465</v>
      </c>
      <c r="F3463">
        <v>51956001</v>
      </c>
      <c r="G3463" t="s">
        <v>1059</v>
      </c>
      <c r="H3463" t="s">
        <v>1717</v>
      </c>
      <c r="I3463" t="s">
        <v>1718</v>
      </c>
      <c r="J3463">
        <v>0</v>
      </c>
      <c r="K3463">
        <v>0</v>
      </c>
      <c r="L3463" s="3">
        <v>1600</v>
      </c>
      <c r="M3463" s="3">
        <v>0</v>
      </c>
      <c r="N3463">
        <v>0</v>
      </c>
      <c r="O3463">
        <v>0</v>
      </c>
      <c r="P3463">
        <v>1600</v>
      </c>
      <c r="R3463" t="s">
        <v>1100</v>
      </c>
      <c r="S3463" t="str">
        <v>#N/A</v>
      </c>
      <c r="T3463" t="str">
        <v>#N/A</v>
      </c>
    </row>
    <row r="3464" spans="1:20" ht="13.7" customHeight="1" x14ac:dyDescent="0.25">
      <c r="E3464" s="5">
        <v>43465</v>
      </c>
      <c r="F3464">
        <v>51956001</v>
      </c>
      <c r="G3464" t="s">
        <v>1059</v>
      </c>
      <c r="H3464" t="s">
        <v>1461</v>
      </c>
      <c r="I3464" t="s">
        <v>1462</v>
      </c>
      <c r="J3464">
        <v>0</v>
      </c>
      <c r="K3464">
        <v>0</v>
      </c>
      <c r="L3464" s="3">
        <v>10000</v>
      </c>
      <c r="M3464" s="3">
        <v>0</v>
      </c>
      <c r="N3464">
        <v>0</v>
      </c>
      <c r="O3464">
        <v>0</v>
      </c>
      <c r="P3464">
        <v>10000</v>
      </c>
      <c r="R3464" t="s">
        <v>1100</v>
      </c>
      <c r="S3464" t="str">
        <v>#N/A</v>
      </c>
      <c r="T3464" t="str">
        <v>#N/A</v>
      </c>
    </row>
    <row r="3465" spans="1:20" ht="13.7" customHeight="1" x14ac:dyDescent="0.25">
      <c r="E3465" s="5">
        <v>43465</v>
      </c>
      <c r="F3465">
        <v>51956001</v>
      </c>
      <c r="G3465" t="s">
        <v>1059</v>
      </c>
      <c r="H3465" t="s">
        <v>1515</v>
      </c>
      <c r="I3465" t="s">
        <v>1516</v>
      </c>
      <c r="J3465">
        <v>0</v>
      </c>
      <c r="K3465">
        <v>0</v>
      </c>
      <c r="L3465" s="3">
        <v>0</v>
      </c>
      <c r="M3465" s="3">
        <v>0</v>
      </c>
      <c r="N3465">
        <v>0</v>
      </c>
      <c r="O3465">
        <v>0</v>
      </c>
      <c r="P3465">
        <v>0</v>
      </c>
      <c r="R3465" t="s">
        <v>1100</v>
      </c>
      <c r="S3465" t="str">
        <v>#N/A</v>
      </c>
      <c r="T3465" t="str">
        <v>#N/A</v>
      </c>
    </row>
    <row r="3466" spans="1:20" ht="13.7" customHeight="1" x14ac:dyDescent="0.25">
      <c r="A3466" t="s">
        <v>26</v>
      </c>
      <c r="B3466" t="s">
        <v>27</v>
      </c>
      <c r="C3466" t="s">
        <v>91</v>
      </c>
      <c r="D3466">
        <v>45</v>
      </c>
      <c r="E3466" s="5">
        <v>43544</v>
      </c>
      <c r="F3466">
        <v>51956001</v>
      </c>
      <c r="G3466" t="s">
        <v>1059</v>
      </c>
      <c r="H3466" t="s">
        <v>1515</v>
      </c>
      <c r="I3466" t="s">
        <v>1516</v>
      </c>
      <c r="J3466">
        <v>1001</v>
      </c>
      <c r="K3466">
        <v>5016</v>
      </c>
      <c r="L3466" s="3">
        <v>0</v>
      </c>
      <c r="M3466" s="3">
        <v>25900</v>
      </c>
      <c r="N3466">
        <v>0</v>
      </c>
      <c r="O3466">
        <v>0</v>
      </c>
      <c r="P3466">
        <v>25900</v>
      </c>
      <c r="Q3466" t="s">
        <v>30</v>
      </c>
      <c r="R3466" t="s">
        <v>97</v>
      </c>
      <c r="S3466" t="str">
        <v>#N/A</v>
      </c>
      <c r="T3466" t="str">
        <v>#N/A</v>
      </c>
    </row>
    <row r="3467" spans="1:20" ht="13.7" customHeight="1" x14ac:dyDescent="0.25">
      <c r="E3467" s="5">
        <v>43465</v>
      </c>
      <c r="F3467">
        <v>51956001</v>
      </c>
      <c r="G3467" t="s">
        <v>1059</v>
      </c>
      <c r="H3467" t="s">
        <v>1471</v>
      </c>
      <c r="I3467" t="s">
        <v>1472</v>
      </c>
      <c r="J3467">
        <v>0</v>
      </c>
      <c r="K3467">
        <v>0</v>
      </c>
      <c r="L3467" s="3">
        <v>24400</v>
      </c>
      <c r="M3467" s="3">
        <v>0</v>
      </c>
      <c r="N3467">
        <v>0</v>
      </c>
      <c r="O3467">
        <v>0</v>
      </c>
      <c r="P3467">
        <v>24400</v>
      </c>
      <c r="R3467" t="s">
        <v>1100</v>
      </c>
      <c r="S3467" t="str">
        <v>#N/A</v>
      </c>
      <c r="T3467" t="str">
        <v>#N/A</v>
      </c>
    </row>
    <row r="3468" spans="1:20" ht="13.7" customHeight="1" x14ac:dyDescent="0.25">
      <c r="E3468" s="5">
        <v>43465</v>
      </c>
      <c r="F3468">
        <v>51956001</v>
      </c>
      <c r="G3468" t="s">
        <v>1059</v>
      </c>
      <c r="H3468" t="s">
        <v>1719</v>
      </c>
      <c r="I3468" t="s">
        <v>1720</v>
      </c>
      <c r="J3468">
        <v>0</v>
      </c>
      <c r="K3468">
        <v>0</v>
      </c>
      <c r="L3468" s="3">
        <v>40000</v>
      </c>
      <c r="M3468" s="3">
        <v>0</v>
      </c>
      <c r="N3468">
        <v>0</v>
      </c>
      <c r="O3468">
        <v>0</v>
      </c>
      <c r="P3468">
        <v>40000</v>
      </c>
      <c r="R3468" t="s">
        <v>1100</v>
      </c>
      <c r="S3468" t="str">
        <v>#N/A</v>
      </c>
      <c r="T3468" t="str">
        <v>#N/A</v>
      </c>
    </row>
    <row r="3469" spans="1:20" ht="13.7" customHeight="1" x14ac:dyDescent="0.25">
      <c r="E3469" s="5">
        <v>43465</v>
      </c>
      <c r="F3469">
        <v>51956001</v>
      </c>
      <c r="G3469" t="s">
        <v>1059</v>
      </c>
      <c r="H3469" t="s">
        <v>1305</v>
      </c>
      <c r="I3469" t="s">
        <v>1306</v>
      </c>
      <c r="J3469">
        <v>0</v>
      </c>
      <c r="K3469">
        <v>0</v>
      </c>
      <c r="L3469" s="3">
        <v>9212</v>
      </c>
      <c r="M3469" s="3">
        <v>0</v>
      </c>
      <c r="N3469">
        <v>0</v>
      </c>
      <c r="O3469">
        <v>0</v>
      </c>
      <c r="P3469">
        <v>9212</v>
      </c>
      <c r="R3469" t="s">
        <v>1100</v>
      </c>
      <c r="S3469" t="str">
        <v>#N/A</v>
      </c>
      <c r="T3469" t="str">
        <v>#N/A</v>
      </c>
    </row>
    <row r="3470" spans="1:20" ht="13.7" customHeight="1" x14ac:dyDescent="0.25">
      <c r="E3470" s="5">
        <v>43465</v>
      </c>
      <c r="F3470">
        <v>51956001</v>
      </c>
      <c r="G3470" t="s">
        <v>1059</v>
      </c>
      <c r="H3470" t="s">
        <v>1721</v>
      </c>
      <c r="I3470" t="s">
        <v>1722</v>
      </c>
      <c r="J3470">
        <v>0</v>
      </c>
      <c r="K3470">
        <v>0</v>
      </c>
      <c r="L3470" s="3">
        <v>28500</v>
      </c>
      <c r="M3470" s="3">
        <v>0</v>
      </c>
      <c r="N3470">
        <v>0</v>
      </c>
      <c r="O3470">
        <v>0</v>
      </c>
      <c r="P3470">
        <v>28500</v>
      </c>
      <c r="R3470" t="s">
        <v>1100</v>
      </c>
      <c r="S3470" t="str">
        <v>#N/A</v>
      </c>
      <c r="T3470" t="str">
        <v>#N/A</v>
      </c>
    </row>
    <row r="3471" spans="1:20" ht="13.7" customHeight="1" x14ac:dyDescent="0.25">
      <c r="E3471" s="5">
        <v>43465</v>
      </c>
      <c r="F3471">
        <v>51956001</v>
      </c>
      <c r="G3471" t="s">
        <v>1059</v>
      </c>
      <c r="H3471" t="s">
        <v>1229</v>
      </c>
      <c r="I3471" t="s">
        <v>1230</v>
      </c>
      <c r="J3471">
        <v>0</v>
      </c>
      <c r="K3471">
        <v>0</v>
      </c>
      <c r="L3471" s="3">
        <v>31092</v>
      </c>
      <c r="M3471" s="3">
        <v>0</v>
      </c>
      <c r="N3471">
        <v>0</v>
      </c>
      <c r="O3471">
        <v>0</v>
      </c>
      <c r="P3471">
        <v>31092</v>
      </c>
      <c r="R3471" t="s">
        <v>1100</v>
      </c>
      <c r="S3471" t="str">
        <v>#N/A</v>
      </c>
      <c r="T3471" t="str">
        <v>#N/A</v>
      </c>
    </row>
    <row r="3472" spans="1:20" ht="13.7" customHeight="1" x14ac:dyDescent="0.25">
      <c r="E3472" s="5">
        <v>43465</v>
      </c>
      <c r="F3472">
        <v>51956001</v>
      </c>
      <c r="G3472" t="s">
        <v>1059</v>
      </c>
      <c r="H3472" t="s">
        <v>1723</v>
      </c>
      <c r="I3472" t="s">
        <v>1724</v>
      </c>
      <c r="J3472">
        <v>0</v>
      </c>
      <c r="K3472">
        <v>0</v>
      </c>
      <c r="L3472" s="3">
        <v>0</v>
      </c>
      <c r="M3472" s="3">
        <v>0</v>
      </c>
      <c r="N3472">
        <v>0</v>
      </c>
      <c r="O3472">
        <v>0</v>
      </c>
      <c r="P3472">
        <v>0</v>
      </c>
      <c r="R3472" t="s">
        <v>1100</v>
      </c>
      <c r="S3472" t="str">
        <v>#N/A</v>
      </c>
      <c r="T3472" t="str">
        <v>#N/A</v>
      </c>
    </row>
    <row r="3473" spans="1:20" ht="13.7" customHeight="1" x14ac:dyDescent="0.25">
      <c r="A3473" t="s">
        <v>26</v>
      </c>
      <c r="B3473" t="s">
        <v>27</v>
      </c>
      <c r="C3473" t="s">
        <v>39</v>
      </c>
      <c r="D3473">
        <v>67</v>
      </c>
      <c r="E3473" s="5">
        <v>43738</v>
      </c>
      <c r="F3473">
        <v>51956001</v>
      </c>
      <c r="G3473" t="s">
        <v>1059</v>
      </c>
      <c r="H3473" t="s">
        <v>1723</v>
      </c>
      <c r="I3473" t="s">
        <v>1724</v>
      </c>
      <c r="J3473">
        <v>1001</v>
      </c>
      <c r="K3473">
        <v>5016</v>
      </c>
      <c r="L3473" s="3">
        <v>0</v>
      </c>
      <c r="M3473" s="3">
        <v>57000</v>
      </c>
      <c r="N3473">
        <v>0</v>
      </c>
      <c r="O3473">
        <v>0</v>
      </c>
      <c r="P3473">
        <v>57000</v>
      </c>
      <c r="Q3473" t="s">
        <v>30</v>
      </c>
      <c r="R3473" t="s">
        <v>70</v>
      </c>
      <c r="S3473" t="str">
        <v>#N/A</v>
      </c>
      <c r="T3473" t="str">
        <v>#N/A</v>
      </c>
    </row>
    <row r="3474" spans="1:20" ht="13.7" customHeight="1" x14ac:dyDescent="0.25">
      <c r="E3474" s="5">
        <v>43465</v>
      </c>
      <c r="F3474">
        <v>51956001</v>
      </c>
      <c r="G3474" t="s">
        <v>1059</v>
      </c>
      <c r="H3474" t="s">
        <v>1725</v>
      </c>
      <c r="I3474" t="s">
        <v>1726</v>
      </c>
      <c r="J3474">
        <v>0</v>
      </c>
      <c r="K3474">
        <v>0</v>
      </c>
      <c r="L3474" s="3">
        <v>16400</v>
      </c>
      <c r="M3474" s="3">
        <v>0</v>
      </c>
      <c r="N3474">
        <v>0</v>
      </c>
      <c r="O3474">
        <v>0</v>
      </c>
      <c r="P3474">
        <v>16400</v>
      </c>
      <c r="R3474" t="s">
        <v>1100</v>
      </c>
      <c r="S3474" t="str">
        <v>#N/A</v>
      </c>
      <c r="T3474" t="str">
        <v>#N/A</v>
      </c>
    </row>
    <row r="3475" spans="1:20" ht="13.7" customHeight="1" x14ac:dyDescent="0.25">
      <c r="E3475" s="5">
        <v>43465</v>
      </c>
      <c r="F3475">
        <v>51956001</v>
      </c>
      <c r="G3475" t="s">
        <v>1059</v>
      </c>
      <c r="H3475" t="s">
        <v>1333</v>
      </c>
      <c r="I3475" t="s">
        <v>1334</v>
      </c>
      <c r="J3475">
        <v>0</v>
      </c>
      <c r="K3475">
        <v>0</v>
      </c>
      <c r="L3475" s="3">
        <v>0</v>
      </c>
      <c r="M3475" s="3">
        <v>0</v>
      </c>
      <c r="N3475">
        <v>0</v>
      </c>
      <c r="O3475">
        <v>0</v>
      </c>
      <c r="P3475">
        <v>0</v>
      </c>
      <c r="R3475" t="s">
        <v>1100</v>
      </c>
      <c r="S3475" t="str">
        <v>#N/A</v>
      </c>
      <c r="T3475" t="str">
        <v>#N/A</v>
      </c>
    </row>
    <row r="3476" spans="1:20" ht="13.7" customHeight="1" x14ac:dyDescent="0.25">
      <c r="A3476" t="s">
        <v>26</v>
      </c>
      <c r="B3476" t="s">
        <v>27</v>
      </c>
      <c r="C3476" t="s">
        <v>41</v>
      </c>
      <c r="D3476">
        <v>9</v>
      </c>
      <c r="E3476" s="5">
        <v>43773</v>
      </c>
      <c r="F3476">
        <v>51956001</v>
      </c>
      <c r="G3476" t="s">
        <v>1059</v>
      </c>
      <c r="H3476" t="s">
        <v>1333</v>
      </c>
      <c r="I3476" t="s">
        <v>1334</v>
      </c>
      <c r="J3476">
        <v>1001</v>
      </c>
      <c r="K3476">
        <v>5016</v>
      </c>
      <c r="L3476" s="3">
        <v>0</v>
      </c>
      <c r="M3476" s="3">
        <v>89500</v>
      </c>
      <c r="N3476">
        <v>0</v>
      </c>
      <c r="O3476">
        <v>0</v>
      </c>
      <c r="P3476">
        <v>89500</v>
      </c>
      <c r="Q3476" t="s">
        <v>30</v>
      </c>
      <c r="R3476" t="s">
        <v>70</v>
      </c>
      <c r="S3476" t="str">
        <v>#N/A</v>
      </c>
      <c r="T3476" t="str">
        <v>#N/A</v>
      </c>
    </row>
    <row r="3477" spans="1:20" ht="13.7" customHeight="1" x14ac:dyDescent="0.25">
      <c r="E3477" s="5">
        <v>43465</v>
      </c>
      <c r="F3477">
        <v>51956001</v>
      </c>
      <c r="G3477" t="s">
        <v>1059</v>
      </c>
      <c r="H3477" t="s">
        <v>1517</v>
      </c>
      <c r="I3477" t="s">
        <v>1518</v>
      </c>
      <c r="J3477">
        <v>0</v>
      </c>
      <c r="K3477">
        <v>0</v>
      </c>
      <c r="L3477" s="3">
        <v>12400</v>
      </c>
      <c r="M3477" s="3">
        <v>0</v>
      </c>
      <c r="N3477">
        <v>0</v>
      </c>
      <c r="O3477">
        <v>0</v>
      </c>
      <c r="P3477">
        <v>12400</v>
      </c>
      <c r="R3477" t="s">
        <v>1100</v>
      </c>
      <c r="S3477" t="str">
        <v>#N/A</v>
      </c>
      <c r="T3477" t="str">
        <v>#N/A</v>
      </c>
    </row>
    <row r="3478" spans="1:20" ht="13.7" customHeight="1" x14ac:dyDescent="0.25">
      <c r="E3478" s="5">
        <v>43465</v>
      </c>
      <c r="F3478">
        <v>51956001</v>
      </c>
      <c r="G3478" t="s">
        <v>1059</v>
      </c>
      <c r="H3478" t="s">
        <v>1727</v>
      </c>
      <c r="I3478" t="s">
        <v>1728</v>
      </c>
      <c r="J3478">
        <v>0</v>
      </c>
      <c r="K3478">
        <v>0</v>
      </c>
      <c r="L3478" s="3">
        <v>41519</v>
      </c>
      <c r="M3478" s="3">
        <v>0</v>
      </c>
      <c r="N3478">
        <v>0</v>
      </c>
      <c r="O3478">
        <v>0</v>
      </c>
      <c r="P3478">
        <v>41519</v>
      </c>
      <c r="R3478" t="s">
        <v>1100</v>
      </c>
      <c r="S3478" t="str">
        <v>#N/A</v>
      </c>
      <c r="T3478" t="str">
        <v>#N/A</v>
      </c>
    </row>
    <row r="3479" spans="1:20" ht="13.7" customHeight="1" x14ac:dyDescent="0.25">
      <c r="E3479" s="5">
        <v>43465</v>
      </c>
      <c r="F3479">
        <v>51956001</v>
      </c>
      <c r="G3479" t="s">
        <v>1059</v>
      </c>
      <c r="H3479" t="s">
        <v>1729</v>
      </c>
      <c r="I3479" t="s">
        <v>1730</v>
      </c>
      <c r="J3479">
        <v>0</v>
      </c>
      <c r="K3479">
        <v>0</v>
      </c>
      <c r="L3479" s="3">
        <v>21200</v>
      </c>
      <c r="M3479" s="3">
        <v>0</v>
      </c>
      <c r="N3479">
        <v>0</v>
      </c>
      <c r="O3479">
        <v>0</v>
      </c>
      <c r="P3479">
        <v>21200</v>
      </c>
      <c r="R3479" t="s">
        <v>1100</v>
      </c>
      <c r="S3479" t="str">
        <v>#N/A</v>
      </c>
      <c r="T3479" t="str">
        <v>#N/A</v>
      </c>
    </row>
    <row r="3480" spans="1:20" ht="13.7" customHeight="1" x14ac:dyDescent="0.25">
      <c r="E3480" s="5">
        <v>43465</v>
      </c>
      <c r="F3480">
        <v>51956001</v>
      </c>
      <c r="G3480" t="s">
        <v>1059</v>
      </c>
      <c r="H3480" t="s">
        <v>1623</v>
      </c>
      <c r="I3480" t="s">
        <v>1624</v>
      </c>
      <c r="J3480">
        <v>0</v>
      </c>
      <c r="K3480">
        <v>0</v>
      </c>
      <c r="L3480" s="3">
        <v>0</v>
      </c>
      <c r="M3480" s="3">
        <v>0</v>
      </c>
      <c r="N3480">
        <v>0</v>
      </c>
      <c r="O3480">
        <v>0</v>
      </c>
      <c r="P3480">
        <v>0</v>
      </c>
      <c r="R3480" t="s">
        <v>1100</v>
      </c>
      <c r="S3480" t="str">
        <v>#N/A</v>
      </c>
      <c r="T3480" t="str">
        <v>#N/A</v>
      </c>
    </row>
    <row r="3481" spans="1:20" ht="13.7" customHeight="1" x14ac:dyDescent="0.25">
      <c r="A3481" t="s">
        <v>26</v>
      </c>
      <c r="B3481" t="s">
        <v>27</v>
      </c>
      <c r="C3481" t="s">
        <v>32</v>
      </c>
      <c r="D3481">
        <v>7</v>
      </c>
      <c r="E3481" s="5">
        <v>43499</v>
      </c>
      <c r="F3481">
        <v>51956001</v>
      </c>
      <c r="G3481" t="s">
        <v>1059</v>
      </c>
      <c r="H3481" t="s">
        <v>1623</v>
      </c>
      <c r="I3481" t="s">
        <v>1624</v>
      </c>
      <c r="J3481">
        <v>1001</v>
      </c>
      <c r="K3481">
        <v>5016</v>
      </c>
      <c r="L3481" s="3">
        <v>0</v>
      </c>
      <c r="M3481" s="3">
        <v>8151</v>
      </c>
      <c r="N3481">
        <v>0</v>
      </c>
      <c r="O3481">
        <v>0</v>
      </c>
      <c r="P3481">
        <v>8151</v>
      </c>
      <c r="Q3481" t="s">
        <v>30</v>
      </c>
      <c r="R3481" t="s">
        <v>70</v>
      </c>
      <c r="S3481" t="str">
        <v>#N/A</v>
      </c>
      <c r="T3481" t="str">
        <v>#N/A</v>
      </c>
    </row>
    <row r="3482" spans="1:20" ht="13.7" customHeight="1" x14ac:dyDescent="0.25">
      <c r="E3482" s="5">
        <v>43465</v>
      </c>
      <c r="F3482">
        <v>51956001</v>
      </c>
      <c r="G3482" t="s">
        <v>1059</v>
      </c>
      <c r="H3482" t="s">
        <v>1731</v>
      </c>
      <c r="I3482" t="s">
        <v>1732</v>
      </c>
      <c r="J3482">
        <v>0</v>
      </c>
      <c r="K3482">
        <v>0</v>
      </c>
      <c r="L3482" s="3">
        <v>228301</v>
      </c>
      <c r="M3482" s="3">
        <v>0</v>
      </c>
      <c r="N3482">
        <v>0</v>
      </c>
      <c r="O3482">
        <v>0</v>
      </c>
      <c r="P3482">
        <v>228301</v>
      </c>
      <c r="R3482" t="s">
        <v>1100</v>
      </c>
      <c r="S3482" t="str">
        <v>#N/A</v>
      </c>
      <c r="T3482" t="str">
        <v>#N/A</v>
      </c>
    </row>
    <row r="3483" spans="1:20" ht="13.7" customHeight="1" x14ac:dyDescent="0.25">
      <c r="E3483" s="5">
        <v>43465</v>
      </c>
      <c r="F3483">
        <v>51956001</v>
      </c>
      <c r="G3483" t="s">
        <v>1059</v>
      </c>
      <c r="H3483" t="s">
        <v>1331</v>
      </c>
      <c r="I3483" t="s">
        <v>1332</v>
      </c>
      <c r="J3483">
        <v>0</v>
      </c>
      <c r="K3483">
        <v>0</v>
      </c>
      <c r="L3483" s="3">
        <v>0</v>
      </c>
      <c r="M3483" s="3">
        <v>0</v>
      </c>
      <c r="N3483">
        <v>0</v>
      </c>
      <c r="O3483">
        <v>0</v>
      </c>
      <c r="P3483">
        <v>0</v>
      </c>
      <c r="R3483" t="s">
        <v>1100</v>
      </c>
      <c r="S3483" t="str">
        <v>#N/A</v>
      </c>
      <c r="T3483" t="str">
        <v>#N/A</v>
      </c>
    </row>
    <row r="3484" spans="1:20" ht="13.7" customHeight="1" x14ac:dyDescent="0.25">
      <c r="A3484" t="s">
        <v>26</v>
      </c>
      <c r="B3484" t="s">
        <v>27</v>
      </c>
      <c r="C3484" t="s">
        <v>37</v>
      </c>
      <c r="D3484">
        <v>41</v>
      </c>
      <c r="E3484" s="5">
        <v>43661</v>
      </c>
      <c r="F3484">
        <v>51956001</v>
      </c>
      <c r="G3484" t="s">
        <v>1059</v>
      </c>
      <c r="H3484" t="s">
        <v>1331</v>
      </c>
      <c r="I3484" t="s">
        <v>1332</v>
      </c>
      <c r="J3484">
        <v>1001</v>
      </c>
      <c r="K3484">
        <v>5016</v>
      </c>
      <c r="L3484" s="3">
        <v>0</v>
      </c>
      <c r="M3484" s="3">
        <v>10252</v>
      </c>
      <c r="N3484">
        <v>0</v>
      </c>
      <c r="O3484">
        <v>0</v>
      </c>
      <c r="P3484">
        <v>10252</v>
      </c>
      <c r="Q3484" t="s">
        <v>30</v>
      </c>
      <c r="R3484" t="s">
        <v>70</v>
      </c>
      <c r="S3484" t="str">
        <v>#N/A</v>
      </c>
      <c r="T3484" t="str">
        <v>#N/A</v>
      </c>
    </row>
    <row r="3485" spans="1:20" ht="13.7" customHeight="1" x14ac:dyDescent="0.25">
      <c r="A3485" t="s">
        <v>26</v>
      </c>
      <c r="B3485" t="s">
        <v>27</v>
      </c>
      <c r="C3485" t="s">
        <v>38</v>
      </c>
      <c r="D3485">
        <v>42</v>
      </c>
      <c r="E3485" s="5">
        <v>43700</v>
      </c>
      <c r="F3485">
        <v>51956001</v>
      </c>
      <c r="G3485" t="s">
        <v>1059</v>
      </c>
      <c r="H3485" t="s">
        <v>1331</v>
      </c>
      <c r="I3485" t="s">
        <v>1332</v>
      </c>
      <c r="J3485">
        <v>1001</v>
      </c>
      <c r="K3485">
        <v>5016</v>
      </c>
      <c r="L3485" s="3">
        <v>10252</v>
      </c>
      <c r="M3485" s="3">
        <v>11429</v>
      </c>
      <c r="N3485">
        <v>0</v>
      </c>
      <c r="O3485">
        <v>0</v>
      </c>
      <c r="P3485">
        <v>21681</v>
      </c>
      <c r="Q3485" t="s">
        <v>30</v>
      </c>
      <c r="R3485" t="s">
        <v>70</v>
      </c>
      <c r="S3485" t="str">
        <v>#N/A</v>
      </c>
      <c r="T3485" t="str">
        <v>#N/A</v>
      </c>
    </row>
    <row r="3486" spans="1:20" ht="13.7" customHeight="1" x14ac:dyDescent="0.25">
      <c r="E3486" s="5">
        <v>43465</v>
      </c>
      <c r="F3486">
        <v>51956001</v>
      </c>
      <c r="G3486" t="s">
        <v>1059</v>
      </c>
      <c r="H3486" t="s">
        <v>1327</v>
      </c>
      <c r="I3486" t="s">
        <v>1328</v>
      </c>
      <c r="J3486">
        <v>0</v>
      </c>
      <c r="K3486">
        <v>0</v>
      </c>
      <c r="L3486" s="3">
        <v>215500</v>
      </c>
      <c r="M3486" s="3">
        <v>0</v>
      </c>
      <c r="N3486">
        <v>0</v>
      </c>
      <c r="O3486">
        <v>0</v>
      </c>
      <c r="P3486">
        <v>215500</v>
      </c>
      <c r="R3486" t="s">
        <v>1100</v>
      </c>
      <c r="S3486" t="str">
        <v>#N/A</v>
      </c>
      <c r="T3486" t="str">
        <v>31</v>
      </c>
    </row>
    <row r="3487" spans="1:20" ht="13.7" customHeight="1" x14ac:dyDescent="0.25">
      <c r="A3487" t="s">
        <v>26</v>
      </c>
      <c r="B3487" t="s">
        <v>27</v>
      </c>
      <c r="C3487" t="s">
        <v>34</v>
      </c>
      <c r="D3487">
        <v>49</v>
      </c>
      <c r="E3487" s="5">
        <v>43575</v>
      </c>
      <c r="F3487">
        <v>51956001</v>
      </c>
      <c r="G3487" t="s">
        <v>1059</v>
      </c>
      <c r="H3487" t="s">
        <v>1327</v>
      </c>
      <c r="I3487" t="s">
        <v>1328</v>
      </c>
      <c r="J3487">
        <v>1001</v>
      </c>
      <c r="K3487">
        <v>5016</v>
      </c>
      <c r="L3487" s="3">
        <v>215500</v>
      </c>
      <c r="M3487" s="3">
        <v>8151</v>
      </c>
      <c r="N3487">
        <v>0</v>
      </c>
      <c r="O3487">
        <v>0</v>
      </c>
      <c r="P3487">
        <v>223651</v>
      </c>
      <c r="Q3487" t="s">
        <v>30</v>
      </c>
      <c r="R3487" t="s">
        <v>70</v>
      </c>
      <c r="S3487" t="str">
        <v>#N/A</v>
      </c>
      <c r="T3487" t="str">
        <v>31</v>
      </c>
    </row>
    <row r="3488" spans="1:20" ht="13.7" customHeight="1" x14ac:dyDescent="0.25">
      <c r="A3488" t="s">
        <v>26</v>
      </c>
      <c r="B3488" t="s">
        <v>27</v>
      </c>
      <c r="C3488" t="s">
        <v>37</v>
      </c>
      <c r="D3488">
        <v>13</v>
      </c>
      <c r="E3488" s="5">
        <v>43652</v>
      </c>
      <c r="F3488">
        <v>51956001</v>
      </c>
      <c r="G3488" t="s">
        <v>1059</v>
      </c>
      <c r="H3488" t="s">
        <v>1327</v>
      </c>
      <c r="I3488" t="s">
        <v>1328</v>
      </c>
      <c r="J3488">
        <v>1001</v>
      </c>
      <c r="K3488">
        <v>5016</v>
      </c>
      <c r="L3488" s="3">
        <v>223651</v>
      </c>
      <c r="M3488" s="3">
        <v>23698</v>
      </c>
      <c r="N3488">
        <v>0</v>
      </c>
      <c r="O3488">
        <v>0</v>
      </c>
      <c r="P3488">
        <v>247349</v>
      </c>
      <c r="Q3488" t="s">
        <v>30</v>
      </c>
      <c r="R3488" t="s">
        <v>70</v>
      </c>
      <c r="S3488" t="str">
        <v>#N/A</v>
      </c>
      <c r="T3488" t="str">
        <v>31</v>
      </c>
    </row>
    <row r="3489" spans="1:20" ht="13.7" customHeight="1" x14ac:dyDescent="0.25">
      <c r="A3489" t="s">
        <v>26</v>
      </c>
      <c r="B3489" t="s">
        <v>27</v>
      </c>
      <c r="C3489" t="s">
        <v>180</v>
      </c>
      <c r="D3489">
        <v>13</v>
      </c>
      <c r="E3489" s="5">
        <v>43812</v>
      </c>
      <c r="F3489">
        <v>51956001</v>
      </c>
      <c r="G3489" t="s">
        <v>1059</v>
      </c>
      <c r="H3489" t="s">
        <v>1327</v>
      </c>
      <c r="I3489" t="s">
        <v>1328</v>
      </c>
      <c r="J3489">
        <v>1001</v>
      </c>
      <c r="K3489">
        <v>5016</v>
      </c>
      <c r="L3489" s="3">
        <v>247349</v>
      </c>
      <c r="M3489" s="3">
        <v>8151</v>
      </c>
      <c r="N3489">
        <v>0</v>
      </c>
      <c r="O3489">
        <v>0</v>
      </c>
      <c r="P3489">
        <v>255500</v>
      </c>
      <c r="Q3489" t="s">
        <v>30</v>
      </c>
      <c r="R3489" t="s">
        <v>70</v>
      </c>
      <c r="S3489" t="str">
        <v>#N/A</v>
      </c>
      <c r="T3489" t="str">
        <v>31</v>
      </c>
    </row>
    <row r="3490" spans="1:20" ht="13.7" customHeight="1" x14ac:dyDescent="0.25">
      <c r="E3490" s="5">
        <v>43465</v>
      </c>
      <c r="F3490">
        <v>51956001</v>
      </c>
      <c r="G3490" t="s">
        <v>1059</v>
      </c>
      <c r="H3490" t="s">
        <v>1733</v>
      </c>
      <c r="I3490" t="s">
        <v>1734</v>
      </c>
      <c r="J3490">
        <v>0</v>
      </c>
      <c r="K3490">
        <v>0</v>
      </c>
      <c r="L3490" s="3">
        <v>22300</v>
      </c>
      <c r="M3490" s="3">
        <v>0</v>
      </c>
      <c r="N3490">
        <v>0</v>
      </c>
      <c r="O3490">
        <v>0</v>
      </c>
      <c r="P3490">
        <v>22300</v>
      </c>
      <c r="R3490" t="s">
        <v>1100</v>
      </c>
      <c r="S3490" t="str">
        <v>#N/A</v>
      </c>
      <c r="T3490" t="str">
        <v>#N/A</v>
      </c>
    </row>
    <row r="3491" spans="1:20" ht="13.7" customHeight="1" x14ac:dyDescent="0.25">
      <c r="E3491" s="5">
        <v>43465</v>
      </c>
      <c r="F3491">
        <v>51956001</v>
      </c>
      <c r="G3491" t="s">
        <v>1059</v>
      </c>
      <c r="H3491" t="s">
        <v>1735</v>
      </c>
      <c r="I3491" t="s">
        <v>1736</v>
      </c>
      <c r="J3491">
        <v>0</v>
      </c>
      <c r="K3491">
        <v>0</v>
      </c>
      <c r="L3491" s="3">
        <v>29800</v>
      </c>
      <c r="M3491" s="3">
        <v>0</v>
      </c>
      <c r="N3491">
        <v>0</v>
      </c>
      <c r="O3491">
        <v>0</v>
      </c>
      <c r="P3491">
        <v>29800</v>
      </c>
      <c r="R3491" t="s">
        <v>1100</v>
      </c>
      <c r="S3491" t="str">
        <v>#N/A</v>
      </c>
      <c r="T3491" t="str">
        <v>#N/A</v>
      </c>
    </row>
    <row r="3492" spans="1:20" ht="13.7" customHeight="1" x14ac:dyDescent="0.25">
      <c r="E3492" s="5">
        <v>43465</v>
      </c>
      <c r="F3492">
        <v>51956001</v>
      </c>
      <c r="G3492" t="s">
        <v>1059</v>
      </c>
      <c r="H3492" t="s">
        <v>1737</v>
      </c>
      <c r="I3492" t="s">
        <v>1738</v>
      </c>
      <c r="J3492">
        <v>0</v>
      </c>
      <c r="K3492">
        <v>0</v>
      </c>
      <c r="L3492" s="3">
        <v>62100</v>
      </c>
      <c r="M3492" s="3">
        <v>0</v>
      </c>
      <c r="N3492">
        <v>0</v>
      </c>
      <c r="O3492">
        <v>0</v>
      </c>
      <c r="P3492">
        <v>62100</v>
      </c>
      <c r="R3492" t="s">
        <v>1100</v>
      </c>
      <c r="S3492" t="str">
        <v>#N/A</v>
      </c>
      <c r="T3492" t="str">
        <v>#N/A</v>
      </c>
    </row>
    <row r="3493" spans="1:20" ht="13.7" customHeight="1" x14ac:dyDescent="0.25">
      <c r="E3493" s="5">
        <v>43465</v>
      </c>
      <c r="F3493">
        <v>51956001</v>
      </c>
      <c r="G3493" t="s">
        <v>1059</v>
      </c>
      <c r="H3493" t="s">
        <v>1635</v>
      </c>
      <c r="I3493" t="s">
        <v>1636</v>
      </c>
      <c r="J3493">
        <v>0</v>
      </c>
      <c r="K3493">
        <v>0</v>
      </c>
      <c r="L3493" s="3">
        <v>0</v>
      </c>
      <c r="M3493" s="3">
        <v>0</v>
      </c>
      <c r="N3493">
        <v>0</v>
      </c>
      <c r="O3493">
        <v>0</v>
      </c>
      <c r="P3493">
        <v>0</v>
      </c>
      <c r="R3493" t="s">
        <v>1100</v>
      </c>
      <c r="S3493" t="str">
        <v>#N/A</v>
      </c>
      <c r="T3493" t="str">
        <v>#N/A</v>
      </c>
    </row>
    <row r="3494" spans="1:20" ht="13.7" customHeight="1" x14ac:dyDescent="0.25">
      <c r="A3494" t="s">
        <v>26</v>
      </c>
      <c r="B3494" t="s">
        <v>27</v>
      </c>
      <c r="C3494" t="s">
        <v>40</v>
      </c>
      <c r="D3494">
        <v>35</v>
      </c>
      <c r="E3494" s="5">
        <v>43755</v>
      </c>
      <c r="F3494">
        <v>51956001</v>
      </c>
      <c r="G3494" t="s">
        <v>1059</v>
      </c>
      <c r="H3494" t="s">
        <v>1635</v>
      </c>
      <c r="I3494" t="s">
        <v>1636</v>
      </c>
      <c r="J3494">
        <v>1001</v>
      </c>
      <c r="K3494">
        <v>5016</v>
      </c>
      <c r="L3494" s="3">
        <v>0</v>
      </c>
      <c r="M3494" s="3">
        <v>33445</v>
      </c>
      <c r="N3494">
        <v>0</v>
      </c>
      <c r="O3494">
        <v>0</v>
      </c>
      <c r="P3494">
        <v>33445</v>
      </c>
      <c r="Q3494" t="s">
        <v>30</v>
      </c>
      <c r="R3494" t="s">
        <v>70</v>
      </c>
      <c r="S3494" t="str">
        <v>#N/A</v>
      </c>
      <c r="T3494" t="str">
        <v>#N/A</v>
      </c>
    </row>
    <row r="3495" spans="1:20" ht="13.7" customHeight="1" x14ac:dyDescent="0.25">
      <c r="E3495" s="5">
        <v>43465</v>
      </c>
      <c r="F3495">
        <v>51956001</v>
      </c>
      <c r="G3495" t="s">
        <v>1059</v>
      </c>
      <c r="H3495" t="s">
        <v>1739</v>
      </c>
      <c r="I3495" t="s">
        <v>1740</v>
      </c>
      <c r="J3495">
        <v>0</v>
      </c>
      <c r="K3495">
        <v>0</v>
      </c>
      <c r="L3495" s="3">
        <v>9900</v>
      </c>
      <c r="M3495" s="3">
        <v>0</v>
      </c>
      <c r="N3495">
        <v>0</v>
      </c>
      <c r="O3495">
        <v>0</v>
      </c>
      <c r="P3495">
        <v>9900</v>
      </c>
      <c r="R3495" t="s">
        <v>1100</v>
      </c>
      <c r="S3495" t="str">
        <v>#N/A</v>
      </c>
      <c r="T3495" t="str">
        <v>#N/A</v>
      </c>
    </row>
    <row r="3496" spans="1:20" ht="13.7" customHeight="1" x14ac:dyDescent="0.25">
      <c r="E3496" s="5">
        <v>43465</v>
      </c>
      <c r="F3496">
        <v>51956001</v>
      </c>
      <c r="G3496" t="s">
        <v>1059</v>
      </c>
      <c r="H3496" t="s">
        <v>1329</v>
      </c>
      <c r="I3496" t="s">
        <v>1330</v>
      </c>
      <c r="J3496">
        <v>0</v>
      </c>
      <c r="K3496">
        <v>0</v>
      </c>
      <c r="L3496" s="3">
        <v>0</v>
      </c>
      <c r="M3496" s="3">
        <v>0</v>
      </c>
      <c r="N3496">
        <v>0</v>
      </c>
      <c r="O3496">
        <v>0</v>
      </c>
      <c r="P3496">
        <v>0</v>
      </c>
      <c r="R3496" t="s">
        <v>1100</v>
      </c>
      <c r="S3496" t="str">
        <v>#N/A</v>
      </c>
      <c r="T3496" t="str">
        <v>#N/A</v>
      </c>
    </row>
    <row r="3497" spans="1:20" ht="13.7" customHeight="1" x14ac:dyDescent="0.25">
      <c r="A3497" t="s">
        <v>26</v>
      </c>
      <c r="B3497" t="s">
        <v>27</v>
      </c>
      <c r="C3497" t="s">
        <v>37</v>
      </c>
      <c r="D3497">
        <v>21</v>
      </c>
      <c r="E3497" s="5">
        <v>43652</v>
      </c>
      <c r="F3497">
        <v>51956001</v>
      </c>
      <c r="G3497" t="s">
        <v>1059</v>
      </c>
      <c r="H3497" t="s">
        <v>1329</v>
      </c>
      <c r="I3497" t="s">
        <v>1330</v>
      </c>
      <c r="J3497">
        <v>1001</v>
      </c>
      <c r="K3497">
        <v>5016</v>
      </c>
      <c r="L3497" s="3">
        <v>0</v>
      </c>
      <c r="M3497" s="3">
        <v>8600</v>
      </c>
      <c r="N3497">
        <v>0</v>
      </c>
      <c r="O3497">
        <v>0</v>
      </c>
      <c r="P3497">
        <v>8600</v>
      </c>
      <c r="Q3497" t="s">
        <v>30</v>
      </c>
      <c r="R3497" t="s">
        <v>70</v>
      </c>
      <c r="S3497" t="str">
        <v>#N/A</v>
      </c>
      <c r="T3497" t="str">
        <v>#N/A</v>
      </c>
    </row>
    <row r="3498" spans="1:20" ht="13.7" customHeight="1" x14ac:dyDescent="0.25">
      <c r="E3498" s="5">
        <v>43465</v>
      </c>
      <c r="F3498">
        <v>51956001</v>
      </c>
      <c r="G3498" t="s">
        <v>1059</v>
      </c>
      <c r="H3498" t="s">
        <v>1321</v>
      </c>
      <c r="I3498" t="s">
        <v>1322</v>
      </c>
      <c r="J3498">
        <v>0</v>
      </c>
      <c r="K3498">
        <v>0</v>
      </c>
      <c r="L3498" s="3">
        <v>0</v>
      </c>
      <c r="M3498" s="3">
        <v>0</v>
      </c>
      <c r="N3498">
        <v>0</v>
      </c>
      <c r="O3498">
        <v>0</v>
      </c>
      <c r="P3498">
        <v>0</v>
      </c>
      <c r="R3498" t="s">
        <v>1100</v>
      </c>
      <c r="S3498" t="str">
        <v>#N/A</v>
      </c>
      <c r="T3498" t="str">
        <v>#N/A</v>
      </c>
    </row>
    <row r="3499" spans="1:20" ht="13.7" customHeight="1" x14ac:dyDescent="0.25">
      <c r="A3499" t="s">
        <v>26</v>
      </c>
      <c r="B3499" t="s">
        <v>27</v>
      </c>
      <c r="C3499" t="s">
        <v>34</v>
      </c>
      <c r="D3499">
        <v>14</v>
      </c>
      <c r="E3499" s="5">
        <v>43561</v>
      </c>
      <c r="F3499">
        <v>51956001</v>
      </c>
      <c r="G3499" t="s">
        <v>1059</v>
      </c>
      <c r="H3499" t="s">
        <v>1321</v>
      </c>
      <c r="I3499" t="s">
        <v>1322</v>
      </c>
      <c r="J3499">
        <v>1001</v>
      </c>
      <c r="K3499">
        <v>5016</v>
      </c>
      <c r="L3499" s="3">
        <v>0</v>
      </c>
      <c r="M3499" s="3">
        <v>27597</v>
      </c>
      <c r="N3499">
        <v>0</v>
      </c>
      <c r="O3499">
        <v>0</v>
      </c>
      <c r="P3499">
        <v>27597</v>
      </c>
      <c r="Q3499" t="s">
        <v>30</v>
      </c>
      <c r="R3499" t="s">
        <v>116</v>
      </c>
      <c r="S3499" t="str">
        <v>#N/A</v>
      </c>
      <c r="T3499" t="str">
        <v>#N/A</v>
      </c>
    </row>
    <row r="3500" spans="1:20" ht="13.7" customHeight="1" x14ac:dyDescent="0.25">
      <c r="E3500" s="5">
        <v>43465</v>
      </c>
      <c r="F3500">
        <v>51956501</v>
      </c>
      <c r="G3500" t="s">
        <v>1060</v>
      </c>
      <c r="H3500" t="s">
        <v>1197</v>
      </c>
      <c r="I3500" t="s">
        <v>1198</v>
      </c>
      <c r="J3500">
        <v>0</v>
      </c>
      <c r="K3500">
        <v>0</v>
      </c>
      <c r="L3500" s="3">
        <v>0</v>
      </c>
      <c r="M3500" s="3">
        <v>0</v>
      </c>
      <c r="N3500">
        <v>0</v>
      </c>
      <c r="O3500">
        <v>0</v>
      </c>
      <c r="P3500">
        <v>0</v>
      </c>
      <c r="R3500" t="s">
        <v>1100</v>
      </c>
      <c r="S3500" t="str">
        <v>#N/A</v>
      </c>
      <c r="T3500" t="str">
        <v>13</v>
      </c>
    </row>
    <row r="3501" spans="1:20" ht="13.7" customHeight="1" x14ac:dyDescent="0.25">
      <c r="A3501" t="s">
        <v>26</v>
      </c>
      <c r="B3501" t="s">
        <v>27</v>
      </c>
      <c r="C3501" t="s">
        <v>91</v>
      </c>
      <c r="D3501">
        <v>43</v>
      </c>
      <c r="E3501" s="5">
        <v>43542</v>
      </c>
      <c r="F3501">
        <v>51956501</v>
      </c>
      <c r="G3501" t="s">
        <v>1060</v>
      </c>
      <c r="H3501" t="s">
        <v>1197</v>
      </c>
      <c r="I3501" t="s">
        <v>1198</v>
      </c>
      <c r="J3501">
        <v>1001</v>
      </c>
      <c r="K3501">
        <v>5016</v>
      </c>
      <c r="L3501" s="3">
        <v>0</v>
      </c>
      <c r="M3501" s="3">
        <v>2689</v>
      </c>
      <c r="N3501">
        <v>0</v>
      </c>
      <c r="O3501">
        <v>0</v>
      </c>
      <c r="P3501">
        <v>2689</v>
      </c>
      <c r="Q3501" t="s">
        <v>30</v>
      </c>
      <c r="R3501" t="s">
        <v>102</v>
      </c>
      <c r="S3501" t="str">
        <v>#N/A</v>
      </c>
      <c r="T3501" t="str">
        <v>13</v>
      </c>
    </row>
    <row r="3502" spans="1:20" ht="13.7" customHeight="1" x14ac:dyDescent="0.25">
      <c r="E3502" s="5">
        <v>43465</v>
      </c>
      <c r="F3502">
        <v>51956501</v>
      </c>
      <c r="G3502" t="s">
        <v>1060</v>
      </c>
      <c r="H3502" t="s">
        <v>1741</v>
      </c>
      <c r="I3502" t="s">
        <v>1742</v>
      </c>
      <c r="J3502">
        <v>0</v>
      </c>
      <c r="K3502">
        <v>0</v>
      </c>
      <c r="L3502" s="3">
        <v>2800</v>
      </c>
      <c r="M3502" s="3">
        <v>0</v>
      </c>
      <c r="N3502">
        <v>0</v>
      </c>
      <c r="O3502">
        <v>0</v>
      </c>
      <c r="P3502">
        <v>2800</v>
      </c>
      <c r="R3502" t="s">
        <v>1100</v>
      </c>
      <c r="S3502" t="str">
        <v>#N/A</v>
      </c>
      <c r="T3502" t="str">
        <v>#N/A</v>
      </c>
    </row>
    <row r="3503" spans="1:20" ht="13.7" customHeight="1" x14ac:dyDescent="0.25">
      <c r="E3503" s="5">
        <v>43465</v>
      </c>
      <c r="F3503">
        <v>51956501</v>
      </c>
      <c r="G3503" t="s">
        <v>1060</v>
      </c>
      <c r="H3503" t="s">
        <v>1655</v>
      </c>
      <c r="I3503" t="s">
        <v>1656</v>
      </c>
      <c r="J3503">
        <v>0</v>
      </c>
      <c r="K3503">
        <v>0</v>
      </c>
      <c r="L3503" s="3">
        <v>2521</v>
      </c>
      <c r="M3503" s="3">
        <v>0</v>
      </c>
      <c r="N3503">
        <v>0</v>
      </c>
      <c r="O3503">
        <v>0</v>
      </c>
      <c r="P3503">
        <v>2521</v>
      </c>
      <c r="R3503" t="s">
        <v>1100</v>
      </c>
      <c r="S3503" t="str">
        <v>#N/A</v>
      </c>
      <c r="T3503" t="str">
        <v>#N/A</v>
      </c>
    </row>
    <row r="3504" spans="1:20" ht="13.7" customHeight="1" x14ac:dyDescent="0.25">
      <c r="E3504" s="5">
        <v>43465</v>
      </c>
      <c r="F3504">
        <v>51956501</v>
      </c>
      <c r="G3504" t="s">
        <v>1060</v>
      </c>
      <c r="H3504" t="s">
        <v>1657</v>
      </c>
      <c r="I3504" t="s">
        <v>1658</v>
      </c>
      <c r="J3504">
        <v>0</v>
      </c>
      <c r="K3504">
        <v>0</v>
      </c>
      <c r="L3504" s="3">
        <v>3445</v>
      </c>
      <c r="M3504" s="3">
        <v>0</v>
      </c>
      <c r="N3504">
        <v>0</v>
      </c>
      <c r="O3504">
        <v>0</v>
      </c>
      <c r="P3504">
        <v>3445</v>
      </c>
      <c r="R3504" t="s">
        <v>1100</v>
      </c>
      <c r="S3504" t="str">
        <v>#N/A</v>
      </c>
      <c r="T3504" t="str">
        <v>#N/A</v>
      </c>
    </row>
    <row r="3505" spans="1:20" ht="13.7" customHeight="1" x14ac:dyDescent="0.25">
      <c r="E3505" s="5">
        <v>43465</v>
      </c>
      <c r="F3505">
        <v>51956501</v>
      </c>
      <c r="G3505" t="s">
        <v>1060</v>
      </c>
      <c r="H3505" t="s">
        <v>1257</v>
      </c>
      <c r="I3505" t="s">
        <v>1258</v>
      </c>
      <c r="J3505">
        <v>0</v>
      </c>
      <c r="K3505">
        <v>0</v>
      </c>
      <c r="L3505" s="3">
        <v>0</v>
      </c>
      <c r="M3505" s="3">
        <v>0</v>
      </c>
      <c r="N3505">
        <v>0</v>
      </c>
      <c r="O3505">
        <v>0</v>
      </c>
      <c r="P3505">
        <v>0</v>
      </c>
      <c r="R3505" t="s">
        <v>1100</v>
      </c>
      <c r="S3505" t="str">
        <v>#N/A</v>
      </c>
      <c r="T3505" t="str">
        <v>#N/A</v>
      </c>
    </row>
    <row r="3506" spans="1:20" ht="13.7" customHeight="1" x14ac:dyDescent="0.25">
      <c r="A3506" t="s">
        <v>26</v>
      </c>
      <c r="B3506" t="s">
        <v>27</v>
      </c>
      <c r="C3506" t="s">
        <v>37</v>
      </c>
      <c r="D3506">
        <v>22</v>
      </c>
      <c r="E3506" s="5">
        <v>43652</v>
      </c>
      <c r="F3506">
        <v>51956501</v>
      </c>
      <c r="G3506" t="s">
        <v>1060</v>
      </c>
      <c r="H3506" t="s">
        <v>1257</v>
      </c>
      <c r="I3506" t="s">
        <v>1258</v>
      </c>
      <c r="J3506">
        <v>1001</v>
      </c>
      <c r="K3506">
        <v>5016</v>
      </c>
      <c r="L3506" s="3">
        <v>0</v>
      </c>
      <c r="M3506" s="3">
        <v>5042</v>
      </c>
      <c r="N3506">
        <v>0</v>
      </c>
      <c r="O3506">
        <v>0</v>
      </c>
      <c r="P3506">
        <v>5042</v>
      </c>
      <c r="Q3506" t="s">
        <v>30</v>
      </c>
      <c r="R3506" t="s">
        <v>150</v>
      </c>
      <c r="S3506" t="str">
        <v>#N/A</v>
      </c>
      <c r="T3506" t="str">
        <v>#N/A</v>
      </c>
    </row>
    <row r="3507" spans="1:20" ht="13.7" customHeight="1" x14ac:dyDescent="0.25">
      <c r="E3507" s="5">
        <v>43465</v>
      </c>
      <c r="F3507">
        <v>51956501</v>
      </c>
      <c r="G3507" t="s">
        <v>1060</v>
      </c>
      <c r="H3507" t="s">
        <v>1241</v>
      </c>
      <c r="I3507" t="s">
        <v>1242</v>
      </c>
      <c r="J3507">
        <v>0</v>
      </c>
      <c r="K3507">
        <v>0</v>
      </c>
      <c r="L3507" s="3">
        <v>0</v>
      </c>
      <c r="M3507" s="3">
        <v>0</v>
      </c>
      <c r="N3507">
        <v>0</v>
      </c>
      <c r="O3507">
        <v>0</v>
      </c>
      <c r="P3507">
        <v>0</v>
      </c>
      <c r="R3507" t="s">
        <v>1100</v>
      </c>
      <c r="S3507" t="str">
        <v>#N/A</v>
      </c>
      <c r="T3507" t="str">
        <v>#N/A</v>
      </c>
    </row>
    <row r="3508" spans="1:20" ht="13.7" customHeight="1" x14ac:dyDescent="0.25">
      <c r="A3508" t="s">
        <v>26</v>
      </c>
      <c r="B3508" t="s">
        <v>27</v>
      </c>
      <c r="C3508" t="s">
        <v>28</v>
      </c>
      <c r="D3508">
        <v>67</v>
      </c>
      <c r="E3508" s="5">
        <v>43491</v>
      </c>
      <c r="F3508">
        <v>51956501</v>
      </c>
      <c r="G3508" t="s">
        <v>1060</v>
      </c>
      <c r="H3508" t="s">
        <v>1241</v>
      </c>
      <c r="I3508" t="s">
        <v>1242</v>
      </c>
      <c r="J3508">
        <v>1001</v>
      </c>
      <c r="K3508">
        <v>5016</v>
      </c>
      <c r="L3508" s="3">
        <v>0</v>
      </c>
      <c r="M3508" s="3">
        <v>5210</v>
      </c>
      <c r="N3508">
        <v>0</v>
      </c>
      <c r="O3508">
        <v>0</v>
      </c>
      <c r="P3508">
        <v>5210</v>
      </c>
      <c r="Q3508" t="s">
        <v>30</v>
      </c>
      <c r="R3508" t="s">
        <v>68</v>
      </c>
      <c r="S3508" t="str">
        <v>#N/A</v>
      </c>
      <c r="T3508" t="str">
        <v>#N/A</v>
      </c>
    </row>
    <row r="3509" spans="1:20" ht="13.7" customHeight="1" x14ac:dyDescent="0.25">
      <c r="E3509" s="5">
        <v>43465</v>
      </c>
      <c r="F3509">
        <v>51956501</v>
      </c>
      <c r="G3509" t="s">
        <v>1060</v>
      </c>
      <c r="H3509" t="s">
        <v>1509</v>
      </c>
      <c r="I3509" t="s">
        <v>1510</v>
      </c>
      <c r="J3509">
        <v>0</v>
      </c>
      <c r="K3509">
        <v>0</v>
      </c>
      <c r="L3509" s="3">
        <v>11764</v>
      </c>
      <c r="M3509" s="3">
        <v>0</v>
      </c>
      <c r="N3509">
        <v>0</v>
      </c>
      <c r="O3509">
        <v>0</v>
      </c>
      <c r="P3509">
        <v>11764</v>
      </c>
      <c r="R3509" t="s">
        <v>1100</v>
      </c>
      <c r="S3509" t="str">
        <v>#N/A</v>
      </c>
      <c r="T3509" t="str">
        <v>#N/A</v>
      </c>
    </row>
    <row r="3510" spans="1:20" ht="13.7" customHeight="1" x14ac:dyDescent="0.25">
      <c r="E3510" s="5">
        <v>43465</v>
      </c>
      <c r="F3510">
        <v>51956501</v>
      </c>
      <c r="G3510" t="s">
        <v>1060</v>
      </c>
      <c r="H3510" t="s">
        <v>1253</v>
      </c>
      <c r="I3510" t="s">
        <v>1254</v>
      </c>
      <c r="J3510">
        <v>0</v>
      </c>
      <c r="K3510">
        <v>0</v>
      </c>
      <c r="L3510" s="3">
        <v>6822</v>
      </c>
      <c r="M3510" s="3">
        <v>0</v>
      </c>
      <c r="N3510">
        <v>0</v>
      </c>
      <c r="O3510">
        <v>0</v>
      </c>
      <c r="P3510">
        <v>6822</v>
      </c>
      <c r="R3510" t="s">
        <v>1100</v>
      </c>
      <c r="S3510" t="str">
        <v>#N/A</v>
      </c>
      <c r="T3510" t="str">
        <v>#N/A</v>
      </c>
    </row>
    <row r="3511" spans="1:20" ht="13.7" customHeight="1" x14ac:dyDescent="0.25">
      <c r="A3511" t="s">
        <v>26</v>
      </c>
      <c r="B3511" t="s">
        <v>27</v>
      </c>
      <c r="C3511" t="s">
        <v>91</v>
      </c>
      <c r="D3511">
        <v>67</v>
      </c>
      <c r="E3511" s="5">
        <v>43554</v>
      </c>
      <c r="F3511">
        <v>51956501</v>
      </c>
      <c r="G3511" t="s">
        <v>1060</v>
      </c>
      <c r="H3511" t="s">
        <v>1253</v>
      </c>
      <c r="I3511" t="s">
        <v>1254</v>
      </c>
      <c r="J3511">
        <v>1001</v>
      </c>
      <c r="K3511">
        <v>5016</v>
      </c>
      <c r="L3511" s="3">
        <v>6822</v>
      </c>
      <c r="M3511" s="3">
        <v>2185</v>
      </c>
      <c r="N3511">
        <v>0</v>
      </c>
      <c r="O3511">
        <v>0</v>
      </c>
      <c r="P3511">
        <v>9007</v>
      </c>
      <c r="Q3511" t="s">
        <v>30</v>
      </c>
      <c r="R3511" t="s">
        <v>112</v>
      </c>
      <c r="S3511" t="str">
        <v>#N/A</v>
      </c>
      <c r="T3511" t="str">
        <v>#N/A</v>
      </c>
    </row>
    <row r="3512" spans="1:20" ht="13.7" customHeight="1" x14ac:dyDescent="0.25">
      <c r="A3512" t="s">
        <v>26</v>
      </c>
      <c r="B3512" t="s">
        <v>27</v>
      </c>
      <c r="C3512" t="s">
        <v>35</v>
      </c>
      <c r="D3512">
        <v>80</v>
      </c>
      <c r="E3512" s="5">
        <v>43609</v>
      </c>
      <c r="F3512">
        <v>51956501</v>
      </c>
      <c r="G3512" t="s">
        <v>1060</v>
      </c>
      <c r="H3512" t="s">
        <v>1253</v>
      </c>
      <c r="I3512" t="s">
        <v>1254</v>
      </c>
      <c r="J3512">
        <v>1001</v>
      </c>
      <c r="K3512">
        <v>5016</v>
      </c>
      <c r="L3512" s="3">
        <v>9007</v>
      </c>
      <c r="M3512" s="3">
        <v>6050</v>
      </c>
      <c r="N3512">
        <v>0</v>
      </c>
      <c r="O3512">
        <v>0</v>
      </c>
      <c r="P3512">
        <v>15057</v>
      </c>
      <c r="Q3512" t="s">
        <v>30</v>
      </c>
      <c r="R3512" t="s">
        <v>68</v>
      </c>
      <c r="S3512" t="str">
        <v>#N/A</v>
      </c>
      <c r="T3512" t="str">
        <v>#N/A</v>
      </c>
    </row>
    <row r="3513" spans="1:20" ht="13.7" customHeight="1" x14ac:dyDescent="0.25">
      <c r="E3513" s="5">
        <v>43465</v>
      </c>
      <c r="F3513">
        <v>51956501</v>
      </c>
      <c r="G3513" t="s">
        <v>1060</v>
      </c>
      <c r="H3513" t="s">
        <v>1339</v>
      </c>
      <c r="I3513" t="s">
        <v>1340</v>
      </c>
      <c r="J3513">
        <v>0</v>
      </c>
      <c r="K3513">
        <v>0</v>
      </c>
      <c r="L3513" s="3">
        <v>0</v>
      </c>
      <c r="M3513" s="3">
        <v>0</v>
      </c>
      <c r="N3513">
        <v>0</v>
      </c>
      <c r="O3513">
        <v>0</v>
      </c>
      <c r="P3513">
        <v>0</v>
      </c>
      <c r="R3513" t="s">
        <v>1100</v>
      </c>
      <c r="S3513" t="str">
        <v>#N/A</v>
      </c>
      <c r="T3513" t="str">
        <v>#N/A</v>
      </c>
    </row>
    <row r="3514" spans="1:20" ht="13.7" customHeight="1" x14ac:dyDescent="0.25">
      <c r="A3514" t="s">
        <v>26</v>
      </c>
      <c r="B3514" t="s">
        <v>27</v>
      </c>
      <c r="C3514" t="s">
        <v>40</v>
      </c>
      <c r="D3514">
        <v>49</v>
      </c>
      <c r="E3514" s="5">
        <v>43764</v>
      </c>
      <c r="F3514">
        <v>51956501</v>
      </c>
      <c r="G3514" t="s">
        <v>1060</v>
      </c>
      <c r="H3514" t="s">
        <v>1339</v>
      </c>
      <c r="I3514" t="s">
        <v>1340</v>
      </c>
      <c r="J3514">
        <v>1001</v>
      </c>
      <c r="K3514">
        <v>5016</v>
      </c>
      <c r="L3514" s="3">
        <v>0</v>
      </c>
      <c r="M3514" s="3">
        <v>2941</v>
      </c>
      <c r="N3514">
        <v>0</v>
      </c>
      <c r="O3514">
        <v>0</v>
      </c>
      <c r="P3514">
        <v>2941</v>
      </c>
      <c r="Q3514" t="s">
        <v>30</v>
      </c>
      <c r="R3514" t="s">
        <v>68</v>
      </c>
      <c r="S3514" t="str">
        <v>#N/A</v>
      </c>
      <c r="T3514" t="str">
        <v>#N/A</v>
      </c>
    </row>
    <row r="3515" spans="1:20" ht="13.7" customHeight="1" x14ac:dyDescent="0.25">
      <c r="E3515" s="5">
        <v>43465</v>
      </c>
      <c r="F3515">
        <v>51956501</v>
      </c>
      <c r="G3515" t="s">
        <v>1060</v>
      </c>
      <c r="H3515" t="s">
        <v>1251</v>
      </c>
      <c r="I3515" t="s">
        <v>1252</v>
      </c>
      <c r="J3515">
        <v>0</v>
      </c>
      <c r="K3515">
        <v>0</v>
      </c>
      <c r="L3515" s="3">
        <v>2352.94</v>
      </c>
      <c r="M3515" s="3">
        <v>0</v>
      </c>
      <c r="N3515">
        <v>0</v>
      </c>
      <c r="O3515">
        <v>0</v>
      </c>
      <c r="P3515">
        <v>2352.94</v>
      </c>
      <c r="R3515" t="s">
        <v>1100</v>
      </c>
      <c r="S3515" t="str">
        <v>#N/A</v>
      </c>
      <c r="T3515" t="str">
        <v>#N/A</v>
      </c>
    </row>
    <row r="3516" spans="1:20" ht="13.7" customHeight="1" x14ac:dyDescent="0.25">
      <c r="A3516" t="s">
        <v>26</v>
      </c>
      <c r="B3516" t="s">
        <v>27</v>
      </c>
      <c r="C3516" t="s">
        <v>34</v>
      </c>
      <c r="D3516">
        <v>46</v>
      </c>
      <c r="E3516" s="5">
        <v>43575</v>
      </c>
      <c r="F3516">
        <v>51956501</v>
      </c>
      <c r="G3516" t="s">
        <v>1060</v>
      </c>
      <c r="H3516" t="s">
        <v>1251</v>
      </c>
      <c r="I3516" t="s">
        <v>1252</v>
      </c>
      <c r="J3516">
        <v>1001</v>
      </c>
      <c r="K3516">
        <v>5016</v>
      </c>
      <c r="L3516" s="3">
        <v>2352.94</v>
      </c>
      <c r="M3516" s="3">
        <v>2605</v>
      </c>
      <c r="N3516">
        <v>0</v>
      </c>
      <c r="O3516">
        <v>0</v>
      </c>
      <c r="P3516">
        <v>4957.9399999999996</v>
      </c>
      <c r="Q3516" t="s">
        <v>30</v>
      </c>
      <c r="R3516" t="s">
        <v>68</v>
      </c>
      <c r="S3516" t="str">
        <v>#N/A</v>
      </c>
      <c r="T3516" t="str">
        <v>#N/A</v>
      </c>
    </row>
    <row r="3517" spans="1:20" ht="13.7" customHeight="1" x14ac:dyDescent="0.25">
      <c r="A3517" t="s">
        <v>26</v>
      </c>
      <c r="B3517" t="s">
        <v>27</v>
      </c>
      <c r="C3517" t="s">
        <v>35</v>
      </c>
      <c r="D3517">
        <v>66</v>
      </c>
      <c r="E3517" s="5">
        <v>43605</v>
      </c>
      <c r="F3517">
        <v>51956501</v>
      </c>
      <c r="G3517" t="s">
        <v>1060</v>
      </c>
      <c r="H3517" t="s">
        <v>1251</v>
      </c>
      <c r="I3517" t="s">
        <v>1252</v>
      </c>
      <c r="J3517">
        <v>1001</v>
      </c>
      <c r="K3517">
        <v>5016</v>
      </c>
      <c r="L3517" s="3">
        <v>4957.9399999999996</v>
      </c>
      <c r="M3517" s="3">
        <v>2605</v>
      </c>
      <c r="N3517">
        <v>0</v>
      </c>
      <c r="O3517">
        <v>0</v>
      </c>
      <c r="P3517">
        <v>7562.94</v>
      </c>
      <c r="Q3517" t="s">
        <v>30</v>
      </c>
      <c r="R3517" t="s">
        <v>68</v>
      </c>
      <c r="S3517" t="str">
        <v>#N/A</v>
      </c>
      <c r="T3517" t="str">
        <v>#N/A</v>
      </c>
    </row>
    <row r="3518" spans="1:20" ht="13.7" customHeight="1" x14ac:dyDescent="0.25">
      <c r="A3518" t="s">
        <v>26</v>
      </c>
      <c r="B3518" t="s">
        <v>27</v>
      </c>
      <c r="C3518" t="s">
        <v>41</v>
      </c>
      <c r="D3518">
        <v>60</v>
      </c>
      <c r="E3518" s="5">
        <v>43794</v>
      </c>
      <c r="F3518">
        <v>51956501</v>
      </c>
      <c r="G3518" t="s">
        <v>1060</v>
      </c>
      <c r="H3518" t="s">
        <v>1251</v>
      </c>
      <c r="I3518" t="s">
        <v>1252</v>
      </c>
      <c r="J3518">
        <v>1001</v>
      </c>
      <c r="K3518">
        <v>5016</v>
      </c>
      <c r="L3518" s="3">
        <v>7562.94</v>
      </c>
      <c r="M3518" s="3">
        <v>2605.04</v>
      </c>
      <c r="N3518">
        <v>0</v>
      </c>
      <c r="O3518">
        <v>0</v>
      </c>
      <c r="P3518">
        <v>10167.98</v>
      </c>
      <c r="Q3518" t="s">
        <v>30</v>
      </c>
      <c r="R3518" t="s">
        <v>68</v>
      </c>
      <c r="S3518" t="str">
        <v>#N/A</v>
      </c>
      <c r="T3518" t="str">
        <v>#N/A</v>
      </c>
    </row>
    <row r="3519" spans="1:20" ht="13.7" customHeight="1" x14ac:dyDescent="0.25">
      <c r="A3519" t="s">
        <v>26</v>
      </c>
      <c r="B3519" t="s">
        <v>27</v>
      </c>
      <c r="C3519" t="s">
        <v>180</v>
      </c>
      <c r="D3519">
        <v>62</v>
      </c>
      <c r="E3519" s="5">
        <v>43823</v>
      </c>
      <c r="F3519">
        <v>51956501</v>
      </c>
      <c r="G3519" t="s">
        <v>1060</v>
      </c>
      <c r="H3519" t="s">
        <v>1251</v>
      </c>
      <c r="I3519" t="s">
        <v>1252</v>
      </c>
      <c r="J3519">
        <v>1001</v>
      </c>
      <c r="K3519">
        <v>5016</v>
      </c>
      <c r="L3519" s="3">
        <v>10167.98</v>
      </c>
      <c r="M3519" s="3">
        <v>2605</v>
      </c>
      <c r="N3519">
        <v>0</v>
      </c>
      <c r="O3519">
        <v>0</v>
      </c>
      <c r="P3519">
        <v>12772.98</v>
      </c>
      <c r="Q3519" t="s">
        <v>30</v>
      </c>
      <c r="R3519" t="s">
        <v>68</v>
      </c>
      <c r="S3519" t="str">
        <v>#N/A</v>
      </c>
      <c r="T3519" t="str">
        <v>#N/A</v>
      </c>
    </row>
    <row r="3520" spans="1:20" ht="13.7" customHeight="1" x14ac:dyDescent="0.25">
      <c r="E3520" s="5">
        <v>43465</v>
      </c>
      <c r="F3520">
        <v>51956501</v>
      </c>
      <c r="G3520" t="s">
        <v>1060</v>
      </c>
      <c r="H3520" t="s">
        <v>1659</v>
      </c>
      <c r="I3520" t="s">
        <v>1660</v>
      </c>
      <c r="J3520">
        <v>0</v>
      </c>
      <c r="K3520">
        <v>0</v>
      </c>
      <c r="L3520" s="3">
        <v>2689</v>
      </c>
      <c r="M3520" s="3">
        <v>0</v>
      </c>
      <c r="N3520">
        <v>0</v>
      </c>
      <c r="O3520">
        <v>0</v>
      </c>
      <c r="P3520">
        <v>2689</v>
      </c>
      <c r="R3520" t="s">
        <v>1100</v>
      </c>
      <c r="S3520" t="str">
        <v>#N/A</v>
      </c>
      <c r="T3520" t="str">
        <v>#N/A</v>
      </c>
    </row>
    <row r="3521" spans="1:20" ht="13.7" customHeight="1" x14ac:dyDescent="0.25">
      <c r="A3521" t="s">
        <v>26</v>
      </c>
      <c r="B3521" t="s">
        <v>27</v>
      </c>
      <c r="C3521" t="s">
        <v>34</v>
      </c>
      <c r="D3521">
        <v>60</v>
      </c>
      <c r="E3521" s="5">
        <v>43582</v>
      </c>
      <c r="F3521">
        <v>51956501</v>
      </c>
      <c r="G3521" t="s">
        <v>1060</v>
      </c>
      <c r="H3521" t="s">
        <v>1659</v>
      </c>
      <c r="I3521" t="s">
        <v>1660</v>
      </c>
      <c r="J3521">
        <v>1001</v>
      </c>
      <c r="K3521">
        <v>5016</v>
      </c>
      <c r="L3521" s="3">
        <v>2689</v>
      </c>
      <c r="M3521" s="3">
        <v>2941</v>
      </c>
      <c r="N3521">
        <v>0</v>
      </c>
      <c r="O3521">
        <v>0</v>
      </c>
      <c r="P3521">
        <v>5630</v>
      </c>
      <c r="Q3521" t="s">
        <v>30</v>
      </c>
      <c r="R3521" t="s">
        <v>68</v>
      </c>
      <c r="S3521" t="str">
        <v>#N/A</v>
      </c>
      <c r="T3521" t="str">
        <v>#N/A</v>
      </c>
    </row>
    <row r="3522" spans="1:20" ht="13.7" customHeight="1" x14ac:dyDescent="0.25">
      <c r="A3522" t="s">
        <v>26</v>
      </c>
      <c r="B3522" t="s">
        <v>27</v>
      </c>
      <c r="C3522" t="s">
        <v>34</v>
      </c>
      <c r="D3522">
        <v>66</v>
      </c>
      <c r="E3522" s="5">
        <v>43585</v>
      </c>
      <c r="F3522">
        <v>51956501</v>
      </c>
      <c r="G3522" t="s">
        <v>1060</v>
      </c>
      <c r="H3522" t="s">
        <v>1659</v>
      </c>
      <c r="I3522" t="s">
        <v>1660</v>
      </c>
      <c r="J3522">
        <v>1001</v>
      </c>
      <c r="K3522">
        <v>5016</v>
      </c>
      <c r="L3522" s="3">
        <v>5630</v>
      </c>
      <c r="M3522" s="3">
        <v>2941</v>
      </c>
      <c r="N3522">
        <v>0</v>
      </c>
      <c r="O3522">
        <v>0</v>
      </c>
      <c r="P3522">
        <v>8571</v>
      </c>
      <c r="Q3522" t="s">
        <v>30</v>
      </c>
      <c r="R3522" t="s">
        <v>68</v>
      </c>
      <c r="S3522" t="str">
        <v>#N/A</v>
      </c>
      <c r="T3522" t="str">
        <v>#N/A</v>
      </c>
    </row>
    <row r="3523" spans="1:20" ht="13.7" customHeight="1" x14ac:dyDescent="0.25">
      <c r="E3523" s="5">
        <v>43465</v>
      </c>
      <c r="F3523">
        <v>51956501</v>
      </c>
      <c r="G3523" t="s">
        <v>1060</v>
      </c>
      <c r="H3523" t="s">
        <v>1247</v>
      </c>
      <c r="I3523" t="s">
        <v>1248</v>
      </c>
      <c r="J3523">
        <v>0</v>
      </c>
      <c r="K3523">
        <v>0</v>
      </c>
      <c r="L3523" s="3">
        <v>0</v>
      </c>
      <c r="M3523" s="3">
        <v>0</v>
      </c>
      <c r="N3523">
        <v>0</v>
      </c>
      <c r="O3523">
        <v>0</v>
      </c>
      <c r="P3523">
        <v>0</v>
      </c>
      <c r="R3523" t="s">
        <v>1100</v>
      </c>
      <c r="S3523" t="str">
        <v>#N/A</v>
      </c>
      <c r="T3523" t="str">
        <v>#N/A</v>
      </c>
    </row>
    <row r="3524" spans="1:20" ht="13.7" customHeight="1" x14ac:dyDescent="0.25">
      <c r="A3524" t="s">
        <v>26</v>
      </c>
      <c r="B3524" t="s">
        <v>27</v>
      </c>
      <c r="C3524" t="s">
        <v>34</v>
      </c>
      <c r="D3524">
        <v>16</v>
      </c>
      <c r="E3524" s="5">
        <v>43563</v>
      </c>
      <c r="F3524">
        <v>51956501</v>
      </c>
      <c r="G3524" t="s">
        <v>1060</v>
      </c>
      <c r="H3524" t="s">
        <v>1247</v>
      </c>
      <c r="I3524" t="s">
        <v>1248</v>
      </c>
      <c r="J3524">
        <v>1001</v>
      </c>
      <c r="K3524">
        <v>5016</v>
      </c>
      <c r="L3524" s="3">
        <v>0</v>
      </c>
      <c r="M3524" s="3">
        <v>3109</v>
      </c>
      <c r="N3524">
        <v>0</v>
      </c>
      <c r="O3524">
        <v>0</v>
      </c>
      <c r="P3524">
        <v>3109</v>
      </c>
      <c r="Q3524" t="s">
        <v>30</v>
      </c>
      <c r="R3524" t="s">
        <v>68</v>
      </c>
      <c r="S3524" t="str">
        <v>#N/A</v>
      </c>
      <c r="T3524" t="str">
        <v>#N/A</v>
      </c>
    </row>
    <row r="3525" spans="1:20" ht="13.7" customHeight="1" x14ac:dyDescent="0.25">
      <c r="E3525" s="5">
        <v>43465</v>
      </c>
      <c r="F3525">
        <v>51956501</v>
      </c>
      <c r="G3525" t="s">
        <v>1060</v>
      </c>
      <c r="H3525" t="s">
        <v>1601</v>
      </c>
      <c r="I3525" t="s">
        <v>1602</v>
      </c>
      <c r="J3525">
        <v>0</v>
      </c>
      <c r="K3525">
        <v>0</v>
      </c>
      <c r="L3525" s="3">
        <v>2269</v>
      </c>
      <c r="M3525" s="3">
        <v>0</v>
      </c>
      <c r="N3525">
        <v>0</v>
      </c>
      <c r="O3525">
        <v>0</v>
      </c>
      <c r="P3525">
        <v>2269</v>
      </c>
      <c r="R3525" t="s">
        <v>1100</v>
      </c>
      <c r="S3525" t="str">
        <v>#N/A</v>
      </c>
      <c r="T3525" t="str">
        <v>#N/A</v>
      </c>
    </row>
    <row r="3526" spans="1:20" ht="13.7" customHeight="1" x14ac:dyDescent="0.25">
      <c r="E3526" s="5">
        <v>43465</v>
      </c>
      <c r="F3526">
        <v>51956501</v>
      </c>
      <c r="G3526" t="s">
        <v>1060</v>
      </c>
      <c r="H3526" t="s">
        <v>1299</v>
      </c>
      <c r="I3526" t="s">
        <v>1300</v>
      </c>
      <c r="J3526">
        <v>0</v>
      </c>
      <c r="K3526">
        <v>0</v>
      </c>
      <c r="L3526" s="3">
        <v>96901</v>
      </c>
      <c r="M3526" s="3">
        <v>0</v>
      </c>
      <c r="N3526">
        <v>0</v>
      </c>
      <c r="O3526">
        <v>0</v>
      </c>
      <c r="P3526">
        <v>96901</v>
      </c>
      <c r="R3526" t="s">
        <v>1100</v>
      </c>
      <c r="S3526" t="str">
        <v>#N/A</v>
      </c>
      <c r="T3526" t="str">
        <v>31</v>
      </c>
    </row>
    <row r="3527" spans="1:20" ht="13.7" customHeight="1" x14ac:dyDescent="0.25">
      <c r="E3527" s="5">
        <v>43465</v>
      </c>
      <c r="F3527">
        <v>51956501</v>
      </c>
      <c r="G3527" t="s">
        <v>1060</v>
      </c>
      <c r="H3527" t="s">
        <v>1661</v>
      </c>
      <c r="I3527" t="s">
        <v>1662</v>
      </c>
      <c r="J3527">
        <v>0</v>
      </c>
      <c r="K3527">
        <v>0</v>
      </c>
      <c r="L3527" s="3">
        <v>2353</v>
      </c>
      <c r="M3527" s="3">
        <v>0</v>
      </c>
      <c r="N3527">
        <v>0</v>
      </c>
      <c r="O3527">
        <v>0</v>
      </c>
      <c r="P3527">
        <v>2353</v>
      </c>
      <c r="R3527" t="s">
        <v>1100</v>
      </c>
      <c r="S3527" t="str">
        <v>#N/A</v>
      </c>
      <c r="T3527" t="str">
        <v>#N/A</v>
      </c>
    </row>
    <row r="3528" spans="1:20" ht="13.7" customHeight="1" x14ac:dyDescent="0.25">
      <c r="A3528" t="s">
        <v>26</v>
      </c>
      <c r="B3528" t="s">
        <v>27</v>
      </c>
      <c r="C3528" t="s">
        <v>91</v>
      </c>
      <c r="D3528">
        <v>49</v>
      </c>
      <c r="E3528" s="5">
        <v>43546</v>
      </c>
      <c r="F3528">
        <v>51956501</v>
      </c>
      <c r="G3528" t="s">
        <v>1060</v>
      </c>
      <c r="H3528" t="s">
        <v>1661</v>
      </c>
      <c r="I3528" t="s">
        <v>1662</v>
      </c>
      <c r="J3528">
        <v>1001</v>
      </c>
      <c r="K3528">
        <v>5016</v>
      </c>
      <c r="L3528" s="3">
        <v>2353</v>
      </c>
      <c r="M3528" s="3">
        <v>1345</v>
      </c>
      <c r="N3528">
        <v>0</v>
      </c>
      <c r="O3528">
        <v>0</v>
      </c>
      <c r="P3528">
        <v>3698</v>
      </c>
      <c r="Q3528" t="s">
        <v>30</v>
      </c>
      <c r="R3528" t="s">
        <v>105</v>
      </c>
      <c r="S3528" t="str">
        <v>#N/A</v>
      </c>
      <c r="T3528" t="str">
        <v>#N/A</v>
      </c>
    </row>
    <row r="3529" spans="1:20" ht="13.7" customHeight="1" x14ac:dyDescent="0.25">
      <c r="E3529" s="5">
        <v>43465</v>
      </c>
      <c r="F3529">
        <v>51956501</v>
      </c>
      <c r="G3529" t="s">
        <v>1060</v>
      </c>
      <c r="H3529" t="s">
        <v>1743</v>
      </c>
      <c r="I3529" t="s">
        <v>1744</v>
      </c>
      <c r="J3529">
        <v>0</v>
      </c>
      <c r="K3529">
        <v>0</v>
      </c>
      <c r="L3529" s="3">
        <v>1700</v>
      </c>
      <c r="M3529" s="3">
        <v>0</v>
      </c>
      <c r="N3529">
        <v>0</v>
      </c>
      <c r="O3529">
        <v>0</v>
      </c>
      <c r="P3529">
        <v>1700</v>
      </c>
      <c r="R3529" t="s">
        <v>1100</v>
      </c>
      <c r="S3529" t="str">
        <v>#N/A</v>
      </c>
      <c r="T3529" t="str">
        <v>#N/A</v>
      </c>
    </row>
    <row r="3530" spans="1:20" ht="13.7" customHeight="1" x14ac:dyDescent="0.25">
      <c r="E3530" s="5">
        <v>43465</v>
      </c>
      <c r="F3530">
        <v>51959501</v>
      </c>
      <c r="G3530" t="s">
        <v>1094</v>
      </c>
      <c r="H3530" t="s">
        <v>1341</v>
      </c>
      <c r="I3530" t="s">
        <v>1342</v>
      </c>
      <c r="J3530">
        <v>0</v>
      </c>
      <c r="K3530">
        <v>0</v>
      </c>
      <c r="L3530" s="3">
        <v>17647</v>
      </c>
      <c r="M3530" s="3">
        <v>0</v>
      </c>
      <c r="N3530">
        <v>0</v>
      </c>
      <c r="O3530">
        <v>0</v>
      </c>
      <c r="P3530">
        <v>17647</v>
      </c>
      <c r="R3530" t="s">
        <v>1100</v>
      </c>
      <c r="S3530" t="str">
        <v>#N/A</v>
      </c>
      <c r="T3530" t="str">
        <v>#N/A</v>
      </c>
    </row>
    <row r="3531" spans="1:20" ht="13.7" customHeight="1" x14ac:dyDescent="0.25">
      <c r="E3531" s="5">
        <v>43465</v>
      </c>
      <c r="F3531">
        <v>51959501</v>
      </c>
      <c r="G3531" t="s">
        <v>1094</v>
      </c>
      <c r="H3531" t="s">
        <v>1547</v>
      </c>
      <c r="I3531" t="s">
        <v>1548</v>
      </c>
      <c r="J3531">
        <v>0</v>
      </c>
      <c r="K3531">
        <v>0</v>
      </c>
      <c r="L3531" s="3">
        <v>98824</v>
      </c>
      <c r="M3531" s="3">
        <v>0</v>
      </c>
      <c r="N3531">
        <v>0</v>
      </c>
      <c r="O3531">
        <v>0</v>
      </c>
      <c r="P3531">
        <v>98824</v>
      </c>
      <c r="R3531" t="s">
        <v>1100</v>
      </c>
      <c r="S3531" t="str">
        <v>#N/A</v>
      </c>
      <c r="T3531" t="str">
        <v>#N/A</v>
      </c>
    </row>
    <row r="3532" spans="1:20" ht="13.7" customHeight="1" x14ac:dyDescent="0.25">
      <c r="E3532" s="5">
        <v>43465</v>
      </c>
      <c r="F3532">
        <v>51959501</v>
      </c>
      <c r="G3532" t="s">
        <v>1094</v>
      </c>
      <c r="H3532" t="s">
        <v>1463</v>
      </c>
      <c r="I3532" t="s">
        <v>1464</v>
      </c>
      <c r="J3532">
        <v>0</v>
      </c>
      <c r="K3532">
        <v>0</v>
      </c>
      <c r="L3532" s="3">
        <v>8030</v>
      </c>
      <c r="M3532" s="3">
        <v>0</v>
      </c>
      <c r="N3532">
        <v>0</v>
      </c>
      <c r="O3532">
        <v>0</v>
      </c>
      <c r="P3532">
        <v>8030</v>
      </c>
      <c r="R3532" t="s">
        <v>1100</v>
      </c>
      <c r="S3532" t="str">
        <v>#N/A</v>
      </c>
      <c r="T3532" t="str">
        <v>13</v>
      </c>
    </row>
    <row r="3533" spans="1:20" ht="13.7" customHeight="1" x14ac:dyDescent="0.25">
      <c r="E3533" s="5">
        <v>43465</v>
      </c>
      <c r="F3533">
        <v>51959501</v>
      </c>
      <c r="G3533" t="s">
        <v>1094</v>
      </c>
      <c r="H3533" t="s">
        <v>1569</v>
      </c>
      <c r="I3533" t="s">
        <v>1570</v>
      </c>
      <c r="J3533">
        <v>0</v>
      </c>
      <c r="K3533">
        <v>0</v>
      </c>
      <c r="L3533" s="3">
        <v>71429</v>
      </c>
      <c r="M3533" s="3">
        <v>0</v>
      </c>
      <c r="N3533">
        <v>0</v>
      </c>
      <c r="O3533">
        <v>0</v>
      </c>
      <c r="P3533">
        <v>71429</v>
      </c>
      <c r="R3533" t="s">
        <v>1100</v>
      </c>
      <c r="S3533" t="str">
        <v>#N/A</v>
      </c>
      <c r="T3533" t="str">
        <v>#N/A</v>
      </c>
    </row>
    <row r="3534" spans="1:20" ht="13.7" customHeight="1" x14ac:dyDescent="0.25">
      <c r="E3534" s="5">
        <v>43465</v>
      </c>
      <c r="F3534">
        <v>51959501</v>
      </c>
      <c r="G3534" t="s">
        <v>1094</v>
      </c>
      <c r="H3534" t="s">
        <v>1745</v>
      </c>
      <c r="I3534" t="s">
        <v>1746</v>
      </c>
      <c r="J3534">
        <v>0</v>
      </c>
      <c r="K3534">
        <v>0</v>
      </c>
      <c r="L3534" s="3">
        <v>1800</v>
      </c>
      <c r="M3534" s="3">
        <v>0</v>
      </c>
      <c r="N3534">
        <v>0</v>
      </c>
      <c r="O3534">
        <v>0</v>
      </c>
      <c r="P3534">
        <v>1800</v>
      </c>
      <c r="R3534" t="s">
        <v>1100</v>
      </c>
      <c r="S3534" t="str">
        <v>#N/A</v>
      </c>
      <c r="T3534" t="str">
        <v>#N/A</v>
      </c>
    </row>
    <row r="3535" spans="1:20" ht="13.7" customHeight="1" x14ac:dyDescent="0.25">
      <c r="E3535" s="5">
        <v>43465</v>
      </c>
      <c r="F3535">
        <v>51959501</v>
      </c>
      <c r="G3535" t="s">
        <v>1094</v>
      </c>
      <c r="H3535" t="s">
        <v>1159</v>
      </c>
      <c r="I3535" t="s">
        <v>1160</v>
      </c>
      <c r="J3535">
        <v>0</v>
      </c>
      <c r="K3535">
        <v>0</v>
      </c>
      <c r="L3535" s="3">
        <v>331658</v>
      </c>
      <c r="M3535" s="3">
        <v>0</v>
      </c>
      <c r="N3535">
        <v>0</v>
      </c>
      <c r="O3535">
        <v>0</v>
      </c>
      <c r="P3535">
        <v>331658</v>
      </c>
      <c r="R3535" t="s">
        <v>1100</v>
      </c>
      <c r="S3535" t="str">
        <v>#N/A</v>
      </c>
      <c r="T3535" t="str">
        <v>#N/A</v>
      </c>
    </row>
    <row r="3536" spans="1:20" ht="13.7" customHeight="1" x14ac:dyDescent="0.25">
      <c r="E3536" s="5">
        <v>43465</v>
      </c>
      <c r="F3536">
        <v>51959501</v>
      </c>
      <c r="G3536" t="s">
        <v>1094</v>
      </c>
      <c r="H3536" t="s">
        <v>1165</v>
      </c>
      <c r="I3536" t="s">
        <v>1166</v>
      </c>
      <c r="J3536">
        <v>0</v>
      </c>
      <c r="K3536">
        <v>0</v>
      </c>
      <c r="L3536" s="3">
        <v>65500</v>
      </c>
      <c r="M3536" s="3">
        <v>0</v>
      </c>
      <c r="N3536">
        <v>0</v>
      </c>
      <c r="O3536">
        <v>0</v>
      </c>
      <c r="P3536">
        <v>65500</v>
      </c>
      <c r="R3536" t="s">
        <v>1100</v>
      </c>
      <c r="S3536" t="str">
        <v>#N/A</v>
      </c>
      <c r="T3536" t="str">
        <v>31</v>
      </c>
    </row>
    <row r="3537" spans="1:20" ht="13.7" customHeight="1" x14ac:dyDescent="0.25">
      <c r="E3537" s="5">
        <v>43465</v>
      </c>
      <c r="F3537">
        <v>51959501</v>
      </c>
      <c r="G3537" t="s">
        <v>1094</v>
      </c>
      <c r="H3537" t="s">
        <v>1625</v>
      </c>
      <c r="I3537" t="s">
        <v>1626</v>
      </c>
      <c r="J3537">
        <v>0</v>
      </c>
      <c r="K3537">
        <v>0</v>
      </c>
      <c r="L3537" s="3">
        <v>30000</v>
      </c>
      <c r="M3537" s="3">
        <v>0</v>
      </c>
      <c r="N3537">
        <v>0</v>
      </c>
      <c r="O3537">
        <v>0</v>
      </c>
      <c r="P3537">
        <v>30000</v>
      </c>
      <c r="R3537" t="s">
        <v>1100</v>
      </c>
      <c r="S3537" t="str">
        <v>#N/A</v>
      </c>
      <c r="T3537" t="str">
        <v>#N/A</v>
      </c>
    </row>
    <row r="3538" spans="1:20" ht="13.7" customHeight="1" x14ac:dyDescent="0.25">
      <c r="E3538" s="5">
        <v>43465</v>
      </c>
      <c r="F3538">
        <v>51959501</v>
      </c>
      <c r="G3538" t="s">
        <v>1094</v>
      </c>
      <c r="H3538" t="s">
        <v>1627</v>
      </c>
      <c r="I3538" t="s">
        <v>1628</v>
      </c>
      <c r="J3538">
        <v>0</v>
      </c>
      <c r="K3538">
        <v>0</v>
      </c>
      <c r="L3538" s="3">
        <v>224857</v>
      </c>
      <c r="M3538" s="3">
        <v>0</v>
      </c>
      <c r="N3538">
        <v>0</v>
      </c>
      <c r="O3538">
        <v>0</v>
      </c>
      <c r="P3538">
        <v>224857</v>
      </c>
      <c r="R3538" t="s">
        <v>1100</v>
      </c>
      <c r="S3538" t="str">
        <v>#N/A</v>
      </c>
      <c r="T3538" t="str">
        <v>#N/A</v>
      </c>
    </row>
    <row r="3539" spans="1:20" ht="13.7" customHeight="1" x14ac:dyDescent="0.25">
      <c r="E3539" s="5">
        <v>43465</v>
      </c>
      <c r="F3539">
        <v>52056601</v>
      </c>
      <c r="G3539" t="s">
        <v>1343</v>
      </c>
      <c r="H3539" t="s">
        <v>1344</v>
      </c>
      <c r="I3539" t="s">
        <v>1345</v>
      </c>
      <c r="J3539">
        <v>0</v>
      </c>
      <c r="K3539">
        <v>0</v>
      </c>
      <c r="L3539" s="3">
        <v>200000</v>
      </c>
      <c r="M3539" s="3">
        <v>0</v>
      </c>
      <c r="N3539">
        <v>0</v>
      </c>
      <c r="O3539">
        <v>0</v>
      </c>
      <c r="P3539">
        <v>200000</v>
      </c>
      <c r="R3539" t="s">
        <v>1100</v>
      </c>
      <c r="S3539" t="str">
        <v>#N/A</v>
      </c>
      <c r="T3539" t="str">
        <v>#N/A</v>
      </c>
    </row>
    <row r="3540" spans="1:20" ht="13.7" customHeight="1" x14ac:dyDescent="0.25">
      <c r="E3540" s="5">
        <v>43465</v>
      </c>
      <c r="F3540">
        <v>52056601</v>
      </c>
      <c r="G3540" t="s">
        <v>1343</v>
      </c>
      <c r="H3540" t="s">
        <v>1633</v>
      </c>
      <c r="I3540" t="s">
        <v>1634</v>
      </c>
      <c r="J3540">
        <v>0</v>
      </c>
      <c r="K3540">
        <v>0</v>
      </c>
      <c r="L3540" s="3">
        <v>2000000</v>
      </c>
      <c r="M3540" s="3">
        <v>0</v>
      </c>
      <c r="N3540">
        <v>0</v>
      </c>
      <c r="O3540">
        <v>0</v>
      </c>
      <c r="P3540">
        <v>2000000</v>
      </c>
      <c r="R3540" t="s">
        <v>1100</v>
      </c>
      <c r="S3540" t="str">
        <v>#N/A</v>
      </c>
      <c r="T3540" t="str">
        <v>#N/A</v>
      </c>
    </row>
    <row r="3541" spans="1:20" ht="13.7" customHeight="1" x14ac:dyDescent="0.25">
      <c r="E3541" s="5">
        <v>43465</v>
      </c>
      <c r="F3541">
        <v>52307501</v>
      </c>
      <c r="G3541" t="s">
        <v>1050</v>
      </c>
      <c r="H3541" t="s">
        <v>1346</v>
      </c>
      <c r="I3541" t="s">
        <v>1347</v>
      </c>
      <c r="J3541">
        <v>0</v>
      </c>
      <c r="K3541">
        <v>0</v>
      </c>
      <c r="L3541" s="3">
        <v>634950</v>
      </c>
      <c r="M3541" s="3">
        <v>0</v>
      </c>
      <c r="N3541">
        <v>0</v>
      </c>
      <c r="O3541">
        <v>0</v>
      </c>
      <c r="P3541">
        <v>634950</v>
      </c>
      <c r="R3541" t="s">
        <v>1100</v>
      </c>
      <c r="S3541" t="str">
        <v>#N/A</v>
      </c>
      <c r="T3541" t="str">
        <v>#N/A</v>
      </c>
    </row>
    <row r="3542" spans="1:20" ht="13.7" customHeight="1" x14ac:dyDescent="0.25">
      <c r="E3542" s="5">
        <v>43465</v>
      </c>
      <c r="F3542">
        <v>52952001</v>
      </c>
      <c r="G3542" t="s">
        <v>1292</v>
      </c>
      <c r="H3542" t="s">
        <v>1348</v>
      </c>
      <c r="I3542" t="s">
        <v>1349</v>
      </c>
      <c r="J3542">
        <v>0</v>
      </c>
      <c r="K3542">
        <v>0</v>
      </c>
      <c r="L3542" s="3">
        <v>138738</v>
      </c>
      <c r="M3542" s="3">
        <v>0</v>
      </c>
      <c r="N3542">
        <v>0</v>
      </c>
      <c r="O3542">
        <v>0</v>
      </c>
      <c r="P3542">
        <v>138738</v>
      </c>
      <c r="R3542" t="s">
        <v>1100</v>
      </c>
      <c r="S3542" t="str">
        <v>#N/A</v>
      </c>
      <c r="T3542" t="str">
        <v>#N/A</v>
      </c>
    </row>
    <row r="3543" spans="1:20" ht="13.7" customHeight="1" x14ac:dyDescent="0.25">
      <c r="E3543" s="5">
        <v>43465</v>
      </c>
      <c r="F3543">
        <v>52952001</v>
      </c>
      <c r="G3543" t="s">
        <v>1292</v>
      </c>
      <c r="H3543" t="s">
        <v>1515</v>
      </c>
      <c r="I3543" t="s">
        <v>1516</v>
      </c>
      <c r="J3543">
        <v>0</v>
      </c>
      <c r="K3543">
        <v>0</v>
      </c>
      <c r="L3543" s="3">
        <v>47750</v>
      </c>
      <c r="M3543" s="3">
        <v>0</v>
      </c>
      <c r="N3543">
        <v>0</v>
      </c>
      <c r="O3543">
        <v>0</v>
      </c>
      <c r="P3543">
        <v>47750</v>
      </c>
      <c r="R3543" t="s">
        <v>1100</v>
      </c>
      <c r="S3543" t="str">
        <v>#N/A</v>
      </c>
      <c r="T3543" t="str">
        <v>#N/A</v>
      </c>
    </row>
    <row r="3544" spans="1:20" ht="13.7" customHeight="1" x14ac:dyDescent="0.25">
      <c r="E3544" s="5">
        <v>43465</v>
      </c>
      <c r="F3544">
        <v>52956501</v>
      </c>
      <c r="G3544" t="s">
        <v>1060</v>
      </c>
      <c r="H3544" t="s">
        <v>1251</v>
      </c>
      <c r="I3544" t="s">
        <v>1252</v>
      </c>
      <c r="J3544">
        <v>0</v>
      </c>
      <c r="K3544">
        <v>0</v>
      </c>
      <c r="L3544" s="3">
        <v>1500</v>
      </c>
      <c r="M3544" s="3">
        <v>0</v>
      </c>
      <c r="N3544">
        <v>0</v>
      </c>
      <c r="O3544">
        <v>0</v>
      </c>
      <c r="P3544">
        <v>1500</v>
      </c>
      <c r="R3544" t="s">
        <v>1100</v>
      </c>
      <c r="S3544" t="str">
        <v>#N/A</v>
      </c>
      <c r="T3544" t="str">
        <v>#N/A</v>
      </c>
    </row>
    <row r="3545" spans="1:20" ht="13.7" customHeight="1" x14ac:dyDescent="0.25">
      <c r="E3545" s="5">
        <v>43465</v>
      </c>
      <c r="F3545">
        <v>53050501</v>
      </c>
      <c r="G3545" t="s">
        <v>1350</v>
      </c>
      <c r="H3545" t="s">
        <v>1273</v>
      </c>
      <c r="I3545" t="s">
        <v>1274</v>
      </c>
      <c r="J3545">
        <v>0</v>
      </c>
      <c r="K3545">
        <v>0</v>
      </c>
      <c r="L3545" s="3">
        <v>225500</v>
      </c>
      <c r="M3545" s="3">
        <v>0</v>
      </c>
      <c r="N3545">
        <v>0</v>
      </c>
      <c r="O3545">
        <v>0</v>
      </c>
      <c r="P3545">
        <v>225500</v>
      </c>
      <c r="R3545" t="s">
        <v>1100</v>
      </c>
      <c r="S3545" t="str">
        <v>#N/A</v>
      </c>
      <c r="T3545" t="str">
        <v>31</v>
      </c>
    </row>
    <row r="3546" spans="1:20" ht="13.7" customHeight="1" x14ac:dyDescent="0.25">
      <c r="E3546" s="5">
        <v>43465</v>
      </c>
      <c r="F3546">
        <v>53050501</v>
      </c>
      <c r="G3546" t="s">
        <v>1350</v>
      </c>
      <c r="H3546" t="s">
        <v>1105</v>
      </c>
      <c r="I3546" t="s">
        <v>1106</v>
      </c>
      <c r="J3546">
        <v>0</v>
      </c>
      <c r="K3546">
        <v>0</v>
      </c>
      <c r="L3546" s="3">
        <v>1047</v>
      </c>
      <c r="M3546" s="3">
        <v>0</v>
      </c>
      <c r="N3546">
        <v>0</v>
      </c>
      <c r="O3546">
        <v>0</v>
      </c>
      <c r="P3546">
        <v>1047</v>
      </c>
      <c r="R3546" t="s">
        <v>1100</v>
      </c>
      <c r="S3546" t="str">
        <v>#N/A</v>
      </c>
      <c r="T3546" t="str">
        <v>#N/A</v>
      </c>
    </row>
    <row r="3547" spans="1:20" ht="13.7" customHeight="1" x14ac:dyDescent="0.25">
      <c r="E3547" s="5">
        <v>43465</v>
      </c>
      <c r="F3547">
        <v>53051501</v>
      </c>
      <c r="G3547" t="s">
        <v>1061</v>
      </c>
      <c r="H3547" t="s">
        <v>1161</v>
      </c>
      <c r="I3547" t="s">
        <v>1162</v>
      </c>
      <c r="J3547">
        <v>0</v>
      </c>
      <c r="K3547">
        <v>0</v>
      </c>
      <c r="L3547" s="3">
        <v>1148043</v>
      </c>
      <c r="M3547" s="3">
        <v>0</v>
      </c>
      <c r="N3547">
        <v>0</v>
      </c>
      <c r="O3547">
        <v>0</v>
      </c>
      <c r="P3547">
        <v>1148043</v>
      </c>
      <c r="R3547" t="s">
        <v>1100</v>
      </c>
      <c r="S3547" t="str">
        <v>#N/A</v>
      </c>
      <c r="T3547" t="str">
        <v>#N/A</v>
      </c>
    </row>
    <row r="3548" spans="1:20" ht="13.7" customHeight="1" x14ac:dyDescent="0.25">
      <c r="A3548" t="s">
        <v>26</v>
      </c>
      <c r="B3548" t="s">
        <v>27</v>
      </c>
      <c r="C3548" t="s">
        <v>28</v>
      </c>
      <c r="D3548">
        <v>35</v>
      </c>
      <c r="E3548" s="5">
        <v>43480</v>
      </c>
      <c r="F3548">
        <v>53051501</v>
      </c>
      <c r="G3548" t="s">
        <v>1061</v>
      </c>
      <c r="H3548" t="s">
        <v>1161</v>
      </c>
      <c r="I3548" t="s">
        <v>1162</v>
      </c>
      <c r="J3548">
        <v>1001</v>
      </c>
      <c r="K3548">
        <v>5006</v>
      </c>
      <c r="L3548" s="3">
        <v>1148043</v>
      </c>
      <c r="M3548" s="3">
        <v>186274</v>
      </c>
      <c r="N3548">
        <v>0</v>
      </c>
      <c r="O3548">
        <v>0</v>
      </c>
      <c r="P3548">
        <v>1334317</v>
      </c>
      <c r="Q3548" t="s">
        <v>30</v>
      </c>
      <c r="R3548" t="s">
        <v>196</v>
      </c>
      <c r="S3548" t="str">
        <v>#N/A</v>
      </c>
      <c r="T3548" t="str">
        <v>#N/A</v>
      </c>
    </row>
    <row r="3549" spans="1:20" ht="13.7" customHeight="1" x14ac:dyDescent="0.25">
      <c r="A3549" t="s">
        <v>26</v>
      </c>
      <c r="B3549" t="s">
        <v>27</v>
      </c>
      <c r="C3549" t="s">
        <v>91</v>
      </c>
      <c r="D3549">
        <v>70</v>
      </c>
      <c r="E3549" s="5">
        <v>43544</v>
      </c>
      <c r="F3549">
        <v>53051501</v>
      </c>
      <c r="G3549" t="s">
        <v>1061</v>
      </c>
      <c r="H3549" t="s">
        <v>1161</v>
      </c>
      <c r="I3549" t="s">
        <v>1162</v>
      </c>
      <c r="J3549">
        <v>1001</v>
      </c>
      <c r="K3549">
        <v>5006</v>
      </c>
      <c r="L3549" s="3">
        <v>1334317</v>
      </c>
      <c r="M3549" s="3">
        <v>420088</v>
      </c>
      <c r="N3549">
        <v>0</v>
      </c>
      <c r="O3549">
        <v>0</v>
      </c>
      <c r="P3549">
        <v>1754405</v>
      </c>
      <c r="Q3549" t="s">
        <v>30</v>
      </c>
      <c r="R3549" t="s">
        <v>241</v>
      </c>
      <c r="S3549" t="str">
        <v>#N/A</v>
      </c>
      <c r="T3549" t="str">
        <v>#N/A</v>
      </c>
    </row>
    <row r="3550" spans="1:20" ht="13.7" customHeight="1" x14ac:dyDescent="0.25">
      <c r="A3550" t="s">
        <v>26</v>
      </c>
      <c r="B3550" t="s">
        <v>27</v>
      </c>
      <c r="C3550" t="s">
        <v>91</v>
      </c>
      <c r="D3550">
        <v>76</v>
      </c>
      <c r="E3550" s="5">
        <v>43552</v>
      </c>
      <c r="F3550">
        <v>53051501</v>
      </c>
      <c r="G3550" t="s">
        <v>1061</v>
      </c>
      <c r="H3550" t="s">
        <v>1161</v>
      </c>
      <c r="I3550" t="s">
        <v>1162</v>
      </c>
      <c r="J3550">
        <v>1001</v>
      </c>
      <c r="K3550">
        <v>5006</v>
      </c>
      <c r="L3550" s="3">
        <v>1754405</v>
      </c>
      <c r="M3550" s="3">
        <v>414738</v>
      </c>
      <c r="N3550">
        <v>0</v>
      </c>
      <c r="O3550">
        <v>0</v>
      </c>
      <c r="P3550">
        <v>2169143</v>
      </c>
      <c r="Q3550" t="s">
        <v>30</v>
      </c>
      <c r="R3550" t="s">
        <v>246</v>
      </c>
      <c r="S3550" t="str">
        <v>#N/A</v>
      </c>
      <c r="T3550" t="str">
        <v>#N/A</v>
      </c>
    </row>
    <row r="3551" spans="1:20" ht="13.7" customHeight="1" x14ac:dyDescent="0.25">
      <c r="A3551" t="s">
        <v>26</v>
      </c>
      <c r="B3551" t="s">
        <v>27</v>
      </c>
      <c r="C3551" t="s">
        <v>35</v>
      </c>
      <c r="D3551">
        <v>35</v>
      </c>
      <c r="E3551" s="5">
        <v>43596</v>
      </c>
      <c r="F3551">
        <v>53051501</v>
      </c>
      <c r="G3551" t="s">
        <v>1061</v>
      </c>
      <c r="H3551" t="s">
        <v>1161</v>
      </c>
      <c r="I3551" t="s">
        <v>1162</v>
      </c>
      <c r="J3551">
        <v>1001</v>
      </c>
      <c r="K3551">
        <v>5006</v>
      </c>
      <c r="L3551" s="3">
        <v>2169143</v>
      </c>
      <c r="M3551" s="3">
        <v>471502</v>
      </c>
      <c r="N3551">
        <v>0</v>
      </c>
      <c r="O3551">
        <v>0</v>
      </c>
      <c r="P3551">
        <v>2640645</v>
      </c>
      <c r="Q3551" t="s">
        <v>30</v>
      </c>
      <c r="R3551" t="s">
        <v>241</v>
      </c>
      <c r="S3551" t="str">
        <v>#N/A</v>
      </c>
      <c r="T3551" t="str">
        <v>#N/A</v>
      </c>
    </row>
    <row r="3552" spans="1:20" ht="13.7" customHeight="1" x14ac:dyDescent="0.25">
      <c r="A3552" t="s">
        <v>26</v>
      </c>
      <c r="B3552" t="s">
        <v>27</v>
      </c>
      <c r="C3552" t="s">
        <v>36</v>
      </c>
      <c r="D3552">
        <v>25</v>
      </c>
      <c r="E3552" s="5">
        <v>43629</v>
      </c>
      <c r="F3552">
        <v>53051501</v>
      </c>
      <c r="G3552" t="s">
        <v>1061</v>
      </c>
      <c r="H3552" t="s">
        <v>1161</v>
      </c>
      <c r="I3552" t="s">
        <v>1162</v>
      </c>
      <c r="J3552">
        <v>1001</v>
      </c>
      <c r="K3552">
        <v>5006</v>
      </c>
      <c r="L3552" s="3">
        <v>2640645</v>
      </c>
      <c r="M3552" s="3">
        <v>349691</v>
      </c>
      <c r="N3552">
        <v>0</v>
      </c>
      <c r="O3552">
        <v>0</v>
      </c>
      <c r="P3552">
        <v>2990336</v>
      </c>
      <c r="Q3552" t="s">
        <v>30</v>
      </c>
      <c r="R3552" t="s">
        <v>241</v>
      </c>
      <c r="S3552" t="str">
        <v>#N/A</v>
      </c>
      <c r="T3552" t="str">
        <v>#N/A</v>
      </c>
    </row>
    <row r="3553" spans="1:20" ht="13.7" customHeight="1" x14ac:dyDescent="0.25">
      <c r="A3553" t="s">
        <v>26</v>
      </c>
      <c r="B3553" t="s">
        <v>27</v>
      </c>
      <c r="C3553" t="s">
        <v>37</v>
      </c>
      <c r="D3553">
        <v>61</v>
      </c>
      <c r="E3553" s="5">
        <v>43675</v>
      </c>
      <c r="F3553">
        <v>53051501</v>
      </c>
      <c r="G3553" t="s">
        <v>1061</v>
      </c>
      <c r="H3553" t="s">
        <v>1161</v>
      </c>
      <c r="I3553" t="s">
        <v>1162</v>
      </c>
      <c r="J3553">
        <v>1001</v>
      </c>
      <c r="K3553">
        <v>5006</v>
      </c>
      <c r="L3553" s="3">
        <v>2990336</v>
      </c>
      <c r="M3553" s="3">
        <v>243515</v>
      </c>
      <c r="N3553">
        <v>0</v>
      </c>
      <c r="O3553">
        <v>0</v>
      </c>
      <c r="P3553">
        <v>3233851</v>
      </c>
      <c r="Q3553" t="s">
        <v>30</v>
      </c>
      <c r="R3553" t="s">
        <v>241</v>
      </c>
      <c r="S3553" t="str">
        <v>#N/A</v>
      </c>
      <c r="T3553" t="str">
        <v>#N/A</v>
      </c>
    </row>
    <row r="3554" spans="1:20" ht="13.7" customHeight="1" x14ac:dyDescent="0.25">
      <c r="A3554" t="s">
        <v>26</v>
      </c>
      <c r="B3554" t="s">
        <v>27</v>
      </c>
      <c r="C3554" t="s">
        <v>38</v>
      </c>
      <c r="D3554">
        <v>34</v>
      </c>
      <c r="E3554" s="5">
        <v>43699</v>
      </c>
      <c r="F3554">
        <v>53051501</v>
      </c>
      <c r="G3554" t="s">
        <v>1061</v>
      </c>
      <c r="H3554" t="s">
        <v>1161</v>
      </c>
      <c r="I3554" t="s">
        <v>1162</v>
      </c>
      <c r="J3554">
        <v>1001</v>
      </c>
      <c r="K3554">
        <v>5006</v>
      </c>
      <c r="L3554" s="3">
        <v>3233851</v>
      </c>
      <c r="M3554" s="3">
        <v>200105</v>
      </c>
      <c r="N3554">
        <v>0</v>
      </c>
      <c r="O3554">
        <v>0</v>
      </c>
      <c r="P3554">
        <v>3433956</v>
      </c>
      <c r="Q3554" t="s">
        <v>30</v>
      </c>
      <c r="R3554" t="s">
        <v>241</v>
      </c>
      <c r="S3554" t="str">
        <v>#N/A</v>
      </c>
      <c r="T3554" t="str">
        <v>#N/A</v>
      </c>
    </row>
    <row r="3555" spans="1:20" ht="13.7" customHeight="1" x14ac:dyDescent="0.25">
      <c r="A3555" t="s">
        <v>26</v>
      </c>
      <c r="B3555" t="s">
        <v>27</v>
      </c>
      <c r="C3555" t="s">
        <v>38</v>
      </c>
      <c r="D3555">
        <v>34</v>
      </c>
      <c r="E3555" s="5">
        <v>43699</v>
      </c>
      <c r="F3555">
        <v>53051501</v>
      </c>
      <c r="G3555" t="s">
        <v>1061</v>
      </c>
      <c r="H3555" t="s">
        <v>1161</v>
      </c>
      <c r="I3555" t="s">
        <v>1162</v>
      </c>
      <c r="J3555">
        <v>1001</v>
      </c>
      <c r="K3555">
        <v>5006</v>
      </c>
      <c r="L3555" s="3">
        <v>3433956</v>
      </c>
      <c r="M3555" s="3">
        <v>278</v>
      </c>
      <c r="N3555">
        <v>0</v>
      </c>
      <c r="O3555">
        <v>0</v>
      </c>
      <c r="P3555">
        <v>3434234</v>
      </c>
      <c r="Q3555" t="s">
        <v>30</v>
      </c>
      <c r="R3555" t="s">
        <v>241</v>
      </c>
      <c r="S3555" t="str">
        <v>#N/A</v>
      </c>
      <c r="T3555" t="str">
        <v>#N/A</v>
      </c>
    </row>
    <row r="3556" spans="1:20" ht="13.7" customHeight="1" x14ac:dyDescent="0.25">
      <c r="A3556" t="s">
        <v>26</v>
      </c>
      <c r="B3556" t="s">
        <v>27</v>
      </c>
      <c r="C3556" t="s">
        <v>39</v>
      </c>
      <c r="D3556">
        <v>62</v>
      </c>
      <c r="E3556" s="5">
        <v>43722</v>
      </c>
      <c r="F3556">
        <v>53051501</v>
      </c>
      <c r="G3556" t="s">
        <v>1061</v>
      </c>
      <c r="H3556" t="s">
        <v>1161</v>
      </c>
      <c r="I3556" t="s">
        <v>1162</v>
      </c>
      <c r="J3556">
        <v>1001</v>
      </c>
      <c r="K3556">
        <v>5006</v>
      </c>
      <c r="L3556" s="3">
        <v>3434234</v>
      </c>
      <c r="M3556" s="3">
        <v>198438</v>
      </c>
      <c r="N3556">
        <v>0</v>
      </c>
      <c r="O3556">
        <v>0</v>
      </c>
      <c r="P3556">
        <v>3632672</v>
      </c>
      <c r="Q3556" t="s">
        <v>30</v>
      </c>
      <c r="R3556" t="s">
        <v>241</v>
      </c>
      <c r="S3556" t="str">
        <v>#N/A</v>
      </c>
      <c r="T3556" t="str">
        <v>#N/A</v>
      </c>
    </row>
    <row r="3557" spans="1:20" ht="13.7" customHeight="1" x14ac:dyDescent="0.25">
      <c r="E3557" s="5">
        <v>43465</v>
      </c>
      <c r="F3557">
        <v>53051501</v>
      </c>
      <c r="G3557" t="s">
        <v>1061</v>
      </c>
      <c r="H3557" t="s">
        <v>1273</v>
      </c>
      <c r="I3557" t="s">
        <v>1274</v>
      </c>
      <c r="J3557">
        <v>0</v>
      </c>
      <c r="K3557">
        <v>0</v>
      </c>
      <c r="L3557" s="3">
        <v>225334</v>
      </c>
      <c r="M3557" s="3">
        <v>0</v>
      </c>
      <c r="N3557">
        <v>0</v>
      </c>
      <c r="O3557">
        <v>0</v>
      </c>
      <c r="P3557">
        <v>225334</v>
      </c>
      <c r="R3557" t="s">
        <v>1100</v>
      </c>
      <c r="S3557" t="str">
        <v>#N/A</v>
      </c>
      <c r="T3557" t="str">
        <v>31</v>
      </c>
    </row>
    <row r="3558" spans="1:20" ht="13.7" customHeight="1" x14ac:dyDescent="0.25">
      <c r="E3558" s="5">
        <v>43465</v>
      </c>
      <c r="F3558">
        <v>53059501</v>
      </c>
      <c r="G3558" t="s">
        <v>1351</v>
      </c>
      <c r="H3558" t="s">
        <v>1273</v>
      </c>
      <c r="I3558" t="s">
        <v>1274</v>
      </c>
      <c r="J3558">
        <v>0</v>
      </c>
      <c r="K3558">
        <v>0</v>
      </c>
      <c r="L3558" s="3">
        <v>373596</v>
      </c>
      <c r="M3558" s="3">
        <v>0</v>
      </c>
      <c r="N3558">
        <v>0</v>
      </c>
      <c r="O3558">
        <v>0</v>
      </c>
      <c r="P3558">
        <v>373596</v>
      </c>
      <c r="R3558" t="s">
        <v>1100</v>
      </c>
      <c r="S3558" t="str">
        <v>#N/A</v>
      </c>
      <c r="T3558" t="str">
        <v>31</v>
      </c>
    </row>
    <row r="3559" spans="1:20" ht="13.7" customHeight="1" x14ac:dyDescent="0.25">
      <c r="E3559" s="5">
        <v>43465</v>
      </c>
      <c r="F3559">
        <v>53152001</v>
      </c>
      <c r="G3559" t="s">
        <v>1062</v>
      </c>
      <c r="H3559" t="s">
        <v>1173</v>
      </c>
      <c r="I3559" t="s">
        <v>1174</v>
      </c>
      <c r="J3559">
        <v>0</v>
      </c>
      <c r="K3559">
        <v>0</v>
      </c>
      <c r="L3559" s="3">
        <v>0</v>
      </c>
      <c r="M3559" s="3">
        <v>0</v>
      </c>
      <c r="N3559">
        <v>0</v>
      </c>
      <c r="O3559">
        <v>0</v>
      </c>
      <c r="P3559">
        <v>0</v>
      </c>
      <c r="R3559" t="s">
        <v>1100</v>
      </c>
      <c r="S3559" t="str">
        <v>#N/A</v>
      </c>
      <c r="T3559" t="str">
        <v>#N/A</v>
      </c>
    </row>
    <row r="3560" spans="1:20" ht="13.7" customHeight="1" x14ac:dyDescent="0.25">
      <c r="A3560" t="s">
        <v>26</v>
      </c>
      <c r="B3560" t="s">
        <v>27</v>
      </c>
      <c r="C3560" t="s">
        <v>37</v>
      </c>
      <c r="D3560">
        <v>4</v>
      </c>
      <c r="E3560" s="5">
        <v>43648</v>
      </c>
      <c r="F3560">
        <v>53152001</v>
      </c>
      <c r="G3560" t="s">
        <v>1062</v>
      </c>
      <c r="H3560" t="s">
        <v>1173</v>
      </c>
      <c r="I3560" t="s">
        <v>1174</v>
      </c>
      <c r="J3560">
        <v>1001</v>
      </c>
      <c r="K3560">
        <v>5016</v>
      </c>
      <c r="L3560" s="3">
        <v>0</v>
      </c>
      <c r="M3560" s="3">
        <v>16321</v>
      </c>
      <c r="N3560">
        <v>0</v>
      </c>
      <c r="O3560">
        <v>0</v>
      </c>
      <c r="P3560">
        <v>16321</v>
      </c>
      <c r="Q3560" t="s">
        <v>30</v>
      </c>
      <c r="R3560" t="s">
        <v>147</v>
      </c>
      <c r="S3560" t="str">
        <v>#N/A</v>
      </c>
      <c r="T3560" t="str">
        <v>#N/A</v>
      </c>
    </row>
    <row r="3561" spans="1:20" ht="13.7" customHeight="1" x14ac:dyDescent="0.25">
      <c r="E3561" s="5">
        <v>43465</v>
      </c>
      <c r="F3561">
        <v>53152001</v>
      </c>
      <c r="G3561" t="s">
        <v>1062</v>
      </c>
      <c r="H3561" t="s">
        <v>1185</v>
      </c>
      <c r="I3561" t="s">
        <v>1186</v>
      </c>
      <c r="J3561">
        <v>0</v>
      </c>
      <c r="K3561">
        <v>0</v>
      </c>
      <c r="L3561" s="3">
        <v>0</v>
      </c>
      <c r="M3561" s="3">
        <v>0</v>
      </c>
      <c r="N3561">
        <v>0</v>
      </c>
      <c r="O3561">
        <v>0</v>
      </c>
      <c r="P3561">
        <v>0</v>
      </c>
      <c r="R3561" t="s">
        <v>1100</v>
      </c>
      <c r="S3561" t="str">
        <v>#N/A</v>
      </c>
      <c r="T3561" t="str">
        <v>#N/A</v>
      </c>
    </row>
    <row r="3562" spans="1:20" ht="13.7" customHeight="1" x14ac:dyDescent="0.25">
      <c r="A3562" t="s">
        <v>26</v>
      </c>
      <c r="B3562" t="s">
        <v>27</v>
      </c>
      <c r="C3562" t="s">
        <v>32</v>
      </c>
      <c r="D3562">
        <v>26</v>
      </c>
      <c r="E3562" s="5">
        <v>43509</v>
      </c>
      <c r="F3562">
        <v>53152001</v>
      </c>
      <c r="G3562" t="s">
        <v>1062</v>
      </c>
      <c r="H3562" t="s">
        <v>1185</v>
      </c>
      <c r="I3562" t="s">
        <v>1186</v>
      </c>
      <c r="J3562">
        <v>1001</v>
      </c>
      <c r="K3562">
        <v>5016</v>
      </c>
      <c r="L3562" s="3">
        <v>0</v>
      </c>
      <c r="M3562" s="3">
        <v>1760</v>
      </c>
      <c r="N3562">
        <v>0</v>
      </c>
      <c r="O3562">
        <v>0</v>
      </c>
      <c r="P3562">
        <v>1760</v>
      </c>
      <c r="Q3562" t="s">
        <v>30</v>
      </c>
      <c r="R3562" t="s">
        <v>80</v>
      </c>
      <c r="S3562" t="str">
        <v>#N/A</v>
      </c>
      <c r="T3562" t="str">
        <v>#N/A</v>
      </c>
    </row>
    <row r="3563" spans="1:20" ht="13.7" customHeight="1" x14ac:dyDescent="0.25">
      <c r="E3563" s="5">
        <v>43465</v>
      </c>
      <c r="F3563">
        <v>53152001</v>
      </c>
      <c r="G3563" t="s">
        <v>1062</v>
      </c>
      <c r="H3563" t="s">
        <v>1155</v>
      </c>
      <c r="I3563" t="s">
        <v>1156</v>
      </c>
      <c r="J3563">
        <v>0</v>
      </c>
      <c r="K3563">
        <v>0</v>
      </c>
      <c r="L3563" s="3">
        <v>0</v>
      </c>
      <c r="M3563" s="3">
        <v>0</v>
      </c>
      <c r="N3563">
        <v>0</v>
      </c>
      <c r="O3563">
        <v>0</v>
      </c>
      <c r="P3563">
        <v>0</v>
      </c>
      <c r="R3563" t="s">
        <v>1100</v>
      </c>
      <c r="S3563" t="str">
        <v>#N/A</v>
      </c>
      <c r="T3563" t="str">
        <v>#N/A</v>
      </c>
    </row>
    <row r="3564" spans="1:20" ht="13.7" customHeight="1" x14ac:dyDescent="0.25">
      <c r="A3564" t="s">
        <v>26</v>
      </c>
      <c r="B3564" t="s">
        <v>27</v>
      </c>
      <c r="C3564" t="s">
        <v>41</v>
      </c>
      <c r="D3564">
        <v>51</v>
      </c>
      <c r="E3564" s="5">
        <v>43788</v>
      </c>
      <c r="F3564">
        <v>53152001</v>
      </c>
      <c r="G3564" t="s">
        <v>1062</v>
      </c>
      <c r="H3564" t="s">
        <v>1155</v>
      </c>
      <c r="I3564" t="s">
        <v>1156</v>
      </c>
      <c r="J3564">
        <v>1001</v>
      </c>
      <c r="K3564">
        <v>5016</v>
      </c>
      <c r="L3564" s="3">
        <v>0</v>
      </c>
      <c r="M3564" s="3">
        <v>427000</v>
      </c>
      <c r="N3564">
        <v>0</v>
      </c>
      <c r="O3564">
        <v>0</v>
      </c>
      <c r="P3564">
        <v>427000</v>
      </c>
      <c r="Q3564" t="s">
        <v>30</v>
      </c>
      <c r="R3564" t="s">
        <v>306</v>
      </c>
      <c r="S3564" t="str">
        <v>#N/A</v>
      </c>
      <c r="T3564" t="str">
        <v>#N/A</v>
      </c>
    </row>
    <row r="3565" spans="1:20" ht="13.7" customHeight="1" x14ac:dyDescent="0.25">
      <c r="E3565" s="5">
        <v>43465</v>
      </c>
      <c r="F3565">
        <v>53152001</v>
      </c>
      <c r="G3565" t="s">
        <v>1062</v>
      </c>
      <c r="H3565" t="s">
        <v>1179</v>
      </c>
      <c r="I3565" t="s">
        <v>1180</v>
      </c>
      <c r="J3565">
        <v>0</v>
      </c>
      <c r="K3565">
        <v>0</v>
      </c>
      <c r="L3565" s="3">
        <v>311180.09999999998</v>
      </c>
      <c r="M3565" s="3">
        <v>0</v>
      </c>
      <c r="N3565">
        <v>0</v>
      </c>
      <c r="O3565">
        <v>0</v>
      </c>
      <c r="P3565">
        <v>311180.09999999998</v>
      </c>
      <c r="R3565" t="s">
        <v>1100</v>
      </c>
      <c r="S3565" t="str">
        <v>#N/A</v>
      </c>
      <c r="T3565" t="str">
        <v>13</v>
      </c>
    </row>
    <row r="3566" spans="1:20" ht="13.7" customHeight="1" x14ac:dyDescent="0.25">
      <c r="A3566" t="s">
        <v>26</v>
      </c>
      <c r="B3566" t="s">
        <v>27</v>
      </c>
      <c r="C3566" t="s">
        <v>32</v>
      </c>
      <c r="D3566">
        <v>53</v>
      </c>
      <c r="E3566" s="5">
        <v>43522</v>
      </c>
      <c r="F3566">
        <v>53152001</v>
      </c>
      <c r="G3566" t="s">
        <v>1062</v>
      </c>
      <c r="H3566" t="s">
        <v>1179</v>
      </c>
      <c r="I3566" t="s">
        <v>1180</v>
      </c>
      <c r="J3566">
        <v>1001</v>
      </c>
      <c r="K3566">
        <v>5016</v>
      </c>
      <c r="L3566" s="3">
        <v>311180.09999999998</v>
      </c>
      <c r="M3566" s="3">
        <v>7010</v>
      </c>
      <c r="N3566">
        <v>0</v>
      </c>
      <c r="O3566">
        <v>0</v>
      </c>
      <c r="P3566">
        <v>318190.09999999998</v>
      </c>
      <c r="Q3566" t="s">
        <v>30</v>
      </c>
      <c r="R3566" t="s">
        <v>88</v>
      </c>
      <c r="S3566" t="str">
        <v>#N/A</v>
      </c>
      <c r="T3566" t="str">
        <v>13</v>
      </c>
    </row>
    <row r="3567" spans="1:20" ht="13.7" customHeight="1" x14ac:dyDescent="0.25">
      <c r="E3567" s="5">
        <v>43465</v>
      </c>
      <c r="F3567">
        <v>53152001</v>
      </c>
      <c r="G3567" t="s">
        <v>1062</v>
      </c>
      <c r="H3567" t="s">
        <v>1115</v>
      </c>
      <c r="I3567" t="s">
        <v>1116</v>
      </c>
      <c r="J3567">
        <v>0</v>
      </c>
      <c r="K3567">
        <v>0</v>
      </c>
      <c r="L3567" s="3">
        <v>403446</v>
      </c>
      <c r="M3567" s="3">
        <v>0</v>
      </c>
      <c r="N3567">
        <v>0</v>
      </c>
      <c r="O3567">
        <v>0</v>
      </c>
      <c r="P3567">
        <v>403446</v>
      </c>
      <c r="R3567" t="s">
        <v>1100</v>
      </c>
      <c r="S3567" t="str">
        <v>#N/A</v>
      </c>
      <c r="T3567" t="str">
        <v>13</v>
      </c>
    </row>
    <row r="3568" spans="1:20" ht="13.7" customHeight="1" x14ac:dyDescent="0.25">
      <c r="A3568" t="s">
        <v>26</v>
      </c>
      <c r="B3568" t="s">
        <v>27</v>
      </c>
      <c r="C3568" t="s">
        <v>91</v>
      </c>
      <c r="D3568">
        <v>56</v>
      </c>
      <c r="E3568" s="5">
        <v>43540</v>
      </c>
      <c r="F3568">
        <v>53152001</v>
      </c>
      <c r="G3568" t="s">
        <v>1062</v>
      </c>
      <c r="H3568" t="s">
        <v>1115</v>
      </c>
      <c r="I3568" t="s">
        <v>1116</v>
      </c>
      <c r="J3568">
        <v>1001</v>
      </c>
      <c r="K3568">
        <v>5016</v>
      </c>
      <c r="L3568" s="3">
        <v>403446</v>
      </c>
      <c r="M3568" s="3">
        <v>75000</v>
      </c>
      <c r="N3568">
        <v>0</v>
      </c>
      <c r="O3568">
        <v>0</v>
      </c>
      <c r="P3568">
        <v>478446</v>
      </c>
      <c r="Q3568" t="s">
        <v>30</v>
      </c>
      <c r="R3568" t="s">
        <v>239</v>
      </c>
      <c r="S3568" t="str">
        <v>#N/A</v>
      </c>
      <c r="T3568" t="str">
        <v>13</v>
      </c>
    </row>
    <row r="3569" spans="1:20" ht="13.7" customHeight="1" x14ac:dyDescent="0.25">
      <c r="A3569" t="s">
        <v>26</v>
      </c>
      <c r="B3569" t="s">
        <v>27</v>
      </c>
      <c r="C3569" t="s">
        <v>91</v>
      </c>
      <c r="D3569">
        <v>65</v>
      </c>
      <c r="E3569" s="5">
        <v>43554</v>
      </c>
      <c r="F3569">
        <v>53152001</v>
      </c>
      <c r="G3569" t="s">
        <v>1062</v>
      </c>
      <c r="H3569" t="s">
        <v>1115</v>
      </c>
      <c r="I3569" t="s">
        <v>1116</v>
      </c>
      <c r="J3569">
        <v>1001</v>
      </c>
      <c r="K3569">
        <v>5016</v>
      </c>
      <c r="L3569" s="3">
        <v>478446</v>
      </c>
      <c r="M3569" s="3">
        <v>75000</v>
      </c>
      <c r="N3569">
        <v>0</v>
      </c>
      <c r="O3569">
        <v>0</v>
      </c>
      <c r="P3569">
        <v>553446</v>
      </c>
      <c r="Q3569" t="s">
        <v>30</v>
      </c>
      <c r="R3569" t="s">
        <v>239</v>
      </c>
      <c r="S3569" t="str">
        <v>#N/A</v>
      </c>
      <c r="T3569" t="str">
        <v>13</v>
      </c>
    </row>
    <row r="3570" spans="1:20" ht="13.7" customHeight="1" x14ac:dyDescent="0.25">
      <c r="A3570" t="s">
        <v>26</v>
      </c>
      <c r="B3570" t="s">
        <v>27</v>
      </c>
      <c r="C3570" t="s">
        <v>34</v>
      </c>
      <c r="D3570">
        <v>34</v>
      </c>
      <c r="E3570" s="5">
        <v>43570</v>
      </c>
      <c r="F3570">
        <v>53152001</v>
      </c>
      <c r="G3570" t="s">
        <v>1062</v>
      </c>
      <c r="H3570" t="s">
        <v>1115</v>
      </c>
      <c r="I3570" t="s">
        <v>1116</v>
      </c>
      <c r="J3570">
        <v>1001</v>
      </c>
      <c r="K3570">
        <v>5016</v>
      </c>
      <c r="L3570" s="3">
        <v>553446</v>
      </c>
      <c r="M3570" s="3">
        <v>75000</v>
      </c>
      <c r="N3570">
        <v>0</v>
      </c>
      <c r="O3570">
        <v>0</v>
      </c>
      <c r="P3570">
        <v>628446</v>
      </c>
      <c r="Q3570" t="s">
        <v>30</v>
      </c>
      <c r="R3570" t="s">
        <v>69</v>
      </c>
      <c r="S3570" t="str">
        <v>#N/A</v>
      </c>
      <c r="T3570" t="str">
        <v>13</v>
      </c>
    </row>
    <row r="3571" spans="1:20" ht="13.7" customHeight="1" x14ac:dyDescent="0.25">
      <c r="A3571" t="s">
        <v>26</v>
      </c>
      <c r="B3571" t="s">
        <v>27</v>
      </c>
      <c r="C3571" t="s">
        <v>35</v>
      </c>
      <c r="D3571">
        <v>1</v>
      </c>
      <c r="E3571" s="5">
        <v>43588</v>
      </c>
      <c r="F3571">
        <v>53152001</v>
      </c>
      <c r="G3571" t="s">
        <v>1062</v>
      </c>
      <c r="H3571" t="s">
        <v>1115</v>
      </c>
      <c r="I3571" t="s">
        <v>1116</v>
      </c>
      <c r="J3571">
        <v>1001</v>
      </c>
      <c r="K3571">
        <v>5016</v>
      </c>
      <c r="L3571" s="3">
        <v>628446</v>
      </c>
      <c r="M3571" s="3">
        <v>75000</v>
      </c>
      <c r="N3571">
        <v>0</v>
      </c>
      <c r="O3571">
        <v>0</v>
      </c>
      <c r="P3571">
        <v>703446</v>
      </c>
      <c r="Q3571" t="s">
        <v>30</v>
      </c>
      <c r="R3571" t="s">
        <v>69</v>
      </c>
      <c r="S3571" t="str">
        <v>#N/A</v>
      </c>
      <c r="T3571" t="str">
        <v>13</v>
      </c>
    </row>
    <row r="3572" spans="1:20" ht="13.7" customHeight="1" x14ac:dyDescent="0.25">
      <c r="A3572" t="s">
        <v>26</v>
      </c>
      <c r="B3572" t="s">
        <v>27</v>
      </c>
      <c r="C3572" t="s">
        <v>35</v>
      </c>
      <c r="D3572">
        <v>4</v>
      </c>
      <c r="E3572" s="5">
        <v>43601</v>
      </c>
      <c r="F3572">
        <v>53152001</v>
      </c>
      <c r="G3572" t="s">
        <v>1062</v>
      </c>
      <c r="H3572" t="s">
        <v>1115</v>
      </c>
      <c r="I3572" t="s">
        <v>1116</v>
      </c>
      <c r="J3572">
        <v>1001</v>
      </c>
      <c r="K3572">
        <v>5016</v>
      </c>
      <c r="L3572" s="3">
        <v>703446</v>
      </c>
      <c r="M3572" s="3">
        <v>75000</v>
      </c>
      <c r="N3572">
        <v>0</v>
      </c>
      <c r="O3572">
        <v>0</v>
      </c>
      <c r="P3572">
        <v>778446</v>
      </c>
      <c r="Q3572" t="s">
        <v>30</v>
      </c>
      <c r="R3572" t="s">
        <v>69</v>
      </c>
      <c r="S3572" t="str">
        <v>#N/A</v>
      </c>
      <c r="T3572" t="str">
        <v>13</v>
      </c>
    </row>
    <row r="3573" spans="1:20" ht="13.7" customHeight="1" x14ac:dyDescent="0.25">
      <c r="A3573" t="s">
        <v>26</v>
      </c>
      <c r="B3573" t="s">
        <v>27</v>
      </c>
      <c r="C3573" t="s">
        <v>36</v>
      </c>
      <c r="D3573">
        <v>7</v>
      </c>
      <c r="E3573" s="5">
        <v>43617</v>
      </c>
      <c r="F3573">
        <v>53152001</v>
      </c>
      <c r="G3573" t="s">
        <v>1062</v>
      </c>
      <c r="H3573" t="s">
        <v>1115</v>
      </c>
      <c r="I3573" t="s">
        <v>1116</v>
      </c>
      <c r="J3573">
        <v>1001</v>
      </c>
      <c r="K3573">
        <v>5016</v>
      </c>
      <c r="L3573" s="3">
        <v>778446</v>
      </c>
      <c r="M3573" s="3">
        <v>75000</v>
      </c>
      <c r="N3573">
        <v>0</v>
      </c>
      <c r="O3573">
        <v>0</v>
      </c>
      <c r="P3573">
        <v>853446</v>
      </c>
      <c r="Q3573" t="s">
        <v>30</v>
      </c>
      <c r="R3573" t="s">
        <v>263</v>
      </c>
      <c r="S3573" t="str">
        <v>#N/A</v>
      </c>
      <c r="T3573" t="str">
        <v>13</v>
      </c>
    </row>
    <row r="3574" spans="1:20" ht="13.7" customHeight="1" x14ac:dyDescent="0.25">
      <c r="A3574" t="s">
        <v>26</v>
      </c>
      <c r="B3574" t="s">
        <v>27</v>
      </c>
      <c r="C3574" t="s">
        <v>36</v>
      </c>
      <c r="D3574">
        <v>22</v>
      </c>
      <c r="E3574" s="5">
        <v>43629</v>
      </c>
      <c r="F3574">
        <v>53152001</v>
      </c>
      <c r="G3574" t="s">
        <v>1062</v>
      </c>
      <c r="H3574" t="s">
        <v>1115</v>
      </c>
      <c r="I3574" t="s">
        <v>1116</v>
      </c>
      <c r="J3574">
        <v>1001</v>
      </c>
      <c r="K3574">
        <v>5016</v>
      </c>
      <c r="L3574" s="3">
        <v>853446</v>
      </c>
      <c r="M3574" s="3">
        <v>75000</v>
      </c>
      <c r="N3574">
        <v>0</v>
      </c>
      <c r="O3574">
        <v>0</v>
      </c>
      <c r="P3574">
        <v>928446</v>
      </c>
      <c r="Q3574" t="s">
        <v>30</v>
      </c>
      <c r="R3574" t="s">
        <v>263</v>
      </c>
      <c r="S3574" t="str">
        <v>#N/A</v>
      </c>
      <c r="T3574" t="str">
        <v>13</v>
      </c>
    </row>
    <row r="3575" spans="1:20" ht="13.7" customHeight="1" x14ac:dyDescent="0.25">
      <c r="A3575" t="s">
        <v>26</v>
      </c>
      <c r="B3575" t="s">
        <v>27</v>
      </c>
      <c r="C3575" t="s">
        <v>36</v>
      </c>
      <c r="D3575">
        <v>64</v>
      </c>
      <c r="E3575" s="5">
        <v>43645</v>
      </c>
      <c r="F3575">
        <v>53152001</v>
      </c>
      <c r="G3575" t="s">
        <v>1062</v>
      </c>
      <c r="H3575" t="s">
        <v>1115</v>
      </c>
      <c r="I3575" t="s">
        <v>1116</v>
      </c>
      <c r="J3575">
        <v>1001</v>
      </c>
      <c r="K3575">
        <v>5016</v>
      </c>
      <c r="L3575" s="3">
        <v>928446</v>
      </c>
      <c r="M3575" s="3">
        <v>50000</v>
      </c>
      <c r="N3575">
        <v>0</v>
      </c>
      <c r="O3575">
        <v>0</v>
      </c>
      <c r="P3575">
        <v>978446</v>
      </c>
      <c r="Q3575" t="s">
        <v>30</v>
      </c>
      <c r="R3575" t="s">
        <v>276</v>
      </c>
      <c r="S3575" t="str">
        <v>#N/A</v>
      </c>
      <c r="T3575" t="str">
        <v>13</v>
      </c>
    </row>
    <row r="3576" spans="1:20" ht="13.7" customHeight="1" x14ac:dyDescent="0.25">
      <c r="A3576" t="s">
        <v>26</v>
      </c>
      <c r="B3576" t="s">
        <v>27</v>
      </c>
      <c r="C3576" t="s">
        <v>37</v>
      </c>
      <c r="D3576">
        <v>49</v>
      </c>
      <c r="E3576" s="5">
        <v>43668</v>
      </c>
      <c r="F3576">
        <v>53152001</v>
      </c>
      <c r="G3576" t="s">
        <v>1062</v>
      </c>
      <c r="H3576" t="s">
        <v>1115</v>
      </c>
      <c r="I3576" t="s">
        <v>1116</v>
      </c>
      <c r="J3576">
        <v>1001</v>
      </c>
      <c r="K3576">
        <v>5016</v>
      </c>
      <c r="L3576" s="3">
        <v>978446</v>
      </c>
      <c r="M3576" s="3">
        <v>75000</v>
      </c>
      <c r="N3576">
        <v>0</v>
      </c>
      <c r="O3576">
        <v>0</v>
      </c>
      <c r="P3576">
        <v>1053446</v>
      </c>
      <c r="Q3576" t="s">
        <v>30</v>
      </c>
      <c r="R3576" t="s">
        <v>281</v>
      </c>
      <c r="S3576" t="str">
        <v>#N/A</v>
      </c>
      <c r="T3576" t="str">
        <v>13</v>
      </c>
    </row>
    <row r="3577" spans="1:20" ht="13.7" customHeight="1" x14ac:dyDescent="0.25">
      <c r="A3577" t="s">
        <v>26</v>
      </c>
      <c r="B3577" t="s">
        <v>27</v>
      </c>
      <c r="C3577" t="s">
        <v>38</v>
      </c>
      <c r="D3577">
        <v>2</v>
      </c>
      <c r="E3577" s="5">
        <v>43679</v>
      </c>
      <c r="F3577">
        <v>53152001</v>
      </c>
      <c r="G3577" t="s">
        <v>1062</v>
      </c>
      <c r="H3577" t="s">
        <v>1115</v>
      </c>
      <c r="I3577" t="s">
        <v>1116</v>
      </c>
      <c r="J3577">
        <v>1001</v>
      </c>
      <c r="K3577">
        <v>5016</v>
      </c>
      <c r="L3577" s="3">
        <v>1053446</v>
      </c>
      <c r="M3577" s="3">
        <v>75000</v>
      </c>
      <c r="N3577">
        <v>0</v>
      </c>
      <c r="O3577">
        <v>0</v>
      </c>
      <c r="P3577">
        <v>1128446</v>
      </c>
      <c r="Q3577" t="s">
        <v>30</v>
      </c>
      <c r="R3577" t="s">
        <v>263</v>
      </c>
      <c r="S3577" t="str">
        <v>#N/A</v>
      </c>
      <c r="T3577" t="str">
        <v>13</v>
      </c>
    </row>
    <row r="3578" spans="1:20" ht="13.7" customHeight="1" x14ac:dyDescent="0.25">
      <c r="A3578" t="s">
        <v>26</v>
      </c>
      <c r="B3578" t="s">
        <v>27</v>
      </c>
      <c r="C3578" t="s">
        <v>38</v>
      </c>
      <c r="D3578">
        <v>36</v>
      </c>
      <c r="E3578" s="5">
        <v>43701</v>
      </c>
      <c r="F3578">
        <v>53152001</v>
      </c>
      <c r="G3578" t="s">
        <v>1062</v>
      </c>
      <c r="H3578" t="s">
        <v>1115</v>
      </c>
      <c r="I3578" t="s">
        <v>1116</v>
      </c>
      <c r="J3578">
        <v>1001</v>
      </c>
      <c r="K3578">
        <v>5016</v>
      </c>
      <c r="L3578" s="3">
        <v>1128446</v>
      </c>
      <c r="M3578" s="3">
        <v>75000</v>
      </c>
      <c r="N3578">
        <v>0</v>
      </c>
      <c r="O3578">
        <v>0</v>
      </c>
      <c r="P3578">
        <v>1203446</v>
      </c>
      <c r="Q3578" t="s">
        <v>30</v>
      </c>
      <c r="R3578" t="s">
        <v>263</v>
      </c>
      <c r="S3578" t="str">
        <v>#N/A</v>
      </c>
      <c r="T3578" t="str">
        <v>13</v>
      </c>
    </row>
    <row r="3579" spans="1:20" ht="13.7" customHeight="1" x14ac:dyDescent="0.25">
      <c r="A3579" t="s">
        <v>26</v>
      </c>
      <c r="B3579" t="s">
        <v>27</v>
      </c>
      <c r="C3579" t="s">
        <v>40</v>
      </c>
      <c r="D3579">
        <v>5</v>
      </c>
      <c r="E3579" s="5">
        <v>43743</v>
      </c>
      <c r="F3579">
        <v>53152001</v>
      </c>
      <c r="G3579" t="s">
        <v>1062</v>
      </c>
      <c r="H3579" t="s">
        <v>1115</v>
      </c>
      <c r="I3579" t="s">
        <v>1116</v>
      </c>
      <c r="J3579">
        <v>1001</v>
      </c>
      <c r="K3579">
        <v>5016</v>
      </c>
      <c r="L3579" s="3">
        <v>1203446</v>
      </c>
      <c r="M3579" s="3">
        <v>100000</v>
      </c>
      <c r="N3579">
        <v>0</v>
      </c>
      <c r="O3579">
        <v>0</v>
      </c>
      <c r="P3579">
        <v>1303446</v>
      </c>
      <c r="Q3579" t="s">
        <v>30</v>
      </c>
      <c r="R3579" t="s">
        <v>292</v>
      </c>
      <c r="S3579" t="str">
        <v>#N/A</v>
      </c>
      <c r="T3579" t="str">
        <v>13</v>
      </c>
    </row>
    <row r="3580" spans="1:20" ht="13.7" customHeight="1" x14ac:dyDescent="0.25">
      <c r="A3580" t="s">
        <v>26</v>
      </c>
      <c r="B3580" t="s">
        <v>27</v>
      </c>
      <c r="C3580" t="s">
        <v>40</v>
      </c>
      <c r="D3580">
        <v>60</v>
      </c>
      <c r="E3580" s="5">
        <v>43769</v>
      </c>
      <c r="F3580">
        <v>53152001</v>
      </c>
      <c r="G3580" t="s">
        <v>1062</v>
      </c>
      <c r="H3580" t="s">
        <v>1115</v>
      </c>
      <c r="I3580" t="s">
        <v>1116</v>
      </c>
      <c r="J3580">
        <v>1001</v>
      </c>
      <c r="K3580">
        <v>5016</v>
      </c>
      <c r="L3580" s="3">
        <v>1303446</v>
      </c>
      <c r="M3580" s="3">
        <v>75000</v>
      </c>
      <c r="N3580">
        <v>0</v>
      </c>
      <c r="O3580">
        <v>0</v>
      </c>
      <c r="P3580">
        <v>1378446</v>
      </c>
      <c r="Q3580" t="s">
        <v>30</v>
      </c>
      <c r="R3580" t="s">
        <v>263</v>
      </c>
      <c r="S3580" t="str">
        <v>#N/A</v>
      </c>
      <c r="T3580" t="str">
        <v>13</v>
      </c>
    </row>
    <row r="3581" spans="1:20" ht="13.7" customHeight="1" x14ac:dyDescent="0.25">
      <c r="A3581" t="s">
        <v>26</v>
      </c>
      <c r="B3581" t="s">
        <v>27</v>
      </c>
      <c r="C3581" t="s">
        <v>41</v>
      </c>
      <c r="D3581">
        <v>40</v>
      </c>
      <c r="E3581" s="5">
        <v>43785</v>
      </c>
      <c r="F3581">
        <v>53152001</v>
      </c>
      <c r="G3581" t="s">
        <v>1062</v>
      </c>
      <c r="H3581" t="s">
        <v>1115</v>
      </c>
      <c r="I3581" t="s">
        <v>1116</v>
      </c>
      <c r="J3581">
        <v>1001</v>
      </c>
      <c r="K3581">
        <v>5016</v>
      </c>
      <c r="L3581" s="3">
        <v>1378446</v>
      </c>
      <c r="M3581" s="3">
        <v>75000</v>
      </c>
      <c r="N3581">
        <v>0</v>
      </c>
      <c r="O3581">
        <v>0</v>
      </c>
      <c r="P3581">
        <v>1453446</v>
      </c>
      <c r="Q3581" t="s">
        <v>30</v>
      </c>
      <c r="R3581" t="s">
        <v>69</v>
      </c>
      <c r="S3581" t="str">
        <v>#N/A</v>
      </c>
      <c r="T3581" t="str">
        <v>13</v>
      </c>
    </row>
    <row r="3582" spans="1:20" ht="13.7" customHeight="1" x14ac:dyDescent="0.25">
      <c r="E3582" s="5">
        <v>43465</v>
      </c>
      <c r="F3582">
        <v>53152001</v>
      </c>
      <c r="G3582" t="s">
        <v>1062</v>
      </c>
      <c r="H3582" t="s">
        <v>1529</v>
      </c>
      <c r="I3582" t="s">
        <v>1530</v>
      </c>
      <c r="J3582">
        <v>0</v>
      </c>
      <c r="K3582">
        <v>0</v>
      </c>
      <c r="L3582" s="3">
        <v>52500</v>
      </c>
      <c r="M3582" s="3">
        <v>0</v>
      </c>
      <c r="N3582">
        <v>0</v>
      </c>
      <c r="O3582">
        <v>0</v>
      </c>
      <c r="P3582">
        <v>52500</v>
      </c>
      <c r="R3582" t="s">
        <v>1100</v>
      </c>
      <c r="S3582" t="str">
        <v>#N/A</v>
      </c>
      <c r="T3582" t="str">
        <v>#N/A</v>
      </c>
    </row>
    <row r="3583" spans="1:20" ht="13.7" customHeight="1" x14ac:dyDescent="0.25">
      <c r="E3583" s="5">
        <v>43465</v>
      </c>
      <c r="F3583">
        <v>53152001</v>
      </c>
      <c r="G3583" t="s">
        <v>1062</v>
      </c>
      <c r="H3583" t="s">
        <v>1317</v>
      </c>
      <c r="I3583" t="s">
        <v>1318</v>
      </c>
      <c r="J3583">
        <v>0</v>
      </c>
      <c r="K3583">
        <v>0</v>
      </c>
      <c r="L3583" s="3">
        <v>1260</v>
      </c>
      <c r="M3583" s="3">
        <v>0</v>
      </c>
      <c r="N3583">
        <v>0</v>
      </c>
      <c r="O3583">
        <v>0</v>
      </c>
      <c r="P3583">
        <v>1260</v>
      </c>
      <c r="R3583" t="s">
        <v>1100</v>
      </c>
      <c r="S3583" t="str">
        <v>#N/A</v>
      </c>
      <c r="T3583" t="str">
        <v>13</v>
      </c>
    </row>
    <row r="3584" spans="1:20" ht="13.7" customHeight="1" x14ac:dyDescent="0.25">
      <c r="E3584" s="5">
        <v>43465</v>
      </c>
      <c r="F3584">
        <v>53152001</v>
      </c>
      <c r="G3584" t="s">
        <v>1062</v>
      </c>
      <c r="H3584" t="s">
        <v>1119</v>
      </c>
      <c r="I3584" t="s">
        <v>1120</v>
      </c>
      <c r="J3584">
        <v>0</v>
      </c>
      <c r="K3584">
        <v>0</v>
      </c>
      <c r="L3584" s="3">
        <v>25280</v>
      </c>
      <c r="M3584" s="3">
        <v>0</v>
      </c>
      <c r="N3584">
        <v>0</v>
      </c>
      <c r="O3584">
        <v>0</v>
      </c>
      <c r="P3584">
        <v>25280</v>
      </c>
      <c r="R3584" t="s">
        <v>1100</v>
      </c>
      <c r="S3584" t="str">
        <v>#N/A</v>
      </c>
      <c r="T3584" t="str">
        <v>13</v>
      </c>
    </row>
    <row r="3585" spans="1:20" ht="13.7" customHeight="1" x14ac:dyDescent="0.25">
      <c r="A3585" t="s">
        <v>26</v>
      </c>
      <c r="B3585" t="s">
        <v>27</v>
      </c>
      <c r="C3585" t="s">
        <v>36</v>
      </c>
      <c r="D3585">
        <v>55</v>
      </c>
      <c r="E3585" s="5">
        <v>43642</v>
      </c>
      <c r="F3585">
        <v>53152001</v>
      </c>
      <c r="G3585" t="s">
        <v>1062</v>
      </c>
      <c r="H3585" t="s">
        <v>1119</v>
      </c>
      <c r="I3585" t="s">
        <v>1120</v>
      </c>
      <c r="J3585">
        <v>1001</v>
      </c>
      <c r="K3585">
        <v>5016</v>
      </c>
      <c r="L3585" s="3">
        <v>25280</v>
      </c>
      <c r="M3585" s="3">
        <v>38640</v>
      </c>
      <c r="N3585">
        <v>0</v>
      </c>
      <c r="O3585">
        <v>0</v>
      </c>
      <c r="P3585">
        <v>63920</v>
      </c>
      <c r="Q3585" t="s">
        <v>30</v>
      </c>
      <c r="R3585" t="s">
        <v>86</v>
      </c>
      <c r="S3585" t="str">
        <v>#N/A</v>
      </c>
      <c r="T3585" t="str">
        <v>13</v>
      </c>
    </row>
    <row r="3586" spans="1:20" ht="13.7" customHeight="1" x14ac:dyDescent="0.25">
      <c r="A3586" t="s">
        <v>26</v>
      </c>
      <c r="B3586" t="s">
        <v>27</v>
      </c>
      <c r="C3586" t="s">
        <v>37</v>
      </c>
      <c r="D3586">
        <v>50</v>
      </c>
      <c r="E3586" s="5">
        <v>43668</v>
      </c>
      <c r="F3586">
        <v>53152001</v>
      </c>
      <c r="G3586" t="s">
        <v>1062</v>
      </c>
      <c r="H3586" t="s">
        <v>1119</v>
      </c>
      <c r="I3586" t="s">
        <v>1120</v>
      </c>
      <c r="J3586">
        <v>1001</v>
      </c>
      <c r="K3586">
        <v>5016</v>
      </c>
      <c r="L3586" s="3">
        <v>63920</v>
      </c>
      <c r="M3586" s="3">
        <v>38640</v>
      </c>
      <c r="N3586">
        <v>0</v>
      </c>
      <c r="O3586">
        <v>0</v>
      </c>
      <c r="P3586">
        <v>102560</v>
      </c>
      <c r="Q3586" t="s">
        <v>30</v>
      </c>
      <c r="R3586" t="s">
        <v>86</v>
      </c>
      <c r="S3586" t="str">
        <v>#N/A</v>
      </c>
      <c r="T3586" t="str">
        <v>13</v>
      </c>
    </row>
    <row r="3587" spans="1:20" ht="13.7" customHeight="1" x14ac:dyDescent="0.25">
      <c r="A3587" t="s">
        <v>26</v>
      </c>
      <c r="B3587" t="s">
        <v>27</v>
      </c>
      <c r="C3587" t="s">
        <v>38</v>
      </c>
      <c r="D3587">
        <v>48</v>
      </c>
      <c r="E3587" s="5">
        <v>43704</v>
      </c>
      <c r="F3587">
        <v>53152001</v>
      </c>
      <c r="G3587" t="s">
        <v>1062</v>
      </c>
      <c r="H3587" t="s">
        <v>1119</v>
      </c>
      <c r="I3587" t="s">
        <v>1120</v>
      </c>
      <c r="J3587">
        <v>1001</v>
      </c>
      <c r="K3587">
        <v>5016</v>
      </c>
      <c r="L3587" s="3">
        <v>102560</v>
      </c>
      <c r="M3587" s="3">
        <v>37800</v>
      </c>
      <c r="N3587">
        <v>0</v>
      </c>
      <c r="O3587">
        <v>0</v>
      </c>
      <c r="P3587">
        <v>140360</v>
      </c>
      <c r="Q3587" t="s">
        <v>30</v>
      </c>
      <c r="R3587" t="s">
        <v>86</v>
      </c>
      <c r="S3587" t="str">
        <v>#N/A</v>
      </c>
      <c r="T3587" t="str">
        <v>13</v>
      </c>
    </row>
    <row r="3588" spans="1:20" ht="13.7" customHeight="1" x14ac:dyDescent="0.25">
      <c r="A3588" t="s">
        <v>26</v>
      </c>
      <c r="B3588" t="s">
        <v>27</v>
      </c>
      <c r="C3588" t="s">
        <v>40</v>
      </c>
      <c r="D3588">
        <v>43</v>
      </c>
      <c r="E3588" s="5">
        <v>43759</v>
      </c>
      <c r="F3588">
        <v>53152001</v>
      </c>
      <c r="G3588" t="s">
        <v>1062</v>
      </c>
      <c r="H3588" t="s">
        <v>1119</v>
      </c>
      <c r="I3588" t="s">
        <v>1120</v>
      </c>
      <c r="J3588">
        <v>1001</v>
      </c>
      <c r="K3588">
        <v>5016</v>
      </c>
      <c r="L3588" s="3">
        <v>140360</v>
      </c>
      <c r="M3588" s="3">
        <v>30240</v>
      </c>
      <c r="N3588">
        <v>0</v>
      </c>
      <c r="O3588">
        <v>0</v>
      </c>
      <c r="P3588">
        <v>170600</v>
      </c>
      <c r="Q3588" t="s">
        <v>30</v>
      </c>
      <c r="R3588" t="s">
        <v>86</v>
      </c>
      <c r="S3588" t="str">
        <v>#N/A</v>
      </c>
      <c r="T3588" t="str">
        <v>13</v>
      </c>
    </row>
    <row r="3589" spans="1:20" ht="13.7" customHeight="1" x14ac:dyDescent="0.25">
      <c r="E3589" s="5">
        <v>43465</v>
      </c>
      <c r="F3589">
        <v>53152001</v>
      </c>
      <c r="G3589" t="s">
        <v>1062</v>
      </c>
      <c r="H3589" t="s">
        <v>1499</v>
      </c>
      <c r="I3589" t="s">
        <v>1500</v>
      </c>
      <c r="J3589">
        <v>0</v>
      </c>
      <c r="K3589">
        <v>0</v>
      </c>
      <c r="L3589" s="3">
        <v>23601</v>
      </c>
      <c r="M3589" s="3">
        <v>0</v>
      </c>
      <c r="N3589">
        <v>0</v>
      </c>
      <c r="O3589">
        <v>0</v>
      </c>
      <c r="P3589">
        <v>23601</v>
      </c>
      <c r="R3589" t="s">
        <v>1100</v>
      </c>
      <c r="S3589" t="str">
        <v>#N/A</v>
      </c>
      <c r="T3589" t="str">
        <v>#N/A</v>
      </c>
    </row>
    <row r="3590" spans="1:20" ht="13.7" customHeight="1" x14ac:dyDescent="0.25">
      <c r="E3590" s="5">
        <v>43465</v>
      </c>
      <c r="F3590">
        <v>53152001</v>
      </c>
      <c r="G3590" t="s">
        <v>1062</v>
      </c>
      <c r="H3590" t="s">
        <v>1183</v>
      </c>
      <c r="I3590" t="s">
        <v>1184</v>
      </c>
      <c r="J3590">
        <v>0</v>
      </c>
      <c r="K3590">
        <v>0</v>
      </c>
      <c r="L3590" s="3">
        <v>0</v>
      </c>
      <c r="M3590" s="3">
        <v>0</v>
      </c>
      <c r="N3590">
        <v>0</v>
      </c>
      <c r="O3590">
        <v>0</v>
      </c>
      <c r="P3590">
        <v>0</v>
      </c>
      <c r="R3590" t="s">
        <v>1100</v>
      </c>
      <c r="S3590" t="str">
        <v>#N/A</v>
      </c>
      <c r="T3590" t="str">
        <v>#N/A</v>
      </c>
    </row>
    <row r="3591" spans="1:20" ht="13.7" customHeight="1" x14ac:dyDescent="0.25">
      <c r="A3591" t="s">
        <v>26</v>
      </c>
      <c r="B3591" t="s">
        <v>27</v>
      </c>
      <c r="C3591" t="s">
        <v>34</v>
      </c>
      <c r="D3591">
        <v>65</v>
      </c>
      <c r="E3591" s="5">
        <v>43584</v>
      </c>
      <c r="F3591">
        <v>53152001</v>
      </c>
      <c r="G3591" t="s">
        <v>1062</v>
      </c>
      <c r="H3591" t="s">
        <v>1183</v>
      </c>
      <c r="I3591" t="s">
        <v>1184</v>
      </c>
      <c r="J3591">
        <v>1001</v>
      </c>
      <c r="K3591">
        <v>5016</v>
      </c>
      <c r="L3591" s="3">
        <v>0</v>
      </c>
      <c r="M3591" s="3">
        <v>5306</v>
      </c>
      <c r="N3591">
        <v>0</v>
      </c>
      <c r="O3591">
        <v>0</v>
      </c>
      <c r="P3591">
        <v>5306</v>
      </c>
      <c r="Q3591" t="s">
        <v>30</v>
      </c>
      <c r="R3591" t="s">
        <v>255</v>
      </c>
      <c r="S3591" t="str">
        <v>#N/A</v>
      </c>
      <c r="T3591" t="str">
        <v>#N/A</v>
      </c>
    </row>
    <row r="3592" spans="1:20" ht="13.7" customHeight="1" x14ac:dyDescent="0.25">
      <c r="E3592" s="5">
        <v>43465</v>
      </c>
      <c r="F3592">
        <v>53152001</v>
      </c>
      <c r="G3592" t="s">
        <v>1062</v>
      </c>
      <c r="H3592" t="s">
        <v>1105</v>
      </c>
      <c r="I3592" t="s">
        <v>1106</v>
      </c>
      <c r="J3592">
        <v>0</v>
      </c>
      <c r="K3592">
        <v>0</v>
      </c>
      <c r="L3592" s="3">
        <v>95504</v>
      </c>
      <c r="M3592" s="3">
        <v>0</v>
      </c>
      <c r="N3592">
        <v>0</v>
      </c>
      <c r="O3592">
        <v>0</v>
      </c>
      <c r="P3592">
        <v>95504</v>
      </c>
      <c r="R3592" t="s">
        <v>1100</v>
      </c>
      <c r="S3592" t="str">
        <v>#N/A</v>
      </c>
      <c r="T3592" t="str">
        <v>#N/A</v>
      </c>
    </row>
    <row r="3593" spans="1:20" ht="13.7" customHeight="1" x14ac:dyDescent="0.25">
      <c r="A3593" t="s">
        <v>26</v>
      </c>
      <c r="B3593" t="s">
        <v>27</v>
      </c>
      <c r="C3593" t="s">
        <v>32</v>
      </c>
      <c r="D3593">
        <v>2</v>
      </c>
      <c r="E3593" s="5">
        <v>43497</v>
      </c>
      <c r="F3593">
        <v>53152001</v>
      </c>
      <c r="G3593" t="s">
        <v>1062</v>
      </c>
      <c r="H3593" t="s">
        <v>1105</v>
      </c>
      <c r="I3593" t="s">
        <v>1106</v>
      </c>
      <c r="J3593">
        <v>1001</v>
      </c>
      <c r="K3593">
        <v>5016</v>
      </c>
      <c r="L3593" s="3">
        <v>95504</v>
      </c>
      <c r="M3593" s="3">
        <v>75000</v>
      </c>
      <c r="N3593">
        <v>0</v>
      </c>
      <c r="O3593">
        <v>0</v>
      </c>
      <c r="P3593">
        <v>170504</v>
      </c>
      <c r="Q3593" t="s">
        <v>30</v>
      </c>
      <c r="R3593" t="s">
        <v>69</v>
      </c>
      <c r="S3593" t="str">
        <v>#N/A</v>
      </c>
      <c r="T3593" t="str">
        <v>#N/A</v>
      </c>
    </row>
    <row r="3594" spans="1:20" ht="13.7" customHeight="1" x14ac:dyDescent="0.25">
      <c r="A3594" t="s">
        <v>26</v>
      </c>
      <c r="B3594" t="s">
        <v>27</v>
      </c>
      <c r="C3594" t="s">
        <v>32</v>
      </c>
      <c r="D3594">
        <v>51</v>
      </c>
      <c r="E3594" s="5">
        <v>43521</v>
      </c>
      <c r="F3594">
        <v>53152001</v>
      </c>
      <c r="G3594" t="s">
        <v>1062</v>
      </c>
      <c r="H3594" t="s">
        <v>1105</v>
      </c>
      <c r="I3594" t="s">
        <v>1106</v>
      </c>
      <c r="J3594">
        <v>1001</v>
      </c>
      <c r="K3594">
        <v>5016</v>
      </c>
      <c r="L3594" s="3">
        <v>170504</v>
      </c>
      <c r="M3594" s="3">
        <v>61800</v>
      </c>
      <c r="N3594">
        <v>0</v>
      </c>
      <c r="O3594">
        <v>0</v>
      </c>
      <c r="P3594">
        <v>232304</v>
      </c>
      <c r="Q3594" t="s">
        <v>30</v>
      </c>
      <c r="R3594" t="s">
        <v>86</v>
      </c>
      <c r="S3594" t="str">
        <v>#N/A</v>
      </c>
      <c r="T3594" t="str">
        <v>#N/A</v>
      </c>
    </row>
    <row r="3595" spans="1:20" ht="13.7" customHeight="1" x14ac:dyDescent="0.25">
      <c r="A3595" t="s">
        <v>26</v>
      </c>
      <c r="B3595" t="s">
        <v>27</v>
      </c>
      <c r="C3595" t="s">
        <v>34</v>
      </c>
      <c r="D3595">
        <v>20</v>
      </c>
      <c r="E3595" s="5">
        <v>43565</v>
      </c>
      <c r="F3595">
        <v>53152001</v>
      </c>
      <c r="G3595" t="s">
        <v>1062</v>
      </c>
      <c r="H3595" t="s">
        <v>1105</v>
      </c>
      <c r="I3595" t="s">
        <v>1106</v>
      </c>
      <c r="J3595">
        <v>1001</v>
      </c>
      <c r="K3595">
        <v>5016</v>
      </c>
      <c r="L3595" s="3">
        <v>232304</v>
      </c>
      <c r="M3595" s="3">
        <v>1540</v>
      </c>
      <c r="N3595">
        <v>0</v>
      </c>
      <c r="O3595">
        <v>0</v>
      </c>
      <c r="P3595">
        <v>233844</v>
      </c>
      <c r="Q3595" t="s">
        <v>30</v>
      </c>
      <c r="R3595" t="s">
        <v>251</v>
      </c>
      <c r="S3595" t="str">
        <v>#N/A</v>
      </c>
      <c r="T3595" t="str">
        <v>#N/A</v>
      </c>
    </row>
    <row r="3596" spans="1:20" ht="13.7" customHeight="1" x14ac:dyDescent="0.25">
      <c r="A3596" t="s">
        <v>26</v>
      </c>
      <c r="B3596" t="s">
        <v>27</v>
      </c>
      <c r="C3596" t="s">
        <v>34</v>
      </c>
      <c r="D3596">
        <v>53</v>
      </c>
      <c r="E3596" s="5">
        <v>43578</v>
      </c>
      <c r="F3596">
        <v>53152001</v>
      </c>
      <c r="G3596" t="s">
        <v>1062</v>
      </c>
      <c r="H3596" t="s">
        <v>1105</v>
      </c>
      <c r="I3596" t="s">
        <v>1106</v>
      </c>
      <c r="J3596">
        <v>1001</v>
      </c>
      <c r="K3596">
        <v>5016</v>
      </c>
      <c r="L3596" s="3">
        <v>233844</v>
      </c>
      <c r="M3596" s="3">
        <v>8400</v>
      </c>
      <c r="N3596">
        <v>0</v>
      </c>
      <c r="O3596">
        <v>0</v>
      </c>
      <c r="P3596">
        <v>242244</v>
      </c>
      <c r="Q3596" t="s">
        <v>30</v>
      </c>
      <c r="R3596" t="s">
        <v>86</v>
      </c>
      <c r="S3596" t="str">
        <v>#N/A</v>
      </c>
      <c r="T3596" t="str">
        <v>#N/A</v>
      </c>
    </row>
    <row r="3597" spans="1:20" ht="13.7" customHeight="1" x14ac:dyDescent="0.25">
      <c r="A3597" t="s">
        <v>26</v>
      </c>
      <c r="B3597" t="s">
        <v>27</v>
      </c>
      <c r="C3597" t="s">
        <v>35</v>
      </c>
      <c r="D3597">
        <v>5</v>
      </c>
      <c r="E3597" s="5">
        <v>43612</v>
      </c>
      <c r="F3597">
        <v>53152001</v>
      </c>
      <c r="G3597" t="s">
        <v>1062</v>
      </c>
      <c r="H3597" t="s">
        <v>1105</v>
      </c>
      <c r="I3597" t="s">
        <v>1106</v>
      </c>
      <c r="J3597">
        <v>1001</v>
      </c>
      <c r="K3597">
        <v>5016</v>
      </c>
      <c r="L3597" s="3">
        <v>242244</v>
      </c>
      <c r="M3597" s="3">
        <v>38640</v>
      </c>
      <c r="N3597">
        <v>0</v>
      </c>
      <c r="O3597">
        <v>0</v>
      </c>
      <c r="P3597">
        <v>280884</v>
      </c>
      <c r="Q3597" t="s">
        <v>30</v>
      </c>
      <c r="R3597" t="s">
        <v>86</v>
      </c>
      <c r="S3597" t="str">
        <v>#N/A</v>
      </c>
      <c r="T3597" t="str">
        <v>#N/A</v>
      </c>
    </row>
    <row r="3598" spans="1:20" ht="13.7" customHeight="1" x14ac:dyDescent="0.25">
      <c r="A3598" t="s">
        <v>26</v>
      </c>
      <c r="B3598" t="s">
        <v>27</v>
      </c>
      <c r="C3598" t="s">
        <v>36</v>
      </c>
      <c r="D3598">
        <v>50</v>
      </c>
      <c r="E3598" s="5">
        <v>43638</v>
      </c>
      <c r="F3598">
        <v>53152001</v>
      </c>
      <c r="G3598" t="s">
        <v>1062</v>
      </c>
      <c r="H3598" t="s">
        <v>1105</v>
      </c>
      <c r="I3598" t="s">
        <v>1106</v>
      </c>
      <c r="J3598">
        <v>1001</v>
      </c>
      <c r="K3598">
        <v>5016</v>
      </c>
      <c r="L3598" s="3">
        <v>280884</v>
      </c>
      <c r="M3598" s="3">
        <v>25000</v>
      </c>
      <c r="N3598">
        <v>0</v>
      </c>
      <c r="O3598">
        <v>0</v>
      </c>
      <c r="P3598">
        <v>305884</v>
      </c>
      <c r="Q3598" t="s">
        <v>30</v>
      </c>
      <c r="R3598" t="s">
        <v>263</v>
      </c>
      <c r="S3598" t="str">
        <v>#N/A</v>
      </c>
      <c r="T3598" t="str">
        <v>#N/A</v>
      </c>
    </row>
    <row r="3599" spans="1:20" ht="13.7" customHeight="1" x14ac:dyDescent="0.25">
      <c r="A3599" t="s">
        <v>26</v>
      </c>
      <c r="B3599" t="s">
        <v>27</v>
      </c>
      <c r="C3599" t="s">
        <v>39</v>
      </c>
      <c r="D3599">
        <v>58</v>
      </c>
      <c r="E3599" s="5">
        <v>43736</v>
      </c>
      <c r="F3599">
        <v>53152001</v>
      </c>
      <c r="G3599" t="s">
        <v>1062</v>
      </c>
      <c r="H3599" t="s">
        <v>1105</v>
      </c>
      <c r="I3599" t="s">
        <v>1106</v>
      </c>
      <c r="J3599">
        <v>1001</v>
      </c>
      <c r="K3599">
        <v>5016</v>
      </c>
      <c r="L3599" s="3">
        <v>305884</v>
      </c>
      <c r="M3599" s="3">
        <v>37800</v>
      </c>
      <c r="N3599">
        <v>0</v>
      </c>
      <c r="O3599">
        <v>0</v>
      </c>
      <c r="P3599">
        <v>343684</v>
      </c>
      <c r="Q3599" t="s">
        <v>30</v>
      </c>
      <c r="R3599" t="s">
        <v>86</v>
      </c>
      <c r="S3599" t="str">
        <v>#N/A</v>
      </c>
      <c r="T3599" t="str">
        <v>#N/A</v>
      </c>
    </row>
    <row r="3600" spans="1:20" ht="13.7" customHeight="1" x14ac:dyDescent="0.25">
      <c r="A3600" t="s">
        <v>26</v>
      </c>
      <c r="B3600" t="s">
        <v>27</v>
      </c>
      <c r="C3600" t="s">
        <v>40</v>
      </c>
      <c r="D3600">
        <v>18</v>
      </c>
      <c r="E3600" s="5">
        <v>43749</v>
      </c>
      <c r="F3600">
        <v>53152001</v>
      </c>
      <c r="G3600" t="s">
        <v>1062</v>
      </c>
      <c r="H3600" t="s">
        <v>1105</v>
      </c>
      <c r="I3600" t="s">
        <v>1106</v>
      </c>
      <c r="J3600">
        <v>1001</v>
      </c>
      <c r="K3600">
        <v>5016</v>
      </c>
      <c r="L3600" s="3">
        <v>343684</v>
      </c>
      <c r="M3600" s="3">
        <v>5257.56</v>
      </c>
      <c r="N3600">
        <v>0</v>
      </c>
      <c r="O3600">
        <v>0</v>
      </c>
      <c r="P3600">
        <v>348941.56</v>
      </c>
      <c r="Q3600" t="s">
        <v>30</v>
      </c>
      <c r="R3600" t="s">
        <v>296</v>
      </c>
      <c r="S3600" t="str">
        <v>#N/A</v>
      </c>
      <c r="T3600" t="str">
        <v>#N/A</v>
      </c>
    </row>
    <row r="3601" spans="1:20" ht="13.7" customHeight="1" x14ac:dyDescent="0.25">
      <c r="A3601" t="s">
        <v>26</v>
      </c>
      <c r="B3601" t="s">
        <v>27</v>
      </c>
      <c r="C3601" t="s">
        <v>40</v>
      </c>
      <c r="D3601">
        <v>27</v>
      </c>
      <c r="E3601" s="5">
        <v>43754</v>
      </c>
      <c r="F3601">
        <v>53152001</v>
      </c>
      <c r="G3601" t="s">
        <v>1062</v>
      </c>
      <c r="H3601" t="s">
        <v>1105</v>
      </c>
      <c r="I3601" t="s">
        <v>1106</v>
      </c>
      <c r="J3601">
        <v>1001</v>
      </c>
      <c r="K3601">
        <v>5016</v>
      </c>
      <c r="L3601" s="3">
        <v>348941.56</v>
      </c>
      <c r="M3601" s="3">
        <v>125000</v>
      </c>
      <c r="N3601">
        <v>0</v>
      </c>
      <c r="O3601">
        <v>0</v>
      </c>
      <c r="P3601">
        <v>473941.56</v>
      </c>
      <c r="Q3601" t="s">
        <v>30</v>
      </c>
      <c r="R3601" t="s">
        <v>263</v>
      </c>
      <c r="S3601" t="str">
        <v>#N/A</v>
      </c>
      <c r="T3601" t="str">
        <v>#N/A</v>
      </c>
    </row>
    <row r="3602" spans="1:20" ht="13.7" customHeight="1" x14ac:dyDescent="0.25">
      <c r="A3602" t="s">
        <v>26</v>
      </c>
      <c r="B3602" t="s">
        <v>27</v>
      </c>
      <c r="C3602" t="s">
        <v>41</v>
      </c>
      <c r="D3602">
        <v>56</v>
      </c>
      <c r="E3602" s="5">
        <v>43792</v>
      </c>
      <c r="F3602">
        <v>53152001</v>
      </c>
      <c r="G3602" t="s">
        <v>1062</v>
      </c>
      <c r="H3602" t="s">
        <v>1105</v>
      </c>
      <c r="I3602" t="s">
        <v>1106</v>
      </c>
      <c r="J3602">
        <v>1001</v>
      </c>
      <c r="K3602">
        <v>5016</v>
      </c>
      <c r="L3602" s="3">
        <v>473941.56</v>
      </c>
      <c r="M3602" s="3">
        <v>37800</v>
      </c>
      <c r="N3602">
        <v>0</v>
      </c>
      <c r="O3602">
        <v>0</v>
      </c>
      <c r="P3602">
        <v>511741.56</v>
      </c>
      <c r="Q3602" t="s">
        <v>30</v>
      </c>
      <c r="R3602" t="s">
        <v>86</v>
      </c>
      <c r="S3602" t="str">
        <v>#N/A</v>
      </c>
      <c r="T3602" t="str">
        <v>#N/A</v>
      </c>
    </row>
    <row r="3603" spans="1:20" ht="13.7" customHeight="1" x14ac:dyDescent="0.25">
      <c r="A3603" t="s">
        <v>26</v>
      </c>
      <c r="B3603" t="s">
        <v>27</v>
      </c>
      <c r="C3603" t="s">
        <v>180</v>
      </c>
      <c r="D3603">
        <v>2</v>
      </c>
      <c r="E3603" s="5">
        <v>43801</v>
      </c>
      <c r="F3603">
        <v>53152001</v>
      </c>
      <c r="G3603" t="s">
        <v>1062</v>
      </c>
      <c r="H3603" t="s">
        <v>1105</v>
      </c>
      <c r="I3603" t="s">
        <v>1106</v>
      </c>
      <c r="J3603">
        <v>1001</v>
      </c>
      <c r="K3603">
        <v>5016</v>
      </c>
      <c r="L3603" s="3">
        <v>511741.56</v>
      </c>
      <c r="M3603" s="3">
        <v>8217</v>
      </c>
      <c r="N3603">
        <v>0</v>
      </c>
      <c r="O3603">
        <v>0</v>
      </c>
      <c r="P3603">
        <v>519958.56</v>
      </c>
      <c r="Q3603" t="s">
        <v>30</v>
      </c>
      <c r="R3603" t="s">
        <v>88</v>
      </c>
      <c r="S3603" t="str">
        <v>#N/A</v>
      </c>
      <c r="T3603" t="str">
        <v>#N/A</v>
      </c>
    </row>
    <row r="3604" spans="1:20" ht="13.7" customHeight="1" x14ac:dyDescent="0.25">
      <c r="A3604" t="s">
        <v>26</v>
      </c>
      <c r="B3604" t="s">
        <v>27</v>
      </c>
      <c r="C3604" t="s">
        <v>41</v>
      </c>
      <c r="D3604">
        <v>7</v>
      </c>
      <c r="E3604" s="5">
        <v>43803</v>
      </c>
      <c r="F3604">
        <v>53152001</v>
      </c>
      <c r="G3604" t="s">
        <v>1062</v>
      </c>
      <c r="H3604" t="s">
        <v>1105</v>
      </c>
      <c r="I3604" t="s">
        <v>1106</v>
      </c>
      <c r="J3604">
        <v>1001</v>
      </c>
      <c r="K3604">
        <v>5016</v>
      </c>
      <c r="L3604" s="3">
        <v>519958.56</v>
      </c>
      <c r="M3604" s="3">
        <v>2519.4</v>
      </c>
      <c r="N3604">
        <v>0</v>
      </c>
      <c r="O3604">
        <v>0</v>
      </c>
      <c r="P3604">
        <v>522477.96</v>
      </c>
      <c r="Q3604" t="s">
        <v>30</v>
      </c>
      <c r="R3604" t="s">
        <v>88</v>
      </c>
      <c r="S3604" t="str">
        <v>#N/A</v>
      </c>
      <c r="T3604" t="str">
        <v>#N/A</v>
      </c>
    </row>
    <row r="3605" spans="1:20" ht="13.7" customHeight="1" x14ac:dyDescent="0.25">
      <c r="A3605" t="s">
        <v>26</v>
      </c>
      <c r="B3605" t="s">
        <v>27</v>
      </c>
      <c r="C3605" t="s">
        <v>180</v>
      </c>
      <c r="D3605">
        <v>45</v>
      </c>
      <c r="E3605" s="5">
        <v>43816</v>
      </c>
      <c r="F3605">
        <v>53152001</v>
      </c>
      <c r="G3605" t="s">
        <v>1062</v>
      </c>
      <c r="H3605" t="s">
        <v>1105</v>
      </c>
      <c r="I3605" t="s">
        <v>1106</v>
      </c>
      <c r="J3605">
        <v>1001</v>
      </c>
      <c r="K3605">
        <v>5016</v>
      </c>
      <c r="L3605" s="3">
        <v>522477.96</v>
      </c>
      <c r="M3605" s="3">
        <v>75000</v>
      </c>
      <c r="N3605">
        <v>0</v>
      </c>
      <c r="O3605">
        <v>0</v>
      </c>
      <c r="P3605">
        <v>597477.96</v>
      </c>
      <c r="Q3605" t="s">
        <v>30</v>
      </c>
      <c r="R3605" t="s">
        <v>69</v>
      </c>
      <c r="S3605" t="str">
        <v>#N/A</v>
      </c>
      <c r="T3605" t="str">
        <v>#N/A</v>
      </c>
    </row>
    <row r="3606" spans="1:20" ht="13.7" customHeight="1" x14ac:dyDescent="0.25">
      <c r="A3606" t="s">
        <v>26</v>
      </c>
      <c r="B3606" t="s">
        <v>27</v>
      </c>
      <c r="C3606" t="s">
        <v>180</v>
      </c>
      <c r="D3606">
        <v>52</v>
      </c>
      <c r="E3606" s="5">
        <v>43818</v>
      </c>
      <c r="F3606">
        <v>53152001</v>
      </c>
      <c r="G3606" t="s">
        <v>1062</v>
      </c>
      <c r="H3606" t="s">
        <v>1105</v>
      </c>
      <c r="I3606" t="s">
        <v>1106</v>
      </c>
      <c r="J3606">
        <v>1001</v>
      </c>
      <c r="K3606">
        <v>5016</v>
      </c>
      <c r="L3606" s="3">
        <v>597477.96</v>
      </c>
      <c r="M3606" s="3">
        <v>5662</v>
      </c>
      <c r="N3606">
        <v>0</v>
      </c>
      <c r="O3606">
        <v>0</v>
      </c>
      <c r="P3606">
        <v>603139.96</v>
      </c>
      <c r="Q3606" t="s">
        <v>30</v>
      </c>
      <c r="R3606" t="s">
        <v>147</v>
      </c>
      <c r="S3606" t="str">
        <v>#N/A</v>
      </c>
      <c r="T3606" t="str">
        <v>#N/A</v>
      </c>
    </row>
    <row r="3607" spans="1:20" ht="13.7" customHeight="1" x14ac:dyDescent="0.25">
      <c r="A3607" t="s">
        <v>26</v>
      </c>
      <c r="B3607" t="s">
        <v>27</v>
      </c>
      <c r="C3607" t="s">
        <v>180</v>
      </c>
      <c r="D3607">
        <v>53</v>
      </c>
      <c r="E3607" s="5">
        <v>43818</v>
      </c>
      <c r="F3607">
        <v>53152001</v>
      </c>
      <c r="G3607" t="s">
        <v>1062</v>
      </c>
      <c r="H3607" t="s">
        <v>1105</v>
      </c>
      <c r="I3607" t="s">
        <v>1106</v>
      </c>
      <c r="J3607">
        <v>1001</v>
      </c>
      <c r="K3607">
        <v>5016</v>
      </c>
      <c r="L3607" s="3">
        <v>603139.96</v>
      </c>
      <c r="M3607" s="3">
        <v>35000</v>
      </c>
      <c r="N3607">
        <v>0</v>
      </c>
      <c r="O3607">
        <v>0</v>
      </c>
      <c r="P3607">
        <v>638139.96</v>
      </c>
      <c r="Q3607" t="s">
        <v>30</v>
      </c>
      <c r="R3607" t="s">
        <v>190</v>
      </c>
      <c r="S3607" t="str">
        <v>#N/A</v>
      </c>
      <c r="T3607" t="str">
        <v>#N/A</v>
      </c>
    </row>
    <row r="3608" spans="1:20" ht="13.7" customHeight="1" x14ac:dyDescent="0.25">
      <c r="A3608" t="s">
        <v>26</v>
      </c>
      <c r="B3608" t="s">
        <v>27</v>
      </c>
      <c r="C3608" t="s">
        <v>180</v>
      </c>
      <c r="D3608">
        <v>54</v>
      </c>
      <c r="E3608" s="5">
        <v>43819</v>
      </c>
      <c r="F3608">
        <v>53152001</v>
      </c>
      <c r="G3608" t="s">
        <v>1062</v>
      </c>
      <c r="H3608" t="s">
        <v>1105</v>
      </c>
      <c r="I3608" t="s">
        <v>1106</v>
      </c>
      <c r="J3608">
        <v>1001</v>
      </c>
      <c r="K3608">
        <v>5016</v>
      </c>
      <c r="L3608" s="3">
        <v>638139.96</v>
      </c>
      <c r="M3608" s="3">
        <v>70000</v>
      </c>
      <c r="N3608">
        <v>0</v>
      </c>
      <c r="O3608">
        <v>0</v>
      </c>
      <c r="P3608">
        <v>708139.96</v>
      </c>
      <c r="Q3608" t="s">
        <v>30</v>
      </c>
      <c r="R3608" t="s">
        <v>190</v>
      </c>
      <c r="S3608" t="str">
        <v>#N/A</v>
      </c>
      <c r="T3608" t="str">
        <v>#N/A</v>
      </c>
    </row>
    <row r="3609" spans="1:20" ht="13.7" customHeight="1" x14ac:dyDescent="0.25">
      <c r="A3609" t="s">
        <v>26</v>
      </c>
      <c r="B3609" t="s">
        <v>27</v>
      </c>
      <c r="C3609" t="s">
        <v>180</v>
      </c>
      <c r="D3609">
        <v>88</v>
      </c>
      <c r="E3609" s="5">
        <v>43829</v>
      </c>
      <c r="F3609">
        <v>53152001</v>
      </c>
      <c r="G3609" t="s">
        <v>1062</v>
      </c>
      <c r="H3609" t="s">
        <v>1105</v>
      </c>
      <c r="I3609" t="s">
        <v>1106</v>
      </c>
      <c r="J3609">
        <v>1001</v>
      </c>
      <c r="K3609">
        <v>5016</v>
      </c>
      <c r="L3609" s="3">
        <v>708139.96</v>
      </c>
      <c r="M3609" s="3">
        <v>37800</v>
      </c>
      <c r="N3609">
        <v>0</v>
      </c>
      <c r="O3609">
        <v>0</v>
      </c>
      <c r="P3609">
        <v>745939.96</v>
      </c>
      <c r="Q3609" t="s">
        <v>30</v>
      </c>
      <c r="R3609" t="s">
        <v>647</v>
      </c>
      <c r="S3609" t="str">
        <v>#N/A</v>
      </c>
      <c r="T3609" t="str">
        <v>#N/A</v>
      </c>
    </row>
    <row r="3610" spans="1:20" ht="13.7" customHeight="1" x14ac:dyDescent="0.25">
      <c r="E3610" s="5">
        <v>43465</v>
      </c>
      <c r="F3610">
        <v>53159501</v>
      </c>
      <c r="G3610" t="s">
        <v>1354</v>
      </c>
      <c r="H3610" t="s">
        <v>1098</v>
      </c>
      <c r="I3610" t="s">
        <v>1099</v>
      </c>
      <c r="J3610">
        <v>0</v>
      </c>
      <c r="K3610">
        <v>0</v>
      </c>
      <c r="L3610" s="3">
        <v>14500</v>
      </c>
      <c r="M3610" s="3">
        <v>0</v>
      </c>
      <c r="N3610">
        <v>0</v>
      </c>
      <c r="O3610">
        <v>0</v>
      </c>
      <c r="P3610">
        <v>14500</v>
      </c>
      <c r="R3610" t="s">
        <v>1100</v>
      </c>
      <c r="S3610" t="str">
        <v>#N/A</v>
      </c>
      <c r="T3610" t="str">
        <v>31</v>
      </c>
    </row>
    <row r="3611" spans="1:20" ht="13.7" customHeight="1" x14ac:dyDescent="0.25">
      <c r="E3611" s="5">
        <v>43465</v>
      </c>
      <c r="F3611">
        <v>53159501</v>
      </c>
      <c r="G3611" t="s">
        <v>1354</v>
      </c>
      <c r="H3611" t="s">
        <v>1105</v>
      </c>
      <c r="I3611" t="s">
        <v>1106</v>
      </c>
      <c r="J3611">
        <v>0</v>
      </c>
      <c r="K3611">
        <v>0</v>
      </c>
      <c r="L3611" s="3">
        <v>26000.01</v>
      </c>
      <c r="M3611" s="3">
        <v>0</v>
      </c>
      <c r="N3611">
        <v>0</v>
      </c>
      <c r="O3611">
        <v>0</v>
      </c>
      <c r="P3611">
        <v>26000.01</v>
      </c>
      <c r="R3611" t="s">
        <v>1100</v>
      </c>
      <c r="S3611" t="str">
        <v>#N/A</v>
      </c>
      <c r="T3611" t="str">
        <v>#N/A</v>
      </c>
    </row>
    <row r="3612" spans="1:20" ht="13.7" customHeight="1" x14ac:dyDescent="0.25">
      <c r="E3612" s="5">
        <v>43465</v>
      </c>
      <c r="F3612">
        <v>53952001</v>
      </c>
      <c r="G3612" t="s">
        <v>1355</v>
      </c>
      <c r="H3612" t="s">
        <v>1356</v>
      </c>
      <c r="I3612" t="s">
        <v>1357</v>
      </c>
      <c r="J3612">
        <v>0</v>
      </c>
      <c r="K3612">
        <v>0</v>
      </c>
      <c r="L3612" s="3">
        <v>416615</v>
      </c>
      <c r="M3612" s="3">
        <v>0</v>
      </c>
      <c r="N3612">
        <v>0</v>
      </c>
      <c r="O3612">
        <v>0</v>
      </c>
      <c r="P3612">
        <v>416615</v>
      </c>
      <c r="R3612" t="s">
        <v>1100</v>
      </c>
      <c r="S3612" t="str">
        <v>#N/A</v>
      </c>
      <c r="T3612" t="str">
        <v>#N/A</v>
      </c>
    </row>
    <row r="3613" spans="1:20" ht="13.7" customHeight="1" x14ac:dyDescent="0.25">
      <c r="E3613" s="5">
        <v>43465</v>
      </c>
      <c r="F3613">
        <v>61208701</v>
      </c>
      <c r="G3613" t="s">
        <v>1063</v>
      </c>
      <c r="H3613" t="s">
        <v>1358</v>
      </c>
      <c r="I3613" t="s">
        <v>1359</v>
      </c>
      <c r="J3613">
        <v>0</v>
      </c>
      <c r="K3613">
        <v>0</v>
      </c>
      <c r="L3613" s="3">
        <v>120000</v>
      </c>
      <c r="M3613" s="3">
        <v>0</v>
      </c>
      <c r="N3613">
        <v>0</v>
      </c>
      <c r="O3613">
        <v>0</v>
      </c>
      <c r="P3613">
        <v>120000</v>
      </c>
      <c r="R3613" t="s">
        <v>1100</v>
      </c>
      <c r="S3613" t="str">
        <v>#N/A</v>
      </c>
      <c r="T3613" t="str">
        <v>13</v>
      </c>
    </row>
    <row r="3614" spans="1:20" ht="13.7" customHeight="1" x14ac:dyDescent="0.25">
      <c r="E3614" s="5">
        <v>43465</v>
      </c>
      <c r="F3614">
        <v>61208701</v>
      </c>
      <c r="G3614" t="s">
        <v>1063</v>
      </c>
      <c r="H3614" t="s">
        <v>1360</v>
      </c>
      <c r="I3614" t="s">
        <v>1361</v>
      </c>
      <c r="J3614">
        <v>0</v>
      </c>
      <c r="K3614">
        <v>0</v>
      </c>
      <c r="L3614" s="3">
        <v>0</v>
      </c>
      <c r="M3614" s="3">
        <v>0</v>
      </c>
      <c r="N3614">
        <v>0</v>
      </c>
      <c r="O3614">
        <v>0</v>
      </c>
      <c r="P3614">
        <v>0</v>
      </c>
      <c r="R3614" t="s">
        <v>1100</v>
      </c>
      <c r="S3614" t="str">
        <v>#N/A</v>
      </c>
      <c r="T3614" t="str">
        <v>#N/A</v>
      </c>
    </row>
    <row r="3615" spans="1:20" ht="13.7" customHeight="1" x14ac:dyDescent="0.25">
      <c r="A3615" t="s">
        <v>26</v>
      </c>
      <c r="B3615" t="s">
        <v>27</v>
      </c>
      <c r="C3615" t="s">
        <v>39</v>
      </c>
      <c r="D3615">
        <v>39</v>
      </c>
      <c r="E3615" s="5">
        <v>43728</v>
      </c>
      <c r="F3615">
        <v>61208701</v>
      </c>
      <c r="G3615" t="s">
        <v>1063</v>
      </c>
      <c r="H3615" t="s">
        <v>1360</v>
      </c>
      <c r="I3615" t="s">
        <v>1361</v>
      </c>
      <c r="J3615">
        <v>1001</v>
      </c>
      <c r="K3615">
        <v>5016</v>
      </c>
      <c r="L3615" s="3">
        <v>0</v>
      </c>
      <c r="M3615" s="3">
        <v>192500</v>
      </c>
      <c r="N3615">
        <v>0</v>
      </c>
      <c r="O3615">
        <v>0</v>
      </c>
      <c r="P3615">
        <v>192500</v>
      </c>
      <c r="Q3615" t="s">
        <v>30</v>
      </c>
      <c r="R3615" t="s">
        <v>640</v>
      </c>
      <c r="S3615" t="str">
        <v>#N/A</v>
      </c>
      <c r="T3615" t="str">
        <v>#N/A</v>
      </c>
    </row>
    <row r="3616" spans="1:20" ht="13.7" customHeight="1" x14ac:dyDescent="0.25">
      <c r="E3616" s="5">
        <v>43465</v>
      </c>
      <c r="F3616">
        <v>61208701</v>
      </c>
      <c r="G3616" t="s">
        <v>1063</v>
      </c>
      <c r="H3616" t="s">
        <v>1181</v>
      </c>
      <c r="I3616" t="s">
        <v>1182</v>
      </c>
      <c r="J3616">
        <v>0</v>
      </c>
      <c r="K3616">
        <v>0</v>
      </c>
      <c r="L3616" s="3">
        <v>0</v>
      </c>
      <c r="M3616" s="3">
        <v>0</v>
      </c>
      <c r="N3616">
        <v>0</v>
      </c>
      <c r="O3616">
        <v>0</v>
      </c>
      <c r="P3616">
        <v>0</v>
      </c>
      <c r="R3616" t="s">
        <v>1100</v>
      </c>
      <c r="S3616" t="str">
        <v>#N/A</v>
      </c>
      <c r="T3616" t="str">
        <v>#N/A</v>
      </c>
    </row>
    <row r="3617" spans="1:20" ht="13.7" customHeight="1" x14ac:dyDescent="0.25">
      <c r="A3617" t="s">
        <v>26</v>
      </c>
      <c r="B3617" t="s">
        <v>27</v>
      </c>
      <c r="C3617" t="s">
        <v>91</v>
      </c>
      <c r="D3617">
        <v>61</v>
      </c>
      <c r="E3617" s="5">
        <v>43552</v>
      </c>
      <c r="F3617">
        <v>61208701</v>
      </c>
      <c r="G3617" t="s">
        <v>1063</v>
      </c>
      <c r="H3617" t="s">
        <v>1181</v>
      </c>
      <c r="I3617" t="s">
        <v>1182</v>
      </c>
      <c r="J3617">
        <v>1001</v>
      </c>
      <c r="K3617">
        <v>5016</v>
      </c>
      <c r="L3617" s="3">
        <v>0</v>
      </c>
      <c r="M3617" s="3">
        <v>695179</v>
      </c>
      <c r="N3617">
        <v>0</v>
      </c>
      <c r="O3617">
        <v>0</v>
      </c>
      <c r="P3617">
        <v>695179</v>
      </c>
      <c r="Q3617" t="s">
        <v>30</v>
      </c>
      <c r="R3617" t="s">
        <v>110</v>
      </c>
      <c r="S3617" t="str">
        <v>#N/A</v>
      </c>
      <c r="T3617" t="str">
        <v>#N/A</v>
      </c>
    </row>
    <row r="3618" spans="1:20" ht="13.7" customHeight="1" x14ac:dyDescent="0.25">
      <c r="E3618" s="5">
        <v>43465</v>
      </c>
      <c r="F3618">
        <v>61208701</v>
      </c>
      <c r="G3618" t="s">
        <v>1063</v>
      </c>
      <c r="H3618" t="s">
        <v>1747</v>
      </c>
      <c r="I3618" t="s">
        <v>1748</v>
      </c>
      <c r="J3618">
        <v>0</v>
      </c>
      <c r="K3618">
        <v>0</v>
      </c>
      <c r="L3618" s="3">
        <v>38000</v>
      </c>
      <c r="M3618" s="3">
        <v>0</v>
      </c>
      <c r="N3618">
        <v>0</v>
      </c>
      <c r="O3618">
        <v>0</v>
      </c>
      <c r="P3618">
        <v>38000</v>
      </c>
      <c r="R3618" t="s">
        <v>1100</v>
      </c>
      <c r="S3618" t="str">
        <v>#N/A</v>
      </c>
      <c r="T3618" t="str">
        <v>#N/A</v>
      </c>
    </row>
    <row r="3619" spans="1:20" ht="13.7" customHeight="1" x14ac:dyDescent="0.25">
      <c r="E3619" s="5">
        <v>43465</v>
      </c>
      <c r="F3619">
        <v>61208701</v>
      </c>
      <c r="G3619" t="s">
        <v>1063</v>
      </c>
      <c r="H3619" t="s">
        <v>1205</v>
      </c>
      <c r="I3619" t="s">
        <v>1206</v>
      </c>
      <c r="J3619">
        <v>0</v>
      </c>
      <c r="K3619">
        <v>0</v>
      </c>
      <c r="L3619" s="3">
        <v>7563</v>
      </c>
      <c r="M3619" s="3">
        <v>0</v>
      </c>
      <c r="N3619">
        <v>0</v>
      </c>
      <c r="O3619">
        <v>0</v>
      </c>
      <c r="P3619">
        <v>7563</v>
      </c>
      <c r="R3619" t="s">
        <v>1100</v>
      </c>
      <c r="S3619" t="str">
        <v>#N/A</v>
      </c>
      <c r="T3619" t="str">
        <v>#N/A</v>
      </c>
    </row>
    <row r="3620" spans="1:20" ht="13.7" customHeight="1" x14ac:dyDescent="0.25">
      <c r="E3620" s="5">
        <v>43465</v>
      </c>
      <c r="F3620">
        <v>61208701</v>
      </c>
      <c r="G3620" t="s">
        <v>1063</v>
      </c>
      <c r="H3620" t="s">
        <v>1505</v>
      </c>
      <c r="I3620" t="s">
        <v>1506</v>
      </c>
      <c r="J3620">
        <v>0</v>
      </c>
      <c r="K3620">
        <v>0</v>
      </c>
      <c r="L3620" s="3">
        <v>60000</v>
      </c>
      <c r="M3620" s="3">
        <v>0</v>
      </c>
      <c r="N3620">
        <v>0</v>
      </c>
      <c r="O3620">
        <v>0</v>
      </c>
      <c r="P3620">
        <v>60000</v>
      </c>
      <c r="R3620" t="s">
        <v>1100</v>
      </c>
      <c r="S3620" t="str">
        <v>#N/A</v>
      </c>
      <c r="T3620" t="str">
        <v>#N/A</v>
      </c>
    </row>
    <row r="3621" spans="1:20" ht="13.7" customHeight="1" x14ac:dyDescent="0.25">
      <c r="E3621" s="5">
        <v>43465</v>
      </c>
      <c r="F3621">
        <v>61208701</v>
      </c>
      <c r="G3621" t="s">
        <v>1063</v>
      </c>
      <c r="H3621" t="s">
        <v>1386</v>
      </c>
      <c r="I3621" t="s">
        <v>1387</v>
      </c>
      <c r="J3621">
        <v>0</v>
      </c>
      <c r="K3621">
        <v>0</v>
      </c>
      <c r="L3621" s="3">
        <v>4800</v>
      </c>
      <c r="M3621" s="3">
        <v>0</v>
      </c>
      <c r="N3621">
        <v>0</v>
      </c>
      <c r="O3621">
        <v>0</v>
      </c>
      <c r="P3621">
        <v>4800</v>
      </c>
      <c r="R3621" t="s">
        <v>1100</v>
      </c>
      <c r="S3621" t="str">
        <v>#N/A</v>
      </c>
      <c r="T3621" t="str">
        <v>#N/A</v>
      </c>
    </row>
    <row r="3622" spans="1:20" ht="13.7" customHeight="1" x14ac:dyDescent="0.25">
      <c r="E3622" s="5">
        <v>43465</v>
      </c>
      <c r="F3622">
        <v>61208701</v>
      </c>
      <c r="G3622" t="s">
        <v>1063</v>
      </c>
      <c r="H3622" t="s">
        <v>1179</v>
      </c>
      <c r="I3622" t="s">
        <v>1180</v>
      </c>
      <c r="J3622">
        <v>0</v>
      </c>
      <c r="K3622">
        <v>0</v>
      </c>
      <c r="L3622" s="3">
        <v>3702860</v>
      </c>
      <c r="M3622" s="3">
        <v>0</v>
      </c>
      <c r="N3622">
        <v>0</v>
      </c>
      <c r="O3622">
        <v>0</v>
      </c>
      <c r="P3622">
        <v>3702860</v>
      </c>
      <c r="R3622" t="s">
        <v>1100</v>
      </c>
      <c r="S3622" t="str">
        <v>#N/A</v>
      </c>
      <c r="T3622" t="str">
        <v>13</v>
      </c>
    </row>
    <row r="3623" spans="1:20" ht="13.7" customHeight="1" x14ac:dyDescent="0.25">
      <c r="E3623" s="5">
        <v>43465</v>
      </c>
      <c r="F3623">
        <v>61208701</v>
      </c>
      <c r="G3623" t="s">
        <v>1063</v>
      </c>
      <c r="H3623" t="s">
        <v>1549</v>
      </c>
      <c r="I3623" t="s">
        <v>1550</v>
      </c>
      <c r="J3623">
        <v>0</v>
      </c>
      <c r="K3623">
        <v>0</v>
      </c>
      <c r="L3623" s="3">
        <v>73000</v>
      </c>
      <c r="M3623" s="3">
        <v>0</v>
      </c>
      <c r="N3623">
        <v>0</v>
      </c>
      <c r="O3623">
        <v>0</v>
      </c>
      <c r="P3623">
        <v>73000</v>
      </c>
      <c r="R3623" t="s">
        <v>1100</v>
      </c>
      <c r="S3623" t="str">
        <v>#N/A</v>
      </c>
      <c r="T3623" t="str">
        <v>#N/A</v>
      </c>
    </row>
    <row r="3624" spans="1:20" ht="13.7" customHeight="1" x14ac:dyDescent="0.25">
      <c r="E3624" s="5">
        <v>43465</v>
      </c>
      <c r="F3624">
        <v>61208701</v>
      </c>
      <c r="G3624" t="s">
        <v>1063</v>
      </c>
      <c r="H3624" t="s">
        <v>1555</v>
      </c>
      <c r="I3624" t="s">
        <v>1556</v>
      </c>
      <c r="J3624">
        <v>0</v>
      </c>
      <c r="K3624">
        <v>0</v>
      </c>
      <c r="L3624" s="3">
        <v>4202</v>
      </c>
      <c r="M3624" s="3">
        <v>0</v>
      </c>
      <c r="N3624">
        <v>0</v>
      </c>
      <c r="O3624">
        <v>0</v>
      </c>
      <c r="P3624">
        <v>4202</v>
      </c>
      <c r="R3624" t="s">
        <v>1100</v>
      </c>
      <c r="S3624" t="str">
        <v>#N/A</v>
      </c>
      <c r="T3624" t="str">
        <v>#N/A</v>
      </c>
    </row>
    <row r="3625" spans="1:20" ht="13.7" customHeight="1" x14ac:dyDescent="0.25">
      <c r="E3625" s="5">
        <v>43465</v>
      </c>
      <c r="F3625">
        <v>61208701</v>
      </c>
      <c r="G3625" t="s">
        <v>1063</v>
      </c>
      <c r="H3625" t="s">
        <v>1376</v>
      </c>
      <c r="I3625" t="s">
        <v>1377</v>
      </c>
      <c r="J3625">
        <v>0</v>
      </c>
      <c r="K3625">
        <v>0</v>
      </c>
      <c r="L3625" s="3">
        <v>32000</v>
      </c>
      <c r="M3625" s="3">
        <v>0</v>
      </c>
      <c r="N3625">
        <v>0</v>
      </c>
      <c r="O3625">
        <v>0</v>
      </c>
      <c r="P3625">
        <v>32000</v>
      </c>
      <c r="R3625" t="s">
        <v>1100</v>
      </c>
      <c r="S3625" t="str">
        <v>#N/A</v>
      </c>
      <c r="T3625" t="str">
        <v>#N/A</v>
      </c>
    </row>
    <row r="3626" spans="1:20" ht="13.7" customHeight="1" x14ac:dyDescent="0.25">
      <c r="E3626" s="5">
        <v>43465</v>
      </c>
      <c r="F3626">
        <v>61208701</v>
      </c>
      <c r="G3626" t="s">
        <v>1063</v>
      </c>
      <c r="H3626" t="s">
        <v>1317</v>
      </c>
      <c r="I3626" t="s">
        <v>1318</v>
      </c>
      <c r="J3626">
        <v>0</v>
      </c>
      <c r="K3626">
        <v>0</v>
      </c>
      <c r="L3626" s="3">
        <v>150000</v>
      </c>
      <c r="M3626" s="3">
        <v>0</v>
      </c>
      <c r="N3626">
        <v>0</v>
      </c>
      <c r="O3626">
        <v>0</v>
      </c>
      <c r="P3626">
        <v>150000</v>
      </c>
      <c r="R3626" t="s">
        <v>1100</v>
      </c>
      <c r="S3626" t="str">
        <v>#N/A</v>
      </c>
      <c r="T3626" t="str">
        <v>13</v>
      </c>
    </row>
    <row r="3627" spans="1:20" ht="13.7" customHeight="1" x14ac:dyDescent="0.25">
      <c r="E3627" s="5">
        <v>43465</v>
      </c>
      <c r="F3627">
        <v>61208701</v>
      </c>
      <c r="G3627" t="s">
        <v>1063</v>
      </c>
      <c r="H3627" t="s">
        <v>1231</v>
      </c>
      <c r="I3627" t="s">
        <v>1232</v>
      </c>
      <c r="J3627">
        <v>0</v>
      </c>
      <c r="K3627">
        <v>0</v>
      </c>
      <c r="L3627" s="3">
        <v>6302</v>
      </c>
      <c r="M3627" s="3">
        <v>0</v>
      </c>
      <c r="N3627">
        <v>0</v>
      </c>
      <c r="O3627">
        <v>0</v>
      </c>
      <c r="P3627">
        <v>6302</v>
      </c>
      <c r="R3627" t="s">
        <v>1100</v>
      </c>
      <c r="S3627" t="str">
        <v>#N/A</v>
      </c>
      <c r="T3627" t="str">
        <v>#N/A</v>
      </c>
    </row>
    <row r="3628" spans="1:20" ht="13.7" customHeight="1" x14ac:dyDescent="0.25">
      <c r="A3628" t="s">
        <v>26</v>
      </c>
      <c r="B3628" t="s">
        <v>27</v>
      </c>
      <c r="C3628" t="s">
        <v>91</v>
      </c>
      <c r="D3628">
        <v>27</v>
      </c>
      <c r="E3628" s="5">
        <v>43533</v>
      </c>
      <c r="F3628">
        <v>61208701</v>
      </c>
      <c r="G3628" t="s">
        <v>1063</v>
      </c>
      <c r="H3628" t="s">
        <v>1231</v>
      </c>
      <c r="I3628" t="s">
        <v>1232</v>
      </c>
      <c r="J3628">
        <v>1001</v>
      </c>
      <c r="K3628">
        <v>5016</v>
      </c>
      <c r="L3628" s="3">
        <v>6302</v>
      </c>
      <c r="M3628" s="3">
        <v>12605</v>
      </c>
      <c r="N3628">
        <v>0</v>
      </c>
      <c r="O3628">
        <v>0</v>
      </c>
      <c r="P3628">
        <v>18907</v>
      </c>
      <c r="Q3628" t="s">
        <v>30</v>
      </c>
      <c r="R3628" t="s">
        <v>96</v>
      </c>
      <c r="S3628" t="str">
        <v>#N/A</v>
      </c>
      <c r="T3628" t="str">
        <v>#N/A</v>
      </c>
    </row>
    <row r="3629" spans="1:20" ht="13.7" customHeight="1" x14ac:dyDescent="0.25">
      <c r="E3629" s="5">
        <v>43465</v>
      </c>
      <c r="F3629">
        <v>61208701</v>
      </c>
      <c r="G3629" t="s">
        <v>1063</v>
      </c>
      <c r="H3629" t="s">
        <v>1749</v>
      </c>
      <c r="I3629" t="s">
        <v>1750</v>
      </c>
      <c r="J3629">
        <v>0</v>
      </c>
      <c r="K3629">
        <v>0</v>
      </c>
      <c r="L3629" s="3">
        <v>50000</v>
      </c>
      <c r="M3629" s="3">
        <v>0</v>
      </c>
      <c r="N3629">
        <v>0</v>
      </c>
      <c r="O3629">
        <v>0</v>
      </c>
      <c r="P3629">
        <v>50000</v>
      </c>
      <c r="R3629" t="s">
        <v>1100</v>
      </c>
      <c r="S3629" t="str">
        <v>#N/A</v>
      </c>
      <c r="T3629" t="str">
        <v>#N/A</v>
      </c>
    </row>
    <row r="3630" spans="1:20" ht="13.7" customHeight="1" x14ac:dyDescent="0.25">
      <c r="E3630" s="5">
        <v>43465</v>
      </c>
      <c r="F3630">
        <v>61208701</v>
      </c>
      <c r="G3630" t="s">
        <v>1063</v>
      </c>
      <c r="H3630" t="s">
        <v>1195</v>
      </c>
      <c r="I3630" t="s">
        <v>1196</v>
      </c>
      <c r="J3630">
        <v>0</v>
      </c>
      <c r="K3630">
        <v>0</v>
      </c>
      <c r="L3630" s="3">
        <v>617648</v>
      </c>
      <c r="M3630" s="3">
        <v>0</v>
      </c>
      <c r="N3630">
        <v>0</v>
      </c>
      <c r="O3630">
        <v>0</v>
      </c>
      <c r="P3630">
        <v>617648</v>
      </c>
      <c r="R3630" t="s">
        <v>1100</v>
      </c>
      <c r="S3630" t="str">
        <v>#N/A</v>
      </c>
      <c r="T3630" t="str">
        <v>13</v>
      </c>
    </row>
    <row r="3631" spans="1:20" ht="13.7" customHeight="1" x14ac:dyDescent="0.25">
      <c r="E3631" s="5">
        <v>43465</v>
      </c>
      <c r="F3631">
        <v>61208701</v>
      </c>
      <c r="G3631" t="s">
        <v>1063</v>
      </c>
      <c r="H3631" t="s">
        <v>1362</v>
      </c>
      <c r="I3631" t="s">
        <v>1363</v>
      </c>
      <c r="J3631">
        <v>0</v>
      </c>
      <c r="K3631">
        <v>0</v>
      </c>
      <c r="L3631" s="3">
        <v>0</v>
      </c>
      <c r="M3631" s="3">
        <v>0</v>
      </c>
      <c r="N3631">
        <v>0</v>
      </c>
      <c r="O3631">
        <v>0</v>
      </c>
      <c r="P3631">
        <v>0</v>
      </c>
      <c r="R3631" t="s">
        <v>1100</v>
      </c>
      <c r="S3631" t="str">
        <v>#N/A</v>
      </c>
      <c r="T3631" t="str">
        <v>#N/A</v>
      </c>
    </row>
    <row r="3632" spans="1:20" ht="13.7" customHeight="1" x14ac:dyDescent="0.25">
      <c r="A3632" t="s">
        <v>26</v>
      </c>
      <c r="B3632" t="s">
        <v>27</v>
      </c>
      <c r="C3632" t="s">
        <v>39</v>
      </c>
      <c r="D3632">
        <v>45</v>
      </c>
      <c r="E3632" s="5">
        <v>43731</v>
      </c>
      <c r="F3632">
        <v>61208701</v>
      </c>
      <c r="G3632" t="s">
        <v>1063</v>
      </c>
      <c r="H3632" t="s">
        <v>1362</v>
      </c>
      <c r="I3632" t="s">
        <v>1363</v>
      </c>
      <c r="J3632">
        <v>1001</v>
      </c>
      <c r="K3632">
        <v>5016</v>
      </c>
      <c r="L3632" s="3">
        <v>0</v>
      </c>
      <c r="M3632" s="3">
        <v>14748</v>
      </c>
      <c r="N3632">
        <v>0</v>
      </c>
      <c r="O3632">
        <v>0</v>
      </c>
      <c r="P3632">
        <v>14748</v>
      </c>
      <c r="Q3632" t="s">
        <v>30</v>
      </c>
      <c r="R3632" t="s">
        <v>568</v>
      </c>
      <c r="S3632" t="str">
        <v>#N/A</v>
      </c>
      <c r="T3632" t="str">
        <v>#N/A</v>
      </c>
    </row>
    <row r="3633" spans="1:20" ht="13.7" customHeight="1" x14ac:dyDescent="0.25">
      <c r="E3633" s="5">
        <v>43465</v>
      </c>
      <c r="F3633">
        <v>61208701</v>
      </c>
      <c r="G3633" t="s">
        <v>1063</v>
      </c>
      <c r="H3633" t="s">
        <v>1751</v>
      </c>
      <c r="I3633" t="s">
        <v>1752</v>
      </c>
      <c r="J3633">
        <v>0</v>
      </c>
      <c r="K3633">
        <v>0</v>
      </c>
      <c r="L3633" s="3">
        <v>22700</v>
      </c>
      <c r="M3633" s="3">
        <v>0</v>
      </c>
      <c r="N3633">
        <v>0</v>
      </c>
      <c r="O3633">
        <v>0</v>
      </c>
      <c r="P3633">
        <v>22700</v>
      </c>
      <c r="R3633" t="s">
        <v>1100</v>
      </c>
      <c r="S3633" t="str">
        <v>#N/A</v>
      </c>
      <c r="T3633" t="str">
        <v>#N/A</v>
      </c>
    </row>
    <row r="3634" spans="1:20" ht="13.7" customHeight="1" x14ac:dyDescent="0.25">
      <c r="E3634" s="5">
        <v>43465</v>
      </c>
      <c r="F3634">
        <v>61208701</v>
      </c>
      <c r="G3634" t="s">
        <v>1063</v>
      </c>
      <c r="H3634" t="s">
        <v>1111</v>
      </c>
      <c r="I3634" t="s">
        <v>1112</v>
      </c>
      <c r="J3634">
        <v>0</v>
      </c>
      <c r="K3634">
        <v>0</v>
      </c>
      <c r="L3634" s="3">
        <v>37800</v>
      </c>
      <c r="M3634" s="3">
        <v>0</v>
      </c>
      <c r="N3634">
        <v>0</v>
      </c>
      <c r="O3634">
        <v>0</v>
      </c>
      <c r="P3634">
        <v>37800</v>
      </c>
      <c r="R3634" t="s">
        <v>1100</v>
      </c>
      <c r="S3634" t="str">
        <v>#N/A</v>
      </c>
      <c r="T3634" t="str">
        <v>#N/A</v>
      </c>
    </row>
    <row r="3635" spans="1:20" ht="13.7" customHeight="1" x14ac:dyDescent="0.25">
      <c r="A3635" t="s">
        <v>26</v>
      </c>
      <c r="B3635" t="s">
        <v>27</v>
      </c>
      <c r="C3635" t="s">
        <v>91</v>
      </c>
      <c r="D3635">
        <v>31</v>
      </c>
      <c r="E3635" s="5">
        <v>43536</v>
      </c>
      <c r="F3635">
        <v>61208701</v>
      </c>
      <c r="G3635" t="s">
        <v>1063</v>
      </c>
      <c r="H3635" t="s">
        <v>1111</v>
      </c>
      <c r="I3635" t="s">
        <v>1112</v>
      </c>
      <c r="J3635">
        <v>1001</v>
      </c>
      <c r="K3635">
        <v>5016</v>
      </c>
      <c r="L3635" s="3">
        <v>37800</v>
      </c>
      <c r="M3635" s="3">
        <v>151200</v>
      </c>
      <c r="N3635">
        <v>0</v>
      </c>
      <c r="O3635">
        <v>0</v>
      </c>
      <c r="P3635">
        <v>189000</v>
      </c>
      <c r="Q3635" t="s">
        <v>30</v>
      </c>
      <c r="R3635" t="s">
        <v>98</v>
      </c>
      <c r="S3635" t="str">
        <v>#N/A</v>
      </c>
      <c r="T3635" t="str">
        <v>#N/A</v>
      </c>
    </row>
    <row r="3636" spans="1:20" ht="13.7" customHeight="1" x14ac:dyDescent="0.25">
      <c r="E3636" s="5">
        <v>43465</v>
      </c>
      <c r="F3636">
        <v>61208701</v>
      </c>
      <c r="G3636" t="s">
        <v>1063</v>
      </c>
      <c r="H3636" t="s">
        <v>1364</v>
      </c>
      <c r="I3636" t="s">
        <v>1365</v>
      </c>
      <c r="J3636">
        <v>0</v>
      </c>
      <c r="K3636">
        <v>0</v>
      </c>
      <c r="L3636" s="3">
        <v>3361</v>
      </c>
      <c r="M3636" s="3">
        <v>0</v>
      </c>
      <c r="N3636">
        <v>0</v>
      </c>
      <c r="O3636">
        <v>0</v>
      </c>
      <c r="P3636">
        <v>3361</v>
      </c>
      <c r="R3636" t="s">
        <v>1100</v>
      </c>
      <c r="S3636" t="str">
        <v>#N/A</v>
      </c>
      <c r="T3636" t="str">
        <v>#N/A</v>
      </c>
    </row>
    <row r="3637" spans="1:20" ht="13.7" customHeight="1" x14ac:dyDescent="0.25">
      <c r="A3637" t="s">
        <v>26</v>
      </c>
      <c r="B3637" t="s">
        <v>27</v>
      </c>
      <c r="C3637" t="s">
        <v>40</v>
      </c>
      <c r="D3637">
        <v>16</v>
      </c>
      <c r="E3637" s="5">
        <v>43746</v>
      </c>
      <c r="F3637">
        <v>61208701</v>
      </c>
      <c r="G3637" t="s">
        <v>1063</v>
      </c>
      <c r="H3637" t="s">
        <v>1364</v>
      </c>
      <c r="I3637" t="s">
        <v>1365</v>
      </c>
      <c r="J3637">
        <v>1001</v>
      </c>
      <c r="K3637">
        <v>5016</v>
      </c>
      <c r="L3637" s="3">
        <v>3361</v>
      </c>
      <c r="M3637" s="3">
        <v>5589</v>
      </c>
      <c r="N3637">
        <v>0</v>
      </c>
      <c r="O3637">
        <v>0</v>
      </c>
      <c r="P3637">
        <v>8950</v>
      </c>
      <c r="Q3637" t="s">
        <v>30</v>
      </c>
      <c r="R3637" t="s">
        <v>165</v>
      </c>
      <c r="S3637" t="str">
        <v>#N/A</v>
      </c>
      <c r="T3637" t="str">
        <v>#N/A</v>
      </c>
    </row>
    <row r="3638" spans="1:20" ht="13.7" customHeight="1" x14ac:dyDescent="0.25">
      <c r="A3638" t="s">
        <v>26</v>
      </c>
      <c r="B3638" t="s">
        <v>27</v>
      </c>
      <c r="C3638" t="s">
        <v>40</v>
      </c>
      <c r="D3638">
        <v>20</v>
      </c>
      <c r="E3638" s="5">
        <v>43750</v>
      </c>
      <c r="F3638">
        <v>61208701</v>
      </c>
      <c r="G3638" t="s">
        <v>1063</v>
      </c>
      <c r="H3638" t="s">
        <v>1364</v>
      </c>
      <c r="I3638" t="s">
        <v>1365</v>
      </c>
      <c r="J3638">
        <v>1001</v>
      </c>
      <c r="K3638">
        <v>5016</v>
      </c>
      <c r="L3638" s="3">
        <v>8950</v>
      </c>
      <c r="M3638" s="3">
        <v>294</v>
      </c>
      <c r="N3638">
        <v>0</v>
      </c>
      <c r="O3638">
        <v>0</v>
      </c>
      <c r="P3638">
        <v>9244</v>
      </c>
      <c r="Q3638" t="s">
        <v>30</v>
      </c>
      <c r="R3638" t="s">
        <v>166</v>
      </c>
      <c r="S3638" t="str">
        <v>#N/A</v>
      </c>
      <c r="T3638" t="str">
        <v>#N/A</v>
      </c>
    </row>
    <row r="3639" spans="1:20" ht="13.7" customHeight="1" x14ac:dyDescent="0.25">
      <c r="A3639" t="s">
        <v>26</v>
      </c>
      <c r="B3639" t="s">
        <v>27</v>
      </c>
      <c r="C3639" t="s">
        <v>40</v>
      </c>
      <c r="D3639">
        <v>42</v>
      </c>
      <c r="E3639" s="5">
        <v>43758</v>
      </c>
      <c r="F3639">
        <v>61208701</v>
      </c>
      <c r="G3639" t="s">
        <v>1063</v>
      </c>
      <c r="H3639" t="s">
        <v>1364</v>
      </c>
      <c r="I3639" t="s">
        <v>1365</v>
      </c>
      <c r="J3639">
        <v>1001</v>
      </c>
      <c r="K3639">
        <v>5016</v>
      </c>
      <c r="L3639" s="3">
        <v>9244</v>
      </c>
      <c r="M3639" s="3">
        <v>2588</v>
      </c>
      <c r="N3639">
        <v>0</v>
      </c>
      <c r="O3639">
        <v>0</v>
      </c>
      <c r="P3639">
        <v>11832</v>
      </c>
      <c r="Q3639" t="s">
        <v>30</v>
      </c>
      <c r="R3639" t="s">
        <v>644</v>
      </c>
      <c r="S3639" t="str">
        <v>#N/A</v>
      </c>
      <c r="T3639" t="str">
        <v>#N/A</v>
      </c>
    </row>
    <row r="3640" spans="1:20" ht="13.7" customHeight="1" x14ac:dyDescent="0.25">
      <c r="E3640" s="5">
        <v>43465</v>
      </c>
      <c r="F3640">
        <v>61208701</v>
      </c>
      <c r="G3640" t="s">
        <v>1063</v>
      </c>
      <c r="H3640" t="s">
        <v>1221</v>
      </c>
      <c r="I3640" t="s">
        <v>1222</v>
      </c>
      <c r="J3640">
        <v>0</v>
      </c>
      <c r="K3640">
        <v>0</v>
      </c>
      <c r="L3640" s="3">
        <v>0</v>
      </c>
      <c r="M3640" s="3">
        <v>0</v>
      </c>
      <c r="N3640">
        <v>0</v>
      </c>
      <c r="O3640">
        <v>0</v>
      </c>
      <c r="P3640">
        <v>0</v>
      </c>
      <c r="R3640" t="s">
        <v>1100</v>
      </c>
      <c r="S3640" t="str">
        <v>#N/A</v>
      </c>
      <c r="T3640" t="str">
        <v>#N/A</v>
      </c>
    </row>
    <row r="3641" spans="1:20" ht="13.7" customHeight="1" x14ac:dyDescent="0.25">
      <c r="A3641" t="s">
        <v>26</v>
      </c>
      <c r="B3641" t="s">
        <v>27</v>
      </c>
      <c r="C3641" t="s">
        <v>39</v>
      </c>
      <c r="D3641">
        <v>12</v>
      </c>
      <c r="E3641" s="5">
        <v>43713</v>
      </c>
      <c r="F3641">
        <v>61208701</v>
      </c>
      <c r="G3641" t="s">
        <v>1063</v>
      </c>
      <c r="H3641" t="s">
        <v>1221</v>
      </c>
      <c r="I3641" t="s">
        <v>1222</v>
      </c>
      <c r="J3641">
        <v>1001</v>
      </c>
      <c r="K3641">
        <v>5016</v>
      </c>
      <c r="L3641" s="3">
        <v>0</v>
      </c>
      <c r="M3641" s="3">
        <v>45378</v>
      </c>
      <c r="N3641">
        <v>0</v>
      </c>
      <c r="O3641">
        <v>0</v>
      </c>
      <c r="P3641">
        <v>45378</v>
      </c>
      <c r="Q3641" t="s">
        <v>30</v>
      </c>
      <c r="R3641" t="s">
        <v>564</v>
      </c>
      <c r="S3641" t="str">
        <v>#N/A</v>
      </c>
      <c r="T3641" t="str">
        <v>#N/A</v>
      </c>
    </row>
    <row r="3642" spans="1:20" ht="13.7" customHeight="1" x14ac:dyDescent="0.25">
      <c r="A3642" t="s">
        <v>26</v>
      </c>
      <c r="B3642" t="s">
        <v>27</v>
      </c>
      <c r="C3642" t="s">
        <v>39</v>
      </c>
      <c r="D3642">
        <v>14</v>
      </c>
      <c r="E3642" s="5">
        <v>43714</v>
      </c>
      <c r="F3642">
        <v>61208701</v>
      </c>
      <c r="G3642" t="s">
        <v>1063</v>
      </c>
      <c r="H3642" t="s">
        <v>1221</v>
      </c>
      <c r="I3642" t="s">
        <v>1222</v>
      </c>
      <c r="J3642">
        <v>1001</v>
      </c>
      <c r="K3642">
        <v>5016</v>
      </c>
      <c r="L3642" s="3">
        <v>45378</v>
      </c>
      <c r="M3642" s="3">
        <v>681932</v>
      </c>
      <c r="N3642">
        <v>0</v>
      </c>
      <c r="O3642">
        <v>0</v>
      </c>
      <c r="P3642">
        <v>727310</v>
      </c>
      <c r="Q3642" t="s">
        <v>30</v>
      </c>
      <c r="R3642" t="s">
        <v>565</v>
      </c>
      <c r="S3642" t="str">
        <v>#N/A</v>
      </c>
      <c r="T3642" t="str">
        <v>#N/A</v>
      </c>
    </row>
    <row r="3643" spans="1:20" ht="13.7" customHeight="1" x14ac:dyDescent="0.25">
      <c r="A3643" t="s">
        <v>26</v>
      </c>
      <c r="B3643" t="s">
        <v>27</v>
      </c>
      <c r="C3643" t="s">
        <v>39</v>
      </c>
      <c r="D3643">
        <v>19</v>
      </c>
      <c r="E3643" s="5">
        <v>43718</v>
      </c>
      <c r="F3643">
        <v>61208701</v>
      </c>
      <c r="G3643" t="s">
        <v>1063</v>
      </c>
      <c r="H3643" t="s">
        <v>1221</v>
      </c>
      <c r="I3643" t="s">
        <v>1222</v>
      </c>
      <c r="J3643">
        <v>1001</v>
      </c>
      <c r="K3643">
        <v>5016</v>
      </c>
      <c r="L3643" s="3">
        <v>727310</v>
      </c>
      <c r="M3643" s="3">
        <v>56341</v>
      </c>
      <c r="N3643">
        <v>0</v>
      </c>
      <c r="O3643">
        <v>0</v>
      </c>
      <c r="P3643">
        <v>783651</v>
      </c>
      <c r="Q3643" t="s">
        <v>30</v>
      </c>
      <c r="R3643" t="s">
        <v>565</v>
      </c>
      <c r="S3643" t="str">
        <v>#N/A</v>
      </c>
      <c r="T3643" t="str">
        <v>#N/A</v>
      </c>
    </row>
    <row r="3644" spans="1:20" ht="13.7" customHeight="1" x14ac:dyDescent="0.25">
      <c r="A3644" t="s">
        <v>26</v>
      </c>
      <c r="B3644" t="s">
        <v>27</v>
      </c>
      <c r="C3644" t="s">
        <v>39</v>
      </c>
      <c r="D3644">
        <v>52</v>
      </c>
      <c r="E3644" s="5">
        <v>43734</v>
      </c>
      <c r="F3644">
        <v>61208701</v>
      </c>
      <c r="G3644" t="s">
        <v>1063</v>
      </c>
      <c r="H3644" t="s">
        <v>1221</v>
      </c>
      <c r="I3644" t="s">
        <v>1222</v>
      </c>
      <c r="J3644">
        <v>1001</v>
      </c>
      <c r="K3644">
        <v>5016</v>
      </c>
      <c r="L3644" s="3">
        <v>783651</v>
      </c>
      <c r="M3644" s="3">
        <v>1040597</v>
      </c>
      <c r="N3644">
        <v>0</v>
      </c>
      <c r="O3644">
        <v>0</v>
      </c>
      <c r="P3644">
        <v>1824248</v>
      </c>
      <c r="Q3644" t="s">
        <v>30</v>
      </c>
      <c r="R3644" t="s">
        <v>569</v>
      </c>
      <c r="S3644" t="str">
        <v>#N/A</v>
      </c>
      <c r="T3644" t="str">
        <v>#N/A</v>
      </c>
    </row>
    <row r="3645" spans="1:20" ht="13.7" customHeight="1" x14ac:dyDescent="0.25">
      <c r="A3645" t="s">
        <v>26</v>
      </c>
      <c r="B3645" t="s">
        <v>27</v>
      </c>
      <c r="C3645" t="s">
        <v>39</v>
      </c>
      <c r="D3645">
        <v>10</v>
      </c>
      <c r="E3645" s="5">
        <v>43745</v>
      </c>
      <c r="F3645">
        <v>61208701</v>
      </c>
      <c r="G3645" t="s">
        <v>1063</v>
      </c>
      <c r="H3645" t="s">
        <v>1221</v>
      </c>
      <c r="I3645" t="s">
        <v>1222</v>
      </c>
      <c r="J3645">
        <v>1001</v>
      </c>
      <c r="K3645">
        <v>5016</v>
      </c>
      <c r="L3645" s="3">
        <v>1824248</v>
      </c>
      <c r="M3645" s="3">
        <v>144161</v>
      </c>
      <c r="N3645">
        <v>0</v>
      </c>
      <c r="O3645">
        <v>0</v>
      </c>
      <c r="P3645">
        <v>1968409</v>
      </c>
      <c r="Q3645" t="s">
        <v>30</v>
      </c>
      <c r="R3645" t="s">
        <v>570</v>
      </c>
      <c r="S3645" t="str">
        <v>#N/A</v>
      </c>
      <c r="T3645" t="str">
        <v>#N/A</v>
      </c>
    </row>
    <row r="3646" spans="1:20" ht="13.7" customHeight="1" x14ac:dyDescent="0.25">
      <c r="E3646" s="5">
        <v>43465</v>
      </c>
      <c r="F3646">
        <v>61208701</v>
      </c>
      <c r="G3646" t="s">
        <v>1063</v>
      </c>
      <c r="H3646" t="s">
        <v>1581</v>
      </c>
      <c r="I3646" t="s">
        <v>1582</v>
      </c>
      <c r="J3646">
        <v>0</v>
      </c>
      <c r="K3646">
        <v>0</v>
      </c>
      <c r="L3646" s="3">
        <v>8598</v>
      </c>
      <c r="M3646" s="3">
        <v>0</v>
      </c>
      <c r="N3646">
        <v>0</v>
      </c>
      <c r="O3646">
        <v>0</v>
      </c>
      <c r="P3646">
        <v>8598</v>
      </c>
      <c r="R3646" t="s">
        <v>1100</v>
      </c>
      <c r="S3646" t="str">
        <v>#N/A</v>
      </c>
      <c r="T3646" t="str">
        <v>#N/A</v>
      </c>
    </row>
    <row r="3647" spans="1:20" ht="13.7" customHeight="1" x14ac:dyDescent="0.25">
      <c r="E3647" s="5">
        <v>43465</v>
      </c>
      <c r="F3647">
        <v>61208701</v>
      </c>
      <c r="G3647" t="s">
        <v>1063</v>
      </c>
      <c r="H3647" t="s">
        <v>1413</v>
      </c>
      <c r="I3647" t="s">
        <v>1414</v>
      </c>
      <c r="J3647">
        <v>0</v>
      </c>
      <c r="K3647">
        <v>0</v>
      </c>
      <c r="L3647" s="3">
        <v>12353</v>
      </c>
      <c r="M3647" s="3">
        <v>0</v>
      </c>
      <c r="N3647">
        <v>0</v>
      </c>
      <c r="O3647">
        <v>0</v>
      </c>
      <c r="P3647">
        <v>12353</v>
      </c>
      <c r="R3647" t="s">
        <v>1100</v>
      </c>
      <c r="S3647" t="str">
        <v>#N/A</v>
      </c>
      <c r="T3647" t="str">
        <v>#N/A</v>
      </c>
    </row>
    <row r="3648" spans="1:20" ht="13.7" customHeight="1" x14ac:dyDescent="0.25">
      <c r="E3648" s="5">
        <v>43465</v>
      </c>
      <c r="F3648">
        <v>61208701</v>
      </c>
      <c r="G3648" t="s">
        <v>1063</v>
      </c>
      <c r="H3648" t="s">
        <v>1589</v>
      </c>
      <c r="I3648" t="s">
        <v>1590</v>
      </c>
      <c r="J3648">
        <v>0</v>
      </c>
      <c r="K3648">
        <v>0</v>
      </c>
      <c r="L3648" s="3">
        <v>5042</v>
      </c>
      <c r="M3648" s="3">
        <v>0</v>
      </c>
      <c r="N3648">
        <v>0</v>
      </c>
      <c r="O3648">
        <v>0</v>
      </c>
      <c r="P3648">
        <v>5042</v>
      </c>
      <c r="R3648" t="s">
        <v>1100</v>
      </c>
      <c r="S3648" t="str">
        <v>#N/A</v>
      </c>
      <c r="T3648" t="str">
        <v>#N/A</v>
      </c>
    </row>
    <row r="3649" spans="1:20" ht="13.7" customHeight="1" x14ac:dyDescent="0.25">
      <c r="E3649" s="5">
        <v>43465</v>
      </c>
      <c r="F3649">
        <v>61208701</v>
      </c>
      <c r="G3649" t="s">
        <v>1063</v>
      </c>
      <c r="H3649" t="s">
        <v>1511</v>
      </c>
      <c r="I3649" t="s">
        <v>1512</v>
      </c>
      <c r="J3649">
        <v>0</v>
      </c>
      <c r="K3649">
        <v>0</v>
      </c>
      <c r="L3649" s="3">
        <v>33440</v>
      </c>
      <c r="M3649" s="3">
        <v>0</v>
      </c>
      <c r="N3649">
        <v>0</v>
      </c>
      <c r="O3649">
        <v>0</v>
      </c>
      <c r="P3649">
        <v>33440</v>
      </c>
      <c r="R3649" t="s">
        <v>1100</v>
      </c>
      <c r="S3649" t="str">
        <v>#N/A</v>
      </c>
      <c r="T3649" t="str">
        <v>#N/A</v>
      </c>
    </row>
    <row r="3650" spans="1:20" ht="13.7" customHeight="1" x14ac:dyDescent="0.25">
      <c r="E3650" s="5">
        <v>43465</v>
      </c>
      <c r="F3650">
        <v>61208701</v>
      </c>
      <c r="G3650" t="s">
        <v>1063</v>
      </c>
      <c r="H3650" t="s">
        <v>1123</v>
      </c>
      <c r="I3650" t="s">
        <v>1124</v>
      </c>
      <c r="J3650">
        <v>0</v>
      </c>
      <c r="K3650">
        <v>0</v>
      </c>
      <c r="L3650" s="3">
        <v>45127</v>
      </c>
      <c r="M3650" s="3">
        <v>0</v>
      </c>
      <c r="N3650">
        <v>0</v>
      </c>
      <c r="O3650">
        <v>0</v>
      </c>
      <c r="P3650">
        <v>45127</v>
      </c>
      <c r="R3650" t="s">
        <v>1100</v>
      </c>
      <c r="S3650" t="str">
        <v>#N/A</v>
      </c>
      <c r="T3650" t="str">
        <v>31</v>
      </c>
    </row>
    <row r="3651" spans="1:20" ht="13.7" customHeight="1" x14ac:dyDescent="0.25">
      <c r="E3651" s="5">
        <v>43465</v>
      </c>
      <c r="F3651">
        <v>61208701</v>
      </c>
      <c r="G3651" t="s">
        <v>1063</v>
      </c>
      <c r="H3651" t="s">
        <v>1753</v>
      </c>
      <c r="I3651" t="s">
        <v>1754</v>
      </c>
      <c r="J3651">
        <v>0</v>
      </c>
      <c r="K3651">
        <v>0</v>
      </c>
      <c r="L3651" s="3">
        <v>191000</v>
      </c>
      <c r="M3651" s="3">
        <v>0</v>
      </c>
      <c r="N3651">
        <v>0</v>
      </c>
      <c r="O3651">
        <v>0</v>
      </c>
      <c r="P3651">
        <v>191000</v>
      </c>
      <c r="R3651" t="s">
        <v>1100</v>
      </c>
      <c r="S3651" t="str">
        <v>#N/A</v>
      </c>
      <c r="T3651" t="str">
        <v>31</v>
      </c>
    </row>
    <row r="3652" spans="1:20" ht="13.7" customHeight="1" x14ac:dyDescent="0.25">
      <c r="E3652" s="5">
        <v>43465</v>
      </c>
      <c r="F3652">
        <v>61208701</v>
      </c>
      <c r="G3652" t="s">
        <v>1063</v>
      </c>
      <c r="H3652" t="s">
        <v>1117</v>
      </c>
      <c r="I3652" t="s">
        <v>1118</v>
      </c>
      <c r="J3652">
        <v>0</v>
      </c>
      <c r="K3652">
        <v>0</v>
      </c>
      <c r="L3652" s="3">
        <v>232773</v>
      </c>
      <c r="M3652" s="3">
        <v>0</v>
      </c>
      <c r="N3652">
        <v>0</v>
      </c>
      <c r="O3652">
        <v>0</v>
      </c>
      <c r="P3652">
        <v>232773</v>
      </c>
      <c r="R3652" t="s">
        <v>1100</v>
      </c>
      <c r="S3652" t="str">
        <v>#N/A</v>
      </c>
      <c r="T3652" t="str">
        <v>31</v>
      </c>
    </row>
    <row r="3653" spans="1:20" ht="13.7" customHeight="1" x14ac:dyDescent="0.25">
      <c r="A3653" t="s">
        <v>26</v>
      </c>
      <c r="B3653" t="s">
        <v>27</v>
      </c>
      <c r="C3653" t="s">
        <v>91</v>
      </c>
      <c r="D3653">
        <v>37</v>
      </c>
      <c r="E3653" s="5">
        <v>43536</v>
      </c>
      <c r="F3653">
        <v>61208701</v>
      </c>
      <c r="G3653" t="s">
        <v>1063</v>
      </c>
      <c r="H3653" t="s">
        <v>1117</v>
      </c>
      <c r="I3653" t="s">
        <v>1118</v>
      </c>
      <c r="J3653">
        <v>1001</v>
      </c>
      <c r="K3653">
        <v>5016</v>
      </c>
      <c r="L3653" s="3">
        <v>232773</v>
      </c>
      <c r="M3653" s="3">
        <v>504202</v>
      </c>
      <c r="N3653">
        <v>0</v>
      </c>
      <c r="O3653">
        <v>0</v>
      </c>
      <c r="P3653">
        <v>736975</v>
      </c>
      <c r="Q3653" t="s">
        <v>30</v>
      </c>
      <c r="R3653" t="s">
        <v>238</v>
      </c>
      <c r="S3653" t="str">
        <v>#N/A</v>
      </c>
      <c r="T3653" t="str">
        <v>31</v>
      </c>
    </row>
    <row r="3654" spans="1:20" ht="13.7" customHeight="1" x14ac:dyDescent="0.25">
      <c r="A3654" t="s">
        <v>26</v>
      </c>
      <c r="B3654" t="s">
        <v>27</v>
      </c>
      <c r="C3654" t="s">
        <v>91</v>
      </c>
      <c r="D3654">
        <v>55</v>
      </c>
      <c r="E3654" s="5">
        <v>43547</v>
      </c>
      <c r="F3654">
        <v>61208701</v>
      </c>
      <c r="G3654" t="s">
        <v>1063</v>
      </c>
      <c r="H3654" t="s">
        <v>1117</v>
      </c>
      <c r="I3654" t="s">
        <v>1118</v>
      </c>
      <c r="J3654">
        <v>1001</v>
      </c>
      <c r="K3654">
        <v>5016</v>
      </c>
      <c r="L3654" s="3">
        <v>736975</v>
      </c>
      <c r="M3654" s="3">
        <v>40336</v>
      </c>
      <c r="N3654">
        <v>0</v>
      </c>
      <c r="O3654">
        <v>0</v>
      </c>
      <c r="P3654">
        <v>777311</v>
      </c>
      <c r="Q3654" t="s">
        <v>30</v>
      </c>
      <c r="R3654" t="s">
        <v>108</v>
      </c>
      <c r="S3654" t="str">
        <v>#N/A</v>
      </c>
      <c r="T3654" t="str">
        <v>31</v>
      </c>
    </row>
    <row r="3655" spans="1:20" ht="13.7" customHeight="1" x14ac:dyDescent="0.25">
      <c r="E3655" s="5">
        <v>43465</v>
      </c>
      <c r="F3655">
        <v>61208701</v>
      </c>
      <c r="G3655" t="s">
        <v>1063</v>
      </c>
      <c r="H3655" t="s">
        <v>1103</v>
      </c>
      <c r="I3655" t="s">
        <v>1104</v>
      </c>
      <c r="J3655">
        <v>0</v>
      </c>
      <c r="K3655">
        <v>0</v>
      </c>
      <c r="L3655" s="3">
        <v>4863667</v>
      </c>
      <c r="M3655" s="3">
        <v>0</v>
      </c>
      <c r="N3655">
        <v>0</v>
      </c>
      <c r="O3655">
        <v>0</v>
      </c>
      <c r="P3655">
        <v>4863667</v>
      </c>
      <c r="R3655" t="s">
        <v>1100</v>
      </c>
      <c r="S3655" t="str">
        <v>#N/A</v>
      </c>
      <c r="T3655" t="str">
        <v>31</v>
      </c>
    </row>
    <row r="3656" spans="1:20" ht="13.7" customHeight="1" x14ac:dyDescent="0.25">
      <c r="A3656" t="s">
        <v>26</v>
      </c>
      <c r="B3656" t="s">
        <v>27</v>
      </c>
      <c r="C3656" t="s">
        <v>91</v>
      </c>
      <c r="D3656">
        <v>30</v>
      </c>
      <c r="E3656" s="5">
        <v>43535</v>
      </c>
      <c r="F3656">
        <v>61208701</v>
      </c>
      <c r="G3656" t="s">
        <v>1063</v>
      </c>
      <c r="H3656" t="s">
        <v>1103</v>
      </c>
      <c r="I3656" t="s">
        <v>1104</v>
      </c>
      <c r="J3656">
        <v>1001</v>
      </c>
      <c r="K3656">
        <v>5016</v>
      </c>
      <c r="L3656" s="3">
        <v>4863667</v>
      </c>
      <c r="M3656" s="3">
        <v>2603179</v>
      </c>
      <c r="N3656">
        <v>0</v>
      </c>
      <c r="O3656">
        <v>0</v>
      </c>
      <c r="P3656">
        <v>7466846</v>
      </c>
      <c r="Q3656" t="s">
        <v>30</v>
      </c>
      <c r="R3656" t="s">
        <v>237</v>
      </c>
      <c r="S3656" t="str">
        <v>#N/A</v>
      </c>
      <c r="T3656" t="str">
        <v>31</v>
      </c>
    </row>
    <row r="3657" spans="1:20" ht="13.7" customHeight="1" x14ac:dyDescent="0.25">
      <c r="E3657" s="5">
        <v>43465</v>
      </c>
      <c r="F3657">
        <v>61208701</v>
      </c>
      <c r="G3657" t="s">
        <v>1063</v>
      </c>
      <c r="H3657" t="s">
        <v>1599</v>
      </c>
      <c r="I3657" t="s">
        <v>1600</v>
      </c>
      <c r="J3657">
        <v>0</v>
      </c>
      <c r="K3657">
        <v>0</v>
      </c>
      <c r="L3657" s="3">
        <v>5200</v>
      </c>
      <c r="M3657" s="3">
        <v>0</v>
      </c>
      <c r="N3657">
        <v>0</v>
      </c>
      <c r="O3657">
        <v>0</v>
      </c>
      <c r="P3657">
        <v>5200</v>
      </c>
      <c r="R3657" t="s">
        <v>1100</v>
      </c>
      <c r="S3657" t="str">
        <v>#N/A</v>
      </c>
      <c r="T3657" t="str">
        <v>#N/A</v>
      </c>
    </row>
    <row r="3658" spans="1:20" ht="13.7" customHeight="1" x14ac:dyDescent="0.25">
      <c r="E3658" s="5">
        <v>43465</v>
      </c>
      <c r="F3658">
        <v>61208701</v>
      </c>
      <c r="G3658" t="s">
        <v>1063</v>
      </c>
      <c r="H3658" t="s">
        <v>1223</v>
      </c>
      <c r="I3658" t="s">
        <v>1224</v>
      </c>
      <c r="J3658">
        <v>0</v>
      </c>
      <c r="K3658">
        <v>0</v>
      </c>
      <c r="L3658" s="3">
        <v>0</v>
      </c>
      <c r="M3658" s="3">
        <v>0</v>
      </c>
      <c r="N3658">
        <v>0</v>
      </c>
      <c r="O3658">
        <v>0</v>
      </c>
      <c r="P3658">
        <v>0</v>
      </c>
      <c r="R3658" t="s">
        <v>1100</v>
      </c>
      <c r="S3658" t="str">
        <v>#N/A</v>
      </c>
      <c r="T3658" t="str">
        <v>#N/A</v>
      </c>
    </row>
    <row r="3659" spans="1:20" ht="13.7" customHeight="1" x14ac:dyDescent="0.25">
      <c r="A3659" t="s">
        <v>26</v>
      </c>
      <c r="B3659" t="s">
        <v>27</v>
      </c>
      <c r="C3659" t="s">
        <v>91</v>
      </c>
      <c r="D3659">
        <v>54</v>
      </c>
      <c r="E3659" s="5">
        <v>43547</v>
      </c>
      <c r="F3659">
        <v>61208701</v>
      </c>
      <c r="G3659" t="s">
        <v>1063</v>
      </c>
      <c r="H3659" t="s">
        <v>1223</v>
      </c>
      <c r="I3659" t="s">
        <v>1224</v>
      </c>
      <c r="J3659">
        <v>1001</v>
      </c>
      <c r="K3659">
        <v>5016</v>
      </c>
      <c r="L3659" s="3">
        <v>0</v>
      </c>
      <c r="M3659" s="3">
        <v>92000</v>
      </c>
      <c r="N3659">
        <v>0</v>
      </c>
      <c r="O3659">
        <v>0</v>
      </c>
      <c r="P3659">
        <v>92000</v>
      </c>
      <c r="Q3659" t="s">
        <v>30</v>
      </c>
      <c r="R3659" t="s">
        <v>107</v>
      </c>
      <c r="S3659" t="str">
        <v>#N/A</v>
      </c>
      <c r="T3659" t="str">
        <v>#N/A</v>
      </c>
    </row>
    <row r="3660" spans="1:20" ht="13.7" customHeight="1" x14ac:dyDescent="0.25">
      <c r="E3660" s="5">
        <v>43465</v>
      </c>
      <c r="F3660">
        <v>61208701</v>
      </c>
      <c r="G3660" t="s">
        <v>1063</v>
      </c>
      <c r="H3660" t="s">
        <v>1525</v>
      </c>
      <c r="I3660" t="s">
        <v>1526</v>
      </c>
      <c r="J3660">
        <v>0</v>
      </c>
      <c r="K3660">
        <v>0</v>
      </c>
      <c r="L3660" s="3">
        <v>190416</v>
      </c>
      <c r="M3660" s="3">
        <v>0</v>
      </c>
      <c r="N3660">
        <v>0</v>
      </c>
      <c r="O3660">
        <v>0</v>
      </c>
      <c r="P3660">
        <v>190416</v>
      </c>
      <c r="R3660" t="s">
        <v>1100</v>
      </c>
      <c r="S3660" t="str">
        <v>#N/A</v>
      </c>
      <c r="T3660" t="str">
        <v>31</v>
      </c>
    </row>
    <row r="3661" spans="1:20" ht="13.7" customHeight="1" x14ac:dyDescent="0.25">
      <c r="E3661" s="5">
        <v>43465</v>
      </c>
      <c r="F3661">
        <v>61208701</v>
      </c>
      <c r="G3661" t="s">
        <v>1063</v>
      </c>
      <c r="H3661" t="s">
        <v>1113</v>
      </c>
      <c r="I3661" t="s">
        <v>1114</v>
      </c>
      <c r="J3661">
        <v>0</v>
      </c>
      <c r="K3661">
        <v>0</v>
      </c>
      <c r="L3661" s="3">
        <v>1076469</v>
      </c>
      <c r="M3661" s="3">
        <v>0</v>
      </c>
      <c r="N3661">
        <v>0</v>
      </c>
      <c r="O3661">
        <v>0</v>
      </c>
      <c r="P3661">
        <v>1076469</v>
      </c>
      <c r="R3661" t="s">
        <v>1100</v>
      </c>
      <c r="S3661" t="str">
        <v>#N/A</v>
      </c>
      <c r="T3661" t="str">
        <v>31</v>
      </c>
    </row>
    <row r="3662" spans="1:20" ht="13.7" customHeight="1" x14ac:dyDescent="0.25">
      <c r="A3662" t="s">
        <v>26</v>
      </c>
      <c r="B3662" t="s">
        <v>27</v>
      </c>
      <c r="C3662" t="s">
        <v>91</v>
      </c>
      <c r="D3662">
        <v>46</v>
      </c>
      <c r="E3662" s="5">
        <v>43545</v>
      </c>
      <c r="F3662">
        <v>61208701</v>
      </c>
      <c r="G3662" t="s">
        <v>1063</v>
      </c>
      <c r="H3662" t="s">
        <v>1113</v>
      </c>
      <c r="I3662" t="s">
        <v>1114</v>
      </c>
      <c r="J3662">
        <v>1001</v>
      </c>
      <c r="K3662">
        <v>5016</v>
      </c>
      <c r="L3662" s="3">
        <v>1076469</v>
      </c>
      <c r="M3662" s="3">
        <v>274958</v>
      </c>
      <c r="N3662">
        <v>0</v>
      </c>
      <c r="O3662">
        <v>0</v>
      </c>
      <c r="P3662">
        <v>1351427</v>
      </c>
      <c r="Q3662" t="s">
        <v>30</v>
      </c>
      <c r="R3662" t="s">
        <v>242</v>
      </c>
      <c r="S3662" t="str">
        <v>#N/A</v>
      </c>
      <c r="T3662" t="str">
        <v>31</v>
      </c>
    </row>
    <row r="3663" spans="1:20" ht="13.7" customHeight="1" x14ac:dyDescent="0.25">
      <c r="E3663" s="5">
        <v>43465</v>
      </c>
      <c r="F3663">
        <v>61208701</v>
      </c>
      <c r="G3663" t="s">
        <v>1063</v>
      </c>
      <c r="H3663" t="s">
        <v>1352</v>
      </c>
      <c r="I3663" t="s">
        <v>1353</v>
      </c>
      <c r="J3663">
        <v>0</v>
      </c>
      <c r="K3663">
        <v>0</v>
      </c>
      <c r="L3663" s="3">
        <v>0</v>
      </c>
      <c r="M3663" s="3">
        <v>0</v>
      </c>
      <c r="N3663">
        <v>0</v>
      </c>
      <c r="O3663">
        <v>0</v>
      </c>
      <c r="P3663">
        <v>0</v>
      </c>
      <c r="R3663" t="s">
        <v>1100</v>
      </c>
      <c r="S3663" t="str">
        <v>#N/A</v>
      </c>
      <c r="T3663" t="str">
        <v>#N/A</v>
      </c>
    </row>
    <row r="3664" spans="1:20" ht="13.7" customHeight="1" x14ac:dyDescent="0.25">
      <c r="A3664" t="s">
        <v>26</v>
      </c>
      <c r="B3664" t="s">
        <v>27</v>
      </c>
      <c r="C3664" t="s">
        <v>91</v>
      </c>
      <c r="D3664">
        <v>32</v>
      </c>
      <c r="E3664" s="5">
        <v>43536</v>
      </c>
      <c r="F3664">
        <v>61208701</v>
      </c>
      <c r="G3664" t="s">
        <v>1063</v>
      </c>
      <c r="H3664" t="s">
        <v>1352</v>
      </c>
      <c r="I3664" t="s">
        <v>1353</v>
      </c>
      <c r="J3664">
        <v>1001</v>
      </c>
      <c r="K3664">
        <v>5016</v>
      </c>
      <c r="L3664" s="3">
        <v>0</v>
      </c>
      <c r="M3664" s="3">
        <v>156000</v>
      </c>
      <c r="N3664">
        <v>0</v>
      </c>
      <c r="O3664">
        <v>0</v>
      </c>
      <c r="P3664">
        <v>156000</v>
      </c>
      <c r="Q3664" t="s">
        <v>30</v>
      </c>
      <c r="R3664" t="s">
        <v>98</v>
      </c>
      <c r="S3664" t="str">
        <v>#N/A</v>
      </c>
      <c r="T3664" t="str">
        <v>#N/A</v>
      </c>
    </row>
    <row r="3665" spans="1:20" ht="13.7" customHeight="1" x14ac:dyDescent="0.25">
      <c r="E3665" s="5">
        <v>43465</v>
      </c>
      <c r="F3665">
        <v>61208701</v>
      </c>
      <c r="G3665" t="s">
        <v>1063</v>
      </c>
      <c r="H3665" t="s">
        <v>1631</v>
      </c>
      <c r="I3665" t="s">
        <v>1632</v>
      </c>
      <c r="J3665">
        <v>0</v>
      </c>
      <c r="K3665">
        <v>0</v>
      </c>
      <c r="L3665" s="3">
        <v>2059</v>
      </c>
      <c r="M3665" s="3">
        <v>0</v>
      </c>
      <c r="N3665">
        <v>0</v>
      </c>
      <c r="O3665">
        <v>0</v>
      </c>
      <c r="P3665">
        <v>2059</v>
      </c>
      <c r="R3665" t="s">
        <v>1100</v>
      </c>
      <c r="S3665" t="str">
        <v>#N/A</v>
      </c>
      <c r="T3665" t="str">
        <v>#N/A</v>
      </c>
    </row>
    <row r="3666" spans="1:20" ht="13.7" customHeight="1" x14ac:dyDescent="0.25">
      <c r="E3666" s="5">
        <v>43465</v>
      </c>
      <c r="F3666">
        <v>61208701</v>
      </c>
      <c r="G3666" t="s">
        <v>1063</v>
      </c>
      <c r="H3666" t="s">
        <v>1259</v>
      </c>
      <c r="I3666" t="s">
        <v>1260</v>
      </c>
      <c r="J3666">
        <v>0</v>
      </c>
      <c r="K3666">
        <v>0</v>
      </c>
      <c r="L3666" s="3">
        <v>0</v>
      </c>
      <c r="M3666" s="3">
        <v>0</v>
      </c>
      <c r="N3666">
        <v>0</v>
      </c>
      <c r="O3666">
        <v>0</v>
      </c>
      <c r="P3666">
        <v>0</v>
      </c>
      <c r="R3666" t="s">
        <v>1100</v>
      </c>
      <c r="S3666" t="str">
        <v>#N/A</v>
      </c>
      <c r="T3666" t="str">
        <v>#N/A</v>
      </c>
    </row>
    <row r="3667" spans="1:20" ht="13.7" customHeight="1" x14ac:dyDescent="0.25">
      <c r="A3667" t="s">
        <v>26</v>
      </c>
      <c r="B3667" t="s">
        <v>27</v>
      </c>
      <c r="C3667" t="s">
        <v>41</v>
      </c>
      <c r="D3667">
        <v>3</v>
      </c>
      <c r="E3667" s="5">
        <v>43770</v>
      </c>
      <c r="F3667">
        <v>61208701</v>
      </c>
      <c r="G3667" t="s">
        <v>1063</v>
      </c>
      <c r="H3667" t="s">
        <v>1259</v>
      </c>
      <c r="I3667" t="s">
        <v>1260</v>
      </c>
      <c r="J3667">
        <v>1001</v>
      </c>
      <c r="K3667">
        <v>5016</v>
      </c>
      <c r="L3667" s="3">
        <v>0</v>
      </c>
      <c r="M3667" s="3">
        <v>887250</v>
      </c>
      <c r="N3667">
        <v>0</v>
      </c>
      <c r="O3667">
        <v>0</v>
      </c>
      <c r="P3667">
        <v>887250</v>
      </c>
      <c r="Q3667" t="s">
        <v>30</v>
      </c>
      <c r="R3667" t="s">
        <v>300</v>
      </c>
      <c r="S3667" t="str">
        <v>#N/A</v>
      </c>
      <c r="T3667" t="str">
        <v>#N/A</v>
      </c>
    </row>
    <row r="3668" spans="1:20" ht="13.7" customHeight="1" x14ac:dyDescent="0.25">
      <c r="E3668" s="5">
        <v>43465</v>
      </c>
      <c r="F3668">
        <v>61208701</v>
      </c>
      <c r="G3668" t="s">
        <v>1063</v>
      </c>
      <c r="H3668" t="s">
        <v>1366</v>
      </c>
      <c r="I3668" t="s">
        <v>1367</v>
      </c>
      <c r="J3668">
        <v>0</v>
      </c>
      <c r="K3668">
        <v>0</v>
      </c>
      <c r="L3668" s="3">
        <v>7983</v>
      </c>
      <c r="M3668" s="3">
        <v>0</v>
      </c>
      <c r="N3668">
        <v>0</v>
      </c>
      <c r="O3668">
        <v>0</v>
      </c>
      <c r="P3668">
        <v>7983</v>
      </c>
      <c r="R3668" t="s">
        <v>1100</v>
      </c>
      <c r="S3668" t="str">
        <v>#N/A</v>
      </c>
      <c r="T3668" t="str">
        <v>#N/A</v>
      </c>
    </row>
    <row r="3669" spans="1:20" ht="13.7" customHeight="1" x14ac:dyDescent="0.25">
      <c r="A3669" t="s">
        <v>26</v>
      </c>
      <c r="B3669" t="s">
        <v>27</v>
      </c>
      <c r="C3669" t="s">
        <v>40</v>
      </c>
      <c r="D3669">
        <v>21</v>
      </c>
      <c r="E3669" s="5">
        <v>43750</v>
      </c>
      <c r="F3669">
        <v>61208701</v>
      </c>
      <c r="G3669" t="s">
        <v>1063</v>
      </c>
      <c r="H3669" t="s">
        <v>1366</v>
      </c>
      <c r="I3669" t="s">
        <v>1367</v>
      </c>
      <c r="J3669">
        <v>1001</v>
      </c>
      <c r="K3669">
        <v>5016</v>
      </c>
      <c r="L3669" s="3">
        <v>7983</v>
      </c>
      <c r="M3669" s="3">
        <v>1616</v>
      </c>
      <c r="N3669">
        <v>0</v>
      </c>
      <c r="O3669">
        <v>0</v>
      </c>
      <c r="P3669">
        <v>9599</v>
      </c>
      <c r="Q3669" t="s">
        <v>30</v>
      </c>
      <c r="R3669" t="s">
        <v>167</v>
      </c>
      <c r="S3669" t="str">
        <v>#N/A</v>
      </c>
      <c r="T3669" t="str">
        <v>#N/A</v>
      </c>
    </row>
    <row r="3670" spans="1:20" ht="13.7" customHeight="1" x14ac:dyDescent="0.25">
      <c r="E3670" s="5">
        <v>43465</v>
      </c>
      <c r="F3670">
        <v>61208701</v>
      </c>
      <c r="G3670" t="s">
        <v>1063</v>
      </c>
      <c r="H3670" t="s">
        <v>1641</v>
      </c>
      <c r="I3670" t="s">
        <v>1642</v>
      </c>
      <c r="J3670">
        <v>0</v>
      </c>
      <c r="K3670">
        <v>0</v>
      </c>
      <c r="L3670" s="3">
        <v>3278</v>
      </c>
      <c r="M3670" s="3">
        <v>0</v>
      </c>
      <c r="N3670">
        <v>0</v>
      </c>
      <c r="O3670">
        <v>0</v>
      </c>
      <c r="P3670">
        <v>3278</v>
      </c>
      <c r="R3670" t="s">
        <v>1100</v>
      </c>
      <c r="S3670" t="str">
        <v>#N/A</v>
      </c>
      <c r="T3670" t="str">
        <v>#N/A</v>
      </c>
    </row>
    <row r="3671" spans="1:20" ht="13.7" customHeight="1" x14ac:dyDescent="0.25">
      <c r="E3671" s="5">
        <v>43465</v>
      </c>
      <c r="F3671">
        <v>61208701</v>
      </c>
      <c r="G3671" t="s">
        <v>1063</v>
      </c>
      <c r="H3671" t="s">
        <v>1449</v>
      </c>
      <c r="I3671" t="s">
        <v>1450</v>
      </c>
      <c r="J3671">
        <v>0</v>
      </c>
      <c r="K3671">
        <v>0</v>
      </c>
      <c r="L3671" s="3">
        <v>1650000</v>
      </c>
      <c r="M3671" s="3">
        <v>0</v>
      </c>
      <c r="N3671">
        <v>0</v>
      </c>
      <c r="O3671">
        <v>0</v>
      </c>
      <c r="P3671">
        <v>1650000</v>
      </c>
      <c r="R3671" t="s">
        <v>1100</v>
      </c>
      <c r="S3671" t="str">
        <v>#N/A</v>
      </c>
      <c r="T3671" t="str">
        <v>13</v>
      </c>
    </row>
    <row r="3672" spans="1:20" ht="13.7" customHeight="1" x14ac:dyDescent="0.25">
      <c r="E3672" s="5">
        <v>43465</v>
      </c>
      <c r="F3672">
        <v>61208701</v>
      </c>
      <c r="G3672" t="s">
        <v>1063</v>
      </c>
      <c r="H3672" t="s">
        <v>1649</v>
      </c>
      <c r="I3672" t="s">
        <v>1650</v>
      </c>
      <c r="J3672">
        <v>0</v>
      </c>
      <c r="K3672">
        <v>0</v>
      </c>
      <c r="L3672" s="3">
        <v>0</v>
      </c>
      <c r="M3672" s="3">
        <v>0</v>
      </c>
      <c r="N3672">
        <v>0</v>
      </c>
      <c r="O3672">
        <v>0</v>
      </c>
      <c r="P3672">
        <v>0</v>
      </c>
      <c r="R3672" t="s">
        <v>1100</v>
      </c>
      <c r="S3672" t="str">
        <v>#N/A</v>
      </c>
      <c r="T3672" t="str">
        <v>#N/A</v>
      </c>
    </row>
    <row r="3673" spans="1:20" ht="13.7" customHeight="1" x14ac:dyDescent="0.25">
      <c r="A3673" t="s">
        <v>26</v>
      </c>
      <c r="B3673" t="s">
        <v>27</v>
      </c>
      <c r="C3673" t="s">
        <v>91</v>
      </c>
      <c r="D3673">
        <v>39</v>
      </c>
      <c r="E3673" s="5">
        <v>43539</v>
      </c>
      <c r="F3673">
        <v>61208701</v>
      </c>
      <c r="G3673" t="s">
        <v>1063</v>
      </c>
      <c r="H3673" t="s">
        <v>1649</v>
      </c>
      <c r="I3673" t="s">
        <v>1650</v>
      </c>
      <c r="J3673">
        <v>1001</v>
      </c>
      <c r="K3673">
        <v>5016</v>
      </c>
      <c r="L3673" s="3">
        <v>0</v>
      </c>
      <c r="M3673" s="3">
        <v>17647</v>
      </c>
      <c r="N3673">
        <v>0</v>
      </c>
      <c r="O3673">
        <v>0</v>
      </c>
      <c r="P3673">
        <v>17647</v>
      </c>
      <c r="Q3673" t="s">
        <v>30</v>
      </c>
      <c r="R3673" t="s">
        <v>100</v>
      </c>
      <c r="S3673" t="str">
        <v>#N/A</v>
      </c>
      <c r="T3673" t="str">
        <v>#N/A</v>
      </c>
    </row>
    <row r="3674" spans="1:20" ht="13.7" customHeight="1" x14ac:dyDescent="0.25">
      <c r="E3674" s="5">
        <v>43465</v>
      </c>
      <c r="F3674">
        <v>62100101</v>
      </c>
      <c r="G3674" t="s">
        <v>1064</v>
      </c>
      <c r="H3674" t="s">
        <v>1205</v>
      </c>
      <c r="I3674" t="s">
        <v>1206</v>
      </c>
      <c r="J3674">
        <v>0</v>
      </c>
      <c r="K3674">
        <v>0</v>
      </c>
      <c r="L3674" s="3">
        <v>10924</v>
      </c>
      <c r="M3674" s="3">
        <v>0</v>
      </c>
      <c r="N3674">
        <v>0</v>
      </c>
      <c r="O3674">
        <v>0</v>
      </c>
      <c r="P3674">
        <v>10924</v>
      </c>
      <c r="R3674" t="s">
        <v>1100</v>
      </c>
      <c r="S3674" t="str">
        <v>#N/A</v>
      </c>
      <c r="T3674" t="str">
        <v>#N/A</v>
      </c>
    </row>
    <row r="3675" spans="1:20" ht="13.7" customHeight="1" x14ac:dyDescent="0.25">
      <c r="E3675" s="5">
        <v>43465</v>
      </c>
      <c r="F3675">
        <v>62100101</v>
      </c>
      <c r="G3675" t="s">
        <v>1064</v>
      </c>
      <c r="H3675" t="s">
        <v>1179</v>
      </c>
      <c r="I3675" t="s">
        <v>1180</v>
      </c>
      <c r="J3675">
        <v>0</v>
      </c>
      <c r="K3675">
        <v>0</v>
      </c>
      <c r="L3675" s="3">
        <v>10420760</v>
      </c>
      <c r="M3675" s="3">
        <v>0</v>
      </c>
      <c r="N3675">
        <v>0</v>
      </c>
      <c r="O3675">
        <v>0</v>
      </c>
      <c r="P3675">
        <v>10420760</v>
      </c>
      <c r="R3675" t="s">
        <v>1100</v>
      </c>
      <c r="S3675" t="str">
        <v>#N/A</v>
      </c>
      <c r="T3675" t="str">
        <v>13</v>
      </c>
    </row>
    <row r="3676" spans="1:20" ht="13.7" customHeight="1" x14ac:dyDescent="0.25">
      <c r="A3676" t="s">
        <v>26</v>
      </c>
      <c r="B3676" t="s">
        <v>27</v>
      </c>
      <c r="C3676" t="s">
        <v>32</v>
      </c>
      <c r="D3676">
        <v>53</v>
      </c>
      <c r="E3676" s="5">
        <v>43522</v>
      </c>
      <c r="F3676">
        <v>62100101</v>
      </c>
      <c r="G3676" t="s">
        <v>1064</v>
      </c>
      <c r="H3676" t="s">
        <v>1179</v>
      </c>
      <c r="I3676" t="s">
        <v>1180</v>
      </c>
      <c r="J3676">
        <v>1001</v>
      </c>
      <c r="K3676">
        <v>5016</v>
      </c>
      <c r="L3676" s="3">
        <v>10420760</v>
      </c>
      <c r="M3676" s="3">
        <v>910420</v>
      </c>
      <c r="N3676">
        <v>0</v>
      </c>
      <c r="O3676">
        <v>0</v>
      </c>
      <c r="P3676">
        <v>11331180</v>
      </c>
      <c r="Q3676" t="s">
        <v>30</v>
      </c>
      <c r="R3676" t="s">
        <v>88</v>
      </c>
      <c r="S3676" t="str">
        <v>#N/A</v>
      </c>
      <c r="T3676" t="str">
        <v>13</v>
      </c>
    </row>
    <row r="3677" spans="1:20" ht="13.7" customHeight="1" x14ac:dyDescent="0.25">
      <c r="A3677" t="s">
        <v>26</v>
      </c>
      <c r="B3677" t="s">
        <v>27</v>
      </c>
      <c r="C3677" t="s">
        <v>180</v>
      </c>
      <c r="D3677">
        <v>2</v>
      </c>
      <c r="E3677" s="5">
        <v>43801</v>
      </c>
      <c r="F3677">
        <v>62100101</v>
      </c>
      <c r="G3677" t="s">
        <v>1064</v>
      </c>
      <c r="H3677" t="s">
        <v>1179</v>
      </c>
      <c r="I3677" t="s">
        <v>1180</v>
      </c>
      <c r="J3677">
        <v>1001</v>
      </c>
      <c r="K3677">
        <v>5016</v>
      </c>
      <c r="L3677" s="3">
        <v>11331180</v>
      </c>
      <c r="M3677" s="3">
        <v>1067200</v>
      </c>
      <c r="N3677">
        <v>0</v>
      </c>
      <c r="O3677">
        <v>0</v>
      </c>
      <c r="P3677">
        <v>12398380</v>
      </c>
      <c r="Q3677" t="s">
        <v>30</v>
      </c>
      <c r="R3677" t="s">
        <v>88</v>
      </c>
      <c r="S3677" t="str">
        <v>#N/A</v>
      </c>
      <c r="T3677" t="str">
        <v>13</v>
      </c>
    </row>
    <row r="3678" spans="1:20" ht="13.7" customHeight="1" x14ac:dyDescent="0.25">
      <c r="E3678" s="5">
        <v>43465</v>
      </c>
      <c r="F3678">
        <v>62100101</v>
      </c>
      <c r="G3678" t="s">
        <v>1064</v>
      </c>
      <c r="H3678" t="s">
        <v>1115</v>
      </c>
      <c r="I3678" t="s">
        <v>1116</v>
      </c>
      <c r="J3678">
        <v>0</v>
      </c>
      <c r="K3678">
        <v>0</v>
      </c>
      <c r="L3678" s="3">
        <v>1562437</v>
      </c>
      <c r="M3678" s="3">
        <v>0</v>
      </c>
      <c r="N3678">
        <v>0</v>
      </c>
      <c r="O3678">
        <v>0</v>
      </c>
      <c r="P3678">
        <v>1562437</v>
      </c>
      <c r="R3678" t="s">
        <v>1100</v>
      </c>
      <c r="S3678" t="str">
        <v>#N/A</v>
      </c>
      <c r="T3678" t="str">
        <v>13</v>
      </c>
    </row>
    <row r="3679" spans="1:20" ht="13.7" customHeight="1" x14ac:dyDescent="0.25">
      <c r="A3679" t="s">
        <v>26</v>
      </c>
      <c r="B3679" t="s">
        <v>27</v>
      </c>
      <c r="C3679" t="s">
        <v>41</v>
      </c>
      <c r="D3679">
        <v>7</v>
      </c>
      <c r="E3679" s="5">
        <v>43803</v>
      </c>
      <c r="F3679">
        <v>62100101</v>
      </c>
      <c r="G3679" t="s">
        <v>1064</v>
      </c>
      <c r="H3679" t="s">
        <v>1115</v>
      </c>
      <c r="I3679" t="s">
        <v>1116</v>
      </c>
      <c r="J3679">
        <v>1001</v>
      </c>
      <c r="K3679">
        <v>5016</v>
      </c>
      <c r="L3679" s="3">
        <v>1562437</v>
      </c>
      <c r="M3679" s="3">
        <v>327200</v>
      </c>
      <c r="N3679">
        <v>0</v>
      </c>
      <c r="O3679">
        <v>0</v>
      </c>
      <c r="P3679">
        <v>1889637</v>
      </c>
      <c r="Q3679" t="s">
        <v>30</v>
      </c>
      <c r="R3679" t="s">
        <v>88</v>
      </c>
      <c r="S3679" t="str">
        <v>#N/A</v>
      </c>
      <c r="T3679" t="str">
        <v>13</v>
      </c>
    </row>
    <row r="3680" spans="1:20" ht="13.7" customHeight="1" x14ac:dyDescent="0.25">
      <c r="E3680" s="5">
        <v>43465</v>
      </c>
      <c r="F3680">
        <v>62100101</v>
      </c>
      <c r="G3680" t="s">
        <v>1064</v>
      </c>
      <c r="H3680" t="s">
        <v>1195</v>
      </c>
      <c r="I3680" t="s">
        <v>1196</v>
      </c>
      <c r="J3680">
        <v>0</v>
      </c>
      <c r="K3680">
        <v>0</v>
      </c>
      <c r="L3680" s="3">
        <v>1898320</v>
      </c>
      <c r="M3680" s="3">
        <v>0</v>
      </c>
      <c r="N3680">
        <v>0</v>
      </c>
      <c r="O3680">
        <v>0</v>
      </c>
      <c r="P3680">
        <v>1898320</v>
      </c>
      <c r="R3680" t="s">
        <v>1100</v>
      </c>
      <c r="S3680" t="str">
        <v>#N/A</v>
      </c>
      <c r="T3680" t="str">
        <v>13</v>
      </c>
    </row>
    <row r="3681" spans="1:20" ht="13.7" customHeight="1" x14ac:dyDescent="0.25">
      <c r="A3681" t="s">
        <v>26</v>
      </c>
      <c r="B3681" t="s">
        <v>27</v>
      </c>
      <c r="C3681" t="s">
        <v>28</v>
      </c>
      <c r="D3681">
        <v>2</v>
      </c>
      <c r="E3681" s="5">
        <v>43467</v>
      </c>
      <c r="F3681">
        <v>62100101</v>
      </c>
      <c r="G3681" t="s">
        <v>1064</v>
      </c>
      <c r="H3681" t="s">
        <v>1195</v>
      </c>
      <c r="I3681" t="s">
        <v>1196</v>
      </c>
      <c r="J3681">
        <v>1001</v>
      </c>
      <c r="K3681">
        <v>5016</v>
      </c>
      <c r="L3681" s="3">
        <v>1898320</v>
      </c>
      <c r="M3681" s="3">
        <v>268067</v>
      </c>
      <c r="N3681">
        <v>0</v>
      </c>
      <c r="O3681">
        <v>0</v>
      </c>
      <c r="P3681">
        <v>2166387</v>
      </c>
      <c r="Q3681" t="s">
        <v>30</v>
      </c>
      <c r="R3681" t="s">
        <v>529</v>
      </c>
      <c r="S3681" t="str">
        <v>#N/A</v>
      </c>
      <c r="T3681" t="str">
        <v>13</v>
      </c>
    </row>
    <row r="3682" spans="1:20" ht="13.7" customHeight="1" x14ac:dyDescent="0.25">
      <c r="A3682" t="s">
        <v>26</v>
      </c>
      <c r="B3682" t="s">
        <v>27</v>
      </c>
      <c r="C3682" t="s">
        <v>28</v>
      </c>
      <c r="D3682">
        <v>4</v>
      </c>
      <c r="E3682" s="5">
        <v>43468</v>
      </c>
      <c r="F3682">
        <v>62100101</v>
      </c>
      <c r="G3682" t="s">
        <v>1064</v>
      </c>
      <c r="H3682" t="s">
        <v>1195</v>
      </c>
      <c r="I3682" t="s">
        <v>1196</v>
      </c>
      <c r="J3682">
        <v>1001</v>
      </c>
      <c r="K3682">
        <v>5016</v>
      </c>
      <c r="L3682" s="3">
        <v>2166387</v>
      </c>
      <c r="M3682" s="3">
        <v>92437</v>
      </c>
      <c r="N3682">
        <v>0</v>
      </c>
      <c r="O3682">
        <v>0</v>
      </c>
      <c r="P3682">
        <v>2258824</v>
      </c>
      <c r="Q3682" t="s">
        <v>30</v>
      </c>
      <c r="R3682" t="s">
        <v>529</v>
      </c>
      <c r="S3682" t="str">
        <v>#N/A</v>
      </c>
      <c r="T3682" t="str">
        <v>13</v>
      </c>
    </row>
    <row r="3683" spans="1:20" ht="13.7" customHeight="1" x14ac:dyDescent="0.25">
      <c r="A3683" t="s">
        <v>26</v>
      </c>
      <c r="B3683" t="s">
        <v>27</v>
      </c>
      <c r="C3683" t="s">
        <v>91</v>
      </c>
      <c r="D3683">
        <v>4</v>
      </c>
      <c r="E3683" s="5">
        <v>43525</v>
      </c>
      <c r="F3683">
        <v>62100101</v>
      </c>
      <c r="G3683" t="s">
        <v>1064</v>
      </c>
      <c r="H3683" t="s">
        <v>1195</v>
      </c>
      <c r="I3683" t="s">
        <v>1196</v>
      </c>
      <c r="J3683">
        <v>1001</v>
      </c>
      <c r="K3683">
        <v>5016</v>
      </c>
      <c r="L3683" s="3">
        <v>2258824</v>
      </c>
      <c r="M3683" s="3">
        <v>92437</v>
      </c>
      <c r="N3683">
        <v>0</v>
      </c>
      <c r="O3683">
        <v>0</v>
      </c>
      <c r="P3683">
        <v>2351261</v>
      </c>
      <c r="Q3683" t="s">
        <v>30</v>
      </c>
      <c r="R3683" t="s">
        <v>539</v>
      </c>
      <c r="S3683" t="str">
        <v>#N/A</v>
      </c>
      <c r="T3683" t="str">
        <v>13</v>
      </c>
    </row>
    <row r="3684" spans="1:20" ht="13.7" customHeight="1" x14ac:dyDescent="0.25">
      <c r="A3684" t="s">
        <v>26</v>
      </c>
      <c r="B3684" t="s">
        <v>27</v>
      </c>
      <c r="C3684" t="s">
        <v>34</v>
      </c>
      <c r="D3684">
        <v>35</v>
      </c>
      <c r="E3684" s="5">
        <v>43570</v>
      </c>
      <c r="F3684">
        <v>62100101</v>
      </c>
      <c r="G3684" t="s">
        <v>1064</v>
      </c>
      <c r="H3684" t="s">
        <v>1195</v>
      </c>
      <c r="I3684" t="s">
        <v>1196</v>
      </c>
      <c r="J3684">
        <v>1001</v>
      </c>
      <c r="K3684">
        <v>5016</v>
      </c>
      <c r="L3684" s="3">
        <v>2351261</v>
      </c>
      <c r="M3684" s="3">
        <v>277311</v>
      </c>
      <c r="N3684">
        <v>0</v>
      </c>
      <c r="O3684">
        <v>0</v>
      </c>
      <c r="P3684">
        <v>2628572</v>
      </c>
      <c r="Q3684" t="s">
        <v>30</v>
      </c>
      <c r="R3684" t="s">
        <v>539</v>
      </c>
      <c r="S3684" t="str">
        <v>#N/A</v>
      </c>
      <c r="T3684" t="str">
        <v>13</v>
      </c>
    </row>
    <row r="3685" spans="1:20" ht="13.7" customHeight="1" x14ac:dyDescent="0.25">
      <c r="A3685" t="s">
        <v>26</v>
      </c>
      <c r="B3685" t="s">
        <v>27</v>
      </c>
      <c r="C3685" t="s">
        <v>34</v>
      </c>
      <c r="D3685">
        <v>50</v>
      </c>
      <c r="E3685" s="5">
        <v>43577</v>
      </c>
      <c r="F3685">
        <v>62100101</v>
      </c>
      <c r="G3685" t="s">
        <v>1064</v>
      </c>
      <c r="H3685" t="s">
        <v>1195</v>
      </c>
      <c r="I3685" t="s">
        <v>1196</v>
      </c>
      <c r="J3685">
        <v>1001</v>
      </c>
      <c r="K3685">
        <v>5016</v>
      </c>
      <c r="L3685" s="3">
        <v>2628572</v>
      </c>
      <c r="M3685" s="3">
        <v>184874</v>
      </c>
      <c r="N3685">
        <v>0</v>
      </c>
      <c r="O3685">
        <v>0</v>
      </c>
      <c r="P3685">
        <v>2813446</v>
      </c>
      <c r="Q3685" t="s">
        <v>30</v>
      </c>
      <c r="R3685" t="s">
        <v>539</v>
      </c>
      <c r="S3685" t="str">
        <v>#N/A</v>
      </c>
      <c r="T3685" t="str">
        <v>13</v>
      </c>
    </row>
    <row r="3686" spans="1:20" ht="13.7" customHeight="1" x14ac:dyDescent="0.25">
      <c r="E3686" s="5">
        <v>43465</v>
      </c>
      <c r="F3686">
        <v>62100101</v>
      </c>
      <c r="G3686" t="s">
        <v>1064</v>
      </c>
      <c r="H3686" t="s">
        <v>1111</v>
      </c>
      <c r="I3686" t="s">
        <v>1112</v>
      </c>
      <c r="J3686">
        <v>0</v>
      </c>
      <c r="K3686">
        <v>0</v>
      </c>
      <c r="L3686" s="3">
        <v>15126</v>
      </c>
      <c r="M3686" s="3">
        <v>0</v>
      </c>
      <c r="N3686">
        <v>0</v>
      </c>
      <c r="O3686">
        <v>0</v>
      </c>
      <c r="P3686">
        <v>15126</v>
      </c>
      <c r="R3686" t="s">
        <v>1100</v>
      </c>
      <c r="S3686" t="str">
        <v>#N/A</v>
      </c>
      <c r="T3686" t="str">
        <v>#N/A</v>
      </c>
    </row>
    <row r="3687" spans="1:20" ht="13.7" customHeight="1" x14ac:dyDescent="0.25">
      <c r="E3687" s="5">
        <v>43465</v>
      </c>
      <c r="F3687">
        <v>62100101</v>
      </c>
      <c r="G3687" t="s">
        <v>1064</v>
      </c>
      <c r="H3687" t="s">
        <v>1368</v>
      </c>
      <c r="I3687" t="s">
        <v>1369</v>
      </c>
      <c r="J3687">
        <v>0</v>
      </c>
      <c r="K3687">
        <v>0</v>
      </c>
      <c r="L3687" s="3">
        <v>0</v>
      </c>
      <c r="M3687" s="3">
        <v>0</v>
      </c>
      <c r="N3687">
        <v>0</v>
      </c>
      <c r="O3687">
        <v>0</v>
      </c>
      <c r="P3687">
        <v>0</v>
      </c>
      <c r="R3687" t="s">
        <v>1100</v>
      </c>
      <c r="S3687" t="str">
        <v>#N/A</v>
      </c>
      <c r="T3687" t="str">
        <v>#N/A</v>
      </c>
    </row>
    <row r="3688" spans="1:20" ht="13.7" customHeight="1" x14ac:dyDescent="0.25">
      <c r="A3688" t="s">
        <v>26</v>
      </c>
      <c r="B3688" t="s">
        <v>27</v>
      </c>
      <c r="C3688" t="s">
        <v>28</v>
      </c>
      <c r="D3688">
        <v>31</v>
      </c>
      <c r="E3688" s="5">
        <v>43500</v>
      </c>
      <c r="F3688">
        <v>62100101</v>
      </c>
      <c r="G3688" t="s">
        <v>1064</v>
      </c>
      <c r="H3688" t="s">
        <v>1368</v>
      </c>
      <c r="I3688" t="s">
        <v>1369</v>
      </c>
      <c r="J3688">
        <v>1001</v>
      </c>
      <c r="K3688">
        <v>5016</v>
      </c>
      <c r="L3688" s="3">
        <v>0</v>
      </c>
      <c r="M3688" s="3">
        <v>120000</v>
      </c>
      <c r="N3688">
        <v>0</v>
      </c>
      <c r="O3688">
        <v>0</v>
      </c>
      <c r="P3688">
        <v>120000</v>
      </c>
      <c r="Q3688" t="s">
        <v>30</v>
      </c>
      <c r="R3688" t="s">
        <v>213</v>
      </c>
      <c r="S3688" t="str">
        <v>#N/A</v>
      </c>
      <c r="T3688" t="str">
        <v>#N/A</v>
      </c>
    </row>
    <row r="3689" spans="1:20" ht="13.7" customHeight="1" x14ac:dyDescent="0.25">
      <c r="E3689" s="5">
        <v>43465</v>
      </c>
      <c r="F3689">
        <v>62100101</v>
      </c>
      <c r="G3689" t="s">
        <v>1064</v>
      </c>
      <c r="H3689" t="s">
        <v>1225</v>
      </c>
      <c r="I3689" t="s">
        <v>1226</v>
      </c>
      <c r="J3689">
        <v>0</v>
      </c>
      <c r="K3689">
        <v>0</v>
      </c>
      <c r="L3689" s="3">
        <v>0</v>
      </c>
      <c r="M3689" s="3">
        <v>0</v>
      </c>
      <c r="N3689">
        <v>0</v>
      </c>
      <c r="O3689">
        <v>0</v>
      </c>
      <c r="P3689">
        <v>0</v>
      </c>
      <c r="R3689" t="s">
        <v>1100</v>
      </c>
      <c r="S3689" t="str">
        <v>#N/A</v>
      </c>
      <c r="T3689" t="str">
        <v>#N/A</v>
      </c>
    </row>
    <row r="3690" spans="1:20" ht="13.7" customHeight="1" x14ac:dyDescent="0.25">
      <c r="A3690" t="s">
        <v>26</v>
      </c>
      <c r="B3690" t="s">
        <v>27</v>
      </c>
      <c r="C3690" t="s">
        <v>35</v>
      </c>
      <c r="D3690">
        <v>48</v>
      </c>
      <c r="E3690" s="5">
        <v>43600</v>
      </c>
      <c r="F3690">
        <v>62100101</v>
      </c>
      <c r="G3690" t="s">
        <v>1064</v>
      </c>
      <c r="H3690" t="s">
        <v>1225</v>
      </c>
      <c r="I3690" t="s">
        <v>1226</v>
      </c>
      <c r="J3690">
        <v>1001</v>
      </c>
      <c r="K3690">
        <v>5016</v>
      </c>
      <c r="L3690" s="3">
        <v>0</v>
      </c>
      <c r="M3690" s="3">
        <v>1092</v>
      </c>
      <c r="N3690">
        <v>0</v>
      </c>
      <c r="O3690">
        <v>0</v>
      </c>
      <c r="P3690">
        <v>1092</v>
      </c>
      <c r="Q3690" t="s">
        <v>30</v>
      </c>
      <c r="R3690" t="s">
        <v>132</v>
      </c>
      <c r="S3690" t="str">
        <v>#N/A</v>
      </c>
      <c r="T3690" t="str">
        <v>#N/A</v>
      </c>
    </row>
    <row r="3691" spans="1:20" ht="13.7" customHeight="1" x14ac:dyDescent="0.25">
      <c r="A3691" t="s">
        <v>26</v>
      </c>
      <c r="B3691" t="s">
        <v>27</v>
      </c>
      <c r="C3691" t="s">
        <v>35</v>
      </c>
      <c r="D3691">
        <v>49</v>
      </c>
      <c r="E3691" s="5">
        <v>43600</v>
      </c>
      <c r="F3691">
        <v>62100101</v>
      </c>
      <c r="G3691" t="s">
        <v>1064</v>
      </c>
      <c r="H3691" t="s">
        <v>1225</v>
      </c>
      <c r="I3691" t="s">
        <v>1226</v>
      </c>
      <c r="J3691">
        <v>1001</v>
      </c>
      <c r="K3691">
        <v>5016</v>
      </c>
      <c r="L3691" s="3">
        <v>1092</v>
      </c>
      <c r="M3691" s="3">
        <v>3782</v>
      </c>
      <c r="N3691">
        <v>0</v>
      </c>
      <c r="O3691">
        <v>0</v>
      </c>
      <c r="P3691">
        <v>4874</v>
      </c>
      <c r="Q3691" t="s">
        <v>30</v>
      </c>
      <c r="R3691" t="s">
        <v>132</v>
      </c>
      <c r="S3691" t="str">
        <v>#N/A</v>
      </c>
      <c r="T3691" t="str">
        <v>#N/A</v>
      </c>
    </row>
    <row r="3692" spans="1:20" ht="13.7" customHeight="1" x14ac:dyDescent="0.25">
      <c r="E3692" s="5">
        <v>43465</v>
      </c>
      <c r="F3692">
        <v>62100101</v>
      </c>
      <c r="G3692" t="s">
        <v>1064</v>
      </c>
      <c r="H3692" t="s">
        <v>1221</v>
      </c>
      <c r="I3692" t="s">
        <v>1222</v>
      </c>
      <c r="J3692">
        <v>0</v>
      </c>
      <c r="K3692">
        <v>0</v>
      </c>
      <c r="L3692" s="3">
        <v>0</v>
      </c>
      <c r="M3692" s="3">
        <v>0</v>
      </c>
      <c r="N3692">
        <v>0</v>
      </c>
      <c r="O3692">
        <v>0</v>
      </c>
      <c r="P3692">
        <v>0</v>
      </c>
      <c r="R3692" t="s">
        <v>1100</v>
      </c>
      <c r="S3692" t="str">
        <v>#N/A</v>
      </c>
      <c r="T3692" t="str">
        <v>#N/A</v>
      </c>
    </row>
    <row r="3693" spans="1:20" ht="13.7" customHeight="1" x14ac:dyDescent="0.25">
      <c r="A3693" t="s">
        <v>26</v>
      </c>
      <c r="B3693" t="s">
        <v>27</v>
      </c>
      <c r="C3693" t="s">
        <v>38</v>
      </c>
      <c r="D3693">
        <v>30</v>
      </c>
      <c r="E3693" s="5">
        <v>43694</v>
      </c>
      <c r="F3693">
        <v>62100101</v>
      </c>
      <c r="G3693" t="s">
        <v>1064</v>
      </c>
      <c r="H3693" t="s">
        <v>1221</v>
      </c>
      <c r="I3693" t="s">
        <v>1222</v>
      </c>
      <c r="J3693">
        <v>1001</v>
      </c>
      <c r="K3693">
        <v>5016</v>
      </c>
      <c r="L3693" s="3">
        <v>0</v>
      </c>
      <c r="M3693" s="3">
        <v>575209</v>
      </c>
      <c r="N3693">
        <v>0</v>
      </c>
      <c r="O3693">
        <v>0</v>
      </c>
      <c r="P3693">
        <v>575209</v>
      </c>
      <c r="Q3693" t="s">
        <v>30</v>
      </c>
      <c r="R3693" t="s">
        <v>556</v>
      </c>
      <c r="S3693" t="str">
        <v>#N/A</v>
      </c>
      <c r="T3693" t="str">
        <v>#N/A</v>
      </c>
    </row>
    <row r="3694" spans="1:20" ht="13.7" customHeight="1" x14ac:dyDescent="0.25">
      <c r="E3694" s="5">
        <v>43465</v>
      </c>
      <c r="F3694">
        <v>62100101</v>
      </c>
      <c r="G3694" t="s">
        <v>1064</v>
      </c>
      <c r="H3694" t="s">
        <v>1123</v>
      </c>
      <c r="I3694" t="s">
        <v>1124</v>
      </c>
      <c r="J3694">
        <v>0</v>
      </c>
      <c r="K3694">
        <v>0</v>
      </c>
      <c r="L3694" s="3">
        <v>0</v>
      </c>
      <c r="M3694" s="3">
        <v>0</v>
      </c>
      <c r="N3694">
        <v>0</v>
      </c>
      <c r="O3694">
        <v>0</v>
      </c>
      <c r="P3694">
        <v>0</v>
      </c>
      <c r="R3694" t="s">
        <v>1100</v>
      </c>
      <c r="S3694" t="str">
        <v>#N/A</v>
      </c>
      <c r="T3694" t="str">
        <v>31</v>
      </c>
    </row>
    <row r="3695" spans="1:20" ht="13.7" customHeight="1" x14ac:dyDescent="0.25">
      <c r="A3695" t="s">
        <v>26</v>
      </c>
      <c r="B3695" t="s">
        <v>27</v>
      </c>
      <c r="C3695" t="s">
        <v>32</v>
      </c>
      <c r="D3695">
        <v>19</v>
      </c>
      <c r="E3695" s="5">
        <v>43507</v>
      </c>
      <c r="F3695">
        <v>62100101</v>
      </c>
      <c r="G3695" t="s">
        <v>1064</v>
      </c>
      <c r="H3695" t="s">
        <v>1123</v>
      </c>
      <c r="I3695" t="s">
        <v>1124</v>
      </c>
      <c r="J3695">
        <v>1001</v>
      </c>
      <c r="K3695">
        <v>5016</v>
      </c>
      <c r="L3695" s="3">
        <v>0</v>
      </c>
      <c r="M3695" s="3">
        <v>20588</v>
      </c>
      <c r="N3695">
        <v>0</v>
      </c>
      <c r="O3695">
        <v>0</v>
      </c>
      <c r="P3695">
        <v>20588</v>
      </c>
      <c r="Q3695" t="s">
        <v>30</v>
      </c>
      <c r="R3695" t="s">
        <v>120</v>
      </c>
      <c r="S3695" t="str">
        <v>#N/A</v>
      </c>
      <c r="T3695" t="str">
        <v>31</v>
      </c>
    </row>
    <row r="3696" spans="1:20" ht="13.7" customHeight="1" x14ac:dyDescent="0.25">
      <c r="E3696" s="5">
        <v>43465</v>
      </c>
      <c r="F3696">
        <v>62100101</v>
      </c>
      <c r="G3696" t="s">
        <v>1064</v>
      </c>
      <c r="H3696" t="s">
        <v>1370</v>
      </c>
      <c r="I3696" t="s">
        <v>1371</v>
      </c>
      <c r="J3696">
        <v>0</v>
      </c>
      <c r="K3696">
        <v>0</v>
      </c>
      <c r="L3696" s="3">
        <v>0</v>
      </c>
      <c r="M3696" s="3">
        <v>0</v>
      </c>
      <c r="N3696">
        <v>0</v>
      </c>
      <c r="O3696">
        <v>0</v>
      </c>
      <c r="P3696">
        <v>0</v>
      </c>
      <c r="R3696" t="s">
        <v>1100</v>
      </c>
      <c r="S3696" t="str">
        <v>#N/A</v>
      </c>
      <c r="T3696" t="str">
        <v>31</v>
      </c>
    </row>
    <row r="3697" spans="1:20" ht="13.7" customHeight="1" x14ac:dyDescent="0.25">
      <c r="A3697" t="s">
        <v>26</v>
      </c>
      <c r="B3697" t="s">
        <v>27</v>
      </c>
      <c r="C3697" t="s">
        <v>36</v>
      </c>
      <c r="D3697">
        <v>10</v>
      </c>
      <c r="E3697" s="5">
        <v>43621</v>
      </c>
      <c r="F3697">
        <v>62100101</v>
      </c>
      <c r="G3697" t="s">
        <v>1064</v>
      </c>
      <c r="H3697" t="s">
        <v>1370</v>
      </c>
      <c r="I3697" t="s">
        <v>1371</v>
      </c>
      <c r="J3697">
        <v>1001</v>
      </c>
      <c r="K3697">
        <v>5016</v>
      </c>
      <c r="L3697" s="3">
        <v>0</v>
      </c>
      <c r="M3697" s="3">
        <v>82000</v>
      </c>
      <c r="N3697">
        <v>0</v>
      </c>
      <c r="O3697">
        <v>0</v>
      </c>
      <c r="P3697">
        <v>82000</v>
      </c>
      <c r="Q3697" t="s">
        <v>30</v>
      </c>
      <c r="R3697" t="s">
        <v>265</v>
      </c>
      <c r="S3697" t="str">
        <v>#N/A</v>
      </c>
      <c r="T3697" t="str">
        <v>31</v>
      </c>
    </row>
    <row r="3698" spans="1:20" ht="13.7" customHeight="1" x14ac:dyDescent="0.25">
      <c r="A3698" t="s">
        <v>26</v>
      </c>
      <c r="B3698" t="s">
        <v>27</v>
      </c>
      <c r="C3698" t="s">
        <v>36</v>
      </c>
      <c r="D3698">
        <v>24</v>
      </c>
      <c r="E3698" s="5">
        <v>43629</v>
      </c>
      <c r="F3698">
        <v>62100101</v>
      </c>
      <c r="G3698" t="s">
        <v>1064</v>
      </c>
      <c r="H3698" t="s">
        <v>1370</v>
      </c>
      <c r="I3698" t="s">
        <v>1371</v>
      </c>
      <c r="J3698">
        <v>1001</v>
      </c>
      <c r="K3698">
        <v>5016</v>
      </c>
      <c r="L3698" s="3">
        <v>82000</v>
      </c>
      <c r="M3698" s="3">
        <v>68042</v>
      </c>
      <c r="N3698">
        <v>0</v>
      </c>
      <c r="O3698">
        <v>0</v>
      </c>
      <c r="P3698">
        <v>150042</v>
      </c>
      <c r="Q3698" t="s">
        <v>30</v>
      </c>
      <c r="R3698" t="s">
        <v>268</v>
      </c>
      <c r="S3698" t="str">
        <v>#N/A</v>
      </c>
      <c r="T3698" t="str">
        <v>31</v>
      </c>
    </row>
    <row r="3699" spans="1:20" ht="13.7" customHeight="1" x14ac:dyDescent="0.25">
      <c r="E3699" s="5">
        <v>43465</v>
      </c>
      <c r="F3699">
        <v>62100101</v>
      </c>
      <c r="G3699" t="s">
        <v>1064</v>
      </c>
      <c r="H3699" t="s">
        <v>1117</v>
      </c>
      <c r="I3699" t="s">
        <v>1118</v>
      </c>
      <c r="J3699">
        <v>0</v>
      </c>
      <c r="K3699">
        <v>0</v>
      </c>
      <c r="L3699" s="3">
        <v>2376473</v>
      </c>
      <c r="M3699" s="3">
        <v>0</v>
      </c>
      <c r="N3699">
        <v>0</v>
      </c>
      <c r="O3699">
        <v>0</v>
      </c>
      <c r="P3699">
        <v>2376473</v>
      </c>
      <c r="R3699" t="s">
        <v>1100</v>
      </c>
      <c r="S3699" t="str">
        <v>#N/A</v>
      </c>
      <c r="T3699" t="str">
        <v>31</v>
      </c>
    </row>
    <row r="3700" spans="1:20" ht="13.7" customHeight="1" x14ac:dyDescent="0.25">
      <c r="A3700" t="s">
        <v>26</v>
      </c>
      <c r="B3700" t="s">
        <v>27</v>
      </c>
      <c r="C3700" t="s">
        <v>28</v>
      </c>
      <c r="D3700">
        <v>34</v>
      </c>
      <c r="E3700" s="5">
        <v>43479</v>
      </c>
      <c r="F3700">
        <v>62100101</v>
      </c>
      <c r="G3700" t="s">
        <v>1064</v>
      </c>
      <c r="H3700" t="s">
        <v>1117</v>
      </c>
      <c r="I3700" t="s">
        <v>1118</v>
      </c>
      <c r="J3700">
        <v>1001</v>
      </c>
      <c r="K3700">
        <v>5016</v>
      </c>
      <c r="L3700" s="3">
        <v>2376473</v>
      </c>
      <c r="M3700" s="3">
        <v>40757</v>
      </c>
      <c r="N3700">
        <v>0</v>
      </c>
      <c r="O3700">
        <v>0</v>
      </c>
      <c r="P3700">
        <v>2417230</v>
      </c>
      <c r="Q3700" t="s">
        <v>30</v>
      </c>
      <c r="R3700" t="s">
        <v>533</v>
      </c>
      <c r="S3700" t="str">
        <v>#N/A</v>
      </c>
      <c r="T3700" t="str">
        <v>31</v>
      </c>
    </row>
    <row r="3701" spans="1:20" ht="13.7" customHeight="1" x14ac:dyDescent="0.25">
      <c r="A3701" t="s">
        <v>26</v>
      </c>
      <c r="B3701" t="s">
        <v>27</v>
      </c>
      <c r="C3701" t="s">
        <v>28</v>
      </c>
      <c r="D3701">
        <v>43</v>
      </c>
      <c r="E3701" s="5">
        <v>43482</v>
      </c>
      <c r="F3701">
        <v>62100101</v>
      </c>
      <c r="G3701" t="s">
        <v>1064</v>
      </c>
      <c r="H3701" t="s">
        <v>1117</v>
      </c>
      <c r="I3701" t="s">
        <v>1118</v>
      </c>
      <c r="J3701">
        <v>1001</v>
      </c>
      <c r="K3701">
        <v>5016</v>
      </c>
      <c r="L3701" s="3">
        <v>2417230</v>
      </c>
      <c r="M3701" s="3">
        <v>92437</v>
      </c>
      <c r="N3701">
        <v>0</v>
      </c>
      <c r="O3701">
        <v>0</v>
      </c>
      <c r="P3701">
        <v>2509667</v>
      </c>
      <c r="Q3701" t="s">
        <v>30</v>
      </c>
      <c r="R3701" t="s">
        <v>159</v>
      </c>
      <c r="S3701" t="str">
        <v>#N/A</v>
      </c>
      <c r="T3701" t="str">
        <v>31</v>
      </c>
    </row>
    <row r="3702" spans="1:20" ht="13.7" customHeight="1" x14ac:dyDescent="0.25">
      <c r="A3702" t="s">
        <v>26</v>
      </c>
      <c r="B3702" t="s">
        <v>27</v>
      </c>
      <c r="C3702" t="s">
        <v>28</v>
      </c>
      <c r="D3702">
        <v>58</v>
      </c>
      <c r="E3702" s="5">
        <v>43487</v>
      </c>
      <c r="F3702">
        <v>62100101</v>
      </c>
      <c r="G3702" t="s">
        <v>1064</v>
      </c>
      <c r="H3702" t="s">
        <v>1117</v>
      </c>
      <c r="I3702" t="s">
        <v>1118</v>
      </c>
      <c r="J3702">
        <v>1001</v>
      </c>
      <c r="K3702">
        <v>5016</v>
      </c>
      <c r="L3702" s="3">
        <v>2509667</v>
      </c>
      <c r="M3702" s="3">
        <v>92437</v>
      </c>
      <c r="N3702">
        <v>0</v>
      </c>
      <c r="O3702">
        <v>0</v>
      </c>
      <c r="P3702">
        <v>2602104</v>
      </c>
      <c r="Q3702" t="s">
        <v>30</v>
      </c>
      <c r="R3702" t="s">
        <v>65</v>
      </c>
      <c r="S3702" t="str">
        <v>#N/A</v>
      </c>
      <c r="T3702" t="str">
        <v>31</v>
      </c>
    </row>
    <row r="3703" spans="1:20" ht="13.7" customHeight="1" x14ac:dyDescent="0.25">
      <c r="A3703" t="s">
        <v>26</v>
      </c>
      <c r="B3703" t="s">
        <v>27</v>
      </c>
      <c r="C3703" t="s">
        <v>28</v>
      </c>
      <c r="D3703">
        <v>60</v>
      </c>
      <c r="E3703" s="5">
        <v>43488</v>
      </c>
      <c r="F3703">
        <v>62100101</v>
      </c>
      <c r="G3703" t="s">
        <v>1064</v>
      </c>
      <c r="H3703" t="s">
        <v>1117</v>
      </c>
      <c r="I3703" t="s">
        <v>1118</v>
      </c>
      <c r="J3703">
        <v>1001</v>
      </c>
      <c r="K3703">
        <v>5016</v>
      </c>
      <c r="L3703" s="3">
        <v>2602104</v>
      </c>
      <c r="M3703" s="3">
        <v>260504</v>
      </c>
      <c r="N3703">
        <v>0</v>
      </c>
      <c r="O3703">
        <v>0</v>
      </c>
      <c r="P3703">
        <v>2862608</v>
      </c>
      <c r="Q3703" t="s">
        <v>30</v>
      </c>
      <c r="R3703" t="s">
        <v>65</v>
      </c>
      <c r="S3703" t="str">
        <v>#N/A</v>
      </c>
      <c r="T3703" t="str">
        <v>31</v>
      </c>
    </row>
    <row r="3704" spans="1:20" ht="13.7" customHeight="1" x14ac:dyDescent="0.25">
      <c r="A3704" t="s">
        <v>26</v>
      </c>
      <c r="B3704" t="s">
        <v>27</v>
      </c>
      <c r="C3704" t="s">
        <v>28</v>
      </c>
      <c r="D3704">
        <v>68</v>
      </c>
      <c r="E3704" s="5">
        <v>43491</v>
      </c>
      <c r="F3704">
        <v>62100101</v>
      </c>
      <c r="G3704" t="s">
        <v>1064</v>
      </c>
      <c r="H3704" t="s">
        <v>1117</v>
      </c>
      <c r="I3704" t="s">
        <v>1118</v>
      </c>
      <c r="J3704">
        <v>1001</v>
      </c>
      <c r="K3704">
        <v>5016</v>
      </c>
      <c r="L3704" s="3">
        <v>2862608</v>
      </c>
      <c r="M3704" s="3">
        <v>113025</v>
      </c>
      <c r="N3704">
        <v>0</v>
      </c>
      <c r="O3704">
        <v>0</v>
      </c>
      <c r="P3704">
        <v>2975633</v>
      </c>
      <c r="Q3704" t="s">
        <v>30</v>
      </c>
      <c r="R3704" t="s">
        <v>159</v>
      </c>
      <c r="S3704" t="str">
        <v>#N/A</v>
      </c>
      <c r="T3704" t="str">
        <v>31</v>
      </c>
    </row>
    <row r="3705" spans="1:20" ht="13.7" customHeight="1" x14ac:dyDescent="0.25">
      <c r="A3705" t="s">
        <v>26</v>
      </c>
      <c r="B3705" t="s">
        <v>27</v>
      </c>
      <c r="C3705" t="s">
        <v>32</v>
      </c>
      <c r="D3705">
        <v>34</v>
      </c>
      <c r="E3705" s="5">
        <v>43512</v>
      </c>
      <c r="F3705">
        <v>62100101</v>
      </c>
      <c r="G3705" t="s">
        <v>1064</v>
      </c>
      <c r="H3705" t="s">
        <v>1117</v>
      </c>
      <c r="I3705" t="s">
        <v>1118</v>
      </c>
      <c r="J3705">
        <v>1001</v>
      </c>
      <c r="K3705">
        <v>5016</v>
      </c>
      <c r="L3705" s="3">
        <v>2975633</v>
      </c>
      <c r="M3705" s="3">
        <v>164705</v>
      </c>
      <c r="N3705">
        <v>0</v>
      </c>
      <c r="O3705">
        <v>0</v>
      </c>
      <c r="P3705">
        <v>3140338</v>
      </c>
      <c r="Q3705" t="s">
        <v>30</v>
      </c>
      <c r="R3705" t="s">
        <v>65</v>
      </c>
      <c r="S3705" t="str">
        <v>#N/A</v>
      </c>
      <c r="T3705" t="str">
        <v>31</v>
      </c>
    </row>
    <row r="3706" spans="1:20" ht="13.7" customHeight="1" x14ac:dyDescent="0.25">
      <c r="A3706" t="s">
        <v>26</v>
      </c>
      <c r="B3706" t="s">
        <v>27</v>
      </c>
      <c r="C3706" t="s">
        <v>32</v>
      </c>
      <c r="D3706">
        <v>35</v>
      </c>
      <c r="E3706" s="5">
        <v>43512</v>
      </c>
      <c r="F3706">
        <v>62100101</v>
      </c>
      <c r="G3706" t="s">
        <v>1064</v>
      </c>
      <c r="H3706" t="s">
        <v>1117</v>
      </c>
      <c r="I3706" t="s">
        <v>1118</v>
      </c>
      <c r="J3706">
        <v>1001</v>
      </c>
      <c r="K3706">
        <v>5016</v>
      </c>
      <c r="L3706" s="3">
        <v>3140338</v>
      </c>
      <c r="M3706" s="3">
        <v>10504</v>
      </c>
      <c r="N3706">
        <v>0</v>
      </c>
      <c r="O3706">
        <v>0</v>
      </c>
      <c r="P3706">
        <v>3150842</v>
      </c>
      <c r="Q3706" t="s">
        <v>30</v>
      </c>
      <c r="R3706" t="s">
        <v>82</v>
      </c>
      <c r="S3706" t="str">
        <v>#N/A</v>
      </c>
      <c r="T3706" t="str">
        <v>31</v>
      </c>
    </row>
    <row r="3707" spans="1:20" ht="13.7" customHeight="1" x14ac:dyDescent="0.25">
      <c r="A3707" t="s">
        <v>26</v>
      </c>
      <c r="B3707" t="s">
        <v>27</v>
      </c>
      <c r="C3707" t="s">
        <v>32</v>
      </c>
      <c r="D3707">
        <v>57</v>
      </c>
      <c r="E3707" s="5">
        <v>43524</v>
      </c>
      <c r="F3707">
        <v>62100101</v>
      </c>
      <c r="G3707" t="s">
        <v>1064</v>
      </c>
      <c r="H3707" t="s">
        <v>1117</v>
      </c>
      <c r="I3707" t="s">
        <v>1118</v>
      </c>
      <c r="J3707">
        <v>1001</v>
      </c>
      <c r="K3707">
        <v>5016</v>
      </c>
      <c r="L3707" s="3">
        <v>3150842</v>
      </c>
      <c r="M3707" s="3">
        <v>40336</v>
      </c>
      <c r="N3707">
        <v>0</v>
      </c>
      <c r="O3707">
        <v>0</v>
      </c>
      <c r="P3707">
        <v>3191178</v>
      </c>
      <c r="Q3707" t="s">
        <v>30</v>
      </c>
      <c r="R3707" t="s">
        <v>90</v>
      </c>
      <c r="S3707" t="str">
        <v>#N/A</v>
      </c>
      <c r="T3707" t="str">
        <v>31</v>
      </c>
    </row>
    <row r="3708" spans="1:20" ht="13.7" customHeight="1" x14ac:dyDescent="0.25">
      <c r="A3708" t="s">
        <v>26</v>
      </c>
      <c r="B3708" t="s">
        <v>27</v>
      </c>
      <c r="C3708" t="s">
        <v>91</v>
      </c>
      <c r="D3708">
        <v>16</v>
      </c>
      <c r="E3708" s="5">
        <v>43529</v>
      </c>
      <c r="F3708">
        <v>62100101</v>
      </c>
      <c r="G3708" t="s">
        <v>1064</v>
      </c>
      <c r="H3708" t="s">
        <v>1117</v>
      </c>
      <c r="I3708" t="s">
        <v>1118</v>
      </c>
      <c r="J3708">
        <v>1001</v>
      </c>
      <c r="K3708">
        <v>5016</v>
      </c>
      <c r="L3708" s="3">
        <v>3191178</v>
      </c>
      <c r="M3708" s="3">
        <v>221848</v>
      </c>
      <c r="N3708">
        <v>0</v>
      </c>
      <c r="O3708">
        <v>0</v>
      </c>
      <c r="P3708">
        <v>3413026</v>
      </c>
      <c r="Q3708" t="s">
        <v>30</v>
      </c>
      <c r="R3708" t="s">
        <v>65</v>
      </c>
      <c r="S3708" t="str">
        <v>#N/A</v>
      </c>
      <c r="T3708" t="str">
        <v>31</v>
      </c>
    </row>
    <row r="3709" spans="1:20" ht="13.7" customHeight="1" x14ac:dyDescent="0.25">
      <c r="A3709" t="s">
        <v>26</v>
      </c>
      <c r="B3709" t="s">
        <v>27</v>
      </c>
      <c r="C3709" t="s">
        <v>34</v>
      </c>
      <c r="D3709">
        <v>23</v>
      </c>
      <c r="E3709" s="5">
        <v>43566</v>
      </c>
      <c r="F3709">
        <v>62100101</v>
      </c>
      <c r="G3709" t="s">
        <v>1064</v>
      </c>
      <c r="H3709" t="s">
        <v>1117</v>
      </c>
      <c r="I3709" t="s">
        <v>1118</v>
      </c>
      <c r="J3709">
        <v>1001</v>
      </c>
      <c r="K3709">
        <v>5016</v>
      </c>
      <c r="L3709" s="3">
        <v>3413026</v>
      </c>
      <c r="M3709" s="3">
        <v>40336</v>
      </c>
      <c r="N3709">
        <v>0</v>
      </c>
      <c r="O3709">
        <v>0</v>
      </c>
      <c r="P3709">
        <v>3453362</v>
      </c>
      <c r="Q3709" t="s">
        <v>30</v>
      </c>
      <c r="R3709" t="s">
        <v>120</v>
      </c>
      <c r="S3709" t="str">
        <v>#N/A</v>
      </c>
      <c r="T3709" t="str">
        <v>31</v>
      </c>
    </row>
    <row r="3710" spans="1:20" ht="13.7" customHeight="1" x14ac:dyDescent="0.25">
      <c r="A3710" t="s">
        <v>26</v>
      </c>
      <c r="B3710" t="s">
        <v>27</v>
      </c>
      <c r="C3710" t="s">
        <v>34</v>
      </c>
      <c r="D3710">
        <v>32</v>
      </c>
      <c r="E3710" s="5">
        <v>43570</v>
      </c>
      <c r="F3710">
        <v>62100101</v>
      </c>
      <c r="G3710" t="s">
        <v>1064</v>
      </c>
      <c r="H3710" t="s">
        <v>1117</v>
      </c>
      <c r="I3710" t="s">
        <v>1118</v>
      </c>
      <c r="J3710">
        <v>1001</v>
      </c>
      <c r="K3710">
        <v>5016</v>
      </c>
      <c r="L3710" s="3">
        <v>3453362</v>
      </c>
      <c r="M3710" s="3">
        <v>40336</v>
      </c>
      <c r="N3710">
        <v>0</v>
      </c>
      <c r="O3710">
        <v>0</v>
      </c>
      <c r="P3710">
        <v>3493698</v>
      </c>
      <c r="Q3710" t="s">
        <v>30</v>
      </c>
      <c r="R3710" t="s">
        <v>122</v>
      </c>
      <c r="S3710" t="str">
        <v>#N/A</v>
      </c>
      <c r="T3710" t="str">
        <v>31</v>
      </c>
    </row>
    <row r="3711" spans="1:20" ht="13.7" customHeight="1" x14ac:dyDescent="0.25">
      <c r="A3711" t="s">
        <v>26</v>
      </c>
      <c r="B3711" t="s">
        <v>27</v>
      </c>
      <c r="C3711" t="s">
        <v>35</v>
      </c>
      <c r="D3711">
        <v>6</v>
      </c>
      <c r="E3711" s="5">
        <v>43587</v>
      </c>
      <c r="F3711">
        <v>62100101</v>
      </c>
      <c r="G3711" t="s">
        <v>1064</v>
      </c>
      <c r="H3711" t="s">
        <v>1117</v>
      </c>
      <c r="I3711" t="s">
        <v>1118</v>
      </c>
      <c r="J3711">
        <v>1001</v>
      </c>
      <c r="K3711">
        <v>5016</v>
      </c>
      <c r="L3711" s="3">
        <v>3493698</v>
      </c>
      <c r="M3711" s="3">
        <v>40336</v>
      </c>
      <c r="N3711">
        <v>0</v>
      </c>
      <c r="O3711">
        <v>0</v>
      </c>
      <c r="P3711">
        <v>3534034</v>
      </c>
      <c r="Q3711" t="s">
        <v>30</v>
      </c>
      <c r="R3711" t="s">
        <v>122</v>
      </c>
      <c r="S3711" t="str">
        <v>#N/A</v>
      </c>
      <c r="T3711" t="str">
        <v>31</v>
      </c>
    </row>
    <row r="3712" spans="1:20" ht="13.7" customHeight="1" x14ac:dyDescent="0.25">
      <c r="A3712" t="s">
        <v>26</v>
      </c>
      <c r="B3712" t="s">
        <v>27</v>
      </c>
      <c r="C3712" t="s">
        <v>35</v>
      </c>
      <c r="D3712">
        <v>7</v>
      </c>
      <c r="E3712" s="5">
        <v>43587</v>
      </c>
      <c r="F3712">
        <v>62100101</v>
      </c>
      <c r="G3712" t="s">
        <v>1064</v>
      </c>
      <c r="H3712" t="s">
        <v>1117</v>
      </c>
      <c r="I3712" t="s">
        <v>1118</v>
      </c>
      <c r="J3712">
        <v>1001</v>
      </c>
      <c r="K3712">
        <v>5016</v>
      </c>
      <c r="L3712" s="3">
        <v>3534034</v>
      </c>
      <c r="M3712" s="3">
        <v>77311</v>
      </c>
      <c r="N3712">
        <v>0</v>
      </c>
      <c r="O3712">
        <v>0</v>
      </c>
      <c r="P3712">
        <v>3611345</v>
      </c>
      <c r="Q3712" t="s">
        <v>30</v>
      </c>
      <c r="R3712" t="s">
        <v>126</v>
      </c>
      <c r="S3712" t="str">
        <v>#N/A</v>
      </c>
      <c r="T3712" t="str">
        <v>31</v>
      </c>
    </row>
    <row r="3713" spans="1:20" ht="13.7" customHeight="1" x14ac:dyDescent="0.25">
      <c r="A3713" t="s">
        <v>26</v>
      </c>
      <c r="B3713" t="s">
        <v>27</v>
      </c>
      <c r="C3713" t="s">
        <v>35</v>
      </c>
      <c r="D3713">
        <v>8</v>
      </c>
      <c r="E3713" s="5">
        <v>43587</v>
      </c>
      <c r="F3713">
        <v>62100101</v>
      </c>
      <c r="G3713" t="s">
        <v>1064</v>
      </c>
      <c r="H3713" t="s">
        <v>1117</v>
      </c>
      <c r="I3713" t="s">
        <v>1118</v>
      </c>
      <c r="J3713">
        <v>1001</v>
      </c>
      <c r="K3713">
        <v>5016</v>
      </c>
      <c r="L3713" s="3">
        <v>3611345</v>
      </c>
      <c r="M3713" s="3">
        <v>115968</v>
      </c>
      <c r="N3713">
        <v>0</v>
      </c>
      <c r="O3713">
        <v>0</v>
      </c>
      <c r="P3713">
        <v>3727313</v>
      </c>
      <c r="Q3713" t="s">
        <v>30</v>
      </c>
      <c r="R3713" t="s">
        <v>126</v>
      </c>
      <c r="S3713" t="str">
        <v>#N/A</v>
      </c>
      <c r="T3713" t="str">
        <v>31</v>
      </c>
    </row>
    <row r="3714" spans="1:20" ht="13.7" customHeight="1" x14ac:dyDescent="0.25">
      <c r="A3714" t="s">
        <v>26</v>
      </c>
      <c r="B3714" t="s">
        <v>27</v>
      </c>
      <c r="C3714" t="s">
        <v>35</v>
      </c>
      <c r="D3714">
        <v>29</v>
      </c>
      <c r="E3714" s="5">
        <v>43593</v>
      </c>
      <c r="F3714">
        <v>62100101</v>
      </c>
      <c r="G3714" t="s">
        <v>1064</v>
      </c>
      <c r="H3714" t="s">
        <v>1117</v>
      </c>
      <c r="I3714" t="s">
        <v>1118</v>
      </c>
      <c r="J3714">
        <v>1001</v>
      </c>
      <c r="K3714">
        <v>5016</v>
      </c>
      <c r="L3714" s="3">
        <v>3727313</v>
      </c>
      <c r="M3714" s="3">
        <v>80672</v>
      </c>
      <c r="N3714">
        <v>0</v>
      </c>
      <c r="O3714">
        <v>0</v>
      </c>
      <c r="P3714">
        <v>3807985</v>
      </c>
      <c r="Q3714" t="s">
        <v>30</v>
      </c>
      <c r="R3714" t="s">
        <v>129</v>
      </c>
      <c r="S3714" t="str">
        <v>#N/A</v>
      </c>
      <c r="T3714" t="str">
        <v>31</v>
      </c>
    </row>
    <row r="3715" spans="1:20" ht="13.7" customHeight="1" x14ac:dyDescent="0.25">
      <c r="A3715" t="s">
        <v>26</v>
      </c>
      <c r="B3715" t="s">
        <v>27</v>
      </c>
      <c r="C3715" t="s">
        <v>36</v>
      </c>
      <c r="D3715">
        <v>20</v>
      </c>
      <c r="E3715" s="5">
        <v>43629</v>
      </c>
      <c r="F3715">
        <v>62100101</v>
      </c>
      <c r="G3715" t="s">
        <v>1064</v>
      </c>
      <c r="H3715" t="s">
        <v>1117</v>
      </c>
      <c r="I3715" t="s">
        <v>1118</v>
      </c>
      <c r="J3715">
        <v>1001</v>
      </c>
      <c r="K3715">
        <v>5016</v>
      </c>
      <c r="L3715" s="3">
        <v>3807985</v>
      </c>
      <c r="M3715" s="3">
        <v>172269</v>
      </c>
      <c r="N3715">
        <v>0</v>
      </c>
      <c r="O3715">
        <v>0</v>
      </c>
      <c r="P3715">
        <v>3980254</v>
      </c>
      <c r="Q3715" t="s">
        <v>30</v>
      </c>
      <c r="R3715" t="s">
        <v>65</v>
      </c>
      <c r="S3715" t="str">
        <v>#N/A</v>
      </c>
      <c r="T3715" t="str">
        <v>31</v>
      </c>
    </row>
    <row r="3716" spans="1:20" ht="13.7" customHeight="1" x14ac:dyDescent="0.25">
      <c r="A3716" t="s">
        <v>26</v>
      </c>
      <c r="B3716" t="s">
        <v>27</v>
      </c>
      <c r="C3716" t="s">
        <v>38</v>
      </c>
      <c r="D3716">
        <v>9</v>
      </c>
      <c r="E3716" s="5">
        <v>43683</v>
      </c>
      <c r="F3716">
        <v>62100101</v>
      </c>
      <c r="G3716" t="s">
        <v>1064</v>
      </c>
      <c r="H3716" t="s">
        <v>1117</v>
      </c>
      <c r="I3716" t="s">
        <v>1118</v>
      </c>
      <c r="J3716">
        <v>1001</v>
      </c>
      <c r="K3716">
        <v>5016</v>
      </c>
      <c r="L3716" s="3">
        <v>3980254</v>
      </c>
      <c r="M3716" s="3">
        <v>172269</v>
      </c>
      <c r="N3716">
        <v>0</v>
      </c>
      <c r="O3716">
        <v>0</v>
      </c>
      <c r="P3716">
        <v>4152523</v>
      </c>
      <c r="Q3716" t="s">
        <v>30</v>
      </c>
      <c r="R3716" t="s">
        <v>159</v>
      </c>
      <c r="S3716" t="str">
        <v>#N/A</v>
      </c>
      <c r="T3716" t="str">
        <v>31</v>
      </c>
    </row>
    <row r="3717" spans="1:20" ht="13.7" customHeight="1" x14ac:dyDescent="0.25">
      <c r="A3717" t="s">
        <v>26</v>
      </c>
      <c r="B3717" t="s">
        <v>27</v>
      </c>
      <c r="C3717" t="s">
        <v>38</v>
      </c>
      <c r="D3717">
        <v>20</v>
      </c>
      <c r="E3717" s="5">
        <v>43690</v>
      </c>
      <c r="F3717">
        <v>62100101</v>
      </c>
      <c r="G3717" t="s">
        <v>1064</v>
      </c>
      <c r="H3717" t="s">
        <v>1117</v>
      </c>
      <c r="I3717" t="s">
        <v>1118</v>
      </c>
      <c r="J3717">
        <v>1001</v>
      </c>
      <c r="K3717">
        <v>5016</v>
      </c>
      <c r="L3717" s="3">
        <v>4152523</v>
      </c>
      <c r="M3717" s="3">
        <v>86554</v>
      </c>
      <c r="N3717">
        <v>0</v>
      </c>
      <c r="O3717">
        <v>0</v>
      </c>
      <c r="P3717">
        <v>4239077</v>
      </c>
      <c r="Q3717" t="s">
        <v>30</v>
      </c>
      <c r="R3717" t="s">
        <v>122</v>
      </c>
      <c r="S3717" t="str">
        <v>#N/A</v>
      </c>
      <c r="T3717" t="str">
        <v>31</v>
      </c>
    </row>
    <row r="3718" spans="1:20" ht="13.7" customHeight="1" x14ac:dyDescent="0.25">
      <c r="A3718" t="s">
        <v>26</v>
      </c>
      <c r="B3718" t="s">
        <v>27</v>
      </c>
      <c r="C3718" t="s">
        <v>38</v>
      </c>
      <c r="D3718">
        <v>39</v>
      </c>
      <c r="E3718" s="5">
        <v>43701</v>
      </c>
      <c r="F3718">
        <v>62100101</v>
      </c>
      <c r="G3718" t="s">
        <v>1064</v>
      </c>
      <c r="H3718" t="s">
        <v>1117</v>
      </c>
      <c r="I3718" t="s">
        <v>1118</v>
      </c>
      <c r="J3718">
        <v>1001</v>
      </c>
      <c r="K3718">
        <v>5016</v>
      </c>
      <c r="L3718" s="3">
        <v>4239077</v>
      </c>
      <c r="M3718" s="3">
        <v>46219</v>
      </c>
      <c r="N3718">
        <v>0</v>
      </c>
      <c r="O3718">
        <v>0</v>
      </c>
      <c r="P3718">
        <v>4285296</v>
      </c>
      <c r="Q3718" t="s">
        <v>30</v>
      </c>
      <c r="R3718" t="s">
        <v>122</v>
      </c>
      <c r="S3718" t="str">
        <v>#N/A</v>
      </c>
      <c r="T3718" t="str">
        <v>31</v>
      </c>
    </row>
    <row r="3719" spans="1:20" ht="13.7" customHeight="1" x14ac:dyDescent="0.25">
      <c r="A3719" t="s">
        <v>26</v>
      </c>
      <c r="B3719" t="s">
        <v>27</v>
      </c>
      <c r="C3719" t="s">
        <v>38</v>
      </c>
      <c r="D3719">
        <v>40</v>
      </c>
      <c r="E3719" s="5">
        <v>43701</v>
      </c>
      <c r="F3719">
        <v>62100101</v>
      </c>
      <c r="G3719" t="s">
        <v>1064</v>
      </c>
      <c r="H3719" t="s">
        <v>1117</v>
      </c>
      <c r="I3719" t="s">
        <v>1118</v>
      </c>
      <c r="J3719">
        <v>1001</v>
      </c>
      <c r="K3719">
        <v>5016</v>
      </c>
      <c r="L3719" s="3">
        <v>4285296</v>
      </c>
      <c r="M3719" s="3">
        <v>226905</v>
      </c>
      <c r="N3719">
        <v>0</v>
      </c>
      <c r="O3719">
        <v>0</v>
      </c>
      <c r="P3719">
        <v>4512201</v>
      </c>
      <c r="Q3719" t="s">
        <v>30</v>
      </c>
      <c r="R3719" t="s">
        <v>161</v>
      </c>
      <c r="S3719" t="str">
        <v>#N/A</v>
      </c>
      <c r="T3719" t="str">
        <v>31</v>
      </c>
    </row>
    <row r="3720" spans="1:20" ht="13.7" customHeight="1" x14ac:dyDescent="0.25">
      <c r="A3720" t="s">
        <v>26</v>
      </c>
      <c r="B3720" t="s">
        <v>27</v>
      </c>
      <c r="C3720" t="s">
        <v>39</v>
      </c>
      <c r="D3720">
        <v>7</v>
      </c>
      <c r="E3720" s="5">
        <v>43710</v>
      </c>
      <c r="F3720">
        <v>62100101</v>
      </c>
      <c r="G3720" t="s">
        <v>1064</v>
      </c>
      <c r="H3720" t="s">
        <v>1117</v>
      </c>
      <c r="I3720" t="s">
        <v>1118</v>
      </c>
      <c r="J3720">
        <v>1001</v>
      </c>
      <c r="K3720">
        <v>5016</v>
      </c>
      <c r="L3720" s="3">
        <v>4512201</v>
      </c>
      <c r="M3720" s="3">
        <v>25213</v>
      </c>
      <c r="N3720">
        <v>0</v>
      </c>
      <c r="O3720">
        <v>0</v>
      </c>
      <c r="P3720">
        <v>4537414</v>
      </c>
      <c r="Q3720" t="s">
        <v>30</v>
      </c>
      <c r="R3720" t="s">
        <v>122</v>
      </c>
      <c r="S3720" t="str">
        <v>#N/A</v>
      </c>
      <c r="T3720" t="str">
        <v>31</v>
      </c>
    </row>
    <row r="3721" spans="1:20" ht="13.7" customHeight="1" x14ac:dyDescent="0.25">
      <c r="A3721" t="s">
        <v>26</v>
      </c>
      <c r="B3721" t="s">
        <v>27</v>
      </c>
      <c r="C3721" t="s">
        <v>39</v>
      </c>
      <c r="D3721">
        <v>22</v>
      </c>
      <c r="E3721" s="5">
        <v>43719</v>
      </c>
      <c r="F3721">
        <v>62100101</v>
      </c>
      <c r="G3721" t="s">
        <v>1064</v>
      </c>
      <c r="H3721" t="s">
        <v>1117</v>
      </c>
      <c r="I3721" t="s">
        <v>1118</v>
      </c>
      <c r="J3721">
        <v>1001</v>
      </c>
      <c r="K3721">
        <v>5016</v>
      </c>
      <c r="L3721" s="3">
        <v>4537414</v>
      </c>
      <c r="M3721" s="3">
        <v>40336</v>
      </c>
      <c r="N3721">
        <v>0</v>
      </c>
      <c r="O3721">
        <v>0</v>
      </c>
      <c r="P3721">
        <v>4577750</v>
      </c>
      <c r="Q3721" t="s">
        <v>30</v>
      </c>
      <c r="R3721" t="s">
        <v>122</v>
      </c>
      <c r="S3721" t="str">
        <v>#N/A</v>
      </c>
      <c r="T3721" t="str">
        <v>31</v>
      </c>
    </row>
    <row r="3722" spans="1:20" ht="13.7" customHeight="1" x14ac:dyDescent="0.25">
      <c r="A3722" t="s">
        <v>26</v>
      </c>
      <c r="B3722" t="s">
        <v>27</v>
      </c>
      <c r="C3722" t="s">
        <v>39</v>
      </c>
      <c r="D3722">
        <v>51</v>
      </c>
      <c r="E3722" s="5">
        <v>43733</v>
      </c>
      <c r="F3722">
        <v>62100101</v>
      </c>
      <c r="G3722" t="s">
        <v>1064</v>
      </c>
      <c r="H3722" t="s">
        <v>1117</v>
      </c>
      <c r="I3722" t="s">
        <v>1118</v>
      </c>
      <c r="J3722">
        <v>1001</v>
      </c>
      <c r="K3722">
        <v>5016</v>
      </c>
      <c r="L3722" s="3">
        <v>4577750</v>
      </c>
      <c r="M3722" s="3">
        <v>128570</v>
      </c>
      <c r="N3722">
        <v>0</v>
      </c>
      <c r="O3722">
        <v>0</v>
      </c>
      <c r="P3722">
        <v>4706320</v>
      </c>
      <c r="Q3722" t="s">
        <v>30</v>
      </c>
      <c r="R3722" t="s">
        <v>122</v>
      </c>
      <c r="S3722" t="str">
        <v>#N/A</v>
      </c>
      <c r="T3722" t="str">
        <v>31</v>
      </c>
    </row>
    <row r="3723" spans="1:20" ht="13.7" customHeight="1" x14ac:dyDescent="0.25">
      <c r="A3723" t="s">
        <v>26</v>
      </c>
      <c r="B3723" t="s">
        <v>27</v>
      </c>
      <c r="C3723" t="s">
        <v>39</v>
      </c>
      <c r="D3723">
        <v>13</v>
      </c>
      <c r="E3723" s="5">
        <v>43745</v>
      </c>
      <c r="F3723">
        <v>62100101</v>
      </c>
      <c r="G3723" t="s">
        <v>1064</v>
      </c>
      <c r="H3723" t="s">
        <v>1117</v>
      </c>
      <c r="I3723" t="s">
        <v>1118</v>
      </c>
      <c r="J3723">
        <v>1001</v>
      </c>
      <c r="K3723">
        <v>5016</v>
      </c>
      <c r="L3723" s="3">
        <v>4706320</v>
      </c>
      <c r="M3723" s="3">
        <v>129411</v>
      </c>
      <c r="N3723">
        <v>0</v>
      </c>
      <c r="O3723">
        <v>0</v>
      </c>
      <c r="P3723">
        <v>4835731</v>
      </c>
      <c r="Q3723" t="s">
        <v>30</v>
      </c>
      <c r="R3723" t="s">
        <v>122</v>
      </c>
      <c r="S3723" t="str">
        <v>#N/A</v>
      </c>
      <c r="T3723" t="str">
        <v>31</v>
      </c>
    </row>
    <row r="3724" spans="1:20" ht="13.7" customHeight="1" x14ac:dyDescent="0.25">
      <c r="A3724" t="s">
        <v>26</v>
      </c>
      <c r="B3724" t="s">
        <v>27</v>
      </c>
      <c r="C3724" t="s">
        <v>40</v>
      </c>
      <c r="D3724">
        <v>12</v>
      </c>
      <c r="E3724" s="5">
        <v>43745</v>
      </c>
      <c r="F3724">
        <v>62100101</v>
      </c>
      <c r="G3724" t="s">
        <v>1064</v>
      </c>
      <c r="H3724" t="s">
        <v>1117</v>
      </c>
      <c r="I3724" t="s">
        <v>1118</v>
      </c>
      <c r="J3724">
        <v>1001</v>
      </c>
      <c r="K3724">
        <v>5016</v>
      </c>
      <c r="L3724" s="3">
        <v>4835731</v>
      </c>
      <c r="M3724" s="3">
        <v>83714</v>
      </c>
      <c r="N3724">
        <v>0</v>
      </c>
      <c r="O3724">
        <v>0</v>
      </c>
      <c r="P3724">
        <v>4919445</v>
      </c>
      <c r="Q3724" t="s">
        <v>30</v>
      </c>
      <c r="R3724" t="s">
        <v>65</v>
      </c>
      <c r="S3724" t="str">
        <v>#N/A</v>
      </c>
      <c r="T3724" t="str">
        <v>31</v>
      </c>
    </row>
    <row r="3725" spans="1:20" ht="13.7" customHeight="1" x14ac:dyDescent="0.25">
      <c r="A3725" t="s">
        <v>26</v>
      </c>
      <c r="B3725" t="s">
        <v>27</v>
      </c>
      <c r="C3725" t="s">
        <v>40</v>
      </c>
      <c r="D3725">
        <v>17</v>
      </c>
      <c r="E3725" s="5">
        <v>43747</v>
      </c>
      <c r="F3725">
        <v>62100101</v>
      </c>
      <c r="G3725" t="s">
        <v>1064</v>
      </c>
      <c r="H3725" t="s">
        <v>1117</v>
      </c>
      <c r="I3725" t="s">
        <v>1118</v>
      </c>
      <c r="J3725">
        <v>1001</v>
      </c>
      <c r="K3725">
        <v>5016</v>
      </c>
      <c r="L3725" s="3">
        <v>4919445</v>
      </c>
      <c r="M3725" s="3">
        <v>40336</v>
      </c>
      <c r="N3725">
        <v>0</v>
      </c>
      <c r="O3725">
        <v>0</v>
      </c>
      <c r="P3725">
        <v>4959781</v>
      </c>
      <c r="Q3725" t="s">
        <v>30</v>
      </c>
      <c r="R3725" t="s">
        <v>122</v>
      </c>
      <c r="S3725" t="str">
        <v>#N/A</v>
      </c>
      <c r="T3725" t="str">
        <v>31</v>
      </c>
    </row>
    <row r="3726" spans="1:20" ht="13.7" customHeight="1" x14ac:dyDescent="0.25">
      <c r="A3726" t="s">
        <v>26</v>
      </c>
      <c r="B3726" t="s">
        <v>27</v>
      </c>
      <c r="C3726" t="s">
        <v>40</v>
      </c>
      <c r="D3726">
        <v>24</v>
      </c>
      <c r="E3726" s="5">
        <v>43753</v>
      </c>
      <c r="F3726">
        <v>62100101</v>
      </c>
      <c r="G3726" t="s">
        <v>1064</v>
      </c>
      <c r="H3726" t="s">
        <v>1117</v>
      </c>
      <c r="I3726" t="s">
        <v>1118</v>
      </c>
      <c r="J3726">
        <v>1001</v>
      </c>
      <c r="K3726">
        <v>5016</v>
      </c>
      <c r="L3726" s="3">
        <v>4959781</v>
      </c>
      <c r="M3726" s="3">
        <v>80672</v>
      </c>
      <c r="N3726">
        <v>0</v>
      </c>
      <c r="O3726">
        <v>0</v>
      </c>
      <c r="P3726">
        <v>5040453</v>
      </c>
      <c r="Q3726" t="s">
        <v>30</v>
      </c>
      <c r="R3726" t="s">
        <v>129</v>
      </c>
      <c r="S3726" t="str">
        <v>#N/A</v>
      </c>
      <c r="T3726" t="str">
        <v>31</v>
      </c>
    </row>
    <row r="3727" spans="1:20" ht="13.7" customHeight="1" x14ac:dyDescent="0.25">
      <c r="A3727" t="s">
        <v>26</v>
      </c>
      <c r="B3727" t="s">
        <v>27</v>
      </c>
      <c r="C3727" t="s">
        <v>40</v>
      </c>
      <c r="D3727">
        <v>46</v>
      </c>
      <c r="E3727" s="5">
        <v>43762</v>
      </c>
      <c r="F3727">
        <v>62100101</v>
      </c>
      <c r="G3727" t="s">
        <v>1064</v>
      </c>
      <c r="H3727" t="s">
        <v>1117</v>
      </c>
      <c r="I3727" t="s">
        <v>1118</v>
      </c>
      <c r="J3727">
        <v>1001</v>
      </c>
      <c r="K3727">
        <v>5016</v>
      </c>
      <c r="L3727" s="3">
        <v>5040453</v>
      </c>
      <c r="M3727" s="3">
        <v>57982</v>
      </c>
      <c r="N3727">
        <v>0</v>
      </c>
      <c r="O3727">
        <v>0</v>
      </c>
      <c r="P3727">
        <v>5098435</v>
      </c>
      <c r="Q3727" t="s">
        <v>30</v>
      </c>
      <c r="R3727" t="s">
        <v>65</v>
      </c>
      <c r="S3727" t="str">
        <v>#N/A</v>
      </c>
      <c r="T3727" t="str">
        <v>31</v>
      </c>
    </row>
    <row r="3728" spans="1:20" ht="13.7" customHeight="1" x14ac:dyDescent="0.25">
      <c r="A3728" t="s">
        <v>26</v>
      </c>
      <c r="B3728" t="s">
        <v>27</v>
      </c>
      <c r="C3728" t="s">
        <v>40</v>
      </c>
      <c r="D3728">
        <v>56</v>
      </c>
      <c r="E3728" s="5">
        <v>43768</v>
      </c>
      <c r="F3728">
        <v>62100101</v>
      </c>
      <c r="G3728" t="s">
        <v>1064</v>
      </c>
      <c r="H3728" t="s">
        <v>1117</v>
      </c>
      <c r="I3728" t="s">
        <v>1118</v>
      </c>
      <c r="J3728">
        <v>1001</v>
      </c>
      <c r="K3728">
        <v>5016</v>
      </c>
      <c r="L3728" s="3">
        <v>5098435</v>
      </c>
      <c r="M3728" s="3">
        <v>87396</v>
      </c>
      <c r="N3728">
        <v>0</v>
      </c>
      <c r="O3728">
        <v>0</v>
      </c>
      <c r="P3728">
        <v>5185831</v>
      </c>
      <c r="Q3728" t="s">
        <v>30</v>
      </c>
      <c r="R3728" t="s">
        <v>122</v>
      </c>
      <c r="S3728" t="str">
        <v>#N/A</v>
      </c>
      <c r="T3728" t="str">
        <v>31</v>
      </c>
    </row>
    <row r="3729" spans="1:20" ht="13.7" customHeight="1" x14ac:dyDescent="0.25">
      <c r="A3729" t="s">
        <v>26</v>
      </c>
      <c r="B3729" t="s">
        <v>27</v>
      </c>
      <c r="C3729" t="s">
        <v>41</v>
      </c>
      <c r="D3729">
        <v>14</v>
      </c>
      <c r="E3729" s="5">
        <v>43776</v>
      </c>
      <c r="F3729">
        <v>62100101</v>
      </c>
      <c r="G3729" t="s">
        <v>1064</v>
      </c>
      <c r="H3729" t="s">
        <v>1117</v>
      </c>
      <c r="I3729" t="s">
        <v>1118</v>
      </c>
      <c r="J3729">
        <v>1001</v>
      </c>
      <c r="K3729">
        <v>5016</v>
      </c>
      <c r="L3729" s="3">
        <v>5185831</v>
      </c>
      <c r="M3729" s="3">
        <v>391596</v>
      </c>
      <c r="N3729">
        <v>0</v>
      </c>
      <c r="O3729">
        <v>0</v>
      </c>
      <c r="P3729">
        <v>5577427</v>
      </c>
      <c r="Q3729" t="s">
        <v>30</v>
      </c>
      <c r="R3729" t="s">
        <v>122</v>
      </c>
      <c r="S3729" t="str">
        <v>#N/A</v>
      </c>
      <c r="T3729" t="str">
        <v>31</v>
      </c>
    </row>
    <row r="3730" spans="1:20" ht="13.7" customHeight="1" x14ac:dyDescent="0.25">
      <c r="A3730" t="s">
        <v>26</v>
      </c>
      <c r="B3730" t="s">
        <v>27</v>
      </c>
      <c r="C3730" t="s">
        <v>41</v>
      </c>
      <c r="D3730">
        <v>36</v>
      </c>
      <c r="E3730" s="5">
        <v>43784</v>
      </c>
      <c r="F3730">
        <v>62100101</v>
      </c>
      <c r="G3730" t="s">
        <v>1064</v>
      </c>
      <c r="H3730" t="s">
        <v>1117</v>
      </c>
      <c r="I3730" t="s">
        <v>1118</v>
      </c>
      <c r="J3730">
        <v>1001</v>
      </c>
      <c r="K3730">
        <v>5016</v>
      </c>
      <c r="L3730" s="3">
        <v>5577427</v>
      </c>
      <c r="M3730" s="3">
        <v>92437</v>
      </c>
      <c r="N3730">
        <v>0</v>
      </c>
      <c r="O3730">
        <v>0</v>
      </c>
      <c r="P3730">
        <v>5669864</v>
      </c>
      <c r="Q3730" t="s">
        <v>30</v>
      </c>
      <c r="R3730" t="s">
        <v>122</v>
      </c>
      <c r="S3730" t="str">
        <v>#N/A</v>
      </c>
      <c r="T3730" t="str">
        <v>31</v>
      </c>
    </row>
    <row r="3731" spans="1:20" ht="13.7" customHeight="1" x14ac:dyDescent="0.25">
      <c r="A3731" t="s">
        <v>26</v>
      </c>
      <c r="B3731" t="s">
        <v>27</v>
      </c>
      <c r="C3731" t="s">
        <v>180</v>
      </c>
      <c r="D3731">
        <v>29</v>
      </c>
      <c r="E3731" s="5">
        <v>43801</v>
      </c>
      <c r="F3731">
        <v>62100101</v>
      </c>
      <c r="G3731" t="s">
        <v>1064</v>
      </c>
      <c r="H3731" t="s">
        <v>1117</v>
      </c>
      <c r="I3731" t="s">
        <v>1118</v>
      </c>
      <c r="J3731">
        <v>1001</v>
      </c>
      <c r="K3731">
        <v>5016</v>
      </c>
      <c r="L3731" s="3">
        <v>5669864</v>
      </c>
      <c r="M3731" s="3">
        <v>23529</v>
      </c>
      <c r="N3731">
        <v>0</v>
      </c>
      <c r="O3731">
        <v>0</v>
      </c>
      <c r="P3731">
        <v>5693393</v>
      </c>
      <c r="Q3731" t="s">
        <v>30</v>
      </c>
      <c r="R3731" t="s">
        <v>122</v>
      </c>
      <c r="S3731" t="str">
        <v>#N/A</v>
      </c>
      <c r="T3731" t="str">
        <v>31</v>
      </c>
    </row>
    <row r="3732" spans="1:20" ht="13.7" customHeight="1" x14ac:dyDescent="0.25">
      <c r="A3732" t="s">
        <v>26</v>
      </c>
      <c r="B3732" t="s">
        <v>27</v>
      </c>
      <c r="C3732" t="s">
        <v>180</v>
      </c>
      <c r="D3732">
        <v>30</v>
      </c>
      <c r="E3732" s="5">
        <v>43805</v>
      </c>
      <c r="F3732">
        <v>62100101</v>
      </c>
      <c r="G3732" t="s">
        <v>1064</v>
      </c>
      <c r="H3732" t="s">
        <v>1117</v>
      </c>
      <c r="I3732" t="s">
        <v>1118</v>
      </c>
      <c r="J3732">
        <v>1001</v>
      </c>
      <c r="K3732">
        <v>5016</v>
      </c>
      <c r="L3732" s="3">
        <v>5693393</v>
      </c>
      <c r="M3732" s="3">
        <v>23529</v>
      </c>
      <c r="N3732">
        <v>0</v>
      </c>
      <c r="O3732">
        <v>0</v>
      </c>
      <c r="P3732">
        <v>5716922</v>
      </c>
      <c r="Q3732" t="s">
        <v>30</v>
      </c>
      <c r="R3732" t="s">
        <v>122</v>
      </c>
      <c r="S3732" t="str">
        <v>#N/A</v>
      </c>
      <c r="T3732" t="str">
        <v>31</v>
      </c>
    </row>
    <row r="3733" spans="1:20" ht="13.7" customHeight="1" x14ac:dyDescent="0.25">
      <c r="A3733" t="s">
        <v>26</v>
      </c>
      <c r="B3733" t="s">
        <v>27</v>
      </c>
      <c r="C3733" t="s">
        <v>180</v>
      </c>
      <c r="D3733">
        <v>31</v>
      </c>
      <c r="E3733" s="5">
        <v>43805</v>
      </c>
      <c r="F3733">
        <v>62100101</v>
      </c>
      <c r="G3733" t="s">
        <v>1064</v>
      </c>
      <c r="H3733" t="s">
        <v>1117</v>
      </c>
      <c r="I3733" t="s">
        <v>1118</v>
      </c>
      <c r="J3733">
        <v>1001</v>
      </c>
      <c r="K3733">
        <v>5016</v>
      </c>
      <c r="L3733" s="3">
        <v>5716922</v>
      </c>
      <c r="M3733" s="3">
        <v>172269</v>
      </c>
      <c r="N3733">
        <v>0</v>
      </c>
      <c r="O3733">
        <v>0</v>
      </c>
      <c r="P3733">
        <v>5889191</v>
      </c>
      <c r="Q3733" t="s">
        <v>30</v>
      </c>
      <c r="R3733" t="s">
        <v>577</v>
      </c>
      <c r="S3733" t="str">
        <v>#N/A</v>
      </c>
      <c r="T3733" t="str">
        <v>31</v>
      </c>
    </row>
    <row r="3734" spans="1:20" ht="13.7" customHeight="1" x14ac:dyDescent="0.25">
      <c r="A3734" t="s">
        <v>26</v>
      </c>
      <c r="B3734" t="s">
        <v>27</v>
      </c>
      <c r="C3734" t="s">
        <v>180</v>
      </c>
      <c r="D3734">
        <v>32</v>
      </c>
      <c r="E3734" s="5">
        <v>43812</v>
      </c>
      <c r="F3734">
        <v>62100101</v>
      </c>
      <c r="G3734" t="s">
        <v>1064</v>
      </c>
      <c r="H3734" t="s">
        <v>1117</v>
      </c>
      <c r="I3734" t="s">
        <v>1118</v>
      </c>
      <c r="J3734">
        <v>1001</v>
      </c>
      <c r="K3734">
        <v>5016</v>
      </c>
      <c r="L3734" s="3">
        <v>5889191</v>
      </c>
      <c r="M3734" s="3">
        <v>172269</v>
      </c>
      <c r="N3734">
        <v>0</v>
      </c>
      <c r="O3734">
        <v>0</v>
      </c>
      <c r="P3734">
        <v>6061460</v>
      </c>
      <c r="Q3734" t="s">
        <v>30</v>
      </c>
      <c r="R3734" t="s">
        <v>577</v>
      </c>
      <c r="S3734" t="str">
        <v>#N/A</v>
      </c>
      <c r="T3734" t="str">
        <v>31</v>
      </c>
    </row>
    <row r="3735" spans="1:20" ht="13.7" customHeight="1" x14ac:dyDescent="0.25">
      <c r="A3735" t="s">
        <v>26</v>
      </c>
      <c r="B3735" t="s">
        <v>27</v>
      </c>
      <c r="C3735" t="s">
        <v>180</v>
      </c>
      <c r="D3735">
        <v>49</v>
      </c>
      <c r="E3735" s="5">
        <v>43817</v>
      </c>
      <c r="F3735">
        <v>62100101</v>
      </c>
      <c r="G3735" t="s">
        <v>1064</v>
      </c>
      <c r="H3735" t="s">
        <v>1117</v>
      </c>
      <c r="I3735" t="s">
        <v>1118</v>
      </c>
      <c r="J3735">
        <v>1001</v>
      </c>
      <c r="K3735">
        <v>5016</v>
      </c>
      <c r="L3735" s="3">
        <v>6061460</v>
      </c>
      <c r="M3735" s="3">
        <v>31933</v>
      </c>
      <c r="N3735">
        <v>0</v>
      </c>
      <c r="O3735">
        <v>0</v>
      </c>
      <c r="P3735">
        <v>6093393</v>
      </c>
      <c r="Q3735" t="s">
        <v>30</v>
      </c>
      <c r="R3735" t="s">
        <v>122</v>
      </c>
      <c r="S3735" t="str">
        <v>#N/A</v>
      </c>
      <c r="T3735" t="str">
        <v>31</v>
      </c>
    </row>
    <row r="3736" spans="1:20" ht="13.7" customHeight="1" x14ac:dyDescent="0.25">
      <c r="A3736" t="s">
        <v>26</v>
      </c>
      <c r="B3736" t="s">
        <v>27</v>
      </c>
      <c r="C3736" t="s">
        <v>180</v>
      </c>
      <c r="D3736">
        <v>58</v>
      </c>
      <c r="E3736" s="5">
        <v>43822</v>
      </c>
      <c r="F3736">
        <v>62100101</v>
      </c>
      <c r="G3736" t="s">
        <v>1064</v>
      </c>
      <c r="H3736" t="s">
        <v>1117</v>
      </c>
      <c r="I3736" t="s">
        <v>1118</v>
      </c>
      <c r="J3736">
        <v>1001</v>
      </c>
      <c r="K3736">
        <v>5016</v>
      </c>
      <c r="L3736" s="3">
        <v>6093393</v>
      </c>
      <c r="M3736" s="3">
        <v>27732</v>
      </c>
      <c r="N3736">
        <v>0</v>
      </c>
      <c r="O3736">
        <v>0</v>
      </c>
      <c r="P3736">
        <v>6121125</v>
      </c>
      <c r="Q3736" t="s">
        <v>30</v>
      </c>
      <c r="R3736" t="s">
        <v>126</v>
      </c>
      <c r="S3736" t="str">
        <v>#N/A</v>
      </c>
      <c r="T3736" t="str">
        <v>31</v>
      </c>
    </row>
    <row r="3737" spans="1:20" ht="13.7" customHeight="1" x14ac:dyDescent="0.25">
      <c r="E3737" s="5">
        <v>43465</v>
      </c>
      <c r="F3737">
        <v>62100101</v>
      </c>
      <c r="G3737" t="s">
        <v>1064</v>
      </c>
      <c r="H3737" t="s">
        <v>1103</v>
      </c>
      <c r="I3737" t="s">
        <v>1104</v>
      </c>
      <c r="J3737">
        <v>0</v>
      </c>
      <c r="K3737">
        <v>0</v>
      </c>
      <c r="L3737" s="3">
        <v>12986109</v>
      </c>
      <c r="M3737" s="3">
        <v>0</v>
      </c>
      <c r="N3737">
        <v>0</v>
      </c>
      <c r="O3737">
        <v>0</v>
      </c>
      <c r="P3737">
        <v>12986109</v>
      </c>
      <c r="R3737" t="s">
        <v>1100</v>
      </c>
      <c r="S3737" t="str">
        <v>#N/A</v>
      </c>
      <c r="T3737" t="str">
        <v>31</v>
      </c>
    </row>
    <row r="3738" spans="1:20" ht="13.7" customHeight="1" x14ac:dyDescent="0.25">
      <c r="A3738" t="s">
        <v>26</v>
      </c>
      <c r="B3738" t="s">
        <v>27</v>
      </c>
      <c r="C3738" t="s">
        <v>28</v>
      </c>
      <c r="D3738">
        <v>33</v>
      </c>
      <c r="E3738" s="5">
        <v>43479</v>
      </c>
      <c r="F3738">
        <v>62100101</v>
      </c>
      <c r="G3738" t="s">
        <v>1064</v>
      </c>
      <c r="H3738" t="s">
        <v>1103</v>
      </c>
      <c r="I3738" t="s">
        <v>1104</v>
      </c>
      <c r="J3738">
        <v>1001</v>
      </c>
      <c r="K3738">
        <v>5016</v>
      </c>
      <c r="L3738" s="3">
        <v>12986109</v>
      </c>
      <c r="M3738" s="3">
        <v>890856</v>
      </c>
      <c r="N3738">
        <v>0</v>
      </c>
      <c r="O3738">
        <v>0</v>
      </c>
      <c r="P3738">
        <v>13876965</v>
      </c>
      <c r="Q3738" t="s">
        <v>30</v>
      </c>
      <c r="R3738" t="s">
        <v>65</v>
      </c>
      <c r="S3738" t="str">
        <v>#N/A</v>
      </c>
      <c r="T3738" t="str">
        <v>31</v>
      </c>
    </row>
    <row r="3739" spans="1:20" ht="13.7" customHeight="1" x14ac:dyDescent="0.25">
      <c r="A3739" t="s">
        <v>26</v>
      </c>
      <c r="B3739" t="s">
        <v>27</v>
      </c>
      <c r="C3739" t="s">
        <v>32</v>
      </c>
      <c r="D3739">
        <v>24</v>
      </c>
      <c r="E3739" s="5">
        <v>43509</v>
      </c>
      <c r="F3739">
        <v>62100101</v>
      </c>
      <c r="G3739" t="s">
        <v>1064</v>
      </c>
      <c r="H3739" t="s">
        <v>1103</v>
      </c>
      <c r="I3739" t="s">
        <v>1104</v>
      </c>
      <c r="J3739">
        <v>1001</v>
      </c>
      <c r="K3739">
        <v>5016</v>
      </c>
      <c r="L3739" s="3">
        <v>13876965</v>
      </c>
      <c r="M3739" s="3">
        <v>1109909</v>
      </c>
      <c r="N3739">
        <v>0</v>
      </c>
      <c r="O3739">
        <v>0</v>
      </c>
      <c r="P3739">
        <v>14986874</v>
      </c>
      <c r="Q3739" t="s">
        <v>30</v>
      </c>
      <c r="R3739" t="s">
        <v>65</v>
      </c>
      <c r="S3739" t="str">
        <v>#N/A</v>
      </c>
      <c r="T3739" t="str">
        <v>31</v>
      </c>
    </row>
    <row r="3740" spans="1:20" ht="13.7" customHeight="1" x14ac:dyDescent="0.25">
      <c r="A3740" t="s">
        <v>26</v>
      </c>
      <c r="B3740" t="s">
        <v>27</v>
      </c>
      <c r="C3740" t="s">
        <v>91</v>
      </c>
      <c r="D3740">
        <v>6</v>
      </c>
      <c r="E3740" s="5">
        <v>43525</v>
      </c>
      <c r="F3740">
        <v>62100101</v>
      </c>
      <c r="G3740" t="s">
        <v>1064</v>
      </c>
      <c r="H3740" t="s">
        <v>1103</v>
      </c>
      <c r="I3740" t="s">
        <v>1104</v>
      </c>
      <c r="J3740">
        <v>1001</v>
      </c>
      <c r="K3740">
        <v>5016</v>
      </c>
      <c r="L3740" s="3">
        <v>14986874</v>
      </c>
      <c r="M3740" s="3">
        <v>1179918</v>
      </c>
      <c r="N3740">
        <v>0</v>
      </c>
      <c r="O3740">
        <v>0</v>
      </c>
      <c r="P3740">
        <v>16166792</v>
      </c>
      <c r="Q3740" t="s">
        <v>30</v>
      </c>
      <c r="R3740" t="s">
        <v>65</v>
      </c>
      <c r="S3740" t="str">
        <v>#N/A</v>
      </c>
      <c r="T3740" t="str">
        <v>31</v>
      </c>
    </row>
    <row r="3741" spans="1:20" ht="13.7" customHeight="1" x14ac:dyDescent="0.25">
      <c r="A3741" t="s">
        <v>26</v>
      </c>
      <c r="B3741" t="s">
        <v>27</v>
      </c>
      <c r="C3741" t="s">
        <v>34</v>
      </c>
      <c r="D3741">
        <v>42</v>
      </c>
      <c r="E3741" s="5">
        <v>43572</v>
      </c>
      <c r="F3741">
        <v>62100101</v>
      </c>
      <c r="G3741" t="s">
        <v>1064</v>
      </c>
      <c r="H3741" t="s">
        <v>1103</v>
      </c>
      <c r="I3741" t="s">
        <v>1104</v>
      </c>
      <c r="J3741">
        <v>1001</v>
      </c>
      <c r="K3741">
        <v>5016</v>
      </c>
      <c r="L3741" s="3">
        <v>16166792</v>
      </c>
      <c r="M3741" s="3">
        <v>1503386</v>
      </c>
      <c r="N3741">
        <v>0</v>
      </c>
      <c r="O3741">
        <v>0</v>
      </c>
      <c r="P3741">
        <v>17670178</v>
      </c>
      <c r="Q3741" t="s">
        <v>30</v>
      </c>
      <c r="R3741" t="s">
        <v>65</v>
      </c>
      <c r="S3741" t="str">
        <v>#N/A</v>
      </c>
      <c r="T3741" t="str">
        <v>31</v>
      </c>
    </row>
    <row r="3742" spans="1:20" ht="13.7" customHeight="1" x14ac:dyDescent="0.25">
      <c r="A3742" t="s">
        <v>26</v>
      </c>
      <c r="B3742" t="s">
        <v>27</v>
      </c>
      <c r="C3742" t="s">
        <v>35</v>
      </c>
      <c r="D3742">
        <v>27</v>
      </c>
      <c r="E3742" s="5">
        <v>43593</v>
      </c>
      <c r="F3742">
        <v>62100101</v>
      </c>
      <c r="G3742" t="s">
        <v>1064</v>
      </c>
      <c r="H3742" t="s">
        <v>1103</v>
      </c>
      <c r="I3742" t="s">
        <v>1104</v>
      </c>
      <c r="J3742">
        <v>1001</v>
      </c>
      <c r="K3742">
        <v>5016</v>
      </c>
      <c r="L3742" s="3">
        <v>17670178</v>
      </c>
      <c r="M3742" s="3">
        <v>877816</v>
      </c>
      <c r="N3742">
        <v>0</v>
      </c>
      <c r="O3742">
        <v>0</v>
      </c>
      <c r="P3742">
        <v>18547994</v>
      </c>
      <c r="Q3742" t="s">
        <v>30</v>
      </c>
      <c r="R3742" t="s">
        <v>65</v>
      </c>
      <c r="S3742" t="str">
        <v>#N/A</v>
      </c>
      <c r="T3742" t="str">
        <v>31</v>
      </c>
    </row>
    <row r="3743" spans="1:20" ht="13.7" customHeight="1" x14ac:dyDescent="0.25">
      <c r="A3743" t="s">
        <v>26</v>
      </c>
      <c r="B3743" t="s">
        <v>27</v>
      </c>
      <c r="C3743" t="s">
        <v>35</v>
      </c>
      <c r="D3743">
        <v>46</v>
      </c>
      <c r="E3743" s="5">
        <v>43599</v>
      </c>
      <c r="F3743">
        <v>62100101</v>
      </c>
      <c r="G3743" t="s">
        <v>1064</v>
      </c>
      <c r="H3743" t="s">
        <v>1103</v>
      </c>
      <c r="I3743" t="s">
        <v>1104</v>
      </c>
      <c r="J3743">
        <v>1001</v>
      </c>
      <c r="K3743">
        <v>5016</v>
      </c>
      <c r="L3743" s="3">
        <v>18547994</v>
      </c>
      <c r="M3743" s="3">
        <v>890280</v>
      </c>
      <c r="N3743">
        <v>0</v>
      </c>
      <c r="O3743">
        <v>0</v>
      </c>
      <c r="P3743">
        <v>19438274</v>
      </c>
      <c r="Q3743" t="s">
        <v>30</v>
      </c>
      <c r="R3743" t="s">
        <v>65</v>
      </c>
      <c r="S3743" t="str">
        <v>#N/A</v>
      </c>
      <c r="T3743" t="str">
        <v>31</v>
      </c>
    </row>
    <row r="3744" spans="1:20" ht="13.7" customHeight="1" x14ac:dyDescent="0.25">
      <c r="A3744" t="s">
        <v>26</v>
      </c>
      <c r="B3744" t="s">
        <v>27</v>
      </c>
      <c r="C3744" t="s">
        <v>35</v>
      </c>
      <c r="D3744">
        <v>65</v>
      </c>
      <c r="E3744" s="5">
        <v>43605</v>
      </c>
      <c r="F3744">
        <v>62100101</v>
      </c>
      <c r="G3744" t="s">
        <v>1064</v>
      </c>
      <c r="H3744" t="s">
        <v>1103</v>
      </c>
      <c r="I3744" t="s">
        <v>1104</v>
      </c>
      <c r="J3744">
        <v>1001</v>
      </c>
      <c r="K3744">
        <v>5016</v>
      </c>
      <c r="L3744" s="3">
        <v>19438274</v>
      </c>
      <c r="M3744" s="3">
        <v>903931</v>
      </c>
      <c r="N3744">
        <v>0</v>
      </c>
      <c r="O3744">
        <v>0</v>
      </c>
      <c r="P3744">
        <v>20342205</v>
      </c>
      <c r="Q3744" t="s">
        <v>30</v>
      </c>
      <c r="R3744" t="s">
        <v>65</v>
      </c>
      <c r="S3744" t="str">
        <v>#N/A</v>
      </c>
      <c r="T3744" t="str">
        <v>31</v>
      </c>
    </row>
    <row r="3745" spans="1:20" ht="13.7" customHeight="1" x14ac:dyDescent="0.25">
      <c r="A3745" t="s">
        <v>26</v>
      </c>
      <c r="B3745" t="s">
        <v>27</v>
      </c>
      <c r="C3745" t="s">
        <v>36</v>
      </c>
      <c r="D3745">
        <v>26</v>
      </c>
      <c r="E3745" s="5">
        <v>43629</v>
      </c>
      <c r="F3745">
        <v>62100101</v>
      </c>
      <c r="G3745" t="s">
        <v>1064</v>
      </c>
      <c r="H3745" t="s">
        <v>1103</v>
      </c>
      <c r="I3745" t="s">
        <v>1104</v>
      </c>
      <c r="J3745">
        <v>1001</v>
      </c>
      <c r="K3745">
        <v>5016</v>
      </c>
      <c r="L3745" s="3">
        <v>20342205</v>
      </c>
      <c r="M3745" s="3">
        <v>897402</v>
      </c>
      <c r="N3745">
        <v>0</v>
      </c>
      <c r="O3745">
        <v>0</v>
      </c>
      <c r="P3745">
        <v>21239607</v>
      </c>
      <c r="Q3745" t="s">
        <v>30</v>
      </c>
      <c r="R3745" t="s">
        <v>65</v>
      </c>
      <c r="S3745" t="str">
        <v>#N/A</v>
      </c>
      <c r="T3745" t="str">
        <v>31</v>
      </c>
    </row>
    <row r="3746" spans="1:20" ht="13.7" customHeight="1" x14ac:dyDescent="0.25">
      <c r="A3746" t="s">
        <v>26</v>
      </c>
      <c r="B3746" t="s">
        <v>27</v>
      </c>
      <c r="C3746" t="s">
        <v>36</v>
      </c>
      <c r="D3746">
        <v>27</v>
      </c>
      <c r="E3746" s="5">
        <v>43629</v>
      </c>
      <c r="F3746">
        <v>62100101</v>
      </c>
      <c r="G3746" t="s">
        <v>1064</v>
      </c>
      <c r="H3746" t="s">
        <v>1103</v>
      </c>
      <c r="I3746" t="s">
        <v>1104</v>
      </c>
      <c r="J3746">
        <v>1001</v>
      </c>
      <c r="K3746">
        <v>5016</v>
      </c>
      <c r="L3746" s="3">
        <v>21239607</v>
      </c>
      <c r="M3746" s="3">
        <v>592333</v>
      </c>
      <c r="N3746">
        <v>0</v>
      </c>
      <c r="O3746">
        <v>0</v>
      </c>
      <c r="P3746">
        <v>21831940</v>
      </c>
      <c r="Q3746" t="s">
        <v>30</v>
      </c>
      <c r="R3746" t="s">
        <v>65</v>
      </c>
      <c r="S3746" t="str">
        <v>#N/A</v>
      </c>
      <c r="T3746" t="str">
        <v>31</v>
      </c>
    </row>
    <row r="3747" spans="1:20" ht="13.7" customHeight="1" x14ac:dyDescent="0.25">
      <c r="A3747" t="s">
        <v>26</v>
      </c>
      <c r="B3747" t="s">
        <v>27</v>
      </c>
      <c r="C3747" t="s">
        <v>37</v>
      </c>
      <c r="D3747">
        <v>44</v>
      </c>
      <c r="E3747" s="5">
        <v>43663</v>
      </c>
      <c r="F3747">
        <v>62100101</v>
      </c>
      <c r="G3747" t="s">
        <v>1064</v>
      </c>
      <c r="H3747" t="s">
        <v>1103</v>
      </c>
      <c r="I3747" t="s">
        <v>1104</v>
      </c>
      <c r="J3747">
        <v>1001</v>
      </c>
      <c r="K3747">
        <v>5016</v>
      </c>
      <c r="L3747" s="3">
        <v>21831940</v>
      </c>
      <c r="M3747" s="3">
        <v>1227400</v>
      </c>
      <c r="N3747">
        <v>0</v>
      </c>
      <c r="O3747">
        <v>0</v>
      </c>
      <c r="P3747">
        <v>23059340</v>
      </c>
      <c r="Q3747" t="s">
        <v>30</v>
      </c>
      <c r="R3747" t="s">
        <v>65</v>
      </c>
      <c r="S3747" t="str">
        <v>#N/A</v>
      </c>
      <c r="T3747" t="str">
        <v>31</v>
      </c>
    </row>
    <row r="3748" spans="1:20" ht="13.7" customHeight="1" x14ac:dyDescent="0.25">
      <c r="A3748" t="s">
        <v>26</v>
      </c>
      <c r="B3748" t="s">
        <v>27</v>
      </c>
      <c r="C3748" t="s">
        <v>38</v>
      </c>
      <c r="D3748">
        <v>25</v>
      </c>
      <c r="E3748" s="5">
        <v>43692</v>
      </c>
      <c r="F3748">
        <v>62100101</v>
      </c>
      <c r="G3748" t="s">
        <v>1064</v>
      </c>
      <c r="H3748" t="s">
        <v>1103</v>
      </c>
      <c r="I3748" t="s">
        <v>1104</v>
      </c>
      <c r="J3748">
        <v>1001</v>
      </c>
      <c r="K3748">
        <v>5016</v>
      </c>
      <c r="L3748" s="3">
        <v>23059340</v>
      </c>
      <c r="M3748" s="3">
        <v>1832789</v>
      </c>
      <c r="N3748">
        <v>0</v>
      </c>
      <c r="O3748">
        <v>0</v>
      </c>
      <c r="P3748">
        <v>24892129</v>
      </c>
      <c r="Q3748" t="s">
        <v>30</v>
      </c>
      <c r="R3748" t="s">
        <v>65</v>
      </c>
      <c r="S3748" t="str">
        <v>#N/A</v>
      </c>
      <c r="T3748" t="str">
        <v>31</v>
      </c>
    </row>
    <row r="3749" spans="1:20" ht="13.7" customHeight="1" x14ac:dyDescent="0.25">
      <c r="A3749" t="s">
        <v>26</v>
      </c>
      <c r="B3749" t="s">
        <v>27</v>
      </c>
      <c r="C3749" t="s">
        <v>38</v>
      </c>
      <c r="D3749">
        <v>52</v>
      </c>
      <c r="E3749" s="5">
        <v>43706</v>
      </c>
      <c r="F3749">
        <v>62100101</v>
      </c>
      <c r="G3749" t="s">
        <v>1064</v>
      </c>
      <c r="H3749" t="s">
        <v>1103</v>
      </c>
      <c r="I3749" t="s">
        <v>1104</v>
      </c>
      <c r="J3749">
        <v>1001</v>
      </c>
      <c r="K3749">
        <v>5016</v>
      </c>
      <c r="L3749" s="3">
        <v>24892129</v>
      </c>
      <c r="M3749" s="3">
        <v>866539</v>
      </c>
      <c r="N3749">
        <v>0</v>
      </c>
      <c r="O3749">
        <v>0</v>
      </c>
      <c r="P3749">
        <v>25758668</v>
      </c>
      <c r="Q3749" t="s">
        <v>30</v>
      </c>
      <c r="R3749" t="s">
        <v>65</v>
      </c>
      <c r="S3749" t="str">
        <v>#N/A</v>
      </c>
      <c r="T3749" t="str">
        <v>31</v>
      </c>
    </row>
    <row r="3750" spans="1:20" ht="13.7" customHeight="1" x14ac:dyDescent="0.25">
      <c r="A3750" t="s">
        <v>26</v>
      </c>
      <c r="B3750" t="s">
        <v>27</v>
      </c>
      <c r="C3750" t="s">
        <v>39</v>
      </c>
      <c r="D3750">
        <v>9</v>
      </c>
      <c r="E3750" s="5">
        <v>43712</v>
      </c>
      <c r="F3750">
        <v>62100101</v>
      </c>
      <c r="G3750" t="s">
        <v>1064</v>
      </c>
      <c r="H3750" t="s">
        <v>1103</v>
      </c>
      <c r="I3750" t="s">
        <v>1104</v>
      </c>
      <c r="J3750">
        <v>1001</v>
      </c>
      <c r="K3750">
        <v>5016</v>
      </c>
      <c r="L3750" s="3">
        <v>25758668</v>
      </c>
      <c r="M3750" s="3">
        <v>2955136</v>
      </c>
      <c r="N3750">
        <v>0</v>
      </c>
      <c r="O3750">
        <v>0</v>
      </c>
      <c r="P3750">
        <v>28713804</v>
      </c>
      <c r="Q3750" t="s">
        <v>30</v>
      </c>
      <c r="R3750" t="s">
        <v>65</v>
      </c>
      <c r="S3750" t="str">
        <v>#N/A</v>
      </c>
      <c r="T3750" t="str">
        <v>31</v>
      </c>
    </row>
    <row r="3751" spans="1:20" ht="13.7" customHeight="1" x14ac:dyDescent="0.25">
      <c r="A3751" t="s">
        <v>26</v>
      </c>
      <c r="B3751" t="s">
        <v>27</v>
      </c>
      <c r="C3751" t="s">
        <v>39</v>
      </c>
      <c r="D3751">
        <v>46</v>
      </c>
      <c r="E3751" s="5">
        <v>43732</v>
      </c>
      <c r="F3751">
        <v>62100101</v>
      </c>
      <c r="G3751" t="s">
        <v>1064</v>
      </c>
      <c r="H3751" t="s">
        <v>1103</v>
      </c>
      <c r="I3751" t="s">
        <v>1104</v>
      </c>
      <c r="J3751">
        <v>1001</v>
      </c>
      <c r="K3751">
        <v>5016</v>
      </c>
      <c r="L3751" s="3">
        <v>28713804</v>
      </c>
      <c r="M3751" s="3">
        <v>715191</v>
      </c>
      <c r="N3751">
        <v>0</v>
      </c>
      <c r="O3751">
        <v>0</v>
      </c>
      <c r="P3751">
        <v>29428995</v>
      </c>
      <c r="Q3751" t="s">
        <v>30</v>
      </c>
      <c r="R3751" t="s">
        <v>65</v>
      </c>
      <c r="S3751" t="str">
        <v>#N/A</v>
      </c>
      <c r="T3751" t="str">
        <v>31</v>
      </c>
    </row>
    <row r="3752" spans="1:20" ht="13.7" customHeight="1" x14ac:dyDescent="0.25">
      <c r="A3752" t="s">
        <v>26</v>
      </c>
      <c r="B3752" t="s">
        <v>27</v>
      </c>
      <c r="C3752" t="s">
        <v>40</v>
      </c>
      <c r="D3752">
        <v>50</v>
      </c>
      <c r="E3752" s="5">
        <v>43767</v>
      </c>
      <c r="F3752">
        <v>62100101</v>
      </c>
      <c r="G3752" t="s">
        <v>1064</v>
      </c>
      <c r="H3752" t="s">
        <v>1103</v>
      </c>
      <c r="I3752" t="s">
        <v>1104</v>
      </c>
      <c r="J3752">
        <v>1001</v>
      </c>
      <c r="K3752">
        <v>5016</v>
      </c>
      <c r="L3752" s="3">
        <v>29428995</v>
      </c>
      <c r="M3752" s="3">
        <v>1248173</v>
      </c>
      <c r="N3752">
        <v>0</v>
      </c>
      <c r="O3752">
        <v>0</v>
      </c>
      <c r="P3752">
        <v>30677168</v>
      </c>
      <c r="Q3752" t="s">
        <v>30</v>
      </c>
      <c r="R3752" t="s">
        <v>65</v>
      </c>
      <c r="S3752" t="str">
        <v>#N/A</v>
      </c>
      <c r="T3752" t="str">
        <v>31</v>
      </c>
    </row>
    <row r="3753" spans="1:20" ht="13.7" customHeight="1" x14ac:dyDescent="0.25">
      <c r="E3753" s="5">
        <v>43465</v>
      </c>
      <c r="F3753">
        <v>62100101</v>
      </c>
      <c r="G3753" t="s">
        <v>1064</v>
      </c>
      <c r="H3753" t="s">
        <v>1113</v>
      </c>
      <c r="I3753" t="s">
        <v>1114</v>
      </c>
      <c r="J3753">
        <v>0</v>
      </c>
      <c r="K3753">
        <v>0</v>
      </c>
      <c r="L3753" s="3">
        <v>418487</v>
      </c>
      <c r="M3753" s="3">
        <v>0</v>
      </c>
      <c r="N3753">
        <v>0</v>
      </c>
      <c r="O3753">
        <v>0</v>
      </c>
      <c r="P3753">
        <v>418487</v>
      </c>
      <c r="R3753" t="s">
        <v>1100</v>
      </c>
      <c r="S3753" t="str">
        <v>#N/A</v>
      </c>
      <c r="T3753" t="str">
        <v>31</v>
      </c>
    </row>
    <row r="3754" spans="1:20" ht="13.7" customHeight="1" x14ac:dyDescent="0.25">
      <c r="E3754" s="5">
        <v>43465</v>
      </c>
      <c r="F3754">
        <v>62150101</v>
      </c>
      <c r="G3754" t="s">
        <v>1065</v>
      </c>
      <c r="H3754" t="s">
        <v>1374</v>
      </c>
      <c r="I3754" t="s">
        <v>1375</v>
      </c>
      <c r="J3754">
        <v>0</v>
      </c>
      <c r="K3754">
        <v>0</v>
      </c>
      <c r="L3754" s="3">
        <v>0</v>
      </c>
      <c r="M3754" s="3">
        <v>0</v>
      </c>
      <c r="N3754">
        <v>0</v>
      </c>
      <c r="O3754">
        <v>0</v>
      </c>
      <c r="P3754">
        <v>0</v>
      </c>
      <c r="R3754" t="s">
        <v>1100</v>
      </c>
      <c r="S3754" t="str">
        <v>#N/A</v>
      </c>
      <c r="T3754" t="str">
        <v>#N/A</v>
      </c>
    </row>
    <row r="3755" spans="1:20" ht="13.7" customHeight="1" x14ac:dyDescent="0.25">
      <c r="A3755" t="s">
        <v>26</v>
      </c>
      <c r="B3755" t="s">
        <v>27</v>
      </c>
      <c r="C3755" t="s">
        <v>28</v>
      </c>
      <c r="D3755">
        <v>32</v>
      </c>
      <c r="E3755" s="5">
        <v>43479</v>
      </c>
      <c r="F3755">
        <v>62150101</v>
      </c>
      <c r="G3755" t="s">
        <v>1065</v>
      </c>
      <c r="H3755" t="s">
        <v>1374</v>
      </c>
      <c r="I3755" t="s">
        <v>1375</v>
      </c>
      <c r="J3755">
        <v>1001</v>
      </c>
      <c r="K3755">
        <v>5016</v>
      </c>
      <c r="L3755" s="3">
        <v>0</v>
      </c>
      <c r="M3755" s="3">
        <v>28000</v>
      </c>
      <c r="N3755">
        <v>0</v>
      </c>
      <c r="O3755">
        <v>0</v>
      </c>
      <c r="P3755">
        <v>28000</v>
      </c>
      <c r="Q3755" t="s">
        <v>30</v>
      </c>
      <c r="R3755" t="s">
        <v>55</v>
      </c>
      <c r="S3755" t="str">
        <v>#N/A</v>
      </c>
      <c r="T3755" t="str">
        <v>#N/A</v>
      </c>
    </row>
    <row r="3756" spans="1:20" ht="13.7" customHeight="1" x14ac:dyDescent="0.25">
      <c r="E3756" s="5">
        <v>43465</v>
      </c>
      <c r="F3756">
        <v>62150101</v>
      </c>
      <c r="G3756" t="s">
        <v>1065</v>
      </c>
      <c r="H3756" t="s">
        <v>1384</v>
      </c>
      <c r="I3756" t="s">
        <v>1385</v>
      </c>
      <c r="J3756">
        <v>0</v>
      </c>
      <c r="K3756">
        <v>0</v>
      </c>
      <c r="L3756" s="3">
        <v>0</v>
      </c>
      <c r="M3756" s="3">
        <v>0</v>
      </c>
      <c r="N3756">
        <v>0</v>
      </c>
      <c r="O3756">
        <v>0</v>
      </c>
      <c r="P3756">
        <v>0</v>
      </c>
      <c r="R3756" t="s">
        <v>1100</v>
      </c>
      <c r="S3756" t="str">
        <v>#N/A</v>
      </c>
      <c r="T3756" t="str">
        <v>#N/A</v>
      </c>
    </row>
    <row r="3757" spans="1:20" ht="13.7" customHeight="1" x14ac:dyDescent="0.25">
      <c r="A3757" t="s">
        <v>26</v>
      </c>
      <c r="B3757" t="s">
        <v>27</v>
      </c>
      <c r="C3757" t="s">
        <v>37</v>
      </c>
      <c r="D3757">
        <v>54</v>
      </c>
      <c r="E3757" s="5">
        <v>43670</v>
      </c>
      <c r="F3757">
        <v>62150101</v>
      </c>
      <c r="G3757" t="s">
        <v>1065</v>
      </c>
      <c r="H3757" t="s">
        <v>1384</v>
      </c>
      <c r="I3757" t="s">
        <v>1385</v>
      </c>
      <c r="J3757">
        <v>1001</v>
      </c>
      <c r="K3757">
        <v>5016</v>
      </c>
      <c r="L3757" s="3">
        <v>0</v>
      </c>
      <c r="M3757" s="3">
        <v>7000</v>
      </c>
      <c r="N3757">
        <v>0</v>
      </c>
      <c r="O3757">
        <v>0</v>
      </c>
      <c r="P3757">
        <v>7000</v>
      </c>
      <c r="Q3757" t="s">
        <v>30</v>
      </c>
      <c r="R3757" t="s">
        <v>156</v>
      </c>
      <c r="S3757" t="str">
        <v>#N/A</v>
      </c>
      <c r="T3757" t="str">
        <v>#N/A</v>
      </c>
    </row>
    <row r="3758" spans="1:20" ht="13.7" customHeight="1" x14ac:dyDescent="0.25">
      <c r="E3758" s="5">
        <v>43465</v>
      </c>
      <c r="F3758">
        <v>62150101</v>
      </c>
      <c r="G3758" t="s">
        <v>1065</v>
      </c>
      <c r="H3758" t="s">
        <v>1205</v>
      </c>
      <c r="I3758" t="s">
        <v>1206</v>
      </c>
      <c r="J3758">
        <v>0</v>
      </c>
      <c r="K3758">
        <v>0</v>
      </c>
      <c r="L3758" s="3">
        <v>2460</v>
      </c>
      <c r="M3758" s="3">
        <v>0</v>
      </c>
      <c r="N3758">
        <v>0</v>
      </c>
      <c r="O3758">
        <v>0</v>
      </c>
      <c r="P3758">
        <v>2460</v>
      </c>
      <c r="R3758" t="s">
        <v>1100</v>
      </c>
      <c r="S3758" t="str">
        <v>#N/A</v>
      </c>
      <c r="T3758" t="str">
        <v>#N/A</v>
      </c>
    </row>
    <row r="3759" spans="1:20" ht="13.7" customHeight="1" x14ac:dyDescent="0.25">
      <c r="A3759" t="s">
        <v>26</v>
      </c>
      <c r="B3759" t="s">
        <v>27</v>
      </c>
      <c r="C3759" t="s">
        <v>28</v>
      </c>
      <c r="D3759">
        <v>23</v>
      </c>
      <c r="E3759" s="5">
        <v>43476</v>
      </c>
      <c r="F3759">
        <v>62150101</v>
      </c>
      <c r="G3759" t="s">
        <v>1065</v>
      </c>
      <c r="H3759" t="s">
        <v>1205</v>
      </c>
      <c r="I3759" t="s">
        <v>1206</v>
      </c>
      <c r="J3759">
        <v>1001</v>
      </c>
      <c r="K3759">
        <v>5016</v>
      </c>
      <c r="L3759" s="3">
        <v>2460</v>
      </c>
      <c r="M3759" s="3">
        <v>1512</v>
      </c>
      <c r="N3759">
        <v>0</v>
      </c>
      <c r="O3759">
        <v>0</v>
      </c>
      <c r="P3759">
        <v>3972</v>
      </c>
      <c r="Q3759" t="s">
        <v>30</v>
      </c>
      <c r="R3759" t="s">
        <v>50</v>
      </c>
      <c r="S3759" t="str">
        <v>#N/A</v>
      </c>
      <c r="T3759" t="str">
        <v>#N/A</v>
      </c>
    </row>
    <row r="3760" spans="1:20" ht="13.7" customHeight="1" x14ac:dyDescent="0.25">
      <c r="A3760" t="s">
        <v>26</v>
      </c>
      <c r="B3760" t="s">
        <v>27</v>
      </c>
      <c r="C3760" t="s">
        <v>28</v>
      </c>
      <c r="D3760">
        <v>24</v>
      </c>
      <c r="E3760" s="5">
        <v>43476</v>
      </c>
      <c r="F3760">
        <v>62150101</v>
      </c>
      <c r="G3760" t="s">
        <v>1065</v>
      </c>
      <c r="H3760" t="s">
        <v>1205</v>
      </c>
      <c r="I3760" t="s">
        <v>1206</v>
      </c>
      <c r="J3760">
        <v>1001</v>
      </c>
      <c r="K3760">
        <v>5016</v>
      </c>
      <c r="L3760" s="3">
        <v>3972</v>
      </c>
      <c r="M3760" s="3">
        <v>5460</v>
      </c>
      <c r="N3760">
        <v>0</v>
      </c>
      <c r="O3760">
        <v>0</v>
      </c>
      <c r="P3760">
        <v>9432</v>
      </c>
      <c r="Q3760" t="s">
        <v>30</v>
      </c>
      <c r="R3760" t="s">
        <v>50</v>
      </c>
      <c r="S3760" t="str">
        <v>#N/A</v>
      </c>
      <c r="T3760" t="str">
        <v>#N/A</v>
      </c>
    </row>
    <row r="3761" spans="1:20" ht="13.7" customHeight="1" x14ac:dyDescent="0.25">
      <c r="A3761" t="s">
        <v>26</v>
      </c>
      <c r="B3761" t="s">
        <v>27</v>
      </c>
      <c r="C3761" t="s">
        <v>28</v>
      </c>
      <c r="D3761">
        <v>29</v>
      </c>
      <c r="E3761" s="5">
        <v>43479</v>
      </c>
      <c r="F3761">
        <v>62150101</v>
      </c>
      <c r="G3761" t="s">
        <v>1065</v>
      </c>
      <c r="H3761" t="s">
        <v>1205</v>
      </c>
      <c r="I3761" t="s">
        <v>1206</v>
      </c>
      <c r="J3761">
        <v>1001</v>
      </c>
      <c r="K3761">
        <v>5016</v>
      </c>
      <c r="L3761" s="3">
        <v>9432</v>
      </c>
      <c r="M3761" s="3">
        <v>5042</v>
      </c>
      <c r="N3761">
        <v>0</v>
      </c>
      <c r="O3761">
        <v>0</v>
      </c>
      <c r="P3761">
        <v>14474</v>
      </c>
      <c r="Q3761" t="s">
        <v>30</v>
      </c>
      <c r="R3761" t="s">
        <v>54</v>
      </c>
      <c r="S3761" t="str">
        <v>#N/A</v>
      </c>
      <c r="T3761" t="str">
        <v>#N/A</v>
      </c>
    </row>
    <row r="3762" spans="1:20" ht="13.7" customHeight="1" x14ac:dyDescent="0.25">
      <c r="E3762" s="5">
        <v>43465</v>
      </c>
      <c r="F3762">
        <v>62150101</v>
      </c>
      <c r="G3762" t="s">
        <v>1065</v>
      </c>
      <c r="H3762" t="s">
        <v>1453</v>
      </c>
      <c r="I3762" t="s">
        <v>1454</v>
      </c>
      <c r="J3762">
        <v>0</v>
      </c>
      <c r="K3762">
        <v>0</v>
      </c>
      <c r="L3762" s="3">
        <v>52500</v>
      </c>
      <c r="M3762" s="3">
        <v>0</v>
      </c>
      <c r="N3762">
        <v>0</v>
      </c>
      <c r="O3762">
        <v>0</v>
      </c>
      <c r="P3762">
        <v>52500</v>
      </c>
      <c r="R3762" t="s">
        <v>1100</v>
      </c>
      <c r="S3762" t="str">
        <v>#N/A</v>
      </c>
      <c r="T3762" t="str">
        <v>#N/A</v>
      </c>
    </row>
    <row r="3763" spans="1:20" ht="13.7" customHeight="1" x14ac:dyDescent="0.25">
      <c r="E3763" s="5">
        <v>43465</v>
      </c>
      <c r="F3763">
        <v>62150101</v>
      </c>
      <c r="G3763" t="s">
        <v>1065</v>
      </c>
      <c r="H3763" t="s">
        <v>1545</v>
      </c>
      <c r="I3763" t="s">
        <v>1546</v>
      </c>
      <c r="J3763">
        <v>0</v>
      </c>
      <c r="K3763">
        <v>0</v>
      </c>
      <c r="L3763" s="3">
        <v>4000</v>
      </c>
      <c r="M3763" s="3">
        <v>0</v>
      </c>
      <c r="N3763">
        <v>0</v>
      </c>
      <c r="O3763">
        <v>0</v>
      </c>
      <c r="P3763">
        <v>4000</v>
      </c>
      <c r="R3763" t="s">
        <v>1100</v>
      </c>
      <c r="S3763" t="str">
        <v>#N/A</v>
      </c>
      <c r="T3763" t="str">
        <v>#N/A</v>
      </c>
    </row>
    <row r="3764" spans="1:20" ht="13.7" customHeight="1" x14ac:dyDescent="0.25">
      <c r="E3764" s="5">
        <v>43465</v>
      </c>
      <c r="F3764">
        <v>62150101</v>
      </c>
      <c r="G3764" t="s">
        <v>1065</v>
      </c>
      <c r="H3764" t="s">
        <v>1755</v>
      </c>
      <c r="I3764" t="s">
        <v>1756</v>
      </c>
      <c r="J3764">
        <v>0</v>
      </c>
      <c r="K3764">
        <v>0</v>
      </c>
      <c r="L3764" s="3">
        <v>12000</v>
      </c>
      <c r="M3764" s="3">
        <v>0</v>
      </c>
      <c r="N3764">
        <v>0</v>
      </c>
      <c r="O3764">
        <v>0</v>
      </c>
      <c r="P3764">
        <v>12000</v>
      </c>
      <c r="R3764" t="s">
        <v>1100</v>
      </c>
      <c r="S3764" t="str">
        <v>#N/A</v>
      </c>
      <c r="T3764" t="str">
        <v>#N/A</v>
      </c>
    </row>
    <row r="3765" spans="1:20" ht="13.7" customHeight="1" x14ac:dyDescent="0.25">
      <c r="E3765" s="5">
        <v>43465</v>
      </c>
      <c r="F3765">
        <v>62150101</v>
      </c>
      <c r="G3765" t="s">
        <v>1065</v>
      </c>
      <c r="H3765" t="s">
        <v>1372</v>
      </c>
      <c r="I3765" t="s">
        <v>1373</v>
      </c>
      <c r="J3765">
        <v>0</v>
      </c>
      <c r="K3765">
        <v>0</v>
      </c>
      <c r="L3765" s="3">
        <v>115000</v>
      </c>
      <c r="M3765" s="3">
        <v>0</v>
      </c>
      <c r="N3765">
        <v>0</v>
      </c>
      <c r="O3765">
        <v>0</v>
      </c>
      <c r="P3765">
        <v>115000</v>
      </c>
      <c r="R3765" t="s">
        <v>1100</v>
      </c>
      <c r="S3765" t="str">
        <v>#N/A</v>
      </c>
      <c r="T3765" t="str">
        <v>13</v>
      </c>
    </row>
    <row r="3766" spans="1:20" ht="13.7" customHeight="1" x14ac:dyDescent="0.25">
      <c r="A3766" t="s">
        <v>26</v>
      </c>
      <c r="B3766" t="s">
        <v>27</v>
      </c>
      <c r="C3766" t="s">
        <v>32</v>
      </c>
      <c r="D3766">
        <v>22</v>
      </c>
      <c r="E3766" s="5">
        <v>43509</v>
      </c>
      <c r="F3766">
        <v>62150101</v>
      </c>
      <c r="G3766" t="s">
        <v>1065</v>
      </c>
      <c r="H3766" t="s">
        <v>1372</v>
      </c>
      <c r="I3766" t="s">
        <v>1373</v>
      </c>
      <c r="J3766">
        <v>1001</v>
      </c>
      <c r="K3766">
        <v>5016</v>
      </c>
      <c r="L3766" s="3">
        <v>115000</v>
      </c>
      <c r="M3766" s="3">
        <v>85000</v>
      </c>
      <c r="N3766">
        <v>0</v>
      </c>
      <c r="O3766">
        <v>0</v>
      </c>
      <c r="P3766">
        <v>200000</v>
      </c>
      <c r="Q3766" t="s">
        <v>30</v>
      </c>
      <c r="R3766" t="s">
        <v>79</v>
      </c>
      <c r="S3766" t="str">
        <v>#N/A</v>
      </c>
      <c r="T3766" t="str">
        <v>13</v>
      </c>
    </row>
    <row r="3767" spans="1:20" ht="13.7" customHeight="1" x14ac:dyDescent="0.25">
      <c r="A3767" t="s">
        <v>26</v>
      </c>
      <c r="B3767" t="s">
        <v>27</v>
      </c>
      <c r="C3767" t="s">
        <v>32</v>
      </c>
      <c r="D3767">
        <v>23</v>
      </c>
      <c r="E3767" s="5">
        <v>43509</v>
      </c>
      <c r="F3767">
        <v>62150101</v>
      </c>
      <c r="G3767" t="s">
        <v>1065</v>
      </c>
      <c r="H3767" t="s">
        <v>1372</v>
      </c>
      <c r="I3767" t="s">
        <v>1373</v>
      </c>
      <c r="J3767">
        <v>1001</v>
      </c>
      <c r="K3767">
        <v>5016</v>
      </c>
      <c r="L3767" s="3">
        <v>200000</v>
      </c>
      <c r="M3767" s="3">
        <v>30000</v>
      </c>
      <c r="N3767">
        <v>0</v>
      </c>
      <c r="O3767">
        <v>0</v>
      </c>
      <c r="P3767">
        <v>230000</v>
      </c>
      <c r="Q3767" t="s">
        <v>30</v>
      </c>
      <c r="R3767" t="s">
        <v>79</v>
      </c>
      <c r="S3767" t="str">
        <v>#N/A</v>
      </c>
      <c r="T3767" t="str">
        <v>13</v>
      </c>
    </row>
    <row r="3768" spans="1:20" ht="13.7" customHeight="1" x14ac:dyDescent="0.25">
      <c r="A3768" t="s">
        <v>26</v>
      </c>
      <c r="B3768" t="s">
        <v>27</v>
      </c>
      <c r="C3768" t="s">
        <v>39</v>
      </c>
      <c r="D3768">
        <v>18</v>
      </c>
      <c r="E3768" s="5">
        <v>43715</v>
      </c>
      <c r="F3768">
        <v>62150101</v>
      </c>
      <c r="G3768" t="s">
        <v>1065</v>
      </c>
      <c r="H3768" t="s">
        <v>1372</v>
      </c>
      <c r="I3768" t="s">
        <v>1373</v>
      </c>
      <c r="J3768">
        <v>1001</v>
      </c>
      <c r="K3768">
        <v>5016</v>
      </c>
      <c r="L3768" s="3">
        <v>230000</v>
      </c>
      <c r="M3768" s="3">
        <v>80000</v>
      </c>
      <c r="N3768">
        <v>0</v>
      </c>
      <c r="O3768">
        <v>0</v>
      </c>
      <c r="P3768">
        <v>310000</v>
      </c>
      <c r="Q3768" t="s">
        <v>30</v>
      </c>
      <c r="R3768" t="s">
        <v>79</v>
      </c>
      <c r="S3768" t="str">
        <v>#N/A</v>
      </c>
      <c r="T3768" t="str">
        <v>13</v>
      </c>
    </row>
    <row r="3769" spans="1:20" ht="13.7" customHeight="1" x14ac:dyDescent="0.25">
      <c r="E3769" s="5">
        <v>43465</v>
      </c>
      <c r="F3769">
        <v>62150101</v>
      </c>
      <c r="G3769" t="s">
        <v>1065</v>
      </c>
      <c r="H3769" t="s">
        <v>1386</v>
      </c>
      <c r="I3769" t="s">
        <v>1387</v>
      </c>
      <c r="J3769">
        <v>0</v>
      </c>
      <c r="K3769">
        <v>0</v>
      </c>
      <c r="L3769" s="3">
        <v>0</v>
      </c>
      <c r="M3769" s="3">
        <v>0</v>
      </c>
      <c r="N3769">
        <v>0</v>
      </c>
      <c r="O3769">
        <v>0</v>
      </c>
      <c r="P3769">
        <v>0</v>
      </c>
      <c r="R3769" t="s">
        <v>1100</v>
      </c>
      <c r="S3769" t="str">
        <v>#N/A</v>
      </c>
      <c r="T3769" t="str">
        <v>#N/A</v>
      </c>
    </row>
    <row r="3770" spans="1:20" ht="13.7" customHeight="1" x14ac:dyDescent="0.25">
      <c r="A3770" t="s">
        <v>26</v>
      </c>
      <c r="B3770" t="s">
        <v>27</v>
      </c>
      <c r="C3770" t="s">
        <v>41</v>
      </c>
      <c r="D3770">
        <v>31</v>
      </c>
      <c r="E3770" s="5">
        <v>43783</v>
      </c>
      <c r="F3770">
        <v>62150101</v>
      </c>
      <c r="G3770" t="s">
        <v>1065</v>
      </c>
      <c r="H3770" t="s">
        <v>1386</v>
      </c>
      <c r="I3770" t="s">
        <v>1387</v>
      </c>
      <c r="J3770">
        <v>1001</v>
      </c>
      <c r="K3770">
        <v>5016</v>
      </c>
      <c r="L3770" s="3">
        <v>0</v>
      </c>
      <c r="M3770" s="3">
        <v>2400</v>
      </c>
      <c r="N3770">
        <v>0</v>
      </c>
      <c r="O3770">
        <v>0</v>
      </c>
      <c r="P3770">
        <v>2400</v>
      </c>
      <c r="Q3770" t="s">
        <v>30</v>
      </c>
      <c r="R3770" t="s">
        <v>172</v>
      </c>
      <c r="S3770" t="str">
        <v>#N/A</v>
      </c>
      <c r="T3770" t="str">
        <v>#N/A</v>
      </c>
    </row>
    <row r="3771" spans="1:20" ht="13.7" customHeight="1" x14ac:dyDescent="0.25">
      <c r="E3771" s="5">
        <v>43465</v>
      </c>
      <c r="F3771">
        <v>62150101</v>
      </c>
      <c r="G3771" t="s">
        <v>1065</v>
      </c>
      <c r="H3771" t="s">
        <v>1179</v>
      </c>
      <c r="I3771" t="s">
        <v>1180</v>
      </c>
      <c r="J3771">
        <v>0</v>
      </c>
      <c r="K3771">
        <v>0</v>
      </c>
      <c r="L3771" s="3">
        <v>1000000</v>
      </c>
      <c r="M3771" s="3">
        <v>0</v>
      </c>
      <c r="N3771">
        <v>0</v>
      </c>
      <c r="O3771">
        <v>0</v>
      </c>
      <c r="P3771">
        <v>1000000</v>
      </c>
      <c r="R3771" t="s">
        <v>1100</v>
      </c>
      <c r="S3771" t="str">
        <v>#N/A</v>
      </c>
      <c r="T3771" t="str">
        <v>13</v>
      </c>
    </row>
    <row r="3772" spans="1:20" ht="13.7" customHeight="1" x14ac:dyDescent="0.25">
      <c r="E3772" s="5">
        <v>43465</v>
      </c>
      <c r="F3772">
        <v>62150101</v>
      </c>
      <c r="G3772" t="s">
        <v>1065</v>
      </c>
      <c r="H3772" t="s">
        <v>1551</v>
      </c>
      <c r="I3772" t="s">
        <v>1552</v>
      </c>
      <c r="J3772">
        <v>0</v>
      </c>
      <c r="K3772">
        <v>0</v>
      </c>
      <c r="L3772" s="3">
        <v>10082</v>
      </c>
      <c r="M3772" s="3">
        <v>0</v>
      </c>
      <c r="N3772">
        <v>0</v>
      </c>
      <c r="O3772">
        <v>0</v>
      </c>
      <c r="P3772">
        <v>10082</v>
      </c>
      <c r="R3772" t="s">
        <v>1100</v>
      </c>
      <c r="S3772" t="str">
        <v>#N/A</v>
      </c>
      <c r="T3772" t="str">
        <v>#N/A</v>
      </c>
    </row>
    <row r="3773" spans="1:20" ht="13.7" customHeight="1" x14ac:dyDescent="0.25">
      <c r="E3773" s="5">
        <v>43465</v>
      </c>
      <c r="F3773">
        <v>62150101</v>
      </c>
      <c r="G3773" t="s">
        <v>1065</v>
      </c>
      <c r="H3773" t="s">
        <v>1376</v>
      </c>
      <c r="I3773" t="s">
        <v>1377</v>
      </c>
      <c r="J3773">
        <v>0</v>
      </c>
      <c r="K3773">
        <v>0</v>
      </c>
      <c r="L3773" s="3">
        <v>64000</v>
      </c>
      <c r="M3773" s="3">
        <v>0</v>
      </c>
      <c r="N3773">
        <v>0</v>
      </c>
      <c r="O3773">
        <v>0</v>
      </c>
      <c r="P3773">
        <v>64000</v>
      </c>
      <c r="R3773" t="s">
        <v>1100</v>
      </c>
      <c r="S3773" t="str">
        <v>#N/A</v>
      </c>
      <c r="T3773" t="str">
        <v>#N/A</v>
      </c>
    </row>
    <row r="3774" spans="1:20" ht="13.7" customHeight="1" x14ac:dyDescent="0.25">
      <c r="A3774" t="s">
        <v>26</v>
      </c>
      <c r="B3774" t="s">
        <v>27</v>
      </c>
      <c r="C3774" t="s">
        <v>39</v>
      </c>
      <c r="D3774">
        <v>36</v>
      </c>
      <c r="E3774" s="5">
        <v>43725</v>
      </c>
      <c r="F3774">
        <v>62150101</v>
      </c>
      <c r="G3774" t="s">
        <v>1065</v>
      </c>
      <c r="H3774" t="s">
        <v>1376</v>
      </c>
      <c r="I3774" t="s">
        <v>1377</v>
      </c>
      <c r="J3774">
        <v>1001</v>
      </c>
      <c r="K3774">
        <v>5016</v>
      </c>
      <c r="L3774" s="3">
        <v>64000</v>
      </c>
      <c r="M3774" s="3">
        <v>23000</v>
      </c>
      <c r="N3774">
        <v>0</v>
      </c>
      <c r="O3774">
        <v>0</v>
      </c>
      <c r="P3774">
        <v>87000</v>
      </c>
      <c r="Q3774" t="s">
        <v>30</v>
      </c>
      <c r="R3774" t="s">
        <v>639</v>
      </c>
      <c r="S3774" t="str">
        <v>#N/A</v>
      </c>
      <c r="T3774" t="str">
        <v>#N/A</v>
      </c>
    </row>
    <row r="3775" spans="1:20" ht="13.7" customHeight="1" x14ac:dyDescent="0.25">
      <c r="A3775" t="s">
        <v>26</v>
      </c>
      <c r="B3775" t="s">
        <v>27</v>
      </c>
      <c r="C3775" t="s">
        <v>41</v>
      </c>
      <c r="D3775">
        <v>45</v>
      </c>
      <c r="E3775" s="5">
        <v>43787</v>
      </c>
      <c r="F3775">
        <v>62150101</v>
      </c>
      <c r="G3775" t="s">
        <v>1065</v>
      </c>
      <c r="H3775" t="s">
        <v>1376</v>
      </c>
      <c r="I3775" t="s">
        <v>1377</v>
      </c>
      <c r="J3775">
        <v>1001</v>
      </c>
      <c r="K3775">
        <v>5016</v>
      </c>
      <c r="L3775" s="3">
        <v>87000</v>
      </c>
      <c r="M3775" s="3">
        <v>21000</v>
      </c>
      <c r="N3775">
        <v>0</v>
      </c>
      <c r="O3775">
        <v>0</v>
      </c>
      <c r="P3775">
        <v>108000</v>
      </c>
      <c r="Q3775" t="s">
        <v>30</v>
      </c>
      <c r="R3775" t="s">
        <v>175</v>
      </c>
      <c r="S3775" t="str">
        <v>#N/A</v>
      </c>
      <c r="T3775" t="str">
        <v>#N/A</v>
      </c>
    </row>
    <row r="3776" spans="1:20" ht="13.7" customHeight="1" x14ac:dyDescent="0.25">
      <c r="E3776" s="5">
        <v>43465</v>
      </c>
      <c r="F3776">
        <v>62150101</v>
      </c>
      <c r="G3776" t="s">
        <v>1065</v>
      </c>
      <c r="H3776" t="s">
        <v>1227</v>
      </c>
      <c r="I3776" t="s">
        <v>1228</v>
      </c>
      <c r="J3776">
        <v>0</v>
      </c>
      <c r="K3776">
        <v>0</v>
      </c>
      <c r="L3776" s="3">
        <v>0</v>
      </c>
      <c r="M3776" s="3">
        <v>0</v>
      </c>
      <c r="N3776">
        <v>0</v>
      </c>
      <c r="O3776">
        <v>0</v>
      </c>
      <c r="P3776">
        <v>0</v>
      </c>
      <c r="R3776" t="s">
        <v>1100</v>
      </c>
      <c r="S3776" t="str">
        <v>#N/A</v>
      </c>
      <c r="T3776" t="str">
        <v>#N/A</v>
      </c>
    </row>
    <row r="3777" spans="1:20" ht="13.7" customHeight="1" x14ac:dyDescent="0.25">
      <c r="A3777" t="s">
        <v>26</v>
      </c>
      <c r="B3777" t="s">
        <v>27</v>
      </c>
      <c r="C3777" t="s">
        <v>36</v>
      </c>
      <c r="D3777">
        <v>65</v>
      </c>
      <c r="E3777" s="5">
        <v>43645</v>
      </c>
      <c r="F3777">
        <v>62150101</v>
      </c>
      <c r="G3777" t="s">
        <v>1065</v>
      </c>
      <c r="H3777" t="s">
        <v>1227</v>
      </c>
      <c r="I3777" t="s">
        <v>1228</v>
      </c>
      <c r="J3777">
        <v>1001</v>
      </c>
      <c r="K3777">
        <v>5016</v>
      </c>
      <c r="L3777" s="3">
        <v>0</v>
      </c>
      <c r="M3777" s="3">
        <v>11471</v>
      </c>
      <c r="N3777">
        <v>0</v>
      </c>
      <c r="O3777">
        <v>0</v>
      </c>
      <c r="P3777">
        <v>11471</v>
      </c>
      <c r="Q3777" t="s">
        <v>30</v>
      </c>
      <c r="R3777" t="s">
        <v>550</v>
      </c>
      <c r="S3777" t="str">
        <v>#N/A</v>
      </c>
      <c r="T3777" t="str">
        <v>#N/A</v>
      </c>
    </row>
    <row r="3778" spans="1:20" ht="13.7" customHeight="1" x14ac:dyDescent="0.25">
      <c r="E3778" s="5">
        <v>43465</v>
      </c>
      <c r="F3778">
        <v>62150101</v>
      </c>
      <c r="G3778" t="s">
        <v>1065</v>
      </c>
      <c r="H3778" t="s">
        <v>1559</v>
      </c>
      <c r="I3778" t="s">
        <v>1560</v>
      </c>
      <c r="J3778">
        <v>0</v>
      </c>
      <c r="K3778">
        <v>0</v>
      </c>
      <c r="L3778" s="3">
        <v>15100</v>
      </c>
      <c r="M3778" s="3">
        <v>0</v>
      </c>
      <c r="N3778">
        <v>0</v>
      </c>
      <c r="O3778">
        <v>0</v>
      </c>
      <c r="P3778">
        <v>15100</v>
      </c>
      <c r="R3778" t="s">
        <v>1100</v>
      </c>
      <c r="S3778" t="str">
        <v>#N/A</v>
      </c>
      <c r="T3778" t="str">
        <v>#N/A</v>
      </c>
    </row>
    <row r="3779" spans="1:20" ht="13.7" customHeight="1" x14ac:dyDescent="0.25">
      <c r="E3779" s="5">
        <v>43465</v>
      </c>
      <c r="F3779">
        <v>62150101</v>
      </c>
      <c r="G3779" t="s">
        <v>1065</v>
      </c>
      <c r="H3779" t="s">
        <v>1231</v>
      </c>
      <c r="I3779" t="s">
        <v>1232</v>
      </c>
      <c r="J3779">
        <v>0</v>
      </c>
      <c r="K3779">
        <v>0</v>
      </c>
      <c r="L3779" s="3">
        <v>37815</v>
      </c>
      <c r="M3779" s="3">
        <v>0</v>
      </c>
      <c r="N3779">
        <v>0</v>
      </c>
      <c r="O3779">
        <v>0</v>
      </c>
      <c r="P3779">
        <v>37815</v>
      </c>
      <c r="R3779" t="s">
        <v>1100</v>
      </c>
      <c r="S3779" t="str">
        <v>#N/A</v>
      </c>
      <c r="T3779" t="str">
        <v>#N/A</v>
      </c>
    </row>
    <row r="3780" spans="1:20" ht="13.7" customHeight="1" x14ac:dyDescent="0.25">
      <c r="A3780" t="s">
        <v>26</v>
      </c>
      <c r="B3780" t="s">
        <v>27</v>
      </c>
      <c r="C3780" t="s">
        <v>35</v>
      </c>
      <c r="D3780">
        <v>23</v>
      </c>
      <c r="E3780" s="5">
        <v>43591</v>
      </c>
      <c r="F3780">
        <v>62150101</v>
      </c>
      <c r="G3780" t="s">
        <v>1065</v>
      </c>
      <c r="H3780" t="s">
        <v>1231</v>
      </c>
      <c r="I3780" t="s">
        <v>1232</v>
      </c>
      <c r="J3780">
        <v>1001</v>
      </c>
      <c r="K3780">
        <v>5016</v>
      </c>
      <c r="L3780" s="3">
        <v>37815</v>
      </c>
      <c r="M3780" s="3">
        <v>24370</v>
      </c>
      <c r="N3780">
        <v>0</v>
      </c>
      <c r="O3780">
        <v>0</v>
      </c>
      <c r="P3780">
        <v>62185</v>
      </c>
      <c r="Q3780" t="s">
        <v>30</v>
      </c>
      <c r="R3780" t="s">
        <v>96</v>
      </c>
      <c r="S3780" t="str">
        <v>#N/A</v>
      </c>
      <c r="T3780" t="str">
        <v>#N/A</v>
      </c>
    </row>
    <row r="3781" spans="1:20" ht="13.7" customHeight="1" x14ac:dyDescent="0.25">
      <c r="A3781" t="s">
        <v>26</v>
      </c>
      <c r="B3781" t="s">
        <v>27</v>
      </c>
      <c r="C3781" t="s">
        <v>35</v>
      </c>
      <c r="D3781">
        <v>64</v>
      </c>
      <c r="E3781" s="5">
        <v>43605</v>
      </c>
      <c r="F3781">
        <v>62150101</v>
      </c>
      <c r="G3781" t="s">
        <v>1065</v>
      </c>
      <c r="H3781" t="s">
        <v>1231</v>
      </c>
      <c r="I3781" t="s">
        <v>1232</v>
      </c>
      <c r="J3781">
        <v>1001</v>
      </c>
      <c r="K3781">
        <v>5016</v>
      </c>
      <c r="L3781" s="3">
        <v>62185</v>
      </c>
      <c r="M3781" s="3">
        <v>5462</v>
      </c>
      <c r="N3781">
        <v>0</v>
      </c>
      <c r="O3781">
        <v>0</v>
      </c>
      <c r="P3781">
        <v>67647</v>
      </c>
      <c r="Q3781" t="s">
        <v>30</v>
      </c>
      <c r="R3781" t="s">
        <v>140</v>
      </c>
      <c r="S3781" t="str">
        <v>#N/A</v>
      </c>
      <c r="T3781" t="str">
        <v>#N/A</v>
      </c>
    </row>
    <row r="3782" spans="1:20" ht="13.7" customHeight="1" x14ac:dyDescent="0.25">
      <c r="A3782" t="s">
        <v>26</v>
      </c>
      <c r="B3782" t="s">
        <v>27</v>
      </c>
      <c r="C3782" t="s">
        <v>37</v>
      </c>
      <c r="D3782">
        <v>45</v>
      </c>
      <c r="E3782" s="5">
        <v>43664</v>
      </c>
      <c r="F3782">
        <v>62150101</v>
      </c>
      <c r="G3782" t="s">
        <v>1065</v>
      </c>
      <c r="H3782" t="s">
        <v>1231</v>
      </c>
      <c r="I3782" t="s">
        <v>1232</v>
      </c>
      <c r="J3782">
        <v>1001</v>
      </c>
      <c r="K3782">
        <v>5016</v>
      </c>
      <c r="L3782" s="3">
        <v>67647</v>
      </c>
      <c r="M3782" s="3">
        <v>14286</v>
      </c>
      <c r="N3782">
        <v>0</v>
      </c>
      <c r="O3782">
        <v>0</v>
      </c>
      <c r="P3782">
        <v>81933</v>
      </c>
      <c r="Q3782" t="s">
        <v>30</v>
      </c>
      <c r="R3782" t="s">
        <v>96</v>
      </c>
      <c r="S3782" t="str">
        <v>#N/A</v>
      </c>
      <c r="T3782" t="str">
        <v>#N/A</v>
      </c>
    </row>
    <row r="3783" spans="1:20" ht="13.7" customHeight="1" x14ac:dyDescent="0.25">
      <c r="A3783" t="s">
        <v>26</v>
      </c>
      <c r="B3783" t="s">
        <v>27</v>
      </c>
      <c r="C3783" t="s">
        <v>41</v>
      </c>
      <c r="D3783">
        <v>29</v>
      </c>
      <c r="E3783" s="5">
        <v>43783</v>
      </c>
      <c r="F3783">
        <v>62150101</v>
      </c>
      <c r="G3783" t="s">
        <v>1065</v>
      </c>
      <c r="H3783" t="s">
        <v>1231</v>
      </c>
      <c r="I3783" t="s">
        <v>1232</v>
      </c>
      <c r="J3783">
        <v>1001</v>
      </c>
      <c r="K3783">
        <v>5016</v>
      </c>
      <c r="L3783" s="3">
        <v>81933</v>
      </c>
      <c r="M3783" s="3">
        <v>8571</v>
      </c>
      <c r="N3783">
        <v>0</v>
      </c>
      <c r="O3783">
        <v>0</v>
      </c>
      <c r="P3783">
        <v>90504</v>
      </c>
      <c r="Q3783" t="s">
        <v>30</v>
      </c>
      <c r="R3783" t="s">
        <v>96</v>
      </c>
      <c r="S3783" t="str">
        <v>#N/A</v>
      </c>
      <c r="T3783" t="str">
        <v>#N/A</v>
      </c>
    </row>
    <row r="3784" spans="1:20" ht="13.7" customHeight="1" x14ac:dyDescent="0.25">
      <c r="E3784" s="5">
        <v>43465</v>
      </c>
      <c r="F3784">
        <v>62150101</v>
      </c>
      <c r="G3784" t="s">
        <v>1065</v>
      </c>
      <c r="H3784" t="s">
        <v>1380</v>
      </c>
      <c r="I3784" t="s">
        <v>1381</v>
      </c>
      <c r="J3784">
        <v>0</v>
      </c>
      <c r="K3784">
        <v>0</v>
      </c>
      <c r="L3784" s="3">
        <v>0</v>
      </c>
      <c r="M3784" s="3">
        <v>0</v>
      </c>
      <c r="N3784">
        <v>0</v>
      </c>
      <c r="O3784">
        <v>0</v>
      </c>
      <c r="P3784">
        <v>0</v>
      </c>
      <c r="R3784" t="s">
        <v>1100</v>
      </c>
      <c r="S3784" t="str">
        <v>#N/A</v>
      </c>
      <c r="T3784" t="str">
        <v>#N/A</v>
      </c>
    </row>
    <row r="3785" spans="1:20" ht="13.7" customHeight="1" x14ac:dyDescent="0.25">
      <c r="A3785" t="s">
        <v>26</v>
      </c>
      <c r="B3785" t="s">
        <v>27</v>
      </c>
      <c r="C3785" t="s">
        <v>36</v>
      </c>
      <c r="D3785">
        <v>11</v>
      </c>
      <c r="E3785" s="5">
        <v>43621</v>
      </c>
      <c r="F3785">
        <v>62150101</v>
      </c>
      <c r="G3785" t="s">
        <v>1065</v>
      </c>
      <c r="H3785" t="s">
        <v>1380</v>
      </c>
      <c r="I3785" t="s">
        <v>1381</v>
      </c>
      <c r="J3785">
        <v>1001</v>
      </c>
      <c r="K3785">
        <v>5016</v>
      </c>
      <c r="L3785" s="3">
        <v>0</v>
      </c>
      <c r="M3785" s="3">
        <v>14000</v>
      </c>
      <c r="N3785">
        <v>0</v>
      </c>
      <c r="O3785">
        <v>0</v>
      </c>
      <c r="P3785">
        <v>14000</v>
      </c>
      <c r="Q3785" t="s">
        <v>30</v>
      </c>
      <c r="R3785" t="s">
        <v>143</v>
      </c>
      <c r="S3785" t="str">
        <v>#N/A</v>
      </c>
      <c r="T3785" t="str">
        <v>#N/A</v>
      </c>
    </row>
    <row r="3786" spans="1:20" ht="13.7" customHeight="1" x14ac:dyDescent="0.25">
      <c r="E3786" s="5">
        <v>43465</v>
      </c>
      <c r="F3786">
        <v>62150101</v>
      </c>
      <c r="G3786" t="s">
        <v>1065</v>
      </c>
      <c r="H3786" t="s">
        <v>1563</v>
      </c>
      <c r="I3786" t="s">
        <v>1564</v>
      </c>
      <c r="J3786">
        <v>0</v>
      </c>
      <c r="K3786">
        <v>0</v>
      </c>
      <c r="L3786" s="3">
        <v>40132</v>
      </c>
      <c r="M3786" s="3">
        <v>0</v>
      </c>
      <c r="N3786">
        <v>0</v>
      </c>
      <c r="O3786">
        <v>0</v>
      </c>
      <c r="P3786">
        <v>40132</v>
      </c>
      <c r="R3786" t="s">
        <v>1100</v>
      </c>
      <c r="S3786" t="str">
        <v>#N/A</v>
      </c>
      <c r="T3786" t="str">
        <v>#N/A</v>
      </c>
    </row>
    <row r="3787" spans="1:20" ht="13.7" customHeight="1" x14ac:dyDescent="0.25">
      <c r="E3787" s="5">
        <v>43465</v>
      </c>
      <c r="F3787">
        <v>62150101</v>
      </c>
      <c r="G3787" t="s">
        <v>1065</v>
      </c>
      <c r="H3787" t="s">
        <v>1437</v>
      </c>
      <c r="I3787" t="s">
        <v>1438</v>
      </c>
      <c r="J3787">
        <v>0</v>
      </c>
      <c r="K3787">
        <v>0</v>
      </c>
      <c r="L3787" s="3">
        <v>15000</v>
      </c>
      <c r="M3787" s="3">
        <v>0</v>
      </c>
      <c r="N3787">
        <v>0</v>
      </c>
      <c r="O3787">
        <v>0</v>
      </c>
      <c r="P3787">
        <v>15000</v>
      </c>
      <c r="R3787" t="s">
        <v>1100</v>
      </c>
      <c r="S3787" t="str">
        <v>#N/A</v>
      </c>
      <c r="T3787" t="str">
        <v>#N/A</v>
      </c>
    </row>
    <row r="3788" spans="1:20" ht="13.7" customHeight="1" x14ac:dyDescent="0.25">
      <c r="E3788" s="5">
        <v>43465</v>
      </c>
      <c r="F3788">
        <v>62150101</v>
      </c>
      <c r="G3788" t="s">
        <v>1065</v>
      </c>
      <c r="H3788" t="s">
        <v>1364</v>
      </c>
      <c r="I3788" t="s">
        <v>1365</v>
      </c>
      <c r="J3788">
        <v>0</v>
      </c>
      <c r="K3788">
        <v>0</v>
      </c>
      <c r="L3788" s="3">
        <v>0</v>
      </c>
      <c r="M3788" s="3">
        <v>0</v>
      </c>
      <c r="N3788">
        <v>0</v>
      </c>
      <c r="O3788">
        <v>0</v>
      </c>
      <c r="P3788">
        <v>0</v>
      </c>
      <c r="R3788" t="s">
        <v>1100</v>
      </c>
      <c r="S3788" t="str">
        <v>#N/A</v>
      </c>
      <c r="T3788" t="str">
        <v>#N/A</v>
      </c>
    </row>
    <row r="3789" spans="1:20" ht="13.7" customHeight="1" x14ac:dyDescent="0.25">
      <c r="A3789" t="s">
        <v>26</v>
      </c>
      <c r="B3789" t="s">
        <v>27</v>
      </c>
      <c r="C3789" t="s">
        <v>36</v>
      </c>
      <c r="D3789">
        <v>18</v>
      </c>
      <c r="E3789" s="5">
        <v>43624</v>
      </c>
      <c r="F3789">
        <v>62150101</v>
      </c>
      <c r="G3789" t="s">
        <v>1065</v>
      </c>
      <c r="H3789" t="s">
        <v>1364</v>
      </c>
      <c r="I3789" t="s">
        <v>1365</v>
      </c>
      <c r="J3789">
        <v>1001</v>
      </c>
      <c r="K3789">
        <v>5016</v>
      </c>
      <c r="L3789" s="3">
        <v>0</v>
      </c>
      <c r="M3789" s="3">
        <v>30504</v>
      </c>
      <c r="N3789">
        <v>0</v>
      </c>
      <c r="O3789">
        <v>0</v>
      </c>
      <c r="P3789">
        <v>30504</v>
      </c>
      <c r="Q3789" t="s">
        <v>30</v>
      </c>
      <c r="R3789" t="s">
        <v>546</v>
      </c>
      <c r="S3789" t="str">
        <v>#N/A</v>
      </c>
      <c r="T3789" t="str">
        <v>#N/A</v>
      </c>
    </row>
    <row r="3790" spans="1:20" ht="13.7" customHeight="1" x14ac:dyDescent="0.25">
      <c r="E3790" s="5">
        <v>43465</v>
      </c>
      <c r="F3790">
        <v>62150101</v>
      </c>
      <c r="G3790" t="s">
        <v>1065</v>
      </c>
      <c r="H3790" t="s">
        <v>1575</v>
      </c>
      <c r="I3790" t="s">
        <v>1576</v>
      </c>
      <c r="J3790">
        <v>0</v>
      </c>
      <c r="K3790">
        <v>0</v>
      </c>
      <c r="L3790" s="3">
        <v>23529</v>
      </c>
      <c r="M3790" s="3">
        <v>0</v>
      </c>
      <c r="N3790">
        <v>0</v>
      </c>
      <c r="O3790">
        <v>0</v>
      </c>
      <c r="P3790">
        <v>23529</v>
      </c>
      <c r="R3790" t="s">
        <v>1100</v>
      </c>
      <c r="S3790" t="str">
        <v>#N/A</v>
      </c>
      <c r="T3790" t="str">
        <v>#N/A</v>
      </c>
    </row>
    <row r="3791" spans="1:20" ht="13.7" customHeight="1" x14ac:dyDescent="0.25">
      <c r="E3791" s="5">
        <v>43465</v>
      </c>
      <c r="F3791">
        <v>62150101</v>
      </c>
      <c r="G3791" t="s">
        <v>1065</v>
      </c>
      <c r="H3791" t="s">
        <v>1382</v>
      </c>
      <c r="I3791" t="s">
        <v>1383</v>
      </c>
      <c r="J3791">
        <v>0</v>
      </c>
      <c r="K3791">
        <v>0</v>
      </c>
      <c r="L3791" s="3">
        <v>0</v>
      </c>
      <c r="M3791" s="3">
        <v>0</v>
      </c>
      <c r="N3791">
        <v>0</v>
      </c>
      <c r="O3791">
        <v>0</v>
      </c>
      <c r="P3791">
        <v>0</v>
      </c>
      <c r="R3791" t="s">
        <v>1100</v>
      </c>
      <c r="S3791" t="str">
        <v>#N/A</v>
      </c>
      <c r="T3791" t="str">
        <v>#N/A</v>
      </c>
    </row>
    <row r="3792" spans="1:20" ht="13.7" customHeight="1" x14ac:dyDescent="0.25">
      <c r="A3792" t="s">
        <v>26</v>
      </c>
      <c r="B3792" t="s">
        <v>27</v>
      </c>
      <c r="C3792" t="s">
        <v>36</v>
      </c>
      <c r="D3792">
        <v>12</v>
      </c>
      <c r="E3792" s="5">
        <v>43621</v>
      </c>
      <c r="F3792">
        <v>62150101</v>
      </c>
      <c r="G3792" t="s">
        <v>1065</v>
      </c>
      <c r="H3792" t="s">
        <v>1382</v>
      </c>
      <c r="I3792" t="s">
        <v>1383</v>
      </c>
      <c r="J3792">
        <v>1001</v>
      </c>
      <c r="K3792">
        <v>5016</v>
      </c>
      <c r="L3792" s="3">
        <v>0</v>
      </c>
      <c r="M3792" s="3">
        <v>31093</v>
      </c>
      <c r="N3792">
        <v>0</v>
      </c>
      <c r="O3792">
        <v>0</v>
      </c>
      <c r="P3792">
        <v>31093</v>
      </c>
      <c r="Q3792" t="s">
        <v>30</v>
      </c>
      <c r="R3792" t="s">
        <v>266</v>
      </c>
      <c r="S3792" t="str">
        <v>#N/A</v>
      </c>
      <c r="T3792" t="str">
        <v>#N/A</v>
      </c>
    </row>
    <row r="3793" spans="1:20" ht="13.7" customHeight="1" x14ac:dyDescent="0.25">
      <c r="E3793" s="5">
        <v>43465</v>
      </c>
      <c r="F3793">
        <v>62150101</v>
      </c>
      <c r="G3793" t="s">
        <v>1065</v>
      </c>
      <c r="H3793" t="s">
        <v>1589</v>
      </c>
      <c r="I3793" t="s">
        <v>1590</v>
      </c>
      <c r="J3793">
        <v>0</v>
      </c>
      <c r="K3793">
        <v>0</v>
      </c>
      <c r="L3793" s="3">
        <v>48802</v>
      </c>
      <c r="M3793" s="3">
        <v>0</v>
      </c>
      <c r="N3793">
        <v>0</v>
      </c>
      <c r="O3793">
        <v>0</v>
      </c>
      <c r="P3793">
        <v>48802</v>
      </c>
      <c r="R3793" t="s">
        <v>1100</v>
      </c>
      <c r="S3793" t="str">
        <v>#N/A</v>
      </c>
      <c r="T3793" t="str">
        <v>#N/A</v>
      </c>
    </row>
    <row r="3794" spans="1:20" ht="13.7" customHeight="1" x14ac:dyDescent="0.25">
      <c r="E3794" s="5">
        <v>43465</v>
      </c>
      <c r="F3794">
        <v>62150101</v>
      </c>
      <c r="G3794" t="s">
        <v>1065</v>
      </c>
      <c r="H3794" t="s">
        <v>1123</v>
      </c>
      <c r="I3794" t="s">
        <v>1124</v>
      </c>
      <c r="J3794">
        <v>0</v>
      </c>
      <c r="K3794">
        <v>0</v>
      </c>
      <c r="L3794" s="3">
        <v>602769</v>
      </c>
      <c r="M3794" s="3">
        <v>0</v>
      </c>
      <c r="N3794">
        <v>0</v>
      </c>
      <c r="O3794">
        <v>0</v>
      </c>
      <c r="P3794">
        <v>602769</v>
      </c>
      <c r="R3794" t="s">
        <v>1100</v>
      </c>
      <c r="S3794" t="str">
        <v>#N/A</v>
      </c>
      <c r="T3794" t="str">
        <v>31</v>
      </c>
    </row>
    <row r="3795" spans="1:20" ht="13.7" customHeight="1" x14ac:dyDescent="0.25">
      <c r="A3795" t="s">
        <v>26</v>
      </c>
      <c r="B3795" t="s">
        <v>27</v>
      </c>
      <c r="C3795" t="s">
        <v>28</v>
      </c>
      <c r="D3795">
        <v>28</v>
      </c>
      <c r="E3795" s="5">
        <v>43479</v>
      </c>
      <c r="F3795">
        <v>62150101</v>
      </c>
      <c r="G3795" t="s">
        <v>1065</v>
      </c>
      <c r="H3795" t="s">
        <v>1123</v>
      </c>
      <c r="I3795" t="s">
        <v>1124</v>
      </c>
      <c r="J3795">
        <v>1001</v>
      </c>
      <c r="K3795">
        <v>5016</v>
      </c>
      <c r="L3795" s="3">
        <v>602769</v>
      </c>
      <c r="M3795" s="3">
        <v>8823</v>
      </c>
      <c r="N3795">
        <v>0</v>
      </c>
      <c r="O3795">
        <v>0</v>
      </c>
      <c r="P3795">
        <v>611592</v>
      </c>
      <c r="Q3795" t="s">
        <v>30</v>
      </c>
      <c r="R3795" t="s">
        <v>53</v>
      </c>
      <c r="S3795" t="str">
        <v>#N/A</v>
      </c>
      <c r="T3795" t="str">
        <v>31</v>
      </c>
    </row>
    <row r="3796" spans="1:20" ht="13.7" customHeight="1" x14ac:dyDescent="0.25">
      <c r="A3796" t="s">
        <v>26</v>
      </c>
      <c r="B3796" t="s">
        <v>27</v>
      </c>
      <c r="C3796" t="s">
        <v>32</v>
      </c>
      <c r="D3796">
        <v>10</v>
      </c>
      <c r="E3796" s="5">
        <v>43501</v>
      </c>
      <c r="F3796">
        <v>62150101</v>
      </c>
      <c r="G3796" t="s">
        <v>1065</v>
      </c>
      <c r="H3796" t="s">
        <v>1123</v>
      </c>
      <c r="I3796" t="s">
        <v>1124</v>
      </c>
      <c r="J3796">
        <v>1001</v>
      </c>
      <c r="K3796">
        <v>5016</v>
      </c>
      <c r="L3796" s="3">
        <v>611592</v>
      </c>
      <c r="M3796" s="3">
        <v>18487</v>
      </c>
      <c r="N3796">
        <v>0</v>
      </c>
      <c r="O3796">
        <v>0</v>
      </c>
      <c r="P3796">
        <v>630079</v>
      </c>
      <c r="Q3796" t="s">
        <v>30</v>
      </c>
      <c r="R3796" t="s">
        <v>72</v>
      </c>
      <c r="S3796" t="str">
        <v>#N/A</v>
      </c>
      <c r="T3796" t="str">
        <v>31</v>
      </c>
    </row>
    <row r="3797" spans="1:20" ht="13.7" customHeight="1" x14ac:dyDescent="0.25">
      <c r="A3797" t="s">
        <v>26</v>
      </c>
      <c r="B3797" t="s">
        <v>27</v>
      </c>
      <c r="C3797" t="s">
        <v>32</v>
      </c>
      <c r="D3797">
        <v>9</v>
      </c>
      <c r="E3797" s="5">
        <v>43501</v>
      </c>
      <c r="F3797">
        <v>62150101</v>
      </c>
      <c r="G3797" t="s">
        <v>1065</v>
      </c>
      <c r="H3797" t="s">
        <v>1123</v>
      </c>
      <c r="I3797" t="s">
        <v>1124</v>
      </c>
      <c r="J3797">
        <v>1001</v>
      </c>
      <c r="K3797">
        <v>5016</v>
      </c>
      <c r="L3797" s="3">
        <v>630079</v>
      </c>
      <c r="M3797" s="3">
        <v>9244</v>
      </c>
      <c r="N3797">
        <v>0</v>
      </c>
      <c r="O3797">
        <v>0</v>
      </c>
      <c r="P3797">
        <v>639323</v>
      </c>
      <c r="Q3797" t="s">
        <v>30</v>
      </c>
      <c r="R3797" t="s">
        <v>73</v>
      </c>
      <c r="S3797" t="str">
        <v>#N/A</v>
      </c>
      <c r="T3797" t="str">
        <v>31</v>
      </c>
    </row>
    <row r="3798" spans="1:20" ht="13.7" customHeight="1" x14ac:dyDescent="0.25">
      <c r="A3798" t="s">
        <v>26</v>
      </c>
      <c r="B3798" t="s">
        <v>27</v>
      </c>
      <c r="C3798" t="s">
        <v>32</v>
      </c>
      <c r="D3798">
        <v>15</v>
      </c>
      <c r="E3798" s="5">
        <v>43505</v>
      </c>
      <c r="F3798">
        <v>62150101</v>
      </c>
      <c r="G3798" t="s">
        <v>1065</v>
      </c>
      <c r="H3798" t="s">
        <v>1123</v>
      </c>
      <c r="I3798" t="s">
        <v>1124</v>
      </c>
      <c r="J3798">
        <v>1001</v>
      </c>
      <c r="K3798">
        <v>5016</v>
      </c>
      <c r="L3798" s="3">
        <v>639323</v>
      </c>
      <c r="M3798" s="3">
        <v>12605</v>
      </c>
      <c r="N3798">
        <v>0</v>
      </c>
      <c r="O3798">
        <v>0</v>
      </c>
      <c r="P3798">
        <v>651928</v>
      </c>
      <c r="Q3798" t="s">
        <v>30</v>
      </c>
      <c r="R3798" t="s">
        <v>73</v>
      </c>
      <c r="S3798" t="str">
        <v>#N/A</v>
      </c>
      <c r="T3798" t="str">
        <v>31</v>
      </c>
    </row>
    <row r="3799" spans="1:20" ht="13.7" customHeight="1" x14ac:dyDescent="0.25">
      <c r="A3799" t="s">
        <v>26</v>
      </c>
      <c r="B3799" t="s">
        <v>27</v>
      </c>
      <c r="C3799" t="s">
        <v>34</v>
      </c>
      <c r="D3799">
        <v>2</v>
      </c>
      <c r="E3799" s="5">
        <v>43557</v>
      </c>
      <c r="F3799">
        <v>62150101</v>
      </c>
      <c r="G3799" t="s">
        <v>1065</v>
      </c>
      <c r="H3799" t="s">
        <v>1123</v>
      </c>
      <c r="I3799" t="s">
        <v>1124</v>
      </c>
      <c r="J3799">
        <v>1001</v>
      </c>
      <c r="K3799">
        <v>5016</v>
      </c>
      <c r="L3799" s="3">
        <v>651928</v>
      </c>
      <c r="M3799" s="3">
        <v>65882</v>
      </c>
      <c r="N3799">
        <v>0</v>
      </c>
      <c r="O3799">
        <v>0</v>
      </c>
      <c r="P3799">
        <v>717810</v>
      </c>
      <c r="Q3799" t="s">
        <v>30</v>
      </c>
      <c r="R3799" t="s">
        <v>113</v>
      </c>
      <c r="S3799" t="str">
        <v>#N/A</v>
      </c>
      <c r="T3799" t="str">
        <v>31</v>
      </c>
    </row>
    <row r="3800" spans="1:20" ht="13.7" customHeight="1" x14ac:dyDescent="0.25">
      <c r="A3800" t="s">
        <v>26</v>
      </c>
      <c r="B3800" t="s">
        <v>27</v>
      </c>
      <c r="C3800" t="s">
        <v>35</v>
      </c>
      <c r="D3800">
        <v>28</v>
      </c>
      <c r="E3800" s="5">
        <v>43593</v>
      </c>
      <c r="F3800">
        <v>62150101</v>
      </c>
      <c r="G3800" t="s">
        <v>1065</v>
      </c>
      <c r="H3800" t="s">
        <v>1123</v>
      </c>
      <c r="I3800" t="s">
        <v>1124</v>
      </c>
      <c r="J3800">
        <v>1001</v>
      </c>
      <c r="K3800">
        <v>5016</v>
      </c>
      <c r="L3800" s="3">
        <v>717810</v>
      </c>
      <c r="M3800" s="3">
        <v>30672</v>
      </c>
      <c r="N3800">
        <v>0</v>
      </c>
      <c r="O3800">
        <v>0</v>
      </c>
      <c r="P3800">
        <v>748482</v>
      </c>
      <c r="Q3800" t="s">
        <v>30</v>
      </c>
      <c r="R3800" t="s">
        <v>128</v>
      </c>
      <c r="S3800" t="str">
        <v>#N/A</v>
      </c>
      <c r="T3800" t="str">
        <v>31</v>
      </c>
    </row>
    <row r="3801" spans="1:20" ht="13.7" customHeight="1" x14ac:dyDescent="0.25">
      <c r="A3801" t="s">
        <v>26</v>
      </c>
      <c r="B3801" t="s">
        <v>27</v>
      </c>
      <c r="C3801" t="s">
        <v>35</v>
      </c>
      <c r="D3801">
        <v>57</v>
      </c>
      <c r="E3801" s="5">
        <v>43602</v>
      </c>
      <c r="F3801">
        <v>62150101</v>
      </c>
      <c r="G3801" t="s">
        <v>1065</v>
      </c>
      <c r="H3801" t="s">
        <v>1123</v>
      </c>
      <c r="I3801" t="s">
        <v>1124</v>
      </c>
      <c r="J3801">
        <v>1001</v>
      </c>
      <c r="K3801">
        <v>5016</v>
      </c>
      <c r="L3801" s="3">
        <v>748482</v>
      </c>
      <c r="M3801" s="3">
        <v>6807</v>
      </c>
      <c r="N3801">
        <v>0</v>
      </c>
      <c r="O3801">
        <v>0</v>
      </c>
      <c r="P3801">
        <v>755289</v>
      </c>
      <c r="Q3801" t="s">
        <v>30</v>
      </c>
      <c r="R3801" t="s">
        <v>136</v>
      </c>
      <c r="S3801" t="str">
        <v>#N/A</v>
      </c>
      <c r="T3801" t="str">
        <v>31</v>
      </c>
    </row>
    <row r="3802" spans="1:20" ht="13.7" customHeight="1" x14ac:dyDescent="0.25">
      <c r="A3802" t="s">
        <v>26</v>
      </c>
      <c r="B3802" t="s">
        <v>27</v>
      </c>
      <c r="C3802" t="s">
        <v>35</v>
      </c>
      <c r="D3802">
        <v>63</v>
      </c>
      <c r="E3802" s="5">
        <v>43605</v>
      </c>
      <c r="F3802">
        <v>62150101</v>
      </c>
      <c r="G3802" t="s">
        <v>1065</v>
      </c>
      <c r="H3802" t="s">
        <v>1123</v>
      </c>
      <c r="I3802" t="s">
        <v>1124</v>
      </c>
      <c r="J3802">
        <v>1001</v>
      </c>
      <c r="K3802">
        <v>5016</v>
      </c>
      <c r="L3802" s="3">
        <v>755289</v>
      </c>
      <c r="M3802" s="3">
        <v>5210</v>
      </c>
      <c r="N3802">
        <v>0</v>
      </c>
      <c r="O3802">
        <v>0</v>
      </c>
      <c r="P3802">
        <v>760499</v>
      </c>
      <c r="Q3802" t="s">
        <v>30</v>
      </c>
      <c r="R3802" t="s">
        <v>139</v>
      </c>
      <c r="S3802" t="str">
        <v>#N/A</v>
      </c>
      <c r="T3802" t="str">
        <v>31</v>
      </c>
    </row>
    <row r="3803" spans="1:20" ht="13.7" customHeight="1" x14ac:dyDescent="0.25">
      <c r="A3803" t="s">
        <v>26</v>
      </c>
      <c r="B3803" t="s">
        <v>27</v>
      </c>
      <c r="C3803" t="s">
        <v>35</v>
      </c>
      <c r="D3803">
        <v>96</v>
      </c>
      <c r="E3803" s="5">
        <v>43616</v>
      </c>
      <c r="F3803">
        <v>62150101</v>
      </c>
      <c r="G3803" t="s">
        <v>1065</v>
      </c>
      <c r="H3803" t="s">
        <v>1123</v>
      </c>
      <c r="I3803" t="s">
        <v>1124</v>
      </c>
      <c r="J3803">
        <v>1001</v>
      </c>
      <c r="K3803">
        <v>5016</v>
      </c>
      <c r="L3803" s="3">
        <v>760499</v>
      </c>
      <c r="M3803" s="3">
        <v>48739</v>
      </c>
      <c r="N3803">
        <v>0</v>
      </c>
      <c r="O3803">
        <v>0</v>
      </c>
      <c r="P3803">
        <v>809238</v>
      </c>
      <c r="Q3803" t="s">
        <v>30</v>
      </c>
      <c r="R3803" t="s">
        <v>113</v>
      </c>
      <c r="S3803" t="str">
        <v>#N/A</v>
      </c>
      <c r="T3803" t="str">
        <v>31</v>
      </c>
    </row>
    <row r="3804" spans="1:20" ht="13.7" customHeight="1" x14ac:dyDescent="0.25">
      <c r="A3804" t="s">
        <v>26</v>
      </c>
      <c r="B3804" t="s">
        <v>27</v>
      </c>
      <c r="C3804" t="s">
        <v>37</v>
      </c>
      <c r="D3804">
        <v>62</v>
      </c>
      <c r="E3804" s="5">
        <v>43676</v>
      </c>
      <c r="F3804">
        <v>62150101</v>
      </c>
      <c r="G3804" t="s">
        <v>1065</v>
      </c>
      <c r="H3804" t="s">
        <v>1123</v>
      </c>
      <c r="I3804" t="s">
        <v>1124</v>
      </c>
      <c r="J3804">
        <v>1001</v>
      </c>
      <c r="K3804">
        <v>5016</v>
      </c>
      <c r="L3804" s="3">
        <v>809238</v>
      </c>
      <c r="M3804" s="3">
        <v>16807</v>
      </c>
      <c r="N3804">
        <v>0</v>
      </c>
      <c r="O3804">
        <v>0</v>
      </c>
      <c r="P3804">
        <v>826045</v>
      </c>
      <c r="Q3804" t="s">
        <v>30</v>
      </c>
      <c r="R3804" t="s">
        <v>72</v>
      </c>
      <c r="S3804" t="str">
        <v>#N/A</v>
      </c>
      <c r="T3804" t="str">
        <v>31</v>
      </c>
    </row>
    <row r="3805" spans="1:20" ht="13.7" customHeight="1" x14ac:dyDescent="0.25">
      <c r="A3805" t="s">
        <v>26</v>
      </c>
      <c r="B3805" t="s">
        <v>27</v>
      </c>
      <c r="C3805" t="s">
        <v>38</v>
      </c>
      <c r="D3805">
        <v>6</v>
      </c>
      <c r="E3805" s="5">
        <v>43680</v>
      </c>
      <c r="F3805">
        <v>62150101</v>
      </c>
      <c r="G3805" t="s">
        <v>1065</v>
      </c>
      <c r="H3805" t="s">
        <v>1123</v>
      </c>
      <c r="I3805" t="s">
        <v>1124</v>
      </c>
      <c r="J3805">
        <v>1001</v>
      </c>
      <c r="K3805">
        <v>5016</v>
      </c>
      <c r="L3805" s="3">
        <v>826045</v>
      </c>
      <c r="M3805" s="3">
        <v>12185</v>
      </c>
      <c r="N3805">
        <v>0</v>
      </c>
      <c r="O3805">
        <v>0</v>
      </c>
      <c r="P3805">
        <v>838230</v>
      </c>
      <c r="Q3805" t="s">
        <v>30</v>
      </c>
      <c r="R3805" t="s">
        <v>73</v>
      </c>
      <c r="S3805" t="str">
        <v>#N/A</v>
      </c>
      <c r="T3805" t="str">
        <v>31</v>
      </c>
    </row>
    <row r="3806" spans="1:20" ht="13.7" customHeight="1" x14ac:dyDescent="0.25">
      <c r="A3806" t="s">
        <v>26</v>
      </c>
      <c r="B3806" t="s">
        <v>27</v>
      </c>
      <c r="C3806" t="s">
        <v>39</v>
      </c>
      <c r="D3806">
        <v>8</v>
      </c>
      <c r="E3806" s="5">
        <v>43710</v>
      </c>
      <c r="F3806">
        <v>62150101</v>
      </c>
      <c r="G3806" t="s">
        <v>1065</v>
      </c>
      <c r="H3806" t="s">
        <v>1123</v>
      </c>
      <c r="I3806" t="s">
        <v>1124</v>
      </c>
      <c r="J3806">
        <v>1001</v>
      </c>
      <c r="K3806">
        <v>5016</v>
      </c>
      <c r="L3806" s="3">
        <v>838230</v>
      </c>
      <c r="M3806" s="3">
        <v>32672</v>
      </c>
      <c r="N3806">
        <v>0</v>
      </c>
      <c r="O3806">
        <v>0</v>
      </c>
      <c r="P3806">
        <v>870902</v>
      </c>
      <c r="Q3806" t="s">
        <v>30</v>
      </c>
      <c r="R3806" t="s">
        <v>156</v>
      </c>
      <c r="S3806" t="str">
        <v>#N/A</v>
      </c>
      <c r="T3806" t="str">
        <v>31</v>
      </c>
    </row>
    <row r="3807" spans="1:20" ht="13.7" customHeight="1" x14ac:dyDescent="0.25">
      <c r="A3807" t="s">
        <v>26</v>
      </c>
      <c r="B3807" t="s">
        <v>27</v>
      </c>
      <c r="C3807" t="s">
        <v>39</v>
      </c>
      <c r="D3807">
        <v>41</v>
      </c>
      <c r="E3807" s="5">
        <v>43728</v>
      </c>
      <c r="F3807">
        <v>62150101</v>
      </c>
      <c r="G3807" t="s">
        <v>1065</v>
      </c>
      <c r="H3807" t="s">
        <v>1123</v>
      </c>
      <c r="I3807" t="s">
        <v>1124</v>
      </c>
      <c r="J3807">
        <v>1001</v>
      </c>
      <c r="K3807">
        <v>5016</v>
      </c>
      <c r="L3807" s="3">
        <v>870902</v>
      </c>
      <c r="M3807" s="3">
        <v>16807</v>
      </c>
      <c r="N3807">
        <v>0</v>
      </c>
      <c r="O3807">
        <v>0</v>
      </c>
      <c r="P3807">
        <v>887709</v>
      </c>
      <c r="Q3807" t="s">
        <v>30</v>
      </c>
      <c r="R3807" t="s">
        <v>163</v>
      </c>
      <c r="S3807" t="str">
        <v>#N/A</v>
      </c>
      <c r="T3807" t="str">
        <v>31</v>
      </c>
    </row>
    <row r="3808" spans="1:20" ht="13.7" customHeight="1" x14ac:dyDescent="0.25">
      <c r="A3808" t="s">
        <v>26</v>
      </c>
      <c r="B3808" t="s">
        <v>27</v>
      </c>
      <c r="C3808" t="s">
        <v>40</v>
      </c>
      <c r="D3808">
        <v>3</v>
      </c>
      <c r="E3808" s="5">
        <v>43743</v>
      </c>
      <c r="F3808">
        <v>62150101</v>
      </c>
      <c r="G3808" t="s">
        <v>1065</v>
      </c>
      <c r="H3808" t="s">
        <v>1123</v>
      </c>
      <c r="I3808" t="s">
        <v>1124</v>
      </c>
      <c r="J3808">
        <v>1001</v>
      </c>
      <c r="K3808">
        <v>5016</v>
      </c>
      <c r="L3808" s="3">
        <v>887709</v>
      </c>
      <c r="M3808" s="3">
        <v>19748</v>
      </c>
      <c r="N3808">
        <v>0</v>
      </c>
      <c r="O3808">
        <v>0</v>
      </c>
      <c r="P3808">
        <v>907457</v>
      </c>
      <c r="Q3808" t="s">
        <v>30</v>
      </c>
      <c r="R3808" t="s">
        <v>163</v>
      </c>
      <c r="S3808" t="str">
        <v>#N/A</v>
      </c>
      <c r="T3808" t="str">
        <v>31</v>
      </c>
    </row>
    <row r="3809" spans="1:20" ht="13.7" customHeight="1" x14ac:dyDescent="0.25">
      <c r="A3809" t="s">
        <v>26</v>
      </c>
      <c r="B3809" t="s">
        <v>27</v>
      </c>
      <c r="C3809" t="s">
        <v>40</v>
      </c>
      <c r="D3809">
        <v>47</v>
      </c>
      <c r="E3809" s="5">
        <v>43763</v>
      </c>
      <c r="F3809">
        <v>62150101</v>
      </c>
      <c r="G3809" t="s">
        <v>1065</v>
      </c>
      <c r="H3809" t="s">
        <v>1123</v>
      </c>
      <c r="I3809" t="s">
        <v>1124</v>
      </c>
      <c r="J3809">
        <v>1001</v>
      </c>
      <c r="K3809">
        <v>5016</v>
      </c>
      <c r="L3809" s="3">
        <v>907457</v>
      </c>
      <c r="M3809" s="3">
        <v>24840</v>
      </c>
      <c r="N3809">
        <v>0</v>
      </c>
      <c r="O3809">
        <v>0</v>
      </c>
      <c r="P3809">
        <v>932297</v>
      </c>
      <c r="Q3809" t="s">
        <v>30</v>
      </c>
      <c r="R3809" t="s">
        <v>113</v>
      </c>
      <c r="S3809" t="str">
        <v>#N/A</v>
      </c>
      <c r="T3809" t="str">
        <v>31</v>
      </c>
    </row>
    <row r="3810" spans="1:20" ht="13.7" customHeight="1" x14ac:dyDescent="0.25">
      <c r="A3810" t="s">
        <v>26</v>
      </c>
      <c r="B3810" t="s">
        <v>27</v>
      </c>
      <c r="C3810" t="s">
        <v>41</v>
      </c>
      <c r="D3810">
        <v>32</v>
      </c>
      <c r="E3810" s="5">
        <v>43783</v>
      </c>
      <c r="F3810">
        <v>62150101</v>
      </c>
      <c r="G3810" t="s">
        <v>1065</v>
      </c>
      <c r="H3810" t="s">
        <v>1123</v>
      </c>
      <c r="I3810" t="s">
        <v>1124</v>
      </c>
      <c r="J3810">
        <v>1001</v>
      </c>
      <c r="K3810">
        <v>5016</v>
      </c>
      <c r="L3810" s="3">
        <v>932297</v>
      </c>
      <c r="M3810" s="3">
        <v>13445</v>
      </c>
      <c r="N3810">
        <v>0</v>
      </c>
      <c r="O3810">
        <v>0</v>
      </c>
      <c r="P3810">
        <v>945742</v>
      </c>
      <c r="Q3810" t="s">
        <v>30</v>
      </c>
      <c r="R3810" t="s">
        <v>573</v>
      </c>
      <c r="S3810" t="str">
        <v>#N/A</v>
      </c>
      <c r="T3810" t="str">
        <v>31</v>
      </c>
    </row>
    <row r="3811" spans="1:20" ht="13.7" customHeight="1" x14ac:dyDescent="0.25">
      <c r="A3811" t="s">
        <v>26</v>
      </c>
      <c r="B3811" t="s">
        <v>27</v>
      </c>
      <c r="C3811" t="s">
        <v>41</v>
      </c>
      <c r="D3811">
        <v>63</v>
      </c>
      <c r="E3811" s="5">
        <v>43794</v>
      </c>
      <c r="F3811">
        <v>62150101</v>
      </c>
      <c r="G3811" t="s">
        <v>1065</v>
      </c>
      <c r="H3811" t="s">
        <v>1123</v>
      </c>
      <c r="I3811" t="s">
        <v>1124</v>
      </c>
      <c r="J3811">
        <v>1001</v>
      </c>
      <c r="K3811">
        <v>5016</v>
      </c>
      <c r="L3811" s="3">
        <v>945742</v>
      </c>
      <c r="M3811" s="3">
        <v>40336</v>
      </c>
      <c r="N3811">
        <v>0</v>
      </c>
      <c r="O3811">
        <v>0</v>
      </c>
      <c r="P3811">
        <v>986078</v>
      </c>
      <c r="Q3811" t="s">
        <v>30</v>
      </c>
      <c r="R3811" t="s">
        <v>177</v>
      </c>
      <c r="S3811" t="str">
        <v>#N/A</v>
      </c>
      <c r="T3811" t="str">
        <v>31</v>
      </c>
    </row>
    <row r="3812" spans="1:20" ht="13.7" customHeight="1" x14ac:dyDescent="0.25">
      <c r="A3812" t="s">
        <v>26</v>
      </c>
      <c r="B3812" t="s">
        <v>27</v>
      </c>
      <c r="C3812" t="s">
        <v>41</v>
      </c>
      <c r="D3812">
        <v>5</v>
      </c>
      <c r="E3812" s="5">
        <v>43801</v>
      </c>
      <c r="F3812">
        <v>62150101</v>
      </c>
      <c r="G3812" t="s">
        <v>1065</v>
      </c>
      <c r="H3812" t="s">
        <v>1123</v>
      </c>
      <c r="I3812" t="s">
        <v>1124</v>
      </c>
      <c r="J3812">
        <v>1001</v>
      </c>
      <c r="K3812">
        <v>5016</v>
      </c>
      <c r="L3812" s="3">
        <v>986078</v>
      </c>
      <c r="M3812" s="3">
        <v>23109</v>
      </c>
      <c r="N3812">
        <v>0</v>
      </c>
      <c r="O3812">
        <v>0</v>
      </c>
      <c r="P3812">
        <v>1009187</v>
      </c>
      <c r="Q3812" t="s">
        <v>30</v>
      </c>
      <c r="R3812" t="s">
        <v>72</v>
      </c>
      <c r="S3812" t="str">
        <v>#N/A</v>
      </c>
      <c r="T3812" t="str">
        <v>31</v>
      </c>
    </row>
    <row r="3813" spans="1:20" ht="13.7" customHeight="1" x14ac:dyDescent="0.25">
      <c r="E3813" s="5">
        <v>43465</v>
      </c>
      <c r="F3813">
        <v>62150101</v>
      </c>
      <c r="G3813" t="s">
        <v>1065</v>
      </c>
      <c r="H3813" t="s">
        <v>1753</v>
      </c>
      <c r="I3813" t="s">
        <v>1754</v>
      </c>
      <c r="J3813">
        <v>0</v>
      </c>
      <c r="K3813">
        <v>0</v>
      </c>
      <c r="L3813" s="3">
        <v>0</v>
      </c>
      <c r="M3813" s="3">
        <v>0</v>
      </c>
      <c r="N3813">
        <v>0</v>
      </c>
      <c r="O3813">
        <v>0</v>
      </c>
      <c r="P3813">
        <v>0</v>
      </c>
      <c r="R3813" t="s">
        <v>1100</v>
      </c>
      <c r="S3813" t="str">
        <v>#N/A</v>
      </c>
      <c r="T3813" t="str">
        <v>31</v>
      </c>
    </row>
    <row r="3814" spans="1:20" ht="13.7" customHeight="1" x14ac:dyDescent="0.25">
      <c r="A3814" t="s">
        <v>26</v>
      </c>
      <c r="B3814" t="s">
        <v>27</v>
      </c>
      <c r="C3814" t="s">
        <v>28</v>
      </c>
      <c r="D3814">
        <v>36</v>
      </c>
      <c r="E3814" s="5">
        <v>43480</v>
      </c>
      <c r="F3814">
        <v>62150101</v>
      </c>
      <c r="G3814" t="s">
        <v>1065</v>
      </c>
      <c r="H3814" t="s">
        <v>1753</v>
      </c>
      <c r="I3814" t="s">
        <v>1754</v>
      </c>
      <c r="J3814">
        <v>1001</v>
      </c>
      <c r="K3814">
        <v>5016</v>
      </c>
      <c r="L3814" s="3">
        <v>0</v>
      </c>
      <c r="M3814" s="3">
        <v>207000</v>
      </c>
      <c r="N3814">
        <v>0</v>
      </c>
      <c r="O3814">
        <v>0</v>
      </c>
      <c r="P3814">
        <v>207000</v>
      </c>
      <c r="Q3814" t="s">
        <v>30</v>
      </c>
      <c r="R3814" t="s">
        <v>56</v>
      </c>
      <c r="S3814" t="str">
        <v>#N/A</v>
      </c>
      <c r="T3814" t="str">
        <v>31</v>
      </c>
    </row>
    <row r="3815" spans="1:20" ht="13.7" customHeight="1" x14ac:dyDescent="0.25">
      <c r="A3815" t="s">
        <v>26</v>
      </c>
      <c r="B3815" t="s">
        <v>27</v>
      </c>
      <c r="C3815" t="s">
        <v>41</v>
      </c>
      <c r="D3815">
        <v>28</v>
      </c>
      <c r="E3815" s="5">
        <v>43782</v>
      </c>
      <c r="F3815">
        <v>62150101</v>
      </c>
      <c r="G3815" t="s">
        <v>1065</v>
      </c>
      <c r="H3815" t="s">
        <v>1753</v>
      </c>
      <c r="I3815" t="s">
        <v>1754</v>
      </c>
      <c r="J3815">
        <v>1001</v>
      </c>
      <c r="K3815">
        <v>5016</v>
      </c>
      <c r="L3815" s="3">
        <v>207000</v>
      </c>
      <c r="M3815" s="3">
        <v>260000</v>
      </c>
      <c r="N3815">
        <v>0</v>
      </c>
      <c r="O3815">
        <v>0</v>
      </c>
      <c r="P3815">
        <v>467000</v>
      </c>
      <c r="Q3815" t="s">
        <v>30</v>
      </c>
      <c r="R3815" t="s">
        <v>170</v>
      </c>
      <c r="S3815" t="str">
        <v>#N/A</v>
      </c>
      <c r="T3815" t="str">
        <v>31</v>
      </c>
    </row>
    <row r="3816" spans="1:20" ht="13.7" customHeight="1" x14ac:dyDescent="0.25">
      <c r="E3816" s="5">
        <v>43465</v>
      </c>
      <c r="F3816">
        <v>62150101</v>
      </c>
      <c r="G3816" t="s">
        <v>1065</v>
      </c>
      <c r="H3816" t="s">
        <v>1595</v>
      </c>
      <c r="I3816" t="s">
        <v>1596</v>
      </c>
      <c r="J3816">
        <v>0</v>
      </c>
      <c r="K3816">
        <v>0</v>
      </c>
      <c r="L3816" s="3">
        <v>0</v>
      </c>
      <c r="M3816" s="3">
        <v>0</v>
      </c>
      <c r="N3816">
        <v>0</v>
      </c>
      <c r="O3816">
        <v>0</v>
      </c>
      <c r="P3816">
        <v>0</v>
      </c>
      <c r="R3816" t="s">
        <v>1100</v>
      </c>
      <c r="S3816" t="str">
        <v>#N/A</v>
      </c>
      <c r="T3816" t="str">
        <v>#N/A</v>
      </c>
    </row>
    <row r="3817" spans="1:20" ht="13.7" customHeight="1" x14ac:dyDescent="0.25">
      <c r="A3817" t="s">
        <v>26</v>
      </c>
      <c r="B3817" t="s">
        <v>27</v>
      </c>
      <c r="C3817" t="s">
        <v>38</v>
      </c>
      <c r="D3817">
        <v>23</v>
      </c>
      <c r="E3817" s="5">
        <v>43692</v>
      </c>
      <c r="F3817">
        <v>62150101</v>
      </c>
      <c r="G3817" t="s">
        <v>1065</v>
      </c>
      <c r="H3817" t="s">
        <v>1595</v>
      </c>
      <c r="I3817" t="s">
        <v>1596</v>
      </c>
      <c r="J3817">
        <v>1001</v>
      </c>
      <c r="K3817">
        <v>5016</v>
      </c>
      <c r="L3817" s="3">
        <v>0</v>
      </c>
      <c r="M3817" s="3">
        <v>119000</v>
      </c>
      <c r="N3817">
        <v>0</v>
      </c>
      <c r="O3817">
        <v>0</v>
      </c>
      <c r="P3817">
        <v>119000</v>
      </c>
      <c r="Q3817" t="s">
        <v>30</v>
      </c>
      <c r="R3817" t="s">
        <v>169</v>
      </c>
      <c r="S3817" t="str">
        <v>#N/A</v>
      </c>
      <c r="T3817" t="str">
        <v>#N/A</v>
      </c>
    </row>
    <row r="3818" spans="1:20" ht="13.7" customHeight="1" x14ac:dyDescent="0.25">
      <c r="E3818" s="5">
        <v>43465</v>
      </c>
      <c r="F3818">
        <v>62150101</v>
      </c>
      <c r="G3818" t="s">
        <v>1065</v>
      </c>
      <c r="H3818" t="s">
        <v>1117</v>
      </c>
      <c r="I3818" t="s">
        <v>1118</v>
      </c>
      <c r="J3818">
        <v>0</v>
      </c>
      <c r="K3818">
        <v>0</v>
      </c>
      <c r="L3818" s="3">
        <v>228571</v>
      </c>
      <c r="M3818" s="3">
        <v>0</v>
      </c>
      <c r="N3818">
        <v>0</v>
      </c>
      <c r="O3818">
        <v>0</v>
      </c>
      <c r="P3818">
        <v>228571</v>
      </c>
      <c r="R3818" t="s">
        <v>1100</v>
      </c>
      <c r="S3818" t="str">
        <v>#N/A</v>
      </c>
      <c r="T3818" t="str">
        <v>31</v>
      </c>
    </row>
    <row r="3819" spans="1:20" ht="13.7" customHeight="1" x14ac:dyDescent="0.25">
      <c r="E3819" s="5">
        <v>43465</v>
      </c>
      <c r="F3819">
        <v>62150101</v>
      </c>
      <c r="G3819" t="s">
        <v>1065</v>
      </c>
      <c r="H3819" t="s">
        <v>1599</v>
      </c>
      <c r="I3819" t="s">
        <v>1600</v>
      </c>
      <c r="J3819">
        <v>0</v>
      </c>
      <c r="K3819">
        <v>0</v>
      </c>
      <c r="L3819" s="3">
        <v>82000</v>
      </c>
      <c r="M3819" s="3">
        <v>0</v>
      </c>
      <c r="N3819">
        <v>0</v>
      </c>
      <c r="O3819">
        <v>0</v>
      </c>
      <c r="P3819">
        <v>82000</v>
      </c>
      <c r="R3819" t="s">
        <v>1100</v>
      </c>
      <c r="S3819" t="str">
        <v>#N/A</v>
      </c>
      <c r="T3819" t="str">
        <v>#N/A</v>
      </c>
    </row>
    <row r="3820" spans="1:20" ht="13.7" customHeight="1" x14ac:dyDescent="0.25">
      <c r="E3820" s="5">
        <v>43465</v>
      </c>
      <c r="F3820">
        <v>62150101</v>
      </c>
      <c r="G3820" t="s">
        <v>1065</v>
      </c>
      <c r="H3820" t="s">
        <v>1525</v>
      </c>
      <c r="I3820" t="s">
        <v>1526</v>
      </c>
      <c r="J3820">
        <v>0</v>
      </c>
      <c r="K3820">
        <v>0</v>
      </c>
      <c r="L3820" s="3">
        <v>2352</v>
      </c>
      <c r="M3820" s="3">
        <v>0</v>
      </c>
      <c r="N3820">
        <v>0</v>
      </c>
      <c r="O3820">
        <v>0</v>
      </c>
      <c r="P3820">
        <v>2352</v>
      </c>
      <c r="R3820" t="s">
        <v>1100</v>
      </c>
      <c r="S3820" t="str">
        <v>#N/A</v>
      </c>
      <c r="T3820" t="str">
        <v>31</v>
      </c>
    </row>
    <row r="3821" spans="1:20" ht="13.7" customHeight="1" x14ac:dyDescent="0.25">
      <c r="E3821" s="5">
        <v>43465</v>
      </c>
      <c r="F3821">
        <v>62150101</v>
      </c>
      <c r="G3821" t="s">
        <v>1065</v>
      </c>
      <c r="H3821" t="s">
        <v>1113</v>
      </c>
      <c r="I3821" t="s">
        <v>1114</v>
      </c>
      <c r="J3821">
        <v>0</v>
      </c>
      <c r="K3821">
        <v>0</v>
      </c>
      <c r="L3821" s="3">
        <v>1058824</v>
      </c>
      <c r="M3821" s="3">
        <v>0</v>
      </c>
      <c r="N3821">
        <v>0</v>
      </c>
      <c r="O3821">
        <v>0</v>
      </c>
      <c r="P3821">
        <v>1058824</v>
      </c>
      <c r="R3821" t="s">
        <v>1100</v>
      </c>
      <c r="S3821" t="str">
        <v>#N/A</v>
      </c>
      <c r="T3821" t="str">
        <v>31</v>
      </c>
    </row>
    <row r="3822" spans="1:20" ht="13.7" customHeight="1" x14ac:dyDescent="0.25">
      <c r="A3822" t="s">
        <v>26</v>
      </c>
      <c r="B3822" t="s">
        <v>27</v>
      </c>
      <c r="C3822" t="s">
        <v>91</v>
      </c>
      <c r="D3822">
        <v>17</v>
      </c>
      <c r="E3822" s="5">
        <v>43529</v>
      </c>
      <c r="F3822">
        <v>62150101</v>
      </c>
      <c r="G3822" t="s">
        <v>1065</v>
      </c>
      <c r="H3822" t="s">
        <v>1113</v>
      </c>
      <c r="I3822" t="s">
        <v>1114</v>
      </c>
      <c r="J3822">
        <v>1001</v>
      </c>
      <c r="K3822">
        <v>5016</v>
      </c>
      <c r="L3822" s="3">
        <v>1058824</v>
      </c>
      <c r="M3822" s="3">
        <v>573176</v>
      </c>
      <c r="N3822">
        <v>0</v>
      </c>
      <c r="O3822">
        <v>0</v>
      </c>
      <c r="P3822">
        <v>1632000</v>
      </c>
      <c r="Q3822" t="s">
        <v>30</v>
      </c>
      <c r="R3822" t="s">
        <v>92</v>
      </c>
      <c r="S3822" t="str">
        <v>#N/A</v>
      </c>
      <c r="T3822" t="str">
        <v>31</v>
      </c>
    </row>
    <row r="3823" spans="1:20" ht="13.7" customHeight="1" x14ac:dyDescent="0.25">
      <c r="A3823" t="s">
        <v>26</v>
      </c>
      <c r="B3823" t="s">
        <v>27</v>
      </c>
      <c r="C3823" t="s">
        <v>36</v>
      </c>
      <c r="D3823">
        <v>19</v>
      </c>
      <c r="E3823" s="5">
        <v>43626</v>
      </c>
      <c r="F3823">
        <v>62150101</v>
      </c>
      <c r="G3823" t="s">
        <v>1065</v>
      </c>
      <c r="H3823" t="s">
        <v>1113</v>
      </c>
      <c r="I3823" t="s">
        <v>1114</v>
      </c>
      <c r="J3823">
        <v>1001</v>
      </c>
      <c r="K3823">
        <v>5016</v>
      </c>
      <c r="L3823" s="3">
        <v>1632000</v>
      </c>
      <c r="M3823" s="3">
        <v>129412</v>
      </c>
      <c r="N3823">
        <v>0</v>
      </c>
      <c r="O3823">
        <v>0</v>
      </c>
      <c r="P3823">
        <v>1761412</v>
      </c>
      <c r="Q3823" t="s">
        <v>30</v>
      </c>
      <c r="R3823" t="s">
        <v>145</v>
      </c>
      <c r="S3823" t="str">
        <v>#N/A</v>
      </c>
      <c r="T3823" t="str">
        <v>31</v>
      </c>
    </row>
    <row r="3824" spans="1:20" ht="13.7" customHeight="1" x14ac:dyDescent="0.25">
      <c r="A3824" t="s">
        <v>26</v>
      </c>
      <c r="B3824" t="s">
        <v>27</v>
      </c>
      <c r="C3824" t="s">
        <v>38</v>
      </c>
      <c r="D3824">
        <v>22</v>
      </c>
      <c r="E3824" s="5">
        <v>43692</v>
      </c>
      <c r="F3824">
        <v>62150101</v>
      </c>
      <c r="G3824" t="s">
        <v>1065</v>
      </c>
      <c r="H3824" t="s">
        <v>1113</v>
      </c>
      <c r="I3824" t="s">
        <v>1114</v>
      </c>
      <c r="J3824">
        <v>1001</v>
      </c>
      <c r="K3824">
        <v>5016</v>
      </c>
      <c r="L3824" s="3">
        <v>1761412</v>
      </c>
      <c r="M3824" s="3">
        <v>357143</v>
      </c>
      <c r="N3824">
        <v>0</v>
      </c>
      <c r="O3824">
        <v>0</v>
      </c>
      <c r="P3824">
        <v>2118555</v>
      </c>
      <c r="Q3824" t="s">
        <v>30</v>
      </c>
      <c r="R3824" t="s">
        <v>92</v>
      </c>
      <c r="S3824" t="str">
        <v>#N/A</v>
      </c>
      <c r="T3824" t="str">
        <v>31</v>
      </c>
    </row>
    <row r="3825" spans="1:20" ht="13.7" customHeight="1" x14ac:dyDescent="0.25">
      <c r="A3825" t="s">
        <v>26</v>
      </c>
      <c r="B3825" t="s">
        <v>27</v>
      </c>
      <c r="C3825" t="s">
        <v>39</v>
      </c>
      <c r="D3825">
        <v>49</v>
      </c>
      <c r="E3825" s="5">
        <v>43732</v>
      </c>
      <c r="F3825">
        <v>62150101</v>
      </c>
      <c r="G3825" t="s">
        <v>1065</v>
      </c>
      <c r="H3825" t="s">
        <v>1113</v>
      </c>
      <c r="I3825" t="s">
        <v>1114</v>
      </c>
      <c r="J3825">
        <v>1001</v>
      </c>
      <c r="K3825">
        <v>5016</v>
      </c>
      <c r="L3825" s="3">
        <v>2118555</v>
      </c>
      <c r="M3825" s="3">
        <v>218487</v>
      </c>
      <c r="N3825">
        <v>0</v>
      </c>
      <c r="O3825">
        <v>0</v>
      </c>
      <c r="P3825">
        <v>2337042</v>
      </c>
      <c r="Q3825" t="s">
        <v>30</v>
      </c>
      <c r="R3825" t="s">
        <v>92</v>
      </c>
      <c r="S3825" t="str">
        <v>#N/A</v>
      </c>
      <c r="T3825" t="str">
        <v>31</v>
      </c>
    </row>
    <row r="3826" spans="1:20" ht="13.7" customHeight="1" x14ac:dyDescent="0.25">
      <c r="A3826" t="s">
        <v>26</v>
      </c>
      <c r="B3826" t="s">
        <v>27</v>
      </c>
      <c r="C3826" t="s">
        <v>40</v>
      </c>
      <c r="D3826">
        <v>13</v>
      </c>
      <c r="E3826" s="5">
        <v>43745</v>
      </c>
      <c r="F3826">
        <v>62150101</v>
      </c>
      <c r="G3826" t="s">
        <v>1065</v>
      </c>
      <c r="H3826" t="s">
        <v>1113</v>
      </c>
      <c r="I3826" t="s">
        <v>1114</v>
      </c>
      <c r="J3826">
        <v>1001</v>
      </c>
      <c r="K3826">
        <v>5016</v>
      </c>
      <c r="L3826" s="3">
        <v>2337042</v>
      </c>
      <c r="M3826" s="3">
        <v>33025</v>
      </c>
      <c r="N3826">
        <v>0</v>
      </c>
      <c r="O3826">
        <v>0</v>
      </c>
      <c r="P3826">
        <v>2370067</v>
      </c>
      <c r="Q3826" t="s">
        <v>30</v>
      </c>
      <c r="R3826" t="s">
        <v>145</v>
      </c>
      <c r="S3826" t="str">
        <v>#N/A</v>
      </c>
      <c r="T3826" t="str">
        <v>31</v>
      </c>
    </row>
    <row r="3827" spans="1:20" ht="13.7" customHeight="1" x14ac:dyDescent="0.25">
      <c r="A3827" t="s">
        <v>26</v>
      </c>
      <c r="B3827" t="s">
        <v>27</v>
      </c>
      <c r="C3827" t="s">
        <v>40</v>
      </c>
      <c r="D3827">
        <v>25</v>
      </c>
      <c r="E3827" s="5">
        <v>43753</v>
      </c>
      <c r="F3827">
        <v>62150101</v>
      </c>
      <c r="G3827" t="s">
        <v>1065</v>
      </c>
      <c r="H3827" t="s">
        <v>1113</v>
      </c>
      <c r="I3827" t="s">
        <v>1114</v>
      </c>
      <c r="J3827">
        <v>1001</v>
      </c>
      <c r="K3827">
        <v>5016</v>
      </c>
      <c r="L3827" s="3">
        <v>2370067</v>
      </c>
      <c r="M3827" s="3">
        <v>68067</v>
      </c>
      <c r="N3827">
        <v>0</v>
      </c>
      <c r="O3827">
        <v>0</v>
      </c>
      <c r="P3827">
        <v>2438134</v>
      </c>
      <c r="Q3827" t="s">
        <v>30</v>
      </c>
      <c r="R3827" t="s">
        <v>145</v>
      </c>
      <c r="S3827" t="str">
        <v>#N/A</v>
      </c>
      <c r="T3827" t="str">
        <v>31</v>
      </c>
    </row>
    <row r="3828" spans="1:20" ht="13.7" customHeight="1" x14ac:dyDescent="0.25">
      <c r="A3828" t="s">
        <v>26</v>
      </c>
      <c r="B3828" t="s">
        <v>27</v>
      </c>
      <c r="C3828" t="s">
        <v>40</v>
      </c>
      <c r="D3828">
        <v>45</v>
      </c>
      <c r="E3828" s="5">
        <v>43762</v>
      </c>
      <c r="F3828">
        <v>62150101</v>
      </c>
      <c r="G3828" t="s">
        <v>1065</v>
      </c>
      <c r="H3828" t="s">
        <v>1113</v>
      </c>
      <c r="I3828" t="s">
        <v>1114</v>
      </c>
      <c r="J3828">
        <v>1001</v>
      </c>
      <c r="K3828">
        <v>5016</v>
      </c>
      <c r="L3828" s="3">
        <v>2438134</v>
      </c>
      <c r="M3828" s="3">
        <v>57059</v>
      </c>
      <c r="N3828">
        <v>0</v>
      </c>
      <c r="O3828">
        <v>0</v>
      </c>
      <c r="P3828">
        <v>2495193</v>
      </c>
      <c r="Q3828" t="s">
        <v>30</v>
      </c>
      <c r="R3828" t="s">
        <v>145</v>
      </c>
      <c r="S3828" t="str">
        <v>#N/A</v>
      </c>
      <c r="T3828" t="str">
        <v>31</v>
      </c>
    </row>
    <row r="3829" spans="1:20" ht="13.7" customHeight="1" x14ac:dyDescent="0.25">
      <c r="A3829" t="s">
        <v>26</v>
      </c>
      <c r="B3829" t="s">
        <v>27</v>
      </c>
      <c r="C3829" t="s">
        <v>40</v>
      </c>
      <c r="D3829">
        <v>54</v>
      </c>
      <c r="E3829" s="5">
        <v>43767</v>
      </c>
      <c r="F3829">
        <v>62150101</v>
      </c>
      <c r="G3829" t="s">
        <v>1065</v>
      </c>
      <c r="H3829" t="s">
        <v>1113</v>
      </c>
      <c r="I3829" t="s">
        <v>1114</v>
      </c>
      <c r="J3829">
        <v>1001</v>
      </c>
      <c r="K3829">
        <v>5016</v>
      </c>
      <c r="L3829" s="3">
        <v>2495193</v>
      </c>
      <c r="M3829" s="3">
        <v>605675</v>
      </c>
      <c r="N3829">
        <v>0</v>
      </c>
      <c r="O3829">
        <v>0</v>
      </c>
      <c r="P3829">
        <v>3100868</v>
      </c>
      <c r="Q3829" t="s">
        <v>30</v>
      </c>
      <c r="R3829" t="s">
        <v>169</v>
      </c>
      <c r="S3829" t="str">
        <v>#N/A</v>
      </c>
      <c r="T3829" t="str">
        <v>31</v>
      </c>
    </row>
    <row r="3830" spans="1:20" ht="13.7" customHeight="1" x14ac:dyDescent="0.25">
      <c r="A3830" t="s">
        <v>26</v>
      </c>
      <c r="B3830" t="s">
        <v>27</v>
      </c>
      <c r="C3830" t="s">
        <v>40</v>
      </c>
      <c r="D3830">
        <v>55</v>
      </c>
      <c r="E3830" s="5">
        <v>43768</v>
      </c>
      <c r="F3830">
        <v>62150101</v>
      </c>
      <c r="G3830" t="s">
        <v>1065</v>
      </c>
      <c r="H3830" t="s">
        <v>1113</v>
      </c>
      <c r="I3830" t="s">
        <v>1114</v>
      </c>
      <c r="J3830">
        <v>1001</v>
      </c>
      <c r="K3830">
        <v>5016</v>
      </c>
      <c r="L3830" s="3">
        <v>3100868</v>
      </c>
      <c r="M3830" s="3">
        <v>47143</v>
      </c>
      <c r="N3830">
        <v>0</v>
      </c>
      <c r="O3830">
        <v>0</v>
      </c>
      <c r="P3830">
        <v>3148011</v>
      </c>
      <c r="Q3830" t="s">
        <v>30</v>
      </c>
      <c r="R3830" t="s">
        <v>145</v>
      </c>
      <c r="S3830" t="str">
        <v>#N/A</v>
      </c>
      <c r="T3830" t="str">
        <v>31</v>
      </c>
    </row>
    <row r="3831" spans="1:20" ht="13.7" customHeight="1" x14ac:dyDescent="0.25">
      <c r="A3831" t="s">
        <v>26</v>
      </c>
      <c r="B3831" t="s">
        <v>27</v>
      </c>
      <c r="C3831" t="s">
        <v>41</v>
      </c>
      <c r="D3831">
        <v>13</v>
      </c>
      <c r="E3831" s="5">
        <v>43775</v>
      </c>
      <c r="F3831">
        <v>62150101</v>
      </c>
      <c r="G3831" t="s">
        <v>1065</v>
      </c>
      <c r="H3831" t="s">
        <v>1113</v>
      </c>
      <c r="I3831" t="s">
        <v>1114</v>
      </c>
      <c r="J3831">
        <v>1001</v>
      </c>
      <c r="K3831">
        <v>5016</v>
      </c>
      <c r="L3831" s="3">
        <v>3148011</v>
      </c>
      <c r="M3831" s="3">
        <v>29932</v>
      </c>
      <c r="N3831">
        <v>0</v>
      </c>
      <c r="O3831">
        <v>0</v>
      </c>
      <c r="P3831">
        <v>3177943</v>
      </c>
      <c r="Q3831" t="s">
        <v>30</v>
      </c>
      <c r="R3831" t="s">
        <v>145</v>
      </c>
      <c r="S3831" t="str">
        <v>#N/A</v>
      </c>
      <c r="T3831" t="str">
        <v>31</v>
      </c>
    </row>
    <row r="3832" spans="1:20" ht="13.7" customHeight="1" x14ac:dyDescent="0.25">
      <c r="A3832" t="s">
        <v>26</v>
      </c>
      <c r="B3832" t="s">
        <v>27</v>
      </c>
      <c r="C3832" t="s">
        <v>41</v>
      </c>
      <c r="D3832">
        <v>26</v>
      </c>
      <c r="E3832" s="5">
        <v>43781</v>
      </c>
      <c r="F3832">
        <v>62150101</v>
      </c>
      <c r="G3832" t="s">
        <v>1065</v>
      </c>
      <c r="H3832" t="s">
        <v>1113</v>
      </c>
      <c r="I3832" t="s">
        <v>1114</v>
      </c>
      <c r="J3832">
        <v>1001</v>
      </c>
      <c r="K3832">
        <v>5016</v>
      </c>
      <c r="L3832" s="3">
        <v>3177943</v>
      </c>
      <c r="M3832" s="3">
        <v>65546</v>
      </c>
      <c r="N3832">
        <v>0</v>
      </c>
      <c r="O3832">
        <v>0</v>
      </c>
      <c r="P3832">
        <v>3243489</v>
      </c>
      <c r="Q3832" t="s">
        <v>30</v>
      </c>
      <c r="R3832" t="s">
        <v>145</v>
      </c>
      <c r="S3832" t="str">
        <v>#N/A</v>
      </c>
      <c r="T3832" t="str">
        <v>31</v>
      </c>
    </row>
    <row r="3833" spans="1:20" ht="13.7" customHeight="1" x14ac:dyDescent="0.25">
      <c r="A3833" t="s">
        <v>26</v>
      </c>
      <c r="B3833" t="s">
        <v>27</v>
      </c>
      <c r="C3833" t="s">
        <v>180</v>
      </c>
      <c r="D3833">
        <v>24</v>
      </c>
      <c r="E3833" s="5">
        <v>43811</v>
      </c>
      <c r="F3833">
        <v>62150101</v>
      </c>
      <c r="G3833" t="s">
        <v>1065</v>
      </c>
      <c r="H3833" t="s">
        <v>1113</v>
      </c>
      <c r="I3833" t="s">
        <v>1114</v>
      </c>
      <c r="J3833">
        <v>1001</v>
      </c>
      <c r="K3833">
        <v>5016</v>
      </c>
      <c r="L3833" s="3">
        <v>3243489</v>
      </c>
      <c r="M3833" s="3">
        <v>121008</v>
      </c>
      <c r="N3833">
        <v>0</v>
      </c>
      <c r="O3833">
        <v>0</v>
      </c>
      <c r="P3833">
        <v>3364497</v>
      </c>
      <c r="Q3833" t="s">
        <v>30</v>
      </c>
      <c r="R3833" t="s">
        <v>145</v>
      </c>
      <c r="S3833" t="str">
        <v>#N/A</v>
      </c>
      <c r="T3833" t="str">
        <v>31</v>
      </c>
    </row>
    <row r="3834" spans="1:20" ht="13.7" customHeight="1" x14ac:dyDescent="0.25">
      <c r="A3834" t="s">
        <v>26</v>
      </c>
      <c r="B3834" t="s">
        <v>27</v>
      </c>
      <c r="C3834" t="s">
        <v>180</v>
      </c>
      <c r="D3834">
        <v>50</v>
      </c>
      <c r="E3834" s="5">
        <v>43817</v>
      </c>
      <c r="F3834">
        <v>62150101</v>
      </c>
      <c r="G3834" t="s">
        <v>1065</v>
      </c>
      <c r="H3834" t="s">
        <v>1113</v>
      </c>
      <c r="I3834" t="s">
        <v>1114</v>
      </c>
      <c r="J3834">
        <v>1001</v>
      </c>
      <c r="K3834">
        <v>5016</v>
      </c>
      <c r="L3834" s="3">
        <v>3364497</v>
      </c>
      <c r="M3834" s="3">
        <v>27228</v>
      </c>
      <c r="N3834">
        <v>0</v>
      </c>
      <c r="O3834">
        <v>0</v>
      </c>
      <c r="P3834">
        <v>3391725</v>
      </c>
      <c r="Q3834" t="s">
        <v>30</v>
      </c>
      <c r="R3834" t="s">
        <v>145</v>
      </c>
      <c r="S3834" t="str">
        <v>#N/A</v>
      </c>
      <c r="T3834" t="str">
        <v>31</v>
      </c>
    </row>
    <row r="3835" spans="1:20" ht="13.7" customHeight="1" x14ac:dyDescent="0.25">
      <c r="E3835" s="5">
        <v>43465</v>
      </c>
      <c r="F3835">
        <v>62150101</v>
      </c>
      <c r="G3835" t="s">
        <v>1065</v>
      </c>
      <c r="H3835" t="s">
        <v>1352</v>
      </c>
      <c r="I3835" t="s">
        <v>1353</v>
      </c>
      <c r="J3835">
        <v>0</v>
      </c>
      <c r="K3835">
        <v>0</v>
      </c>
      <c r="L3835" s="3">
        <v>0</v>
      </c>
      <c r="M3835" s="3">
        <v>0</v>
      </c>
      <c r="N3835">
        <v>0</v>
      </c>
      <c r="O3835">
        <v>0</v>
      </c>
      <c r="P3835">
        <v>0</v>
      </c>
      <c r="R3835" t="s">
        <v>1100</v>
      </c>
      <c r="S3835" t="str">
        <v>#N/A</v>
      </c>
      <c r="T3835" t="str">
        <v>#N/A</v>
      </c>
    </row>
    <row r="3836" spans="1:20" ht="13.7" customHeight="1" x14ac:dyDescent="0.25">
      <c r="A3836" t="s">
        <v>26</v>
      </c>
      <c r="B3836" t="s">
        <v>27</v>
      </c>
      <c r="C3836" t="s">
        <v>28</v>
      </c>
      <c r="D3836">
        <v>21</v>
      </c>
      <c r="E3836" s="5">
        <v>43476</v>
      </c>
      <c r="F3836">
        <v>62150101</v>
      </c>
      <c r="G3836" t="s">
        <v>1065</v>
      </c>
      <c r="H3836" t="s">
        <v>1352</v>
      </c>
      <c r="I3836" t="s">
        <v>1353</v>
      </c>
      <c r="J3836">
        <v>1001</v>
      </c>
      <c r="K3836">
        <v>5016</v>
      </c>
      <c r="L3836" s="3">
        <v>0</v>
      </c>
      <c r="M3836" s="3">
        <v>6804</v>
      </c>
      <c r="N3836">
        <v>0</v>
      </c>
      <c r="O3836">
        <v>0</v>
      </c>
      <c r="P3836">
        <v>6804</v>
      </c>
      <c r="Q3836" t="s">
        <v>30</v>
      </c>
      <c r="R3836" t="s">
        <v>48</v>
      </c>
      <c r="S3836" t="str">
        <v>#N/A</v>
      </c>
      <c r="T3836" t="str">
        <v>#N/A</v>
      </c>
    </row>
    <row r="3837" spans="1:20" ht="13.7" customHeight="1" x14ac:dyDescent="0.25">
      <c r="A3837" t="s">
        <v>26</v>
      </c>
      <c r="B3837" t="s">
        <v>27</v>
      </c>
      <c r="C3837" t="s">
        <v>28</v>
      </c>
      <c r="D3837">
        <v>22</v>
      </c>
      <c r="E3837" s="5">
        <v>43476</v>
      </c>
      <c r="F3837">
        <v>62150101</v>
      </c>
      <c r="G3837" t="s">
        <v>1065</v>
      </c>
      <c r="H3837" t="s">
        <v>1352</v>
      </c>
      <c r="I3837" t="s">
        <v>1353</v>
      </c>
      <c r="J3837">
        <v>1001</v>
      </c>
      <c r="K3837">
        <v>5016</v>
      </c>
      <c r="L3837" s="3">
        <v>6804</v>
      </c>
      <c r="M3837" s="3">
        <v>42500</v>
      </c>
      <c r="N3837">
        <v>0</v>
      </c>
      <c r="O3837">
        <v>0</v>
      </c>
      <c r="P3837">
        <v>49304</v>
      </c>
      <c r="Q3837" t="s">
        <v>30</v>
      </c>
      <c r="R3837" t="s">
        <v>49</v>
      </c>
      <c r="S3837" t="str">
        <v>#N/A</v>
      </c>
      <c r="T3837" t="str">
        <v>#N/A</v>
      </c>
    </row>
    <row r="3838" spans="1:20" ht="13.7" customHeight="1" x14ac:dyDescent="0.25">
      <c r="E3838" s="5">
        <v>43465</v>
      </c>
      <c r="F3838">
        <v>62150101</v>
      </c>
      <c r="G3838" t="s">
        <v>1065</v>
      </c>
      <c r="H3838" t="s">
        <v>1631</v>
      </c>
      <c r="I3838" t="s">
        <v>1632</v>
      </c>
      <c r="J3838">
        <v>0</v>
      </c>
      <c r="K3838">
        <v>0</v>
      </c>
      <c r="L3838" s="3">
        <v>211344.7</v>
      </c>
      <c r="M3838" s="3">
        <v>0</v>
      </c>
      <c r="N3838">
        <v>0</v>
      </c>
      <c r="O3838">
        <v>0</v>
      </c>
      <c r="P3838">
        <v>211344.7</v>
      </c>
      <c r="R3838" t="s">
        <v>1100</v>
      </c>
      <c r="S3838" t="str">
        <v>#N/A</v>
      </c>
      <c r="T3838" t="str">
        <v>#N/A</v>
      </c>
    </row>
    <row r="3839" spans="1:20" ht="13.7" customHeight="1" x14ac:dyDescent="0.25">
      <c r="E3839" s="5">
        <v>43465</v>
      </c>
      <c r="F3839">
        <v>62150101</v>
      </c>
      <c r="G3839" t="s">
        <v>1065</v>
      </c>
      <c r="H3839" t="s">
        <v>1235</v>
      </c>
      <c r="I3839" t="s">
        <v>1236</v>
      </c>
      <c r="J3839">
        <v>0</v>
      </c>
      <c r="K3839">
        <v>0</v>
      </c>
      <c r="L3839" s="3">
        <v>6723</v>
      </c>
      <c r="M3839" s="3">
        <v>0</v>
      </c>
      <c r="N3839">
        <v>0</v>
      </c>
      <c r="O3839">
        <v>0</v>
      </c>
      <c r="P3839">
        <v>6723</v>
      </c>
      <c r="R3839" t="s">
        <v>1100</v>
      </c>
      <c r="S3839" t="str">
        <v>#N/A</v>
      </c>
      <c r="T3839" t="str">
        <v>#N/A</v>
      </c>
    </row>
    <row r="3840" spans="1:20" ht="13.7" customHeight="1" x14ac:dyDescent="0.25">
      <c r="A3840" t="s">
        <v>26</v>
      </c>
      <c r="B3840" t="s">
        <v>27</v>
      </c>
      <c r="C3840" t="s">
        <v>28</v>
      </c>
      <c r="D3840">
        <v>48</v>
      </c>
      <c r="E3840" s="5">
        <v>43483</v>
      </c>
      <c r="F3840">
        <v>62150101</v>
      </c>
      <c r="G3840" t="s">
        <v>1065</v>
      </c>
      <c r="H3840" t="s">
        <v>1235</v>
      </c>
      <c r="I3840" t="s">
        <v>1236</v>
      </c>
      <c r="J3840">
        <v>1001</v>
      </c>
      <c r="K3840">
        <v>5016</v>
      </c>
      <c r="L3840" s="3">
        <v>6723</v>
      </c>
      <c r="M3840" s="3">
        <v>13578</v>
      </c>
      <c r="N3840">
        <v>0</v>
      </c>
      <c r="O3840">
        <v>0</v>
      </c>
      <c r="P3840">
        <v>20301</v>
      </c>
      <c r="Q3840" t="s">
        <v>30</v>
      </c>
      <c r="R3840" t="s">
        <v>63</v>
      </c>
      <c r="S3840" t="str">
        <v>#N/A</v>
      </c>
      <c r="T3840" t="str">
        <v>#N/A</v>
      </c>
    </row>
    <row r="3841" spans="1:20" ht="13.7" customHeight="1" x14ac:dyDescent="0.25">
      <c r="A3841" t="s">
        <v>26</v>
      </c>
      <c r="B3841" t="s">
        <v>27</v>
      </c>
      <c r="C3841" t="s">
        <v>41</v>
      </c>
      <c r="D3841">
        <v>30</v>
      </c>
      <c r="E3841" s="5">
        <v>43783</v>
      </c>
      <c r="F3841">
        <v>62150101</v>
      </c>
      <c r="G3841" t="s">
        <v>1065</v>
      </c>
      <c r="H3841" t="s">
        <v>1235</v>
      </c>
      <c r="I3841" t="s">
        <v>1236</v>
      </c>
      <c r="J3841">
        <v>1001</v>
      </c>
      <c r="K3841">
        <v>5016</v>
      </c>
      <c r="L3841" s="3">
        <v>20301</v>
      </c>
      <c r="M3841" s="3">
        <v>6723</v>
      </c>
      <c r="N3841">
        <v>0</v>
      </c>
      <c r="O3841">
        <v>0</v>
      </c>
      <c r="P3841">
        <v>27024</v>
      </c>
      <c r="Q3841" t="s">
        <v>30</v>
      </c>
      <c r="R3841" t="s">
        <v>171</v>
      </c>
      <c r="S3841" t="str">
        <v>#N/A</v>
      </c>
      <c r="T3841" t="str">
        <v>#N/A</v>
      </c>
    </row>
    <row r="3842" spans="1:20" ht="13.7" customHeight="1" x14ac:dyDescent="0.25">
      <c r="E3842" s="5">
        <v>43465</v>
      </c>
      <c r="F3842">
        <v>62150101</v>
      </c>
      <c r="G3842" t="s">
        <v>1065</v>
      </c>
      <c r="H3842" t="s">
        <v>1366</v>
      </c>
      <c r="I3842" t="s">
        <v>1367</v>
      </c>
      <c r="J3842">
        <v>0</v>
      </c>
      <c r="K3842">
        <v>0</v>
      </c>
      <c r="L3842" s="3">
        <v>12605</v>
      </c>
      <c r="M3842" s="3">
        <v>0</v>
      </c>
      <c r="N3842">
        <v>0</v>
      </c>
      <c r="O3842">
        <v>0</v>
      </c>
      <c r="P3842">
        <v>12605</v>
      </c>
      <c r="R3842" t="s">
        <v>1100</v>
      </c>
      <c r="S3842" t="str">
        <v>#N/A</v>
      </c>
      <c r="T3842" t="str">
        <v>#N/A</v>
      </c>
    </row>
    <row r="3843" spans="1:20" ht="13.7" customHeight="1" x14ac:dyDescent="0.25">
      <c r="E3843" s="5">
        <v>43465</v>
      </c>
      <c r="F3843">
        <v>62150101</v>
      </c>
      <c r="G3843" t="s">
        <v>1065</v>
      </c>
      <c r="H3843" t="s">
        <v>1378</v>
      </c>
      <c r="I3843" t="s">
        <v>1379</v>
      </c>
      <c r="J3843">
        <v>0</v>
      </c>
      <c r="K3843">
        <v>0</v>
      </c>
      <c r="L3843" s="3">
        <v>0</v>
      </c>
      <c r="M3843" s="3">
        <v>0</v>
      </c>
      <c r="N3843">
        <v>0</v>
      </c>
      <c r="O3843">
        <v>0</v>
      </c>
      <c r="P3843">
        <v>0</v>
      </c>
      <c r="R3843" t="s">
        <v>1100</v>
      </c>
      <c r="S3843" t="str">
        <v>#N/A</v>
      </c>
      <c r="T3843" t="str">
        <v>#N/A</v>
      </c>
    </row>
    <row r="3844" spans="1:20" ht="13.7" customHeight="1" x14ac:dyDescent="0.25">
      <c r="A3844" t="s">
        <v>26</v>
      </c>
      <c r="B3844" t="s">
        <v>27</v>
      </c>
      <c r="C3844" t="s">
        <v>35</v>
      </c>
      <c r="D3844">
        <v>56</v>
      </c>
      <c r="E3844" s="5">
        <v>43602</v>
      </c>
      <c r="F3844">
        <v>62150101</v>
      </c>
      <c r="G3844" t="s">
        <v>1065</v>
      </c>
      <c r="H3844" t="s">
        <v>1378</v>
      </c>
      <c r="I3844" t="s">
        <v>1379</v>
      </c>
      <c r="J3844">
        <v>1001</v>
      </c>
      <c r="K3844">
        <v>5016</v>
      </c>
      <c r="L3844" s="3">
        <v>0</v>
      </c>
      <c r="M3844" s="3">
        <v>33960</v>
      </c>
      <c r="N3844">
        <v>0</v>
      </c>
      <c r="O3844">
        <v>0</v>
      </c>
      <c r="P3844">
        <v>33960</v>
      </c>
      <c r="Q3844" t="s">
        <v>30</v>
      </c>
      <c r="R3844" t="s">
        <v>135</v>
      </c>
      <c r="S3844" t="str">
        <v>#N/A</v>
      </c>
      <c r="T3844" t="str">
        <v>#N/A</v>
      </c>
    </row>
    <row r="3845" spans="1:20" ht="13.7" customHeight="1" x14ac:dyDescent="0.25">
      <c r="E3845" s="5">
        <v>43465</v>
      </c>
      <c r="F3845">
        <v>62150101</v>
      </c>
      <c r="G3845" t="s">
        <v>1065</v>
      </c>
      <c r="H3845" t="s">
        <v>1647</v>
      </c>
      <c r="I3845" t="s">
        <v>1648</v>
      </c>
      <c r="J3845">
        <v>0</v>
      </c>
      <c r="K3845">
        <v>0</v>
      </c>
      <c r="L3845" s="3">
        <v>10084</v>
      </c>
      <c r="M3845" s="3">
        <v>0</v>
      </c>
      <c r="N3845">
        <v>0</v>
      </c>
      <c r="O3845">
        <v>0</v>
      </c>
      <c r="P3845">
        <v>10084</v>
      </c>
      <c r="R3845" t="s">
        <v>1100</v>
      </c>
      <c r="S3845" t="str">
        <v>#N/A</v>
      </c>
      <c r="T3845" t="str">
        <v>#N/A</v>
      </c>
    </row>
    <row r="3846" spans="1:20" ht="13.7" customHeight="1" x14ac:dyDescent="0.25">
      <c r="E3846" s="5">
        <v>43465</v>
      </c>
      <c r="F3846">
        <v>62150101</v>
      </c>
      <c r="G3846" t="s">
        <v>1065</v>
      </c>
      <c r="H3846" t="s">
        <v>1649</v>
      </c>
      <c r="I3846" t="s">
        <v>1650</v>
      </c>
      <c r="J3846">
        <v>0</v>
      </c>
      <c r="K3846">
        <v>0</v>
      </c>
      <c r="L3846" s="3">
        <v>8823</v>
      </c>
      <c r="M3846" s="3">
        <v>0</v>
      </c>
      <c r="N3846">
        <v>0</v>
      </c>
      <c r="O3846">
        <v>0</v>
      </c>
      <c r="P3846">
        <v>8823</v>
      </c>
      <c r="R3846" t="s">
        <v>1100</v>
      </c>
      <c r="S3846" t="str">
        <v>#N/A</v>
      </c>
      <c r="T3846" t="str">
        <v>#N/A</v>
      </c>
    </row>
    <row r="3847" spans="1:20" ht="13.7" customHeight="1" x14ac:dyDescent="0.25">
      <c r="E3847" s="5">
        <v>43465</v>
      </c>
      <c r="F3847">
        <v>71010101</v>
      </c>
      <c r="G3847">
        <v>0</v>
      </c>
      <c r="H3847" t="s">
        <v>1117</v>
      </c>
      <c r="I3847" t="s">
        <v>1118</v>
      </c>
      <c r="J3847">
        <v>0</v>
      </c>
      <c r="K3847">
        <v>0</v>
      </c>
      <c r="L3847" s="3">
        <v>77311</v>
      </c>
      <c r="M3847" s="3">
        <v>0</v>
      </c>
      <c r="N3847">
        <v>0</v>
      </c>
      <c r="O3847">
        <v>0</v>
      </c>
      <c r="P3847">
        <v>77311</v>
      </c>
      <c r="R3847" t="s">
        <v>1100</v>
      </c>
      <c r="S3847" t="str">
        <v>#N/A</v>
      </c>
      <c r="T3847" t="str">
        <v>31</v>
      </c>
    </row>
    <row r="3848" spans="1:20" ht="13.7" customHeight="1" x14ac:dyDescent="0.25">
      <c r="E3848" s="5">
        <v>43465</v>
      </c>
      <c r="F3848">
        <v>73050501</v>
      </c>
      <c r="G3848" t="s">
        <v>1066</v>
      </c>
      <c r="H3848" t="s">
        <v>1147</v>
      </c>
      <c r="I3848" t="s">
        <v>1148</v>
      </c>
      <c r="J3848">
        <v>0</v>
      </c>
      <c r="K3848">
        <v>0</v>
      </c>
      <c r="L3848" s="3">
        <v>0</v>
      </c>
      <c r="M3848" s="3">
        <v>0</v>
      </c>
      <c r="N3848">
        <v>0</v>
      </c>
      <c r="O3848">
        <v>0</v>
      </c>
      <c r="P3848">
        <v>0</v>
      </c>
      <c r="R3848" t="s">
        <v>1100</v>
      </c>
      <c r="S3848" t="str">
        <v>#N/A</v>
      </c>
      <c r="T3848" t="str">
        <v>#N/A</v>
      </c>
    </row>
    <row r="3849" spans="1:20" ht="13.7" customHeight="1" x14ac:dyDescent="0.25">
      <c r="A3849" t="s">
        <v>26</v>
      </c>
      <c r="B3849" t="s">
        <v>27</v>
      </c>
      <c r="C3849" t="s">
        <v>35</v>
      </c>
      <c r="D3849">
        <v>98</v>
      </c>
      <c r="E3849" s="5">
        <v>43603</v>
      </c>
      <c r="F3849">
        <v>73050501</v>
      </c>
      <c r="G3849" t="s">
        <v>1066</v>
      </c>
      <c r="H3849" t="s">
        <v>1147</v>
      </c>
      <c r="I3849" t="s">
        <v>1148</v>
      </c>
      <c r="J3849">
        <v>1001</v>
      </c>
      <c r="K3849">
        <v>5001</v>
      </c>
      <c r="L3849" s="3">
        <v>0</v>
      </c>
      <c r="M3849" s="3">
        <v>316306</v>
      </c>
      <c r="N3849">
        <v>0</v>
      </c>
      <c r="O3849">
        <v>0</v>
      </c>
      <c r="P3849">
        <v>316306</v>
      </c>
      <c r="Q3849" t="s">
        <v>30</v>
      </c>
      <c r="R3849" t="s">
        <v>261</v>
      </c>
      <c r="S3849" t="str">
        <v>#N/A</v>
      </c>
      <c r="T3849" t="str">
        <v>#N/A</v>
      </c>
    </row>
    <row r="3850" spans="1:20" ht="13.7" customHeight="1" x14ac:dyDescent="0.25">
      <c r="A3850" t="s">
        <v>26</v>
      </c>
      <c r="B3850" t="s">
        <v>27</v>
      </c>
      <c r="C3850" t="s">
        <v>36</v>
      </c>
      <c r="D3850">
        <v>70</v>
      </c>
      <c r="E3850" s="5">
        <v>43617</v>
      </c>
      <c r="F3850">
        <v>73050501</v>
      </c>
      <c r="G3850" t="s">
        <v>1066</v>
      </c>
      <c r="H3850" t="s">
        <v>1147</v>
      </c>
      <c r="I3850" t="s">
        <v>1148</v>
      </c>
      <c r="J3850">
        <v>1001</v>
      </c>
      <c r="K3850">
        <v>5001</v>
      </c>
      <c r="L3850" s="3">
        <v>316306</v>
      </c>
      <c r="M3850" s="3">
        <v>304366</v>
      </c>
      <c r="N3850">
        <v>0</v>
      </c>
      <c r="O3850">
        <v>0</v>
      </c>
      <c r="P3850">
        <v>620672</v>
      </c>
      <c r="Q3850" t="s">
        <v>30</v>
      </c>
      <c r="R3850" t="s">
        <v>264</v>
      </c>
      <c r="S3850" t="str">
        <v>#N/A</v>
      </c>
      <c r="T3850" t="str">
        <v>#N/A</v>
      </c>
    </row>
    <row r="3851" spans="1:20" ht="13.7" customHeight="1" x14ac:dyDescent="0.25">
      <c r="A3851" t="s">
        <v>26</v>
      </c>
      <c r="B3851" t="s">
        <v>27</v>
      </c>
      <c r="C3851" t="s">
        <v>36</v>
      </c>
      <c r="D3851">
        <v>71</v>
      </c>
      <c r="E3851" s="5">
        <v>43631</v>
      </c>
      <c r="F3851">
        <v>73050501</v>
      </c>
      <c r="G3851" t="s">
        <v>1066</v>
      </c>
      <c r="H3851" t="s">
        <v>1147</v>
      </c>
      <c r="I3851" t="s">
        <v>1148</v>
      </c>
      <c r="J3851">
        <v>1001</v>
      </c>
      <c r="K3851">
        <v>5001</v>
      </c>
      <c r="L3851" s="3">
        <v>620672</v>
      </c>
      <c r="M3851" s="3">
        <v>268735</v>
      </c>
      <c r="N3851">
        <v>0</v>
      </c>
      <c r="O3851">
        <v>0</v>
      </c>
      <c r="P3851">
        <v>889407</v>
      </c>
      <c r="Q3851" t="s">
        <v>30</v>
      </c>
      <c r="R3851" t="s">
        <v>270</v>
      </c>
      <c r="S3851" t="str">
        <v>#N/A</v>
      </c>
      <c r="T3851" t="str">
        <v>#N/A</v>
      </c>
    </row>
    <row r="3852" spans="1:20" ht="13.7" customHeight="1" x14ac:dyDescent="0.25">
      <c r="A3852" t="s">
        <v>26</v>
      </c>
      <c r="B3852" t="s">
        <v>27</v>
      </c>
      <c r="C3852" t="s">
        <v>36</v>
      </c>
      <c r="D3852">
        <v>73</v>
      </c>
      <c r="E3852" s="5">
        <v>43642</v>
      </c>
      <c r="F3852">
        <v>73050501</v>
      </c>
      <c r="G3852" t="s">
        <v>1066</v>
      </c>
      <c r="H3852" t="s">
        <v>1147</v>
      </c>
      <c r="I3852" t="s">
        <v>1148</v>
      </c>
      <c r="J3852">
        <v>1001</v>
      </c>
      <c r="K3852">
        <v>5001</v>
      </c>
      <c r="L3852" s="3">
        <v>889407</v>
      </c>
      <c r="M3852" s="3">
        <v>283210</v>
      </c>
      <c r="N3852">
        <v>0</v>
      </c>
      <c r="O3852">
        <v>0</v>
      </c>
      <c r="P3852">
        <v>1172617</v>
      </c>
      <c r="Q3852" t="s">
        <v>30</v>
      </c>
      <c r="R3852" t="s">
        <v>274</v>
      </c>
      <c r="S3852" t="str">
        <v>#N/A</v>
      </c>
      <c r="T3852" t="str">
        <v>#N/A</v>
      </c>
    </row>
    <row r="3853" spans="1:20" ht="13.7" customHeight="1" x14ac:dyDescent="0.25">
      <c r="A3853" t="s">
        <v>26</v>
      </c>
      <c r="B3853" t="s">
        <v>27</v>
      </c>
      <c r="C3853" t="s">
        <v>37</v>
      </c>
      <c r="D3853">
        <v>66</v>
      </c>
      <c r="E3853" s="5">
        <v>43659</v>
      </c>
      <c r="F3853">
        <v>73050501</v>
      </c>
      <c r="G3853" t="s">
        <v>1066</v>
      </c>
      <c r="H3853" t="s">
        <v>1147</v>
      </c>
      <c r="I3853" t="s">
        <v>1148</v>
      </c>
      <c r="J3853">
        <v>1001</v>
      </c>
      <c r="K3853">
        <v>5001</v>
      </c>
      <c r="L3853" s="3">
        <v>1172617</v>
      </c>
      <c r="M3853" s="3">
        <v>285432</v>
      </c>
      <c r="N3853">
        <v>0</v>
      </c>
      <c r="O3853">
        <v>0</v>
      </c>
      <c r="P3853">
        <v>1458049</v>
      </c>
      <c r="Q3853" t="s">
        <v>30</v>
      </c>
      <c r="R3853" t="s">
        <v>279</v>
      </c>
      <c r="S3853" t="str">
        <v>#N/A</v>
      </c>
      <c r="T3853" t="str">
        <v>#N/A</v>
      </c>
    </row>
    <row r="3854" spans="1:20" ht="13.7" customHeight="1" x14ac:dyDescent="0.25">
      <c r="A3854" t="s">
        <v>26</v>
      </c>
      <c r="B3854" t="s">
        <v>27</v>
      </c>
      <c r="C3854" t="s">
        <v>37</v>
      </c>
      <c r="D3854">
        <v>67</v>
      </c>
      <c r="E3854" s="5">
        <v>43673</v>
      </c>
      <c r="F3854">
        <v>73050501</v>
      </c>
      <c r="G3854" t="s">
        <v>1066</v>
      </c>
      <c r="H3854" t="s">
        <v>1147</v>
      </c>
      <c r="I3854" t="s">
        <v>1148</v>
      </c>
      <c r="J3854">
        <v>1001</v>
      </c>
      <c r="K3854">
        <v>5001</v>
      </c>
      <c r="L3854" s="3">
        <v>1458049</v>
      </c>
      <c r="M3854" s="3">
        <v>296331</v>
      </c>
      <c r="N3854">
        <v>0</v>
      </c>
      <c r="O3854">
        <v>0</v>
      </c>
      <c r="P3854">
        <v>1754380</v>
      </c>
      <c r="Q3854" t="s">
        <v>30</v>
      </c>
      <c r="R3854" t="s">
        <v>282</v>
      </c>
      <c r="S3854" t="str">
        <v>#N/A</v>
      </c>
      <c r="T3854" t="str">
        <v>#N/A</v>
      </c>
    </row>
    <row r="3855" spans="1:20" ht="13.7" customHeight="1" x14ac:dyDescent="0.25">
      <c r="A3855" t="s">
        <v>26</v>
      </c>
      <c r="B3855" t="s">
        <v>27</v>
      </c>
      <c r="C3855" t="s">
        <v>38</v>
      </c>
      <c r="D3855">
        <v>56</v>
      </c>
      <c r="E3855" s="5">
        <v>43687</v>
      </c>
      <c r="F3855">
        <v>73050501</v>
      </c>
      <c r="G3855" t="s">
        <v>1066</v>
      </c>
      <c r="H3855" t="s">
        <v>1147</v>
      </c>
      <c r="I3855" t="s">
        <v>1148</v>
      </c>
      <c r="J3855">
        <v>1001</v>
      </c>
      <c r="K3855">
        <v>5001</v>
      </c>
      <c r="L3855" s="3">
        <v>1754380</v>
      </c>
      <c r="M3855" s="3">
        <v>284243</v>
      </c>
      <c r="N3855">
        <v>0</v>
      </c>
      <c r="O3855">
        <v>0</v>
      </c>
      <c r="P3855">
        <v>2038623</v>
      </c>
      <c r="Q3855" t="s">
        <v>30</v>
      </c>
      <c r="R3855" t="s">
        <v>284</v>
      </c>
      <c r="S3855" t="str">
        <v>#N/A</v>
      </c>
      <c r="T3855" t="str">
        <v>#N/A</v>
      </c>
    </row>
    <row r="3856" spans="1:20" ht="13.7" customHeight="1" x14ac:dyDescent="0.25">
      <c r="A3856" t="s">
        <v>26</v>
      </c>
      <c r="B3856" t="s">
        <v>27</v>
      </c>
      <c r="C3856" t="s">
        <v>38</v>
      </c>
      <c r="D3856">
        <v>57</v>
      </c>
      <c r="E3856" s="5">
        <v>43701</v>
      </c>
      <c r="F3856">
        <v>73050501</v>
      </c>
      <c r="G3856" t="s">
        <v>1066</v>
      </c>
      <c r="H3856" t="s">
        <v>1147</v>
      </c>
      <c r="I3856" t="s">
        <v>1148</v>
      </c>
      <c r="J3856">
        <v>1001</v>
      </c>
      <c r="K3856">
        <v>5001</v>
      </c>
      <c r="L3856" s="3">
        <v>2038623</v>
      </c>
      <c r="M3856" s="3">
        <v>280443</v>
      </c>
      <c r="N3856">
        <v>0</v>
      </c>
      <c r="O3856">
        <v>0</v>
      </c>
      <c r="P3856">
        <v>2319066</v>
      </c>
      <c r="Q3856" t="s">
        <v>30</v>
      </c>
      <c r="R3856" t="s">
        <v>287</v>
      </c>
      <c r="S3856" t="str">
        <v>#N/A</v>
      </c>
      <c r="T3856" t="str">
        <v>#N/A</v>
      </c>
    </row>
    <row r="3857" spans="1:20" ht="13.7" customHeight="1" x14ac:dyDescent="0.25">
      <c r="A3857" t="s">
        <v>26</v>
      </c>
      <c r="B3857" t="s">
        <v>27</v>
      </c>
      <c r="C3857" t="s">
        <v>39</v>
      </c>
      <c r="D3857">
        <v>68</v>
      </c>
      <c r="E3857" s="5">
        <v>43715</v>
      </c>
      <c r="F3857">
        <v>73050501</v>
      </c>
      <c r="G3857" t="s">
        <v>1066</v>
      </c>
      <c r="H3857" t="s">
        <v>1147</v>
      </c>
      <c r="I3857" t="s">
        <v>1148</v>
      </c>
      <c r="J3857">
        <v>1001</v>
      </c>
      <c r="K3857">
        <v>5001</v>
      </c>
      <c r="L3857" s="3">
        <v>2319066</v>
      </c>
      <c r="M3857" s="3">
        <v>184825</v>
      </c>
      <c r="N3857">
        <v>0</v>
      </c>
      <c r="O3857">
        <v>0</v>
      </c>
      <c r="P3857">
        <v>2503891</v>
      </c>
      <c r="Q3857" t="s">
        <v>30</v>
      </c>
      <c r="R3857" t="s">
        <v>288</v>
      </c>
      <c r="S3857" t="str">
        <v>#N/A</v>
      </c>
      <c r="T3857" t="str">
        <v>#N/A</v>
      </c>
    </row>
    <row r="3858" spans="1:20" ht="13.7" customHeight="1" x14ac:dyDescent="0.25">
      <c r="E3858" s="5">
        <v>43465</v>
      </c>
      <c r="F3858">
        <v>73050501</v>
      </c>
      <c r="G3858" t="s">
        <v>1066</v>
      </c>
      <c r="H3858" t="s">
        <v>1388</v>
      </c>
      <c r="I3858" t="s">
        <v>1389</v>
      </c>
      <c r="J3858">
        <v>0</v>
      </c>
      <c r="K3858">
        <v>0</v>
      </c>
      <c r="L3858" s="3">
        <v>0</v>
      </c>
      <c r="M3858" s="3">
        <v>0</v>
      </c>
      <c r="N3858">
        <v>0</v>
      </c>
      <c r="O3858">
        <v>0</v>
      </c>
      <c r="P3858">
        <v>0</v>
      </c>
      <c r="R3858" t="s">
        <v>1100</v>
      </c>
      <c r="S3858" t="str">
        <v>#N/A</v>
      </c>
      <c r="T3858" t="str">
        <v>#N/A</v>
      </c>
    </row>
    <row r="3859" spans="1:20" ht="13.7" customHeight="1" x14ac:dyDescent="0.25">
      <c r="A3859" t="s">
        <v>26</v>
      </c>
      <c r="B3859" t="s">
        <v>27</v>
      </c>
      <c r="C3859" t="s">
        <v>28</v>
      </c>
      <c r="D3859">
        <v>77</v>
      </c>
      <c r="E3859" s="5">
        <v>43491</v>
      </c>
      <c r="F3859">
        <v>73050501</v>
      </c>
      <c r="G3859" t="s">
        <v>1066</v>
      </c>
      <c r="H3859" t="s">
        <v>1388</v>
      </c>
      <c r="I3859" t="s">
        <v>1389</v>
      </c>
      <c r="J3859">
        <v>1001</v>
      </c>
      <c r="K3859">
        <v>5001</v>
      </c>
      <c r="L3859" s="3">
        <v>0</v>
      </c>
      <c r="M3859" s="3">
        <v>249678</v>
      </c>
      <c r="N3859">
        <v>0</v>
      </c>
      <c r="O3859">
        <v>0</v>
      </c>
      <c r="P3859">
        <v>249678</v>
      </c>
      <c r="Q3859" t="s">
        <v>30</v>
      </c>
      <c r="R3859" t="s">
        <v>202</v>
      </c>
      <c r="S3859" t="str">
        <v>#N/A</v>
      </c>
      <c r="T3859" t="str">
        <v>#N/A</v>
      </c>
    </row>
    <row r="3860" spans="1:20" ht="13.7" customHeight="1" x14ac:dyDescent="0.25">
      <c r="A3860" t="s">
        <v>26</v>
      </c>
      <c r="B3860" t="s">
        <v>27</v>
      </c>
      <c r="C3860" t="s">
        <v>32</v>
      </c>
      <c r="D3860">
        <v>60</v>
      </c>
      <c r="E3860" s="5">
        <v>43505</v>
      </c>
      <c r="F3860">
        <v>73050501</v>
      </c>
      <c r="G3860" t="s">
        <v>1066</v>
      </c>
      <c r="H3860" t="s">
        <v>1388</v>
      </c>
      <c r="I3860" t="s">
        <v>1389</v>
      </c>
      <c r="J3860">
        <v>1001</v>
      </c>
      <c r="K3860">
        <v>5001</v>
      </c>
      <c r="L3860" s="3">
        <v>249678</v>
      </c>
      <c r="M3860" s="3">
        <v>279977</v>
      </c>
      <c r="N3860">
        <v>0</v>
      </c>
      <c r="O3860">
        <v>0</v>
      </c>
      <c r="P3860">
        <v>529655</v>
      </c>
      <c r="Q3860" t="s">
        <v>30</v>
      </c>
      <c r="R3860" t="s">
        <v>215</v>
      </c>
      <c r="S3860" t="str">
        <v>#N/A</v>
      </c>
      <c r="T3860" t="str">
        <v>#N/A</v>
      </c>
    </row>
    <row r="3861" spans="1:20" ht="13.7" customHeight="1" x14ac:dyDescent="0.25">
      <c r="A3861" t="s">
        <v>26</v>
      </c>
      <c r="B3861" t="s">
        <v>27</v>
      </c>
      <c r="C3861" t="s">
        <v>32</v>
      </c>
      <c r="D3861">
        <v>61</v>
      </c>
      <c r="E3861" s="5">
        <v>43519</v>
      </c>
      <c r="F3861">
        <v>73050501</v>
      </c>
      <c r="G3861" t="s">
        <v>1066</v>
      </c>
      <c r="H3861" t="s">
        <v>1388</v>
      </c>
      <c r="I3861" t="s">
        <v>1389</v>
      </c>
      <c r="J3861">
        <v>1001</v>
      </c>
      <c r="K3861">
        <v>5001</v>
      </c>
      <c r="L3861" s="3">
        <v>529655</v>
      </c>
      <c r="M3861" s="3">
        <v>204315</v>
      </c>
      <c r="N3861">
        <v>0</v>
      </c>
      <c r="O3861">
        <v>0</v>
      </c>
      <c r="P3861">
        <v>733970</v>
      </c>
      <c r="Q3861" t="s">
        <v>30</v>
      </c>
      <c r="R3861" t="s">
        <v>226</v>
      </c>
      <c r="S3861" t="str">
        <v>#N/A</v>
      </c>
      <c r="T3861" t="str">
        <v>#N/A</v>
      </c>
    </row>
    <row r="3862" spans="1:20" ht="13.7" customHeight="1" x14ac:dyDescent="0.25">
      <c r="A3862" t="s">
        <v>26</v>
      </c>
      <c r="B3862" t="s">
        <v>27</v>
      </c>
      <c r="C3862" t="s">
        <v>91</v>
      </c>
      <c r="D3862">
        <v>79</v>
      </c>
      <c r="E3862" s="5">
        <v>43533</v>
      </c>
      <c r="F3862">
        <v>73050501</v>
      </c>
      <c r="G3862" t="s">
        <v>1066</v>
      </c>
      <c r="H3862" t="s">
        <v>1388</v>
      </c>
      <c r="I3862" t="s">
        <v>1389</v>
      </c>
      <c r="J3862">
        <v>1001</v>
      </c>
      <c r="K3862">
        <v>5001</v>
      </c>
      <c r="L3862" s="3">
        <v>733970</v>
      </c>
      <c r="M3862" s="3">
        <v>13597</v>
      </c>
      <c r="N3862">
        <v>0</v>
      </c>
      <c r="O3862">
        <v>0</v>
      </c>
      <c r="P3862">
        <v>747567</v>
      </c>
      <c r="Q3862" t="s">
        <v>30</v>
      </c>
      <c r="R3862" t="s">
        <v>236</v>
      </c>
      <c r="S3862" t="str">
        <v>#N/A</v>
      </c>
      <c r="T3862" t="str">
        <v>#N/A</v>
      </c>
    </row>
    <row r="3863" spans="1:20" ht="13.7" customHeight="1" x14ac:dyDescent="0.25">
      <c r="E3863" s="5">
        <v>43465</v>
      </c>
      <c r="F3863">
        <v>73050501</v>
      </c>
      <c r="G3863" t="s">
        <v>1066</v>
      </c>
      <c r="H3863" t="s">
        <v>1151</v>
      </c>
      <c r="I3863" t="s">
        <v>1152</v>
      </c>
      <c r="J3863">
        <v>0</v>
      </c>
      <c r="K3863">
        <v>0</v>
      </c>
      <c r="L3863" s="3">
        <v>0</v>
      </c>
      <c r="M3863" s="3">
        <v>0</v>
      </c>
      <c r="N3863">
        <v>0</v>
      </c>
      <c r="O3863">
        <v>0</v>
      </c>
      <c r="P3863">
        <v>0</v>
      </c>
      <c r="R3863" t="s">
        <v>1100</v>
      </c>
      <c r="S3863" t="str">
        <v>#N/A</v>
      </c>
      <c r="T3863" t="str">
        <v>#N/A</v>
      </c>
    </row>
    <row r="3864" spans="1:20" ht="13.7" customHeight="1" x14ac:dyDescent="0.25">
      <c r="A3864" t="s">
        <v>26</v>
      </c>
      <c r="B3864" t="s">
        <v>27</v>
      </c>
      <c r="C3864" t="s">
        <v>32</v>
      </c>
      <c r="D3864">
        <v>61</v>
      </c>
      <c r="E3864" s="5">
        <v>43519</v>
      </c>
      <c r="F3864">
        <v>73050501</v>
      </c>
      <c r="G3864" t="s">
        <v>1066</v>
      </c>
      <c r="H3864" t="s">
        <v>1151</v>
      </c>
      <c r="I3864" t="s">
        <v>1152</v>
      </c>
      <c r="J3864">
        <v>1001</v>
      </c>
      <c r="K3864">
        <v>5001</v>
      </c>
      <c r="L3864" s="3">
        <v>0</v>
      </c>
      <c r="M3864" s="3">
        <v>403994</v>
      </c>
      <c r="N3864">
        <v>0</v>
      </c>
      <c r="O3864">
        <v>0</v>
      </c>
      <c r="P3864">
        <v>403994</v>
      </c>
      <c r="Q3864" t="s">
        <v>30</v>
      </c>
      <c r="R3864" t="s">
        <v>226</v>
      </c>
      <c r="S3864" t="str">
        <v>#N/A</v>
      </c>
      <c r="T3864" t="str">
        <v>#N/A</v>
      </c>
    </row>
    <row r="3865" spans="1:20" ht="13.7" customHeight="1" x14ac:dyDescent="0.25">
      <c r="A3865" t="s">
        <v>26</v>
      </c>
      <c r="B3865" t="s">
        <v>27</v>
      </c>
      <c r="C3865" t="s">
        <v>91</v>
      </c>
      <c r="D3865">
        <v>79</v>
      </c>
      <c r="E3865" s="5">
        <v>43533</v>
      </c>
      <c r="F3865">
        <v>73050501</v>
      </c>
      <c r="G3865" t="s">
        <v>1066</v>
      </c>
      <c r="H3865" t="s">
        <v>1151</v>
      </c>
      <c r="I3865" t="s">
        <v>1152</v>
      </c>
      <c r="J3865">
        <v>1001</v>
      </c>
      <c r="K3865">
        <v>5001</v>
      </c>
      <c r="L3865" s="3">
        <v>403994</v>
      </c>
      <c r="M3865" s="3">
        <v>327132</v>
      </c>
      <c r="N3865">
        <v>0</v>
      </c>
      <c r="O3865">
        <v>0</v>
      </c>
      <c r="P3865">
        <v>731126</v>
      </c>
      <c r="Q3865" t="s">
        <v>30</v>
      </c>
      <c r="R3865" t="s">
        <v>236</v>
      </c>
      <c r="S3865" t="str">
        <v>#N/A</v>
      </c>
      <c r="T3865" t="str">
        <v>#N/A</v>
      </c>
    </row>
    <row r="3866" spans="1:20" ht="13.7" customHeight="1" x14ac:dyDescent="0.25">
      <c r="A3866" t="s">
        <v>26</v>
      </c>
      <c r="B3866" t="s">
        <v>27</v>
      </c>
      <c r="C3866" t="s">
        <v>91</v>
      </c>
      <c r="D3866">
        <v>80</v>
      </c>
      <c r="E3866" s="5">
        <v>43547</v>
      </c>
      <c r="F3866">
        <v>73050501</v>
      </c>
      <c r="G3866" t="s">
        <v>1066</v>
      </c>
      <c r="H3866" t="s">
        <v>1151</v>
      </c>
      <c r="I3866" t="s">
        <v>1152</v>
      </c>
      <c r="J3866">
        <v>1001</v>
      </c>
      <c r="K3866">
        <v>5001</v>
      </c>
      <c r="L3866" s="3">
        <v>731126</v>
      </c>
      <c r="M3866" s="3">
        <v>313153</v>
      </c>
      <c r="N3866">
        <v>0</v>
      </c>
      <c r="O3866">
        <v>0</v>
      </c>
      <c r="P3866">
        <v>1044279</v>
      </c>
      <c r="Q3866" t="s">
        <v>30</v>
      </c>
      <c r="R3866" t="s">
        <v>244</v>
      </c>
      <c r="S3866" t="str">
        <v>#N/A</v>
      </c>
      <c r="T3866" t="str">
        <v>#N/A</v>
      </c>
    </row>
    <row r="3867" spans="1:20" ht="13.7" customHeight="1" x14ac:dyDescent="0.25">
      <c r="A3867" t="s">
        <v>26</v>
      </c>
      <c r="B3867" t="s">
        <v>27</v>
      </c>
      <c r="C3867" t="s">
        <v>34</v>
      </c>
      <c r="D3867">
        <v>71</v>
      </c>
      <c r="E3867" s="5">
        <v>43561</v>
      </c>
      <c r="F3867">
        <v>73050501</v>
      </c>
      <c r="G3867" t="s">
        <v>1066</v>
      </c>
      <c r="H3867" t="s">
        <v>1151</v>
      </c>
      <c r="I3867" t="s">
        <v>1152</v>
      </c>
      <c r="J3867">
        <v>1001</v>
      </c>
      <c r="K3867">
        <v>5001</v>
      </c>
      <c r="L3867" s="3">
        <v>1044279</v>
      </c>
      <c r="M3867" s="3">
        <v>275150</v>
      </c>
      <c r="N3867">
        <v>0</v>
      </c>
      <c r="O3867">
        <v>0</v>
      </c>
      <c r="P3867">
        <v>1319429</v>
      </c>
      <c r="Q3867" t="s">
        <v>30</v>
      </c>
      <c r="R3867" t="s">
        <v>244</v>
      </c>
      <c r="S3867" t="str">
        <v>#N/A</v>
      </c>
      <c r="T3867" t="str">
        <v>#N/A</v>
      </c>
    </row>
    <row r="3868" spans="1:20" ht="13.7" customHeight="1" x14ac:dyDescent="0.25">
      <c r="A3868" t="s">
        <v>26</v>
      </c>
      <c r="B3868" t="s">
        <v>27</v>
      </c>
      <c r="C3868" t="s">
        <v>34</v>
      </c>
      <c r="D3868">
        <v>72</v>
      </c>
      <c r="E3868" s="5">
        <v>43575</v>
      </c>
      <c r="F3868">
        <v>73050501</v>
      </c>
      <c r="G3868" t="s">
        <v>1066</v>
      </c>
      <c r="H3868" t="s">
        <v>1151</v>
      </c>
      <c r="I3868" t="s">
        <v>1152</v>
      </c>
      <c r="J3868">
        <v>1001</v>
      </c>
      <c r="K3868">
        <v>5001</v>
      </c>
      <c r="L3868" s="3">
        <v>1319429</v>
      </c>
      <c r="M3868" s="3">
        <v>234011</v>
      </c>
      <c r="N3868">
        <v>0</v>
      </c>
      <c r="O3868">
        <v>0</v>
      </c>
      <c r="P3868">
        <v>1553440</v>
      </c>
      <c r="Q3868" t="s">
        <v>30</v>
      </c>
      <c r="R3868" t="s">
        <v>254</v>
      </c>
      <c r="S3868" t="str">
        <v>#N/A</v>
      </c>
      <c r="T3868" t="str">
        <v>#N/A</v>
      </c>
    </row>
    <row r="3869" spans="1:20" ht="13.7" customHeight="1" x14ac:dyDescent="0.25">
      <c r="A3869" t="s">
        <v>26</v>
      </c>
      <c r="B3869" t="s">
        <v>27</v>
      </c>
      <c r="C3869" t="s">
        <v>35</v>
      </c>
      <c r="D3869">
        <v>97</v>
      </c>
      <c r="E3869" s="5">
        <v>43589</v>
      </c>
      <c r="F3869">
        <v>73050501</v>
      </c>
      <c r="G3869" t="s">
        <v>1066</v>
      </c>
      <c r="H3869" t="s">
        <v>1151</v>
      </c>
      <c r="I3869" t="s">
        <v>1152</v>
      </c>
      <c r="J3869">
        <v>1001</v>
      </c>
      <c r="K3869">
        <v>5001</v>
      </c>
      <c r="L3869" s="3">
        <v>1553440</v>
      </c>
      <c r="M3869" s="3">
        <v>302568</v>
      </c>
      <c r="N3869">
        <v>0</v>
      </c>
      <c r="O3869">
        <v>0</v>
      </c>
      <c r="P3869">
        <v>1856008</v>
      </c>
      <c r="Q3869" t="s">
        <v>30</v>
      </c>
      <c r="R3869" t="s">
        <v>256</v>
      </c>
      <c r="S3869" t="str">
        <v>#N/A</v>
      </c>
      <c r="T3869" t="str">
        <v>#N/A</v>
      </c>
    </row>
    <row r="3870" spans="1:20" ht="13.7" customHeight="1" x14ac:dyDescent="0.25">
      <c r="A3870" t="s">
        <v>26</v>
      </c>
      <c r="B3870" t="s">
        <v>27</v>
      </c>
      <c r="C3870" t="s">
        <v>35</v>
      </c>
      <c r="D3870">
        <v>98</v>
      </c>
      <c r="E3870" s="5">
        <v>43603</v>
      </c>
      <c r="F3870">
        <v>73050501</v>
      </c>
      <c r="G3870" t="s">
        <v>1066</v>
      </c>
      <c r="H3870" t="s">
        <v>1151</v>
      </c>
      <c r="I3870" t="s">
        <v>1152</v>
      </c>
      <c r="J3870">
        <v>1001</v>
      </c>
      <c r="K3870">
        <v>5001</v>
      </c>
      <c r="L3870" s="3">
        <v>1856008</v>
      </c>
      <c r="M3870" s="3">
        <v>326298</v>
      </c>
      <c r="N3870">
        <v>0</v>
      </c>
      <c r="O3870">
        <v>0</v>
      </c>
      <c r="P3870">
        <v>2182306</v>
      </c>
      <c r="Q3870" t="s">
        <v>30</v>
      </c>
      <c r="R3870" t="s">
        <v>261</v>
      </c>
      <c r="S3870" t="str">
        <v>#N/A</v>
      </c>
      <c r="T3870" t="str">
        <v>#N/A</v>
      </c>
    </row>
    <row r="3871" spans="1:20" ht="13.7" customHeight="1" x14ac:dyDescent="0.25">
      <c r="A3871" t="s">
        <v>26</v>
      </c>
      <c r="B3871" t="s">
        <v>27</v>
      </c>
      <c r="C3871" t="s">
        <v>36</v>
      </c>
      <c r="D3871">
        <v>70</v>
      </c>
      <c r="E3871" s="5">
        <v>43617</v>
      </c>
      <c r="F3871">
        <v>73050501</v>
      </c>
      <c r="G3871" t="s">
        <v>1066</v>
      </c>
      <c r="H3871" t="s">
        <v>1151</v>
      </c>
      <c r="I3871" t="s">
        <v>1152</v>
      </c>
      <c r="J3871">
        <v>1001</v>
      </c>
      <c r="K3871">
        <v>5001</v>
      </c>
      <c r="L3871" s="3">
        <v>2182306</v>
      </c>
      <c r="M3871" s="3">
        <v>326999</v>
      </c>
      <c r="N3871">
        <v>0</v>
      </c>
      <c r="O3871">
        <v>0</v>
      </c>
      <c r="P3871">
        <v>2509305</v>
      </c>
      <c r="Q3871" t="s">
        <v>30</v>
      </c>
      <c r="R3871" t="s">
        <v>264</v>
      </c>
      <c r="S3871" t="str">
        <v>#N/A</v>
      </c>
      <c r="T3871" t="str">
        <v>#N/A</v>
      </c>
    </row>
    <row r="3872" spans="1:20" ht="13.7" customHeight="1" x14ac:dyDescent="0.25">
      <c r="A3872" t="s">
        <v>26</v>
      </c>
      <c r="B3872" t="s">
        <v>27</v>
      </c>
      <c r="C3872" t="s">
        <v>36</v>
      </c>
      <c r="D3872">
        <v>71</v>
      </c>
      <c r="E3872" s="5">
        <v>43631</v>
      </c>
      <c r="F3872">
        <v>73050501</v>
      </c>
      <c r="G3872" t="s">
        <v>1066</v>
      </c>
      <c r="H3872" t="s">
        <v>1151</v>
      </c>
      <c r="I3872" t="s">
        <v>1152</v>
      </c>
      <c r="J3872">
        <v>1001</v>
      </c>
      <c r="K3872">
        <v>5001</v>
      </c>
      <c r="L3872" s="3">
        <v>2509305</v>
      </c>
      <c r="M3872" s="3">
        <v>300361</v>
      </c>
      <c r="N3872">
        <v>0</v>
      </c>
      <c r="O3872">
        <v>0</v>
      </c>
      <c r="P3872">
        <v>2809666</v>
      </c>
      <c r="Q3872" t="s">
        <v>30</v>
      </c>
      <c r="R3872" t="s">
        <v>270</v>
      </c>
      <c r="S3872" t="str">
        <v>#N/A</v>
      </c>
      <c r="T3872" t="str">
        <v>#N/A</v>
      </c>
    </row>
    <row r="3873" spans="1:20" ht="13.7" customHeight="1" x14ac:dyDescent="0.25">
      <c r="A3873" t="s">
        <v>26</v>
      </c>
      <c r="B3873" t="s">
        <v>27</v>
      </c>
      <c r="C3873" t="s">
        <v>37</v>
      </c>
      <c r="D3873">
        <v>66</v>
      </c>
      <c r="E3873" s="5">
        <v>43659</v>
      </c>
      <c r="F3873">
        <v>73050501</v>
      </c>
      <c r="G3873" t="s">
        <v>1066</v>
      </c>
      <c r="H3873" t="s">
        <v>1151</v>
      </c>
      <c r="I3873" t="s">
        <v>1152</v>
      </c>
      <c r="J3873">
        <v>1001</v>
      </c>
      <c r="K3873">
        <v>5001</v>
      </c>
      <c r="L3873" s="3">
        <v>2809666</v>
      </c>
      <c r="M3873" s="3">
        <v>284324</v>
      </c>
      <c r="N3873">
        <v>0</v>
      </c>
      <c r="O3873">
        <v>0</v>
      </c>
      <c r="P3873">
        <v>3093990</v>
      </c>
      <c r="Q3873" t="s">
        <v>30</v>
      </c>
      <c r="R3873" t="s">
        <v>279</v>
      </c>
      <c r="S3873" t="str">
        <v>#N/A</v>
      </c>
      <c r="T3873" t="str">
        <v>#N/A</v>
      </c>
    </row>
    <row r="3874" spans="1:20" ht="13.7" customHeight="1" x14ac:dyDescent="0.25">
      <c r="A3874" t="s">
        <v>26</v>
      </c>
      <c r="B3874" t="s">
        <v>27</v>
      </c>
      <c r="C3874" t="s">
        <v>37</v>
      </c>
      <c r="D3874">
        <v>67</v>
      </c>
      <c r="E3874" s="5">
        <v>43673</v>
      </c>
      <c r="F3874">
        <v>73050501</v>
      </c>
      <c r="G3874" t="s">
        <v>1066</v>
      </c>
      <c r="H3874" t="s">
        <v>1151</v>
      </c>
      <c r="I3874" t="s">
        <v>1152</v>
      </c>
      <c r="J3874">
        <v>1001</v>
      </c>
      <c r="K3874">
        <v>5001</v>
      </c>
      <c r="L3874" s="3">
        <v>3093990</v>
      </c>
      <c r="M3874" s="3">
        <v>296609</v>
      </c>
      <c r="N3874">
        <v>0</v>
      </c>
      <c r="O3874">
        <v>0</v>
      </c>
      <c r="P3874">
        <v>3390599</v>
      </c>
      <c r="Q3874" t="s">
        <v>30</v>
      </c>
      <c r="R3874" t="s">
        <v>282</v>
      </c>
      <c r="S3874" t="str">
        <v>#N/A</v>
      </c>
      <c r="T3874" t="str">
        <v>#N/A</v>
      </c>
    </row>
    <row r="3875" spans="1:20" ht="13.7" customHeight="1" x14ac:dyDescent="0.25">
      <c r="A3875" t="s">
        <v>26</v>
      </c>
      <c r="B3875" t="s">
        <v>27</v>
      </c>
      <c r="C3875" t="s">
        <v>38</v>
      </c>
      <c r="D3875">
        <v>56</v>
      </c>
      <c r="E3875" s="5">
        <v>43687</v>
      </c>
      <c r="F3875">
        <v>73050501</v>
      </c>
      <c r="G3875" t="s">
        <v>1066</v>
      </c>
      <c r="H3875" t="s">
        <v>1151</v>
      </c>
      <c r="I3875" t="s">
        <v>1152</v>
      </c>
      <c r="J3875">
        <v>1001</v>
      </c>
      <c r="K3875">
        <v>5001</v>
      </c>
      <c r="L3875" s="3">
        <v>3390599</v>
      </c>
      <c r="M3875" s="3">
        <v>293834</v>
      </c>
      <c r="N3875">
        <v>0</v>
      </c>
      <c r="O3875">
        <v>0</v>
      </c>
      <c r="P3875">
        <v>3684433</v>
      </c>
      <c r="Q3875" t="s">
        <v>30</v>
      </c>
      <c r="R3875" t="s">
        <v>284</v>
      </c>
      <c r="S3875" t="str">
        <v>#N/A</v>
      </c>
      <c r="T3875" t="str">
        <v>#N/A</v>
      </c>
    </row>
    <row r="3876" spans="1:20" ht="13.7" customHeight="1" x14ac:dyDescent="0.25">
      <c r="A3876" t="s">
        <v>26</v>
      </c>
      <c r="B3876" t="s">
        <v>27</v>
      </c>
      <c r="C3876" t="s">
        <v>38</v>
      </c>
      <c r="D3876">
        <v>57</v>
      </c>
      <c r="E3876" s="5">
        <v>43701</v>
      </c>
      <c r="F3876">
        <v>73050501</v>
      </c>
      <c r="G3876" t="s">
        <v>1066</v>
      </c>
      <c r="H3876" t="s">
        <v>1151</v>
      </c>
      <c r="I3876" t="s">
        <v>1152</v>
      </c>
      <c r="J3876">
        <v>1001</v>
      </c>
      <c r="K3876">
        <v>5001</v>
      </c>
      <c r="L3876" s="3">
        <v>3684433</v>
      </c>
      <c r="M3876" s="3">
        <v>213410</v>
      </c>
      <c r="N3876">
        <v>0</v>
      </c>
      <c r="O3876">
        <v>0</v>
      </c>
      <c r="P3876">
        <v>3897843</v>
      </c>
      <c r="Q3876" t="s">
        <v>30</v>
      </c>
      <c r="R3876" t="s">
        <v>287</v>
      </c>
      <c r="S3876" t="str">
        <v>#N/A</v>
      </c>
      <c r="T3876" t="str">
        <v>#N/A</v>
      </c>
    </row>
    <row r="3877" spans="1:20" ht="13.7" customHeight="1" x14ac:dyDescent="0.25">
      <c r="A3877" t="s">
        <v>26</v>
      </c>
      <c r="B3877" t="s">
        <v>27</v>
      </c>
      <c r="C3877" t="s">
        <v>39</v>
      </c>
      <c r="D3877">
        <v>68</v>
      </c>
      <c r="E3877" s="5">
        <v>43715</v>
      </c>
      <c r="F3877">
        <v>73050501</v>
      </c>
      <c r="G3877" t="s">
        <v>1066</v>
      </c>
      <c r="H3877" t="s">
        <v>1151</v>
      </c>
      <c r="I3877" t="s">
        <v>1152</v>
      </c>
      <c r="J3877">
        <v>1001</v>
      </c>
      <c r="K3877">
        <v>5001</v>
      </c>
      <c r="L3877" s="3">
        <v>3897843</v>
      </c>
      <c r="M3877" s="3">
        <v>318015</v>
      </c>
      <c r="N3877">
        <v>0</v>
      </c>
      <c r="O3877">
        <v>0</v>
      </c>
      <c r="P3877">
        <v>4215858</v>
      </c>
      <c r="Q3877" t="s">
        <v>30</v>
      </c>
      <c r="R3877" t="s">
        <v>288</v>
      </c>
      <c r="S3877" t="str">
        <v>#N/A</v>
      </c>
      <c r="T3877" t="str">
        <v>#N/A</v>
      </c>
    </row>
    <row r="3878" spans="1:20" ht="13.7" customHeight="1" x14ac:dyDescent="0.25">
      <c r="A3878" t="s">
        <v>26</v>
      </c>
      <c r="B3878" t="s">
        <v>27</v>
      </c>
      <c r="C3878" t="s">
        <v>39</v>
      </c>
      <c r="D3878">
        <v>69</v>
      </c>
      <c r="E3878" s="5">
        <v>43729</v>
      </c>
      <c r="F3878">
        <v>73050501</v>
      </c>
      <c r="G3878" t="s">
        <v>1066</v>
      </c>
      <c r="H3878" t="s">
        <v>1151</v>
      </c>
      <c r="I3878" t="s">
        <v>1152</v>
      </c>
      <c r="J3878">
        <v>1001</v>
      </c>
      <c r="K3878">
        <v>5001</v>
      </c>
      <c r="L3878" s="3">
        <v>4215858</v>
      </c>
      <c r="M3878" s="3">
        <v>309281</v>
      </c>
      <c r="N3878">
        <v>0</v>
      </c>
      <c r="O3878">
        <v>0</v>
      </c>
      <c r="P3878">
        <v>4525139</v>
      </c>
      <c r="Q3878" t="s">
        <v>30</v>
      </c>
      <c r="R3878" t="s">
        <v>291</v>
      </c>
      <c r="S3878" t="str">
        <v>#N/A</v>
      </c>
      <c r="T3878" t="str">
        <v>#N/A</v>
      </c>
    </row>
    <row r="3879" spans="1:20" ht="13.7" customHeight="1" x14ac:dyDescent="0.25">
      <c r="A3879" t="s">
        <v>26</v>
      </c>
      <c r="B3879" t="s">
        <v>27</v>
      </c>
      <c r="C3879" t="s">
        <v>40</v>
      </c>
      <c r="D3879">
        <v>61</v>
      </c>
      <c r="E3879" s="5">
        <v>43743</v>
      </c>
      <c r="F3879">
        <v>73050501</v>
      </c>
      <c r="G3879" t="s">
        <v>1066</v>
      </c>
      <c r="H3879" t="s">
        <v>1151</v>
      </c>
      <c r="I3879" t="s">
        <v>1152</v>
      </c>
      <c r="J3879">
        <v>1001</v>
      </c>
      <c r="K3879">
        <v>5001</v>
      </c>
      <c r="L3879" s="3">
        <v>4525139</v>
      </c>
      <c r="M3879" s="3">
        <v>315212</v>
      </c>
      <c r="N3879">
        <v>0</v>
      </c>
      <c r="O3879">
        <v>0</v>
      </c>
      <c r="P3879">
        <v>4840351</v>
      </c>
      <c r="Q3879" t="s">
        <v>30</v>
      </c>
      <c r="R3879" t="s">
        <v>293</v>
      </c>
      <c r="S3879" t="str">
        <v>#N/A</v>
      </c>
      <c r="T3879" t="str">
        <v>#N/A</v>
      </c>
    </row>
    <row r="3880" spans="1:20" ht="13.7" customHeight="1" x14ac:dyDescent="0.25">
      <c r="A3880" t="s">
        <v>26</v>
      </c>
      <c r="B3880" t="s">
        <v>27</v>
      </c>
      <c r="C3880" t="s">
        <v>40</v>
      </c>
      <c r="D3880">
        <v>62</v>
      </c>
      <c r="E3880" s="5">
        <v>43757</v>
      </c>
      <c r="F3880">
        <v>73050501</v>
      </c>
      <c r="G3880" t="s">
        <v>1066</v>
      </c>
      <c r="H3880" t="s">
        <v>1151</v>
      </c>
      <c r="I3880" t="s">
        <v>1152</v>
      </c>
      <c r="J3880">
        <v>1001</v>
      </c>
      <c r="K3880">
        <v>5001</v>
      </c>
      <c r="L3880" s="3">
        <v>4840351</v>
      </c>
      <c r="M3880" s="3">
        <v>293597</v>
      </c>
      <c r="N3880">
        <v>0</v>
      </c>
      <c r="O3880">
        <v>0</v>
      </c>
      <c r="P3880">
        <v>5133948</v>
      </c>
      <c r="Q3880" t="s">
        <v>30</v>
      </c>
      <c r="R3880" t="s">
        <v>299</v>
      </c>
      <c r="S3880" t="str">
        <v>#N/A</v>
      </c>
      <c r="T3880" t="str">
        <v>#N/A</v>
      </c>
    </row>
    <row r="3881" spans="1:20" ht="13.7" customHeight="1" x14ac:dyDescent="0.25">
      <c r="A3881" t="s">
        <v>26</v>
      </c>
      <c r="B3881" t="s">
        <v>27</v>
      </c>
      <c r="C3881" t="s">
        <v>41</v>
      </c>
      <c r="D3881">
        <v>76</v>
      </c>
      <c r="E3881" s="5">
        <v>43771</v>
      </c>
      <c r="F3881">
        <v>73050501</v>
      </c>
      <c r="G3881" t="s">
        <v>1066</v>
      </c>
      <c r="H3881" t="s">
        <v>1151</v>
      </c>
      <c r="I3881" t="s">
        <v>1152</v>
      </c>
      <c r="J3881">
        <v>1001</v>
      </c>
      <c r="K3881">
        <v>5001</v>
      </c>
      <c r="L3881" s="3">
        <v>5133948</v>
      </c>
      <c r="M3881" s="3">
        <v>290706</v>
      </c>
      <c r="N3881">
        <v>0</v>
      </c>
      <c r="O3881">
        <v>0</v>
      </c>
      <c r="P3881">
        <v>5424654</v>
      </c>
      <c r="Q3881" t="s">
        <v>30</v>
      </c>
      <c r="R3881" t="s">
        <v>301</v>
      </c>
      <c r="S3881" t="str">
        <v>#N/A</v>
      </c>
      <c r="T3881" t="str">
        <v>#N/A</v>
      </c>
    </row>
    <row r="3882" spans="1:20" ht="13.7" customHeight="1" x14ac:dyDescent="0.25">
      <c r="A3882" t="s">
        <v>26</v>
      </c>
      <c r="B3882" t="s">
        <v>27</v>
      </c>
      <c r="C3882" t="s">
        <v>41</v>
      </c>
      <c r="D3882">
        <v>77</v>
      </c>
      <c r="E3882" s="5">
        <v>43785</v>
      </c>
      <c r="F3882">
        <v>73050501</v>
      </c>
      <c r="G3882" t="s">
        <v>1066</v>
      </c>
      <c r="H3882" t="s">
        <v>1151</v>
      </c>
      <c r="I3882" t="s">
        <v>1152</v>
      </c>
      <c r="J3882">
        <v>1001</v>
      </c>
      <c r="K3882">
        <v>5001</v>
      </c>
      <c r="L3882" s="3">
        <v>5424654</v>
      </c>
      <c r="M3882" s="3">
        <v>269857</v>
      </c>
      <c r="N3882">
        <v>0</v>
      </c>
      <c r="O3882">
        <v>0</v>
      </c>
      <c r="P3882">
        <v>5694511</v>
      </c>
      <c r="Q3882" t="s">
        <v>30</v>
      </c>
      <c r="R3882" t="s">
        <v>305</v>
      </c>
      <c r="S3882" t="str">
        <v>#N/A</v>
      </c>
      <c r="T3882" t="str">
        <v>#N/A</v>
      </c>
    </row>
    <row r="3883" spans="1:20" ht="13.7" customHeight="1" x14ac:dyDescent="0.25">
      <c r="A3883" t="s">
        <v>26</v>
      </c>
      <c r="B3883" t="s">
        <v>27</v>
      </c>
      <c r="C3883" t="s">
        <v>41</v>
      </c>
      <c r="D3883">
        <v>78</v>
      </c>
      <c r="E3883" s="5">
        <v>43799</v>
      </c>
      <c r="F3883">
        <v>73050501</v>
      </c>
      <c r="G3883" t="s">
        <v>1066</v>
      </c>
      <c r="H3883" t="s">
        <v>1151</v>
      </c>
      <c r="I3883" t="s">
        <v>1152</v>
      </c>
      <c r="J3883">
        <v>1001</v>
      </c>
      <c r="K3883">
        <v>5001</v>
      </c>
      <c r="L3883" s="3">
        <v>5694511</v>
      </c>
      <c r="M3883" s="3">
        <v>261365</v>
      </c>
      <c r="N3883">
        <v>0</v>
      </c>
      <c r="O3883">
        <v>0</v>
      </c>
      <c r="P3883">
        <v>5955876</v>
      </c>
      <c r="Q3883" t="s">
        <v>30</v>
      </c>
      <c r="R3883" t="s">
        <v>309</v>
      </c>
      <c r="S3883" t="str">
        <v>#N/A</v>
      </c>
      <c r="T3883" t="str">
        <v>#N/A</v>
      </c>
    </row>
    <row r="3884" spans="1:20" ht="13.7" customHeight="1" x14ac:dyDescent="0.25">
      <c r="A3884" t="s">
        <v>26</v>
      </c>
      <c r="B3884" t="s">
        <v>27</v>
      </c>
      <c r="C3884" t="s">
        <v>180</v>
      </c>
      <c r="D3884">
        <v>1</v>
      </c>
      <c r="E3884" s="5">
        <v>43813</v>
      </c>
      <c r="F3884">
        <v>73050501</v>
      </c>
      <c r="G3884" t="s">
        <v>1066</v>
      </c>
      <c r="H3884" t="s">
        <v>1151</v>
      </c>
      <c r="I3884" t="s">
        <v>1152</v>
      </c>
      <c r="J3884">
        <v>1001</v>
      </c>
      <c r="K3884">
        <v>5001</v>
      </c>
      <c r="L3884" s="3">
        <v>5955876</v>
      </c>
      <c r="M3884" s="3">
        <v>294392</v>
      </c>
      <c r="N3884">
        <v>0</v>
      </c>
      <c r="O3884">
        <v>0</v>
      </c>
      <c r="P3884">
        <v>6250268</v>
      </c>
      <c r="Q3884" t="s">
        <v>30</v>
      </c>
      <c r="R3884" t="s">
        <v>316</v>
      </c>
      <c r="S3884" t="str">
        <v>#N/A</v>
      </c>
      <c r="T3884" t="str">
        <v>#N/A</v>
      </c>
    </row>
    <row r="3885" spans="1:20" ht="13.7" customHeight="1" x14ac:dyDescent="0.25">
      <c r="A3885" t="s">
        <v>26</v>
      </c>
      <c r="B3885" t="s">
        <v>27</v>
      </c>
      <c r="C3885" t="s">
        <v>180</v>
      </c>
      <c r="D3885">
        <v>90</v>
      </c>
      <c r="E3885" s="5">
        <v>43819</v>
      </c>
      <c r="F3885">
        <v>73050501</v>
      </c>
      <c r="G3885" t="s">
        <v>1066</v>
      </c>
      <c r="H3885" t="s">
        <v>1151</v>
      </c>
      <c r="I3885" t="s">
        <v>1152</v>
      </c>
      <c r="J3885" t="e">
        <v>#N/A</v>
      </c>
      <c r="K3885" t="e">
        <v>#N/A</v>
      </c>
      <c r="L3885" s="3">
        <v>6250268</v>
      </c>
      <c r="M3885" s="3">
        <v>128083</v>
      </c>
      <c r="N3885">
        <v>0</v>
      </c>
      <c r="O3885">
        <v>0</v>
      </c>
      <c r="P3885">
        <v>6378351</v>
      </c>
      <c r="Q3885" t="s">
        <v>30</v>
      </c>
      <c r="R3885" t="s">
        <v>1503</v>
      </c>
      <c r="S3885" t="str">
        <v>#N/A</v>
      </c>
      <c r="T3885" t="str">
        <v>#N/A</v>
      </c>
    </row>
    <row r="3886" spans="1:20" ht="13.7" customHeight="1" x14ac:dyDescent="0.25">
      <c r="E3886" s="5">
        <v>43465</v>
      </c>
      <c r="F3886">
        <v>73050501</v>
      </c>
      <c r="G3886" t="s">
        <v>1066</v>
      </c>
      <c r="H3886" t="s">
        <v>1521</v>
      </c>
      <c r="I3886" t="s">
        <v>1522</v>
      </c>
      <c r="J3886">
        <v>0</v>
      </c>
      <c r="K3886">
        <v>0</v>
      </c>
      <c r="L3886" s="3">
        <v>1537197</v>
      </c>
      <c r="M3886" s="3">
        <v>0</v>
      </c>
      <c r="N3886">
        <v>0</v>
      </c>
      <c r="O3886">
        <v>0</v>
      </c>
      <c r="P3886">
        <v>1537197</v>
      </c>
      <c r="R3886" t="s">
        <v>1100</v>
      </c>
      <c r="S3886" t="str">
        <v>#N/A</v>
      </c>
      <c r="T3886" t="str">
        <v>#N/A</v>
      </c>
    </row>
    <row r="3887" spans="1:20" ht="13.7" customHeight="1" x14ac:dyDescent="0.25">
      <c r="E3887" s="5">
        <v>43465</v>
      </c>
      <c r="F3887">
        <v>73050501</v>
      </c>
      <c r="G3887" t="s">
        <v>1066</v>
      </c>
      <c r="H3887" t="s">
        <v>1173</v>
      </c>
      <c r="I3887" t="s">
        <v>1174</v>
      </c>
      <c r="J3887">
        <v>0</v>
      </c>
      <c r="K3887">
        <v>0</v>
      </c>
      <c r="L3887" s="3">
        <v>273945</v>
      </c>
      <c r="M3887" s="3">
        <v>0</v>
      </c>
      <c r="N3887">
        <v>0</v>
      </c>
      <c r="O3887">
        <v>0</v>
      </c>
      <c r="P3887">
        <v>273945</v>
      </c>
      <c r="R3887" t="s">
        <v>1100</v>
      </c>
      <c r="S3887" t="str">
        <v>#N/A</v>
      </c>
      <c r="T3887" t="str">
        <v>#N/A</v>
      </c>
    </row>
    <row r="3888" spans="1:20" ht="13.7" customHeight="1" x14ac:dyDescent="0.25">
      <c r="E3888" s="5">
        <v>43465</v>
      </c>
      <c r="F3888">
        <v>73050501</v>
      </c>
      <c r="G3888" t="s">
        <v>1066</v>
      </c>
      <c r="H3888" t="s">
        <v>1527</v>
      </c>
      <c r="I3888" t="s">
        <v>1528</v>
      </c>
      <c r="J3888">
        <v>0</v>
      </c>
      <c r="K3888">
        <v>0</v>
      </c>
      <c r="L3888" s="3">
        <v>426078</v>
      </c>
      <c r="M3888" s="3">
        <v>0</v>
      </c>
      <c r="N3888">
        <v>0</v>
      </c>
      <c r="O3888">
        <v>0</v>
      </c>
      <c r="P3888">
        <v>426078</v>
      </c>
      <c r="R3888" t="s">
        <v>1100</v>
      </c>
      <c r="S3888" t="str">
        <v>#N/A</v>
      </c>
      <c r="T3888" t="str">
        <v>13</v>
      </c>
    </row>
    <row r="3889" spans="1:20" ht="13.7" customHeight="1" x14ac:dyDescent="0.25">
      <c r="E3889" s="5">
        <v>43465</v>
      </c>
      <c r="F3889">
        <v>73050501</v>
      </c>
      <c r="G3889" t="s">
        <v>1066</v>
      </c>
      <c r="H3889" t="s">
        <v>1141</v>
      </c>
      <c r="I3889" t="s">
        <v>1142</v>
      </c>
      <c r="J3889">
        <v>0</v>
      </c>
      <c r="K3889">
        <v>0</v>
      </c>
      <c r="L3889" s="3">
        <v>7317633</v>
      </c>
      <c r="M3889" s="3">
        <v>0</v>
      </c>
      <c r="N3889">
        <v>0</v>
      </c>
      <c r="O3889">
        <v>0</v>
      </c>
      <c r="P3889">
        <v>7317633</v>
      </c>
      <c r="R3889" t="s">
        <v>1100</v>
      </c>
      <c r="S3889" t="str">
        <v>#N/A</v>
      </c>
      <c r="T3889" t="str">
        <v>13</v>
      </c>
    </row>
    <row r="3890" spans="1:20" ht="13.7" customHeight="1" x14ac:dyDescent="0.25">
      <c r="A3890" t="s">
        <v>26</v>
      </c>
      <c r="B3890" t="s">
        <v>27</v>
      </c>
      <c r="C3890" t="s">
        <v>28</v>
      </c>
      <c r="D3890">
        <v>77</v>
      </c>
      <c r="E3890" s="5">
        <v>43491</v>
      </c>
      <c r="F3890">
        <v>73050501</v>
      </c>
      <c r="G3890" t="s">
        <v>1066</v>
      </c>
      <c r="H3890" t="s">
        <v>1141</v>
      </c>
      <c r="I3890" t="s">
        <v>1142</v>
      </c>
      <c r="J3890">
        <v>1001</v>
      </c>
      <c r="K3890">
        <v>5001</v>
      </c>
      <c r="L3890" s="3">
        <v>7317633</v>
      </c>
      <c r="M3890" s="3">
        <v>496870</v>
      </c>
      <c r="N3890">
        <v>0</v>
      </c>
      <c r="O3890">
        <v>0</v>
      </c>
      <c r="P3890">
        <v>7814503</v>
      </c>
      <c r="Q3890" t="s">
        <v>30</v>
      </c>
      <c r="R3890" t="s">
        <v>202</v>
      </c>
      <c r="S3890" t="str">
        <v>#N/A</v>
      </c>
      <c r="T3890" t="str">
        <v>13</v>
      </c>
    </row>
    <row r="3891" spans="1:20" ht="13.7" customHeight="1" x14ac:dyDescent="0.25">
      <c r="A3891" t="s">
        <v>26</v>
      </c>
      <c r="B3891" t="s">
        <v>27</v>
      </c>
      <c r="C3891" t="s">
        <v>32</v>
      </c>
      <c r="D3891">
        <v>60</v>
      </c>
      <c r="E3891" s="5">
        <v>43505</v>
      </c>
      <c r="F3891">
        <v>73050501</v>
      </c>
      <c r="G3891" t="s">
        <v>1066</v>
      </c>
      <c r="H3891" t="s">
        <v>1141</v>
      </c>
      <c r="I3891" t="s">
        <v>1142</v>
      </c>
      <c r="J3891">
        <v>1001</v>
      </c>
      <c r="K3891">
        <v>5001</v>
      </c>
      <c r="L3891" s="3">
        <v>7814503</v>
      </c>
      <c r="M3891" s="3">
        <v>331246</v>
      </c>
      <c r="N3891">
        <v>0</v>
      </c>
      <c r="O3891">
        <v>0</v>
      </c>
      <c r="P3891">
        <v>8145749</v>
      </c>
      <c r="Q3891" t="s">
        <v>30</v>
      </c>
      <c r="R3891" t="s">
        <v>215</v>
      </c>
      <c r="S3891" t="str">
        <v>#N/A</v>
      </c>
      <c r="T3891" t="str">
        <v>13</v>
      </c>
    </row>
    <row r="3892" spans="1:20" ht="13.7" customHeight="1" x14ac:dyDescent="0.25">
      <c r="A3892" t="s">
        <v>26</v>
      </c>
      <c r="B3892" t="s">
        <v>27</v>
      </c>
      <c r="C3892" t="s">
        <v>32</v>
      </c>
      <c r="D3892">
        <v>61</v>
      </c>
      <c r="E3892" s="5">
        <v>43519</v>
      </c>
      <c r="F3892">
        <v>73050501</v>
      </c>
      <c r="G3892" t="s">
        <v>1066</v>
      </c>
      <c r="H3892" t="s">
        <v>1141</v>
      </c>
      <c r="I3892" t="s">
        <v>1142</v>
      </c>
      <c r="J3892">
        <v>1001</v>
      </c>
      <c r="K3892">
        <v>5001</v>
      </c>
      <c r="L3892" s="3">
        <v>8145749</v>
      </c>
      <c r="M3892" s="3">
        <v>331246</v>
      </c>
      <c r="N3892">
        <v>0</v>
      </c>
      <c r="O3892">
        <v>0</v>
      </c>
      <c r="P3892">
        <v>8476995</v>
      </c>
      <c r="Q3892" t="s">
        <v>30</v>
      </c>
      <c r="R3892" t="s">
        <v>226</v>
      </c>
      <c r="S3892" t="str">
        <v>#N/A</v>
      </c>
      <c r="T3892" t="str">
        <v>13</v>
      </c>
    </row>
    <row r="3893" spans="1:20" ht="13.7" customHeight="1" x14ac:dyDescent="0.25">
      <c r="A3893" t="s">
        <v>26</v>
      </c>
      <c r="B3893" t="s">
        <v>27</v>
      </c>
      <c r="C3893" t="s">
        <v>91</v>
      </c>
      <c r="D3893">
        <v>79</v>
      </c>
      <c r="E3893" s="5">
        <v>43533</v>
      </c>
      <c r="F3893">
        <v>73050501</v>
      </c>
      <c r="G3893" t="s">
        <v>1066</v>
      </c>
      <c r="H3893" t="s">
        <v>1141</v>
      </c>
      <c r="I3893" t="s">
        <v>1142</v>
      </c>
      <c r="J3893">
        <v>1001</v>
      </c>
      <c r="K3893">
        <v>5001</v>
      </c>
      <c r="L3893" s="3">
        <v>8476995</v>
      </c>
      <c r="M3893" s="3">
        <v>331246</v>
      </c>
      <c r="N3893">
        <v>0</v>
      </c>
      <c r="O3893">
        <v>0</v>
      </c>
      <c r="P3893">
        <v>8808241</v>
      </c>
      <c r="Q3893" t="s">
        <v>30</v>
      </c>
      <c r="R3893" t="s">
        <v>236</v>
      </c>
      <c r="S3893" t="str">
        <v>#N/A</v>
      </c>
      <c r="T3893" t="str">
        <v>13</v>
      </c>
    </row>
    <row r="3894" spans="1:20" ht="13.7" customHeight="1" x14ac:dyDescent="0.25">
      <c r="A3894" t="s">
        <v>26</v>
      </c>
      <c r="B3894" t="s">
        <v>27</v>
      </c>
      <c r="C3894" t="s">
        <v>91</v>
      </c>
      <c r="D3894">
        <v>80</v>
      </c>
      <c r="E3894" s="5">
        <v>43547</v>
      </c>
      <c r="F3894">
        <v>73050501</v>
      </c>
      <c r="G3894" t="s">
        <v>1066</v>
      </c>
      <c r="H3894" t="s">
        <v>1141</v>
      </c>
      <c r="I3894" t="s">
        <v>1142</v>
      </c>
      <c r="J3894">
        <v>1001</v>
      </c>
      <c r="K3894">
        <v>5001</v>
      </c>
      <c r="L3894" s="3">
        <v>8808241</v>
      </c>
      <c r="M3894" s="3">
        <v>331246</v>
      </c>
      <c r="N3894">
        <v>0</v>
      </c>
      <c r="O3894">
        <v>0</v>
      </c>
      <c r="P3894">
        <v>9139487</v>
      </c>
      <c r="Q3894" t="s">
        <v>30</v>
      </c>
      <c r="R3894" t="s">
        <v>244</v>
      </c>
      <c r="S3894" t="str">
        <v>#N/A</v>
      </c>
      <c r="T3894" t="str">
        <v>13</v>
      </c>
    </row>
    <row r="3895" spans="1:20" ht="13.7" customHeight="1" x14ac:dyDescent="0.25">
      <c r="A3895" t="s">
        <v>26</v>
      </c>
      <c r="B3895" t="s">
        <v>27</v>
      </c>
      <c r="C3895" t="s">
        <v>34</v>
      </c>
      <c r="D3895">
        <v>71</v>
      </c>
      <c r="E3895" s="5">
        <v>43561</v>
      </c>
      <c r="F3895">
        <v>73050501</v>
      </c>
      <c r="G3895" t="s">
        <v>1066</v>
      </c>
      <c r="H3895" t="s">
        <v>1141</v>
      </c>
      <c r="I3895" t="s">
        <v>1142</v>
      </c>
      <c r="J3895">
        <v>1001</v>
      </c>
      <c r="K3895">
        <v>5001</v>
      </c>
      <c r="L3895" s="3">
        <v>9139487</v>
      </c>
      <c r="M3895" s="3">
        <v>303643</v>
      </c>
      <c r="N3895">
        <v>0</v>
      </c>
      <c r="O3895">
        <v>0</v>
      </c>
      <c r="P3895">
        <v>9443130</v>
      </c>
      <c r="Q3895" t="s">
        <v>30</v>
      </c>
      <c r="R3895" t="s">
        <v>244</v>
      </c>
      <c r="S3895" t="str">
        <v>#N/A</v>
      </c>
      <c r="T3895" t="str">
        <v>13</v>
      </c>
    </row>
    <row r="3896" spans="1:20" ht="13.7" customHeight="1" x14ac:dyDescent="0.25">
      <c r="A3896" t="s">
        <v>26</v>
      </c>
      <c r="B3896" t="s">
        <v>27</v>
      </c>
      <c r="C3896" t="s">
        <v>34</v>
      </c>
      <c r="D3896">
        <v>72</v>
      </c>
      <c r="E3896" s="5">
        <v>43575</v>
      </c>
      <c r="F3896">
        <v>73050501</v>
      </c>
      <c r="G3896" t="s">
        <v>1066</v>
      </c>
      <c r="H3896" t="s">
        <v>1141</v>
      </c>
      <c r="I3896" t="s">
        <v>1142</v>
      </c>
      <c r="J3896">
        <v>1001</v>
      </c>
      <c r="K3896">
        <v>5001</v>
      </c>
      <c r="L3896" s="3">
        <v>9443130</v>
      </c>
      <c r="M3896" s="3">
        <v>303643</v>
      </c>
      <c r="N3896">
        <v>0</v>
      </c>
      <c r="O3896">
        <v>0</v>
      </c>
      <c r="P3896">
        <v>9746773</v>
      </c>
      <c r="Q3896" t="s">
        <v>30</v>
      </c>
      <c r="R3896" t="s">
        <v>254</v>
      </c>
      <c r="S3896" t="str">
        <v>#N/A</v>
      </c>
      <c r="T3896" t="str">
        <v>13</v>
      </c>
    </row>
    <row r="3897" spans="1:20" ht="13.7" customHeight="1" x14ac:dyDescent="0.25">
      <c r="A3897" t="s">
        <v>26</v>
      </c>
      <c r="B3897" t="s">
        <v>27</v>
      </c>
      <c r="C3897" t="s">
        <v>35</v>
      </c>
      <c r="D3897">
        <v>97</v>
      </c>
      <c r="E3897" s="5">
        <v>43589</v>
      </c>
      <c r="F3897">
        <v>73050501</v>
      </c>
      <c r="G3897" t="s">
        <v>1066</v>
      </c>
      <c r="H3897" t="s">
        <v>1141</v>
      </c>
      <c r="I3897" t="s">
        <v>1142</v>
      </c>
      <c r="J3897">
        <v>1001</v>
      </c>
      <c r="K3897">
        <v>5001</v>
      </c>
      <c r="L3897" s="3">
        <v>9746773</v>
      </c>
      <c r="M3897" s="3">
        <v>303643</v>
      </c>
      <c r="N3897">
        <v>0</v>
      </c>
      <c r="O3897">
        <v>0</v>
      </c>
      <c r="P3897">
        <v>10050416</v>
      </c>
      <c r="Q3897" t="s">
        <v>30</v>
      </c>
      <c r="R3897" t="s">
        <v>256</v>
      </c>
      <c r="S3897" t="str">
        <v>#N/A</v>
      </c>
      <c r="T3897" t="str">
        <v>13</v>
      </c>
    </row>
    <row r="3898" spans="1:20" ht="13.7" customHeight="1" x14ac:dyDescent="0.25">
      <c r="A3898" t="s">
        <v>26</v>
      </c>
      <c r="B3898" t="s">
        <v>27</v>
      </c>
      <c r="C3898" t="s">
        <v>35</v>
      </c>
      <c r="D3898">
        <v>98</v>
      </c>
      <c r="E3898" s="5">
        <v>43603</v>
      </c>
      <c r="F3898">
        <v>73050501</v>
      </c>
      <c r="G3898" t="s">
        <v>1066</v>
      </c>
      <c r="H3898" t="s">
        <v>1141</v>
      </c>
      <c r="I3898" t="s">
        <v>1142</v>
      </c>
      <c r="J3898">
        <v>1001</v>
      </c>
      <c r="K3898">
        <v>5001</v>
      </c>
      <c r="L3898" s="3">
        <v>10050416</v>
      </c>
      <c r="M3898" s="3">
        <v>303643</v>
      </c>
      <c r="N3898">
        <v>0</v>
      </c>
      <c r="O3898">
        <v>0</v>
      </c>
      <c r="P3898">
        <v>10354059</v>
      </c>
      <c r="Q3898" t="s">
        <v>30</v>
      </c>
      <c r="R3898" t="s">
        <v>261</v>
      </c>
      <c r="S3898" t="str">
        <v>#N/A</v>
      </c>
      <c r="T3898" t="str">
        <v>13</v>
      </c>
    </row>
    <row r="3899" spans="1:20" ht="13.7" customHeight="1" x14ac:dyDescent="0.25">
      <c r="A3899" t="s">
        <v>26</v>
      </c>
      <c r="B3899" t="s">
        <v>27</v>
      </c>
      <c r="C3899" t="s">
        <v>36</v>
      </c>
      <c r="D3899">
        <v>70</v>
      </c>
      <c r="E3899" s="5">
        <v>43617</v>
      </c>
      <c r="F3899">
        <v>73050501</v>
      </c>
      <c r="G3899" t="s">
        <v>1066</v>
      </c>
      <c r="H3899" t="s">
        <v>1141</v>
      </c>
      <c r="I3899" t="s">
        <v>1142</v>
      </c>
      <c r="J3899">
        <v>1001</v>
      </c>
      <c r="K3899">
        <v>5001</v>
      </c>
      <c r="L3899" s="3">
        <v>10354059</v>
      </c>
      <c r="M3899" s="3">
        <v>303643</v>
      </c>
      <c r="N3899">
        <v>0</v>
      </c>
      <c r="O3899">
        <v>0</v>
      </c>
      <c r="P3899">
        <v>10657702</v>
      </c>
      <c r="Q3899" t="s">
        <v>30</v>
      </c>
      <c r="R3899" t="s">
        <v>264</v>
      </c>
      <c r="S3899" t="str">
        <v>#N/A</v>
      </c>
      <c r="T3899" t="str">
        <v>13</v>
      </c>
    </row>
    <row r="3900" spans="1:20" ht="13.7" customHeight="1" x14ac:dyDescent="0.25">
      <c r="A3900" t="s">
        <v>26</v>
      </c>
      <c r="B3900" t="s">
        <v>27</v>
      </c>
      <c r="C3900" t="s">
        <v>36</v>
      </c>
      <c r="D3900">
        <v>71</v>
      </c>
      <c r="E3900" s="5">
        <v>43631</v>
      </c>
      <c r="F3900">
        <v>73050501</v>
      </c>
      <c r="G3900" t="s">
        <v>1066</v>
      </c>
      <c r="H3900" t="s">
        <v>1141</v>
      </c>
      <c r="I3900" t="s">
        <v>1142</v>
      </c>
      <c r="J3900">
        <v>1001</v>
      </c>
      <c r="K3900">
        <v>5001</v>
      </c>
      <c r="L3900" s="3">
        <v>10657702</v>
      </c>
      <c r="M3900" s="3">
        <v>303643</v>
      </c>
      <c r="N3900">
        <v>0</v>
      </c>
      <c r="O3900">
        <v>0</v>
      </c>
      <c r="P3900">
        <v>10961345</v>
      </c>
      <c r="Q3900" t="s">
        <v>30</v>
      </c>
      <c r="R3900" t="s">
        <v>270</v>
      </c>
      <c r="S3900" t="str">
        <v>#N/A</v>
      </c>
      <c r="T3900" t="str">
        <v>13</v>
      </c>
    </row>
    <row r="3901" spans="1:20" ht="13.7" customHeight="1" x14ac:dyDescent="0.25">
      <c r="A3901" t="s">
        <v>26</v>
      </c>
      <c r="B3901" t="s">
        <v>27</v>
      </c>
      <c r="C3901" t="s">
        <v>36</v>
      </c>
      <c r="D3901">
        <v>73</v>
      </c>
      <c r="E3901" s="5">
        <v>43642</v>
      </c>
      <c r="F3901">
        <v>73050501</v>
      </c>
      <c r="G3901" t="s">
        <v>1066</v>
      </c>
      <c r="H3901" t="s">
        <v>1141</v>
      </c>
      <c r="I3901" t="s">
        <v>1142</v>
      </c>
      <c r="J3901">
        <v>1001</v>
      </c>
      <c r="K3901">
        <v>5001</v>
      </c>
      <c r="L3901" s="3">
        <v>10961345</v>
      </c>
      <c r="M3901" s="3">
        <v>303643</v>
      </c>
      <c r="N3901">
        <v>0</v>
      </c>
      <c r="O3901">
        <v>0</v>
      </c>
      <c r="P3901">
        <v>11264988</v>
      </c>
      <c r="Q3901" t="s">
        <v>30</v>
      </c>
      <c r="R3901" t="s">
        <v>274</v>
      </c>
      <c r="S3901" t="str">
        <v>#N/A</v>
      </c>
      <c r="T3901" t="str">
        <v>13</v>
      </c>
    </row>
    <row r="3902" spans="1:20" ht="13.7" customHeight="1" x14ac:dyDescent="0.25">
      <c r="A3902" t="s">
        <v>26</v>
      </c>
      <c r="B3902" t="s">
        <v>27</v>
      </c>
      <c r="C3902" t="s">
        <v>37</v>
      </c>
      <c r="D3902">
        <v>66</v>
      </c>
      <c r="E3902" s="5">
        <v>43659</v>
      </c>
      <c r="F3902">
        <v>73050501</v>
      </c>
      <c r="G3902" t="s">
        <v>1066</v>
      </c>
      <c r="H3902" t="s">
        <v>1141</v>
      </c>
      <c r="I3902" t="s">
        <v>1142</v>
      </c>
      <c r="J3902">
        <v>1001</v>
      </c>
      <c r="K3902">
        <v>5001</v>
      </c>
      <c r="L3902" s="3">
        <v>11264988</v>
      </c>
      <c r="M3902" s="3">
        <v>303643</v>
      </c>
      <c r="N3902">
        <v>0</v>
      </c>
      <c r="O3902">
        <v>0</v>
      </c>
      <c r="P3902">
        <v>11568631</v>
      </c>
      <c r="Q3902" t="s">
        <v>30</v>
      </c>
      <c r="R3902" t="s">
        <v>279</v>
      </c>
      <c r="S3902" t="str">
        <v>#N/A</v>
      </c>
      <c r="T3902" t="str">
        <v>13</v>
      </c>
    </row>
    <row r="3903" spans="1:20" ht="13.7" customHeight="1" x14ac:dyDescent="0.25">
      <c r="A3903" t="s">
        <v>26</v>
      </c>
      <c r="B3903" t="s">
        <v>27</v>
      </c>
      <c r="C3903" t="s">
        <v>37</v>
      </c>
      <c r="D3903">
        <v>67</v>
      </c>
      <c r="E3903" s="5">
        <v>43673</v>
      </c>
      <c r="F3903">
        <v>73050501</v>
      </c>
      <c r="G3903" t="s">
        <v>1066</v>
      </c>
      <c r="H3903" t="s">
        <v>1141</v>
      </c>
      <c r="I3903" t="s">
        <v>1142</v>
      </c>
      <c r="J3903">
        <v>1001</v>
      </c>
      <c r="K3903">
        <v>5001</v>
      </c>
      <c r="L3903" s="3">
        <v>11568631</v>
      </c>
      <c r="M3903" s="3">
        <v>303643</v>
      </c>
      <c r="N3903">
        <v>0</v>
      </c>
      <c r="O3903">
        <v>0</v>
      </c>
      <c r="P3903">
        <v>11872274</v>
      </c>
      <c r="Q3903" t="s">
        <v>30</v>
      </c>
      <c r="R3903" t="s">
        <v>282</v>
      </c>
      <c r="S3903" t="str">
        <v>#N/A</v>
      </c>
      <c r="T3903" t="str">
        <v>13</v>
      </c>
    </row>
    <row r="3904" spans="1:20" ht="13.7" customHeight="1" x14ac:dyDescent="0.25">
      <c r="A3904" t="s">
        <v>26</v>
      </c>
      <c r="B3904" t="s">
        <v>27</v>
      </c>
      <c r="C3904" t="s">
        <v>38</v>
      </c>
      <c r="D3904">
        <v>56</v>
      </c>
      <c r="E3904" s="5">
        <v>43687</v>
      </c>
      <c r="F3904">
        <v>73050501</v>
      </c>
      <c r="G3904" t="s">
        <v>1066</v>
      </c>
      <c r="H3904" t="s">
        <v>1141</v>
      </c>
      <c r="I3904" t="s">
        <v>1142</v>
      </c>
      <c r="J3904">
        <v>1001</v>
      </c>
      <c r="K3904">
        <v>5001</v>
      </c>
      <c r="L3904" s="3">
        <v>11872274</v>
      </c>
      <c r="M3904" s="3">
        <v>303643</v>
      </c>
      <c r="N3904">
        <v>0</v>
      </c>
      <c r="O3904">
        <v>0</v>
      </c>
      <c r="P3904">
        <v>12175917</v>
      </c>
      <c r="Q3904" t="s">
        <v>30</v>
      </c>
      <c r="R3904" t="s">
        <v>284</v>
      </c>
      <c r="S3904" t="str">
        <v>#N/A</v>
      </c>
      <c r="T3904" t="str">
        <v>13</v>
      </c>
    </row>
    <row r="3905" spans="1:20" ht="13.7" customHeight="1" x14ac:dyDescent="0.25">
      <c r="A3905" t="s">
        <v>26</v>
      </c>
      <c r="B3905" t="s">
        <v>27</v>
      </c>
      <c r="C3905" t="s">
        <v>38</v>
      </c>
      <c r="D3905">
        <v>57</v>
      </c>
      <c r="E3905" s="5">
        <v>43701</v>
      </c>
      <c r="F3905">
        <v>73050501</v>
      </c>
      <c r="G3905" t="s">
        <v>1066</v>
      </c>
      <c r="H3905" t="s">
        <v>1141</v>
      </c>
      <c r="I3905" t="s">
        <v>1142</v>
      </c>
      <c r="J3905">
        <v>1001</v>
      </c>
      <c r="K3905">
        <v>5001</v>
      </c>
      <c r="L3905" s="3">
        <v>12175917</v>
      </c>
      <c r="M3905" s="3">
        <v>303643</v>
      </c>
      <c r="N3905">
        <v>0</v>
      </c>
      <c r="O3905">
        <v>0</v>
      </c>
      <c r="P3905">
        <v>12479560</v>
      </c>
      <c r="Q3905" t="s">
        <v>30</v>
      </c>
      <c r="R3905" t="s">
        <v>287</v>
      </c>
      <c r="S3905" t="str">
        <v>#N/A</v>
      </c>
      <c r="T3905" t="str">
        <v>13</v>
      </c>
    </row>
    <row r="3906" spans="1:20" ht="13.7" customHeight="1" x14ac:dyDescent="0.25">
      <c r="A3906" t="s">
        <v>26</v>
      </c>
      <c r="B3906" t="s">
        <v>27</v>
      </c>
      <c r="C3906" t="s">
        <v>39</v>
      </c>
      <c r="D3906">
        <v>68</v>
      </c>
      <c r="E3906" s="5">
        <v>43715</v>
      </c>
      <c r="F3906">
        <v>73050501</v>
      </c>
      <c r="G3906" t="s">
        <v>1066</v>
      </c>
      <c r="H3906" t="s">
        <v>1141</v>
      </c>
      <c r="I3906" t="s">
        <v>1142</v>
      </c>
      <c r="J3906">
        <v>1001</v>
      </c>
      <c r="K3906">
        <v>5001</v>
      </c>
      <c r="L3906" s="3">
        <v>12479560</v>
      </c>
      <c r="M3906" s="3">
        <v>303643</v>
      </c>
      <c r="N3906">
        <v>0</v>
      </c>
      <c r="O3906">
        <v>0</v>
      </c>
      <c r="P3906">
        <v>12783203</v>
      </c>
      <c r="Q3906" t="s">
        <v>30</v>
      </c>
      <c r="R3906" t="s">
        <v>288</v>
      </c>
      <c r="S3906" t="str">
        <v>#N/A</v>
      </c>
      <c r="T3906" t="str">
        <v>13</v>
      </c>
    </row>
    <row r="3907" spans="1:20" ht="13.7" customHeight="1" x14ac:dyDescent="0.25">
      <c r="A3907" t="s">
        <v>26</v>
      </c>
      <c r="B3907" t="s">
        <v>27</v>
      </c>
      <c r="C3907" t="s">
        <v>39</v>
      </c>
      <c r="D3907">
        <v>69</v>
      </c>
      <c r="E3907" s="5">
        <v>43729</v>
      </c>
      <c r="F3907">
        <v>73050501</v>
      </c>
      <c r="G3907" t="s">
        <v>1066</v>
      </c>
      <c r="H3907" t="s">
        <v>1141</v>
      </c>
      <c r="I3907" t="s">
        <v>1142</v>
      </c>
      <c r="J3907">
        <v>1001</v>
      </c>
      <c r="K3907">
        <v>5001</v>
      </c>
      <c r="L3907" s="3">
        <v>12783203</v>
      </c>
      <c r="M3907" s="3">
        <v>303643</v>
      </c>
      <c r="N3907">
        <v>0</v>
      </c>
      <c r="O3907">
        <v>0</v>
      </c>
      <c r="P3907">
        <v>13086846</v>
      </c>
      <c r="Q3907" t="s">
        <v>30</v>
      </c>
      <c r="R3907" t="s">
        <v>291</v>
      </c>
      <c r="S3907" t="str">
        <v>#N/A</v>
      </c>
      <c r="T3907" t="str">
        <v>13</v>
      </c>
    </row>
    <row r="3908" spans="1:20" ht="13.7" customHeight="1" x14ac:dyDescent="0.25">
      <c r="A3908" t="s">
        <v>26</v>
      </c>
      <c r="B3908" t="s">
        <v>27</v>
      </c>
      <c r="C3908" t="s">
        <v>40</v>
      </c>
      <c r="D3908">
        <v>61</v>
      </c>
      <c r="E3908" s="5">
        <v>43743</v>
      </c>
      <c r="F3908">
        <v>73050501</v>
      </c>
      <c r="G3908" t="s">
        <v>1066</v>
      </c>
      <c r="H3908" t="s">
        <v>1141</v>
      </c>
      <c r="I3908" t="s">
        <v>1142</v>
      </c>
      <c r="J3908">
        <v>1001</v>
      </c>
      <c r="K3908">
        <v>5001</v>
      </c>
      <c r="L3908" s="3">
        <v>13086846</v>
      </c>
      <c r="M3908" s="3">
        <v>303643</v>
      </c>
      <c r="N3908">
        <v>0</v>
      </c>
      <c r="O3908">
        <v>0</v>
      </c>
      <c r="P3908">
        <v>13390489</v>
      </c>
      <c r="Q3908" t="s">
        <v>30</v>
      </c>
      <c r="R3908" t="s">
        <v>293</v>
      </c>
      <c r="S3908" t="str">
        <v>#N/A</v>
      </c>
      <c r="T3908" t="str">
        <v>13</v>
      </c>
    </row>
    <row r="3909" spans="1:20" ht="13.7" customHeight="1" x14ac:dyDescent="0.25">
      <c r="A3909" t="s">
        <v>26</v>
      </c>
      <c r="B3909" t="s">
        <v>27</v>
      </c>
      <c r="C3909" t="s">
        <v>40</v>
      </c>
      <c r="D3909">
        <v>62</v>
      </c>
      <c r="E3909" s="5">
        <v>43757</v>
      </c>
      <c r="F3909">
        <v>73050501</v>
      </c>
      <c r="G3909" t="s">
        <v>1066</v>
      </c>
      <c r="H3909" t="s">
        <v>1141</v>
      </c>
      <c r="I3909" t="s">
        <v>1142</v>
      </c>
      <c r="J3909">
        <v>1001</v>
      </c>
      <c r="K3909">
        <v>5001</v>
      </c>
      <c r="L3909" s="3">
        <v>13390489</v>
      </c>
      <c r="M3909" s="3">
        <v>303643</v>
      </c>
      <c r="N3909">
        <v>0</v>
      </c>
      <c r="O3909">
        <v>0</v>
      </c>
      <c r="P3909">
        <v>13694132</v>
      </c>
      <c r="Q3909" t="s">
        <v>30</v>
      </c>
      <c r="R3909" t="s">
        <v>299</v>
      </c>
      <c r="S3909" t="str">
        <v>#N/A</v>
      </c>
      <c r="T3909" t="str">
        <v>13</v>
      </c>
    </row>
    <row r="3910" spans="1:20" ht="13.7" customHeight="1" x14ac:dyDescent="0.25">
      <c r="A3910" t="s">
        <v>26</v>
      </c>
      <c r="B3910" t="s">
        <v>27</v>
      </c>
      <c r="C3910" t="s">
        <v>41</v>
      </c>
      <c r="D3910">
        <v>76</v>
      </c>
      <c r="E3910" s="5">
        <v>43771</v>
      </c>
      <c r="F3910">
        <v>73050501</v>
      </c>
      <c r="G3910" t="s">
        <v>1066</v>
      </c>
      <c r="H3910" t="s">
        <v>1141</v>
      </c>
      <c r="I3910" t="s">
        <v>1142</v>
      </c>
      <c r="J3910">
        <v>1001</v>
      </c>
      <c r="K3910">
        <v>5001</v>
      </c>
      <c r="L3910" s="3">
        <v>13694132</v>
      </c>
      <c r="M3910" s="3">
        <v>303643</v>
      </c>
      <c r="N3910">
        <v>0</v>
      </c>
      <c r="O3910">
        <v>0</v>
      </c>
      <c r="P3910">
        <v>13997775</v>
      </c>
      <c r="Q3910" t="s">
        <v>30</v>
      </c>
      <c r="R3910" t="s">
        <v>301</v>
      </c>
      <c r="S3910" t="str">
        <v>#N/A</v>
      </c>
      <c r="T3910" t="str">
        <v>13</v>
      </c>
    </row>
    <row r="3911" spans="1:20" ht="13.7" customHeight="1" x14ac:dyDescent="0.25">
      <c r="A3911" t="s">
        <v>26</v>
      </c>
      <c r="B3911" t="s">
        <v>27</v>
      </c>
      <c r="C3911" t="s">
        <v>41</v>
      </c>
      <c r="D3911">
        <v>77</v>
      </c>
      <c r="E3911" s="5">
        <v>43785</v>
      </c>
      <c r="F3911">
        <v>73050501</v>
      </c>
      <c r="G3911" t="s">
        <v>1066</v>
      </c>
      <c r="H3911" t="s">
        <v>1141</v>
      </c>
      <c r="I3911" t="s">
        <v>1142</v>
      </c>
      <c r="J3911">
        <v>1001</v>
      </c>
      <c r="K3911">
        <v>5001</v>
      </c>
      <c r="L3911" s="3">
        <v>13997775</v>
      </c>
      <c r="M3911" s="3">
        <v>303643</v>
      </c>
      <c r="N3911">
        <v>0</v>
      </c>
      <c r="O3911">
        <v>0</v>
      </c>
      <c r="P3911">
        <v>14301418</v>
      </c>
      <c r="Q3911" t="s">
        <v>30</v>
      </c>
      <c r="R3911" t="s">
        <v>305</v>
      </c>
      <c r="S3911" t="str">
        <v>#N/A</v>
      </c>
      <c r="T3911" t="str">
        <v>13</v>
      </c>
    </row>
    <row r="3912" spans="1:20" ht="13.7" customHeight="1" x14ac:dyDescent="0.25">
      <c r="A3912" t="s">
        <v>26</v>
      </c>
      <c r="B3912" t="s">
        <v>27</v>
      </c>
      <c r="C3912" t="s">
        <v>41</v>
      </c>
      <c r="D3912">
        <v>78</v>
      </c>
      <c r="E3912" s="5">
        <v>43799</v>
      </c>
      <c r="F3912">
        <v>73050501</v>
      </c>
      <c r="G3912" t="s">
        <v>1066</v>
      </c>
      <c r="H3912" t="s">
        <v>1141</v>
      </c>
      <c r="I3912" t="s">
        <v>1142</v>
      </c>
      <c r="J3912">
        <v>1001</v>
      </c>
      <c r="K3912">
        <v>5001</v>
      </c>
      <c r="L3912" s="3">
        <v>14301418</v>
      </c>
      <c r="M3912" s="3">
        <v>303643</v>
      </c>
      <c r="N3912">
        <v>0</v>
      </c>
      <c r="O3912">
        <v>0</v>
      </c>
      <c r="P3912">
        <v>14605061</v>
      </c>
      <c r="Q3912" t="s">
        <v>30</v>
      </c>
      <c r="R3912" t="s">
        <v>309</v>
      </c>
      <c r="S3912" t="str">
        <v>#N/A</v>
      </c>
      <c r="T3912" t="str">
        <v>13</v>
      </c>
    </row>
    <row r="3913" spans="1:20" ht="13.7" customHeight="1" x14ac:dyDescent="0.25">
      <c r="A3913" t="s">
        <v>26</v>
      </c>
      <c r="B3913" t="s">
        <v>27</v>
      </c>
      <c r="C3913" t="s">
        <v>180</v>
      </c>
      <c r="D3913">
        <v>1</v>
      </c>
      <c r="E3913" s="5">
        <v>43813</v>
      </c>
      <c r="F3913">
        <v>73050501</v>
      </c>
      <c r="G3913" t="s">
        <v>1066</v>
      </c>
      <c r="H3913" t="s">
        <v>1141</v>
      </c>
      <c r="I3913" t="s">
        <v>1142</v>
      </c>
      <c r="J3913">
        <v>1001</v>
      </c>
      <c r="K3913">
        <v>5001</v>
      </c>
      <c r="L3913" s="3">
        <v>14605061</v>
      </c>
      <c r="M3913" s="3">
        <v>303643</v>
      </c>
      <c r="N3913">
        <v>0</v>
      </c>
      <c r="O3913">
        <v>0</v>
      </c>
      <c r="P3913">
        <v>14908704</v>
      </c>
      <c r="Q3913" t="s">
        <v>30</v>
      </c>
      <c r="R3913" t="s">
        <v>316</v>
      </c>
      <c r="S3913" t="str">
        <v>#N/A</v>
      </c>
      <c r="T3913" t="str">
        <v>13</v>
      </c>
    </row>
    <row r="3914" spans="1:20" ht="13.7" customHeight="1" x14ac:dyDescent="0.25">
      <c r="A3914" t="s">
        <v>26</v>
      </c>
      <c r="B3914" t="s">
        <v>27</v>
      </c>
      <c r="C3914" t="s">
        <v>180</v>
      </c>
      <c r="D3914">
        <v>90</v>
      </c>
      <c r="E3914" s="5">
        <v>43819</v>
      </c>
      <c r="F3914">
        <v>73050501</v>
      </c>
      <c r="G3914" t="s">
        <v>1066</v>
      </c>
      <c r="H3914" t="s">
        <v>1141</v>
      </c>
      <c r="I3914" t="s">
        <v>1142</v>
      </c>
      <c r="J3914" t="e">
        <v>#N/A</v>
      </c>
      <c r="K3914" t="e">
        <v>#N/A</v>
      </c>
      <c r="L3914" s="3">
        <v>14908704</v>
      </c>
      <c r="M3914" s="3">
        <v>165623</v>
      </c>
      <c r="N3914">
        <v>0</v>
      </c>
      <c r="O3914">
        <v>0</v>
      </c>
      <c r="P3914">
        <v>15074327</v>
      </c>
      <c r="Q3914" t="s">
        <v>30</v>
      </c>
      <c r="R3914" t="s">
        <v>1503</v>
      </c>
      <c r="S3914" t="str">
        <v>#N/A</v>
      </c>
      <c r="T3914" t="str">
        <v>13</v>
      </c>
    </row>
    <row r="3915" spans="1:20" ht="13.7" customHeight="1" x14ac:dyDescent="0.25">
      <c r="E3915" s="5">
        <v>43465</v>
      </c>
      <c r="F3915">
        <v>73050501</v>
      </c>
      <c r="G3915" t="s">
        <v>1066</v>
      </c>
      <c r="H3915" t="s">
        <v>1149</v>
      </c>
      <c r="I3915" t="s">
        <v>1150</v>
      </c>
      <c r="J3915">
        <v>0</v>
      </c>
      <c r="K3915">
        <v>0</v>
      </c>
      <c r="L3915" s="3">
        <v>6969578</v>
      </c>
      <c r="M3915" s="3">
        <v>0</v>
      </c>
      <c r="N3915">
        <v>0</v>
      </c>
      <c r="O3915">
        <v>0</v>
      </c>
      <c r="P3915">
        <v>6969578</v>
      </c>
      <c r="R3915" t="s">
        <v>1100</v>
      </c>
      <c r="S3915" t="str">
        <v>#N/A</v>
      </c>
      <c r="T3915" t="str">
        <v>13</v>
      </c>
    </row>
    <row r="3916" spans="1:20" ht="13.7" customHeight="1" x14ac:dyDescent="0.25">
      <c r="A3916" t="s">
        <v>26</v>
      </c>
      <c r="B3916" t="s">
        <v>27</v>
      </c>
      <c r="C3916" t="s">
        <v>28</v>
      </c>
      <c r="D3916">
        <v>77</v>
      </c>
      <c r="E3916" s="5">
        <v>43491</v>
      </c>
      <c r="F3916">
        <v>73050501</v>
      </c>
      <c r="G3916" t="s">
        <v>1066</v>
      </c>
      <c r="H3916" t="s">
        <v>1149</v>
      </c>
      <c r="I3916" t="s">
        <v>1150</v>
      </c>
      <c r="J3916">
        <v>1001</v>
      </c>
      <c r="K3916">
        <v>5001</v>
      </c>
      <c r="L3916" s="3">
        <v>6969578</v>
      </c>
      <c r="M3916" s="3">
        <v>315965</v>
      </c>
      <c r="N3916">
        <v>0</v>
      </c>
      <c r="O3916">
        <v>0</v>
      </c>
      <c r="P3916">
        <v>7285543</v>
      </c>
      <c r="Q3916" t="s">
        <v>30</v>
      </c>
      <c r="R3916" t="s">
        <v>202</v>
      </c>
      <c r="S3916" t="str">
        <v>#N/A</v>
      </c>
      <c r="T3916" t="str">
        <v>13</v>
      </c>
    </row>
    <row r="3917" spans="1:20" ht="13.7" customHeight="1" x14ac:dyDescent="0.25">
      <c r="A3917" t="s">
        <v>26</v>
      </c>
      <c r="B3917" t="s">
        <v>27</v>
      </c>
      <c r="C3917" t="s">
        <v>32</v>
      </c>
      <c r="D3917">
        <v>60</v>
      </c>
      <c r="E3917" s="5">
        <v>43505</v>
      </c>
      <c r="F3917">
        <v>73050501</v>
      </c>
      <c r="G3917" t="s">
        <v>1066</v>
      </c>
      <c r="H3917" t="s">
        <v>1149</v>
      </c>
      <c r="I3917" t="s">
        <v>1150</v>
      </c>
      <c r="J3917">
        <v>1001</v>
      </c>
      <c r="K3917">
        <v>5001</v>
      </c>
      <c r="L3917" s="3">
        <v>7285543</v>
      </c>
      <c r="M3917" s="3">
        <v>330126</v>
      </c>
      <c r="N3917">
        <v>0</v>
      </c>
      <c r="O3917">
        <v>0</v>
      </c>
      <c r="P3917">
        <v>7615669</v>
      </c>
      <c r="Q3917" t="s">
        <v>30</v>
      </c>
      <c r="R3917" t="s">
        <v>215</v>
      </c>
      <c r="S3917" t="str">
        <v>#N/A</v>
      </c>
      <c r="T3917" t="str">
        <v>13</v>
      </c>
    </row>
    <row r="3918" spans="1:20" ht="13.7" customHeight="1" x14ac:dyDescent="0.25">
      <c r="A3918" t="s">
        <v>26</v>
      </c>
      <c r="B3918" t="s">
        <v>27</v>
      </c>
      <c r="C3918" t="s">
        <v>32</v>
      </c>
      <c r="D3918">
        <v>61</v>
      </c>
      <c r="E3918" s="5">
        <v>43519</v>
      </c>
      <c r="F3918">
        <v>73050501</v>
      </c>
      <c r="G3918" t="s">
        <v>1066</v>
      </c>
      <c r="H3918" t="s">
        <v>1149</v>
      </c>
      <c r="I3918" t="s">
        <v>1150</v>
      </c>
      <c r="J3918">
        <v>1001</v>
      </c>
      <c r="K3918">
        <v>5001</v>
      </c>
      <c r="L3918" s="3">
        <v>7615669</v>
      </c>
      <c r="M3918" s="3">
        <v>327935</v>
      </c>
      <c r="N3918">
        <v>0</v>
      </c>
      <c r="O3918">
        <v>0</v>
      </c>
      <c r="P3918">
        <v>7943604</v>
      </c>
      <c r="Q3918" t="s">
        <v>30</v>
      </c>
      <c r="R3918" t="s">
        <v>226</v>
      </c>
      <c r="S3918" t="str">
        <v>#N/A</v>
      </c>
      <c r="T3918" t="str">
        <v>13</v>
      </c>
    </row>
    <row r="3919" spans="1:20" ht="13.7" customHeight="1" x14ac:dyDescent="0.25">
      <c r="A3919" t="s">
        <v>26</v>
      </c>
      <c r="B3919" t="s">
        <v>27</v>
      </c>
      <c r="C3919" t="s">
        <v>91</v>
      </c>
      <c r="D3919">
        <v>79</v>
      </c>
      <c r="E3919" s="5">
        <v>43533</v>
      </c>
      <c r="F3919">
        <v>73050501</v>
      </c>
      <c r="G3919" t="s">
        <v>1066</v>
      </c>
      <c r="H3919" t="s">
        <v>1149</v>
      </c>
      <c r="I3919" t="s">
        <v>1150</v>
      </c>
      <c r="J3919">
        <v>1001</v>
      </c>
      <c r="K3919">
        <v>5001</v>
      </c>
      <c r="L3919" s="3">
        <v>7943604</v>
      </c>
      <c r="M3919" s="3">
        <v>315736</v>
      </c>
      <c r="N3919">
        <v>0</v>
      </c>
      <c r="O3919">
        <v>0</v>
      </c>
      <c r="P3919">
        <v>8259340</v>
      </c>
      <c r="Q3919" t="s">
        <v>30</v>
      </c>
      <c r="R3919" t="s">
        <v>236</v>
      </c>
      <c r="S3919" t="str">
        <v>#N/A</v>
      </c>
      <c r="T3919" t="str">
        <v>13</v>
      </c>
    </row>
    <row r="3920" spans="1:20" ht="13.7" customHeight="1" x14ac:dyDescent="0.25">
      <c r="A3920" t="s">
        <v>26</v>
      </c>
      <c r="B3920" t="s">
        <v>27</v>
      </c>
      <c r="C3920" t="s">
        <v>91</v>
      </c>
      <c r="D3920">
        <v>80</v>
      </c>
      <c r="E3920" s="5">
        <v>43547</v>
      </c>
      <c r="F3920">
        <v>73050501</v>
      </c>
      <c r="G3920" t="s">
        <v>1066</v>
      </c>
      <c r="H3920" t="s">
        <v>1149</v>
      </c>
      <c r="I3920" t="s">
        <v>1150</v>
      </c>
      <c r="J3920">
        <v>1001</v>
      </c>
      <c r="K3920">
        <v>5001</v>
      </c>
      <c r="L3920" s="3">
        <v>8259340</v>
      </c>
      <c r="M3920" s="3">
        <v>310369</v>
      </c>
      <c r="N3920">
        <v>0</v>
      </c>
      <c r="O3920">
        <v>0</v>
      </c>
      <c r="P3920">
        <v>8569709</v>
      </c>
      <c r="Q3920" t="s">
        <v>30</v>
      </c>
      <c r="R3920" t="s">
        <v>244</v>
      </c>
      <c r="S3920" t="str">
        <v>#N/A</v>
      </c>
      <c r="T3920" t="str">
        <v>13</v>
      </c>
    </row>
    <row r="3921" spans="1:20" ht="13.7" customHeight="1" x14ac:dyDescent="0.25">
      <c r="A3921" t="s">
        <v>26</v>
      </c>
      <c r="B3921" t="s">
        <v>27</v>
      </c>
      <c r="C3921" t="s">
        <v>34</v>
      </c>
      <c r="D3921">
        <v>71</v>
      </c>
      <c r="E3921" s="5">
        <v>43561</v>
      </c>
      <c r="F3921">
        <v>73050501</v>
      </c>
      <c r="G3921" t="s">
        <v>1066</v>
      </c>
      <c r="H3921" t="s">
        <v>1149</v>
      </c>
      <c r="I3921" t="s">
        <v>1150</v>
      </c>
      <c r="J3921">
        <v>1001</v>
      </c>
      <c r="K3921">
        <v>5001</v>
      </c>
      <c r="L3921" s="3">
        <v>8569709</v>
      </c>
      <c r="M3921" s="3">
        <v>265247</v>
      </c>
      <c r="N3921">
        <v>0</v>
      </c>
      <c r="O3921">
        <v>0</v>
      </c>
      <c r="P3921">
        <v>8834956</v>
      </c>
      <c r="Q3921" t="s">
        <v>30</v>
      </c>
      <c r="R3921" t="s">
        <v>244</v>
      </c>
      <c r="S3921" t="str">
        <v>#N/A</v>
      </c>
      <c r="T3921" t="str">
        <v>13</v>
      </c>
    </row>
    <row r="3922" spans="1:20" ht="13.7" customHeight="1" x14ac:dyDescent="0.25">
      <c r="A3922" t="s">
        <v>26</v>
      </c>
      <c r="B3922" t="s">
        <v>27</v>
      </c>
      <c r="C3922" t="s">
        <v>34</v>
      </c>
      <c r="D3922">
        <v>72</v>
      </c>
      <c r="E3922" s="5">
        <v>43575</v>
      </c>
      <c r="F3922">
        <v>73050501</v>
      </c>
      <c r="G3922" t="s">
        <v>1066</v>
      </c>
      <c r="H3922" t="s">
        <v>1149</v>
      </c>
      <c r="I3922" t="s">
        <v>1150</v>
      </c>
      <c r="J3922">
        <v>1001</v>
      </c>
      <c r="K3922">
        <v>5001</v>
      </c>
      <c r="L3922" s="3">
        <v>8834956</v>
      </c>
      <c r="M3922" s="3">
        <v>233985</v>
      </c>
      <c r="N3922">
        <v>0</v>
      </c>
      <c r="O3922">
        <v>0</v>
      </c>
      <c r="P3922">
        <v>9068941</v>
      </c>
      <c r="Q3922" t="s">
        <v>30</v>
      </c>
      <c r="R3922" t="s">
        <v>254</v>
      </c>
      <c r="S3922" t="str">
        <v>#N/A</v>
      </c>
      <c r="T3922" t="str">
        <v>13</v>
      </c>
    </row>
    <row r="3923" spans="1:20" ht="13.7" customHeight="1" x14ac:dyDescent="0.25">
      <c r="A3923" t="s">
        <v>26</v>
      </c>
      <c r="B3923" t="s">
        <v>27</v>
      </c>
      <c r="C3923" t="s">
        <v>35</v>
      </c>
      <c r="D3923">
        <v>97</v>
      </c>
      <c r="E3923" s="5">
        <v>43589</v>
      </c>
      <c r="F3923">
        <v>73050501</v>
      </c>
      <c r="G3923" t="s">
        <v>1066</v>
      </c>
      <c r="H3923" t="s">
        <v>1149</v>
      </c>
      <c r="I3923" t="s">
        <v>1150</v>
      </c>
      <c r="J3923">
        <v>1001</v>
      </c>
      <c r="K3923">
        <v>5001</v>
      </c>
      <c r="L3923" s="3">
        <v>9068941</v>
      </c>
      <c r="M3923" s="3">
        <v>286435</v>
      </c>
      <c r="N3923">
        <v>0</v>
      </c>
      <c r="O3923">
        <v>0</v>
      </c>
      <c r="P3923">
        <v>9355376</v>
      </c>
      <c r="Q3923" t="s">
        <v>30</v>
      </c>
      <c r="R3923" t="s">
        <v>256</v>
      </c>
      <c r="S3923" t="str">
        <v>#N/A</v>
      </c>
      <c r="T3923" t="str">
        <v>13</v>
      </c>
    </row>
    <row r="3924" spans="1:20" ht="13.7" customHeight="1" x14ac:dyDescent="0.25">
      <c r="A3924" t="s">
        <v>26</v>
      </c>
      <c r="B3924" t="s">
        <v>27</v>
      </c>
      <c r="C3924" t="s">
        <v>35</v>
      </c>
      <c r="D3924">
        <v>98</v>
      </c>
      <c r="E3924" s="5">
        <v>43603</v>
      </c>
      <c r="F3924">
        <v>73050501</v>
      </c>
      <c r="G3924" t="s">
        <v>1066</v>
      </c>
      <c r="H3924" t="s">
        <v>1149</v>
      </c>
      <c r="I3924" t="s">
        <v>1150</v>
      </c>
      <c r="J3924">
        <v>1001</v>
      </c>
      <c r="K3924">
        <v>5001</v>
      </c>
      <c r="L3924" s="3">
        <v>9355376</v>
      </c>
      <c r="M3924" s="3">
        <v>308036</v>
      </c>
      <c r="N3924">
        <v>0</v>
      </c>
      <c r="O3924">
        <v>0</v>
      </c>
      <c r="P3924">
        <v>9663412</v>
      </c>
      <c r="Q3924" t="s">
        <v>30</v>
      </c>
      <c r="R3924" t="s">
        <v>261</v>
      </c>
      <c r="S3924" t="str">
        <v>#N/A</v>
      </c>
      <c r="T3924" t="str">
        <v>13</v>
      </c>
    </row>
    <row r="3925" spans="1:20" ht="13.7" customHeight="1" x14ac:dyDescent="0.25">
      <c r="A3925" t="s">
        <v>26</v>
      </c>
      <c r="B3925" t="s">
        <v>27</v>
      </c>
      <c r="C3925" t="s">
        <v>36</v>
      </c>
      <c r="D3925">
        <v>70</v>
      </c>
      <c r="E3925" s="5">
        <v>43617</v>
      </c>
      <c r="F3925">
        <v>73050501</v>
      </c>
      <c r="G3925" t="s">
        <v>1066</v>
      </c>
      <c r="H3925" t="s">
        <v>1149</v>
      </c>
      <c r="I3925" t="s">
        <v>1150</v>
      </c>
      <c r="J3925">
        <v>1001</v>
      </c>
      <c r="K3925">
        <v>5001</v>
      </c>
      <c r="L3925" s="3">
        <v>9663412</v>
      </c>
      <c r="M3925" s="3">
        <v>293386</v>
      </c>
      <c r="N3925">
        <v>0</v>
      </c>
      <c r="O3925">
        <v>0</v>
      </c>
      <c r="P3925">
        <v>9956798</v>
      </c>
      <c r="Q3925" t="s">
        <v>30</v>
      </c>
      <c r="R3925" t="s">
        <v>264</v>
      </c>
      <c r="S3925" t="str">
        <v>#N/A</v>
      </c>
      <c r="T3925" t="str">
        <v>13</v>
      </c>
    </row>
    <row r="3926" spans="1:20" ht="13.7" customHeight="1" x14ac:dyDescent="0.25">
      <c r="A3926" t="s">
        <v>26</v>
      </c>
      <c r="B3926" t="s">
        <v>27</v>
      </c>
      <c r="C3926" t="s">
        <v>36</v>
      </c>
      <c r="D3926">
        <v>71</v>
      </c>
      <c r="E3926" s="5">
        <v>43631</v>
      </c>
      <c r="F3926">
        <v>73050501</v>
      </c>
      <c r="G3926" t="s">
        <v>1066</v>
      </c>
      <c r="H3926" t="s">
        <v>1149</v>
      </c>
      <c r="I3926" t="s">
        <v>1150</v>
      </c>
      <c r="J3926">
        <v>1001</v>
      </c>
      <c r="K3926">
        <v>5001</v>
      </c>
      <c r="L3926" s="3">
        <v>9956798</v>
      </c>
      <c r="M3926" s="3">
        <v>252914</v>
      </c>
      <c r="N3926">
        <v>0</v>
      </c>
      <c r="O3926">
        <v>0</v>
      </c>
      <c r="P3926">
        <v>10209712</v>
      </c>
      <c r="Q3926" t="s">
        <v>30</v>
      </c>
      <c r="R3926" t="s">
        <v>270</v>
      </c>
      <c r="S3926" t="str">
        <v>#N/A</v>
      </c>
      <c r="T3926" t="str">
        <v>13</v>
      </c>
    </row>
    <row r="3927" spans="1:20" ht="13.7" customHeight="1" x14ac:dyDescent="0.25">
      <c r="A3927" t="s">
        <v>26</v>
      </c>
      <c r="B3927" t="s">
        <v>27</v>
      </c>
      <c r="C3927" t="s">
        <v>36</v>
      </c>
      <c r="D3927">
        <v>73</v>
      </c>
      <c r="E3927" s="5">
        <v>43642</v>
      </c>
      <c r="F3927">
        <v>73050501</v>
      </c>
      <c r="G3927" t="s">
        <v>1066</v>
      </c>
      <c r="H3927" t="s">
        <v>1149</v>
      </c>
      <c r="I3927" t="s">
        <v>1150</v>
      </c>
      <c r="J3927">
        <v>1001</v>
      </c>
      <c r="K3927">
        <v>5001</v>
      </c>
      <c r="L3927" s="3">
        <v>10209712</v>
      </c>
      <c r="M3927" s="3">
        <v>250962</v>
      </c>
      <c r="N3927">
        <v>0</v>
      </c>
      <c r="O3927">
        <v>0</v>
      </c>
      <c r="P3927">
        <v>10460674</v>
      </c>
      <c r="Q3927" t="s">
        <v>30</v>
      </c>
      <c r="R3927" t="s">
        <v>274</v>
      </c>
      <c r="S3927" t="str">
        <v>#N/A</v>
      </c>
      <c r="T3927" t="str">
        <v>13</v>
      </c>
    </row>
    <row r="3928" spans="1:20" ht="13.7" customHeight="1" x14ac:dyDescent="0.25">
      <c r="A3928" t="s">
        <v>26</v>
      </c>
      <c r="B3928" t="s">
        <v>27</v>
      </c>
      <c r="C3928" t="s">
        <v>37</v>
      </c>
      <c r="D3928">
        <v>66</v>
      </c>
      <c r="E3928" s="5">
        <v>43659</v>
      </c>
      <c r="F3928">
        <v>73050501</v>
      </c>
      <c r="G3928" t="s">
        <v>1066</v>
      </c>
      <c r="H3928" t="s">
        <v>1149</v>
      </c>
      <c r="I3928" t="s">
        <v>1150</v>
      </c>
      <c r="J3928">
        <v>1001</v>
      </c>
      <c r="K3928">
        <v>5001</v>
      </c>
      <c r="L3928" s="3">
        <v>10460674</v>
      </c>
      <c r="M3928" s="3">
        <v>282488</v>
      </c>
      <c r="N3928">
        <v>0</v>
      </c>
      <c r="O3928">
        <v>0</v>
      </c>
      <c r="P3928">
        <v>10743162</v>
      </c>
      <c r="Q3928" t="s">
        <v>30</v>
      </c>
      <c r="R3928" t="s">
        <v>279</v>
      </c>
      <c r="S3928" t="str">
        <v>#N/A</v>
      </c>
      <c r="T3928" t="str">
        <v>13</v>
      </c>
    </row>
    <row r="3929" spans="1:20" ht="13.7" customHeight="1" x14ac:dyDescent="0.25">
      <c r="A3929" t="s">
        <v>26</v>
      </c>
      <c r="B3929" t="s">
        <v>27</v>
      </c>
      <c r="C3929" t="s">
        <v>37</v>
      </c>
      <c r="D3929">
        <v>67</v>
      </c>
      <c r="E3929" s="5">
        <v>43673</v>
      </c>
      <c r="F3929">
        <v>73050501</v>
      </c>
      <c r="G3929" t="s">
        <v>1066</v>
      </c>
      <c r="H3929" t="s">
        <v>1149</v>
      </c>
      <c r="I3929" t="s">
        <v>1150</v>
      </c>
      <c r="J3929">
        <v>1001</v>
      </c>
      <c r="K3929">
        <v>5001</v>
      </c>
      <c r="L3929" s="3">
        <v>10743162</v>
      </c>
      <c r="M3929" s="3">
        <v>187272</v>
      </c>
      <c r="N3929">
        <v>0</v>
      </c>
      <c r="O3929">
        <v>0</v>
      </c>
      <c r="P3929">
        <v>10930434</v>
      </c>
      <c r="Q3929" t="s">
        <v>30</v>
      </c>
      <c r="R3929" t="s">
        <v>282</v>
      </c>
      <c r="S3929" t="str">
        <v>#N/A</v>
      </c>
      <c r="T3929" t="str">
        <v>13</v>
      </c>
    </row>
    <row r="3930" spans="1:20" ht="13.7" customHeight="1" x14ac:dyDescent="0.25">
      <c r="A3930" t="s">
        <v>26</v>
      </c>
      <c r="B3930" t="s">
        <v>27</v>
      </c>
      <c r="C3930" t="s">
        <v>38</v>
      </c>
      <c r="D3930">
        <v>56</v>
      </c>
      <c r="E3930" s="5">
        <v>43687</v>
      </c>
      <c r="F3930">
        <v>73050501</v>
      </c>
      <c r="G3930" t="s">
        <v>1066</v>
      </c>
      <c r="H3930" t="s">
        <v>1149</v>
      </c>
      <c r="I3930" t="s">
        <v>1150</v>
      </c>
      <c r="J3930">
        <v>1001</v>
      </c>
      <c r="K3930">
        <v>5001</v>
      </c>
      <c r="L3930" s="3">
        <v>10930434</v>
      </c>
      <c r="M3930" s="3">
        <v>243533</v>
      </c>
      <c r="N3930">
        <v>0</v>
      </c>
      <c r="O3930">
        <v>0</v>
      </c>
      <c r="P3930">
        <v>11173967</v>
      </c>
      <c r="Q3930" t="s">
        <v>30</v>
      </c>
      <c r="R3930" t="s">
        <v>284</v>
      </c>
      <c r="S3930" t="str">
        <v>#N/A</v>
      </c>
      <c r="T3930" t="str">
        <v>13</v>
      </c>
    </row>
    <row r="3931" spans="1:20" ht="13.7" customHeight="1" x14ac:dyDescent="0.25">
      <c r="A3931" t="s">
        <v>26</v>
      </c>
      <c r="B3931" t="s">
        <v>27</v>
      </c>
      <c r="C3931" t="s">
        <v>38</v>
      </c>
      <c r="D3931">
        <v>57</v>
      </c>
      <c r="E3931" s="5">
        <v>43701</v>
      </c>
      <c r="F3931">
        <v>73050501</v>
      </c>
      <c r="G3931" t="s">
        <v>1066</v>
      </c>
      <c r="H3931" t="s">
        <v>1149</v>
      </c>
      <c r="I3931" t="s">
        <v>1150</v>
      </c>
      <c r="J3931">
        <v>1001</v>
      </c>
      <c r="K3931">
        <v>5001</v>
      </c>
      <c r="L3931" s="3">
        <v>11173967</v>
      </c>
      <c r="M3931" s="3">
        <v>279667</v>
      </c>
      <c r="N3931">
        <v>0</v>
      </c>
      <c r="O3931">
        <v>0</v>
      </c>
      <c r="P3931">
        <v>11453634</v>
      </c>
      <c r="Q3931" t="s">
        <v>30</v>
      </c>
      <c r="R3931" t="s">
        <v>287</v>
      </c>
      <c r="S3931" t="str">
        <v>#N/A</v>
      </c>
      <c r="T3931" t="str">
        <v>13</v>
      </c>
    </row>
    <row r="3932" spans="1:20" ht="13.7" customHeight="1" x14ac:dyDescent="0.25">
      <c r="A3932" t="s">
        <v>26</v>
      </c>
      <c r="B3932" t="s">
        <v>27</v>
      </c>
      <c r="C3932" t="s">
        <v>39</v>
      </c>
      <c r="D3932">
        <v>68</v>
      </c>
      <c r="E3932" s="5">
        <v>43715</v>
      </c>
      <c r="F3932">
        <v>73050501</v>
      </c>
      <c r="G3932" t="s">
        <v>1066</v>
      </c>
      <c r="H3932" t="s">
        <v>1149</v>
      </c>
      <c r="I3932" t="s">
        <v>1150</v>
      </c>
      <c r="J3932">
        <v>1001</v>
      </c>
      <c r="K3932">
        <v>5001</v>
      </c>
      <c r="L3932" s="3">
        <v>11453634</v>
      </c>
      <c r="M3932" s="3">
        <v>299356</v>
      </c>
      <c r="N3932">
        <v>0</v>
      </c>
      <c r="O3932">
        <v>0</v>
      </c>
      <c r="P3932">
        <v>11752990</v>
      </c>
      <c r="Q3932" t="s">
        <v>30</v>
      </c>
      <c r="R3932" t="s">
        <v>288</v>
      </c>
      <c r="S3932" t="str">
        <v>#N/A</v>
      </c>
      <c r="T3932" t="str">
        <v>13</v>
      </c>
    </row>
    <row r="3933" spans="1:20" ht="13.7" customHeight="1" x14ac:dyDescent="0.25">
      <c r="A3933" t="s">
        <v>26</v>
      </c>
      <c r="B3933" t="s">
        <v>27</v>
      </c>
      <c r="C3933" t="s">
        <v>39</v>
      </c>
      <c r="D3933">
        <v>69</v>
      </c>
      <c r="E3933" s="5">
        <v>43729</v>
      </c>
      <c r="F3933">
        <v>73050501</v>
      </c>
      <c r="G3933" t="s">
        <v>1066</v>
      </c>
      <c r="H3933" t="s">
        <v>1149</v>
      </c>
      <c r="I3933" t="s">
        <v>1150</v>
      </c>
      <c r="J3933">
        <v>1001</v>
      </c>
      <c r="K3933">
        <v>5001</v>
      </c>
      <c r="L3933" s="3">
        <v>11752990</v>
      </c>
      <c r="M3933" s="3">
        <v>304395</v>
      </c>
      <c r="N3933">
        <v>0</v>
      </c>
      <c r="O3933">
        <v>0</v>
      </c>
      <c r="P3933">
        <v>12057385</v>
      </c>
      <c r="Q3933" t="s">
        <v>30</v>
      </c>
      <c r="R3933" t="s">
        <v>291</v>
      </c>
      <c r="S3933" t="str">
        <v>#N/A</v>
      </c>
      <c r="T3933" t="str">
        <v>13</v>
      </c>
    </row>
    <row r="3934" spans="1:20" ht="13.7" customHeight="1" x14ac:dyDescent="0.25">
      <c r="A3934" t="s">
        <v>26</v>
      </c>
      <c r="B3934" t="s">
        <v>27</v>
      </c>
      <c r="C3934" t="s">
        <v>40</v>
      </c>
      <c r="D3934">
        <v>61</v>
      </c>
      <c r="E3934" s="5">
        <v>43743</v>
      </c>
      <c r="F3934">
        <v>73050501</v>
      </c>
      <c r="G3934" t="s">
        <v>1066</v>
      </c>
      <c r="H3934" t="s">
        <v>1149</v>
      </c>
      <c r="I3934" t="s">
        <v>1150</v>
      </c>
      <c r="J3934">
        <v>1001</v>
      </c>
      <c r="K3934">
        <v>5001</v>
      </c>
      <c r="L3934" s="3">
        <v>12057385</v>
      </c>
      <c r="M3934" s="3">
        <v>310531</v>
      </c>
      <c r="N3934">
        <v>0</v>
      </c>
      <c r="O3934">
        <v>0</v>
      </c>
      <c r="P3934">
        <v>12367916</v>
      </c>
      <c r="Q3934" t="s">
        <v>30</v>
      </c>
      <c r="R3934" t="s">
        <v>293</v>
      </c>
      <c r="S3934" t="str">
        <v>#N/A</v>
      </c>
      <c r="T3934" t="str">
        <v>13</v>
      </c>
    </row>
    <row r="3935" spans="1:20" ht="13.7" customHeight="1" x14ac:dyDescent="0.25">
      <c r="A3935" t="s">
        <v>26</v>
      </c>
      <c r="B3935" t="s">
        <v>27</v>
      </c>
      <c r="C3935" t="s">
        <v>40</v>
      </c>
      <c r="D3935">
        <v>62</v>
      </c>
      <c r="E3935" s="5">
        <v>43757</v>
      </c>
      <c r="F3935">
        <v>73050501</v>
      </c>
      <c r="G3935" t="s">
        <v>1066</v>
      </c>
      <c r="H3935" t="s">
        <v>1149</v>
      </c>
      <c r="I3935" t="s">
        <v>1150</v>
      </c>
      <c r="J3935">
        <v>1001</v>
      </c>
      <c r="K3935">
        <v>5001</v>
      </c>
      <c r="L3935" s="3">
        <v>12367916</v>
      </c>
      <c r="M3935" s="3">
        <v>286128</v>
      </c>
      <c r="N3935">
        <v>0</v>
      </c>
      <c r="O3935">
        <v>0</v>
      </c>
      <c r="P3935">
        <v>12654044</v>
      </c>
      <c r="Q3935" t="s">
        <v>30</v>
      </c>
      <c r="R3935" t="s">
        <v>299</v>
      </c>
      <c r="S3935" t="str">
        <v>#N/A</v>
      </c>
      <c r="T3935" t="str">
        <v>13</v>
      </c>
    </row>
    <row r="3936" spans="1:20" ht="13.7" customHeight="1" x14ac:dyDescent="0.25">
      <c r="A3936" t="s">
        <v>26</v>
      </c>
      <c r="B3936" t="s">
        <v>27</v>
      </c>
      <c r="C3936" t="s">
        <v>41</v>
      </c>
      <c r="D3936">
        <v>76</v>
      </c>
      <c r="E3936" s="5">
        <v>43771</v>
      </c>
      <c r="F3936">
        <v>73050501</v>
      </c>
      <c r="G3936" t="s">
        <v>1066</v>
      </c>
      <c r="H3936" t="s">
        <v>1149</v>
      </c>
      <c r="I3936" t="s">
        <v>1150</v>
      </c>
      <c r="J3936">
        <v>1001</v>
      </c>
      <c r="K3936">
        <v>5001</v>
      </c>
      <c r="L3936" s="3">
        <v>12654044</v>
      </c>
      <c r="M3936" s="3">
        <v>268320</v>
      </c>
      <c r="N3936">
        <v>0</v>
      </c>
      <c r="O3936">
        <v>0</v>
      </c>
      <c r="P3936">
        <v>12922364</v>
      </c>
      <c r="Q3936" t="s">
        <v>30</v>
      </c>
      <c r="R3936" t="s">
        <v>301</v>
      </c>
      <c r="S3936" t="str">
        <v>#N/A</v>
      </c>
      <c r="T3936" t="str">
        <v>13</v>
      </c>
    </row>
    <row r="3937" spans="1:20" ht="13.7" customHeight="1" x14ac:dyDescent="0.25">
      <c r="A3937" t="s">
        <v>26</v>
      </c>
      <c r="B3937" t="s">
        <v>27</v>
      </c>
      <c r="C3937" t="s">
        <v>41</v>
      </c>
      <c r="D3937">
        <v>77</v>
      </c>
      <c r="E3937" s="5">
        <v>43785</v>
      </c>
      <c r="F3937">
        <v>73050501</v>
      </c>
      <c r="G3937" t="s">
        <v>1066</v>
      </c>
      <c r="H3937" t="s">
        <v>1149</v>
      </c>
      <c r="I3937" t="s">
        <v>1150</v>
      </c>
      <c r="J3937">
        <v>1001</v>
      </c>
      <c r="K3937">
        <v>5001</v>
      </c>
      <c r="L3937" s="3">
        <v>12922364</v>
      </c>
      <c r="M3937" s="3">
        <v>273558</v>
      </c>
      <c r="N3937">
        <v>0</v>
      </c>
      <c r="O3937">
        <v>0</v>
      </c>
      <c r="P3937">
        <v>13195922</v>
      </c>
      <c r="Q3937" t="s">
        <v>30</v>
      </c>
      <c r="R3937" t="s">
        <v>305</v>
      </c>
      <c r="S3937" t="str">
        <v>#N/A</v>
      </c>
      <c r="T3937" t="str">
        <v>13</v>
      </c>
    </row>
    <row r="3938" spans="1:20" ht="13.7" customHeight="1" x14ac:dyDescent="0.25">
      <c r="A3938" t="s">
        <v>26</v>
      </c>
      <c r="B3938" t="s">
        <v>27</v>
      </c>
      <c r="C3938" t="s">
        <v>41</v>
      </c>
      <c r="D3938">
        <v>78</v>
      </c>
      <c r="E3938" s="5">
        <v>43799</v>
      </c>
      <c r="F3938">
        <v>73050501</v>
      </c>
      <c r="G3938" t="s">
        <v>1066</v>
      </c>
      <c r="H3938" t="s">
        <v>1149</v>
      </c>
      <c r="I3938" t="s">
        <v>1150</v>
      </c>
      <c r="J3938">
        <v>1001</v>
      </c>
      <c r="K3938">
        <v>5001</v>
      </c>
      <c r="L3938" s="3">
        <v>13195922</v>
      </c>
      <c r="M3938" s="3">
        <v>290822</v>
      </c>
      <c r="N3938">
        <v>0</v>
      </c>
      <c r="O3938">
        <v>0</v>
      </c>
      <c r="P3938">
        <v>13486744</v>
      </c>
      <c r="Q3938" t="s">
        <v>30</v>
      </c>
      <c r="R3938" t="s">
        <v>309</v>
      </c>
      <c r="S3938" t="str">
        <v>#N/A</v>
      </c>
      <c r="T3938" t="str">
        <v>13</v>
      </c>
    </row>
    <row r="3939" spans="1:20" ht="13.7" customHeight="1" x14ac:dyDescent="0.25">
      <c r="A3939" t="s">
        <v>26</v>
      </c>
      <c r="B3939" t="s">
        <v>27</v>
      </c>
      <c r="C3939" t="s">
        <v>180</v>
      </c>
      <c r="D3939">
        <v>1</v>
      </c>
      <c r="E3939" s="5">
        <v>43813</v>
      </c>
      <c r="F3939">
        <v>73050501</v>
      </c>
      <c r="G3939" t="s">
        <v>1066</v>
      </c>
      <c r="H3939" t="s">
        <v>1149</v>
      </c>
      <c r="I3939" t="s">
        <v>1150</v>
      </c>
      <c r="J3939">
        <v>1001</v>
      </c>
      <c r="K3939">
        <v>5001</v>
      </c>
      <c r="L3939" s="3">
        <v>13486744</v>
      </c>
      <c r="M3939" s="3">
        <v>297139</v>
      </c>
      <c r="N3939">
        <v>0</v>
      </c>
      <c r="O3939">
        <v>0</v>
      </c>
      <c r="P3939">
        <v>13783883</v>
      </c>
      <c r="Q3939" t="s">
        <v>30</v>
      </c>
      <c r="R3939" t="s">
        <v>316</v>
      </c>
      <c r="S3939" t="str">
        <v>#N/A</v>
      </c>
      <c r="T3939" t="str">
        <v>13</v>
      </c>
    </row>
    <row r="3940" spans="1:20" ht="13.7" customHeight="1" x14ac:dyDescent="0.25">
      <c r="A3940" t="s">
        <v>26</v>
      </c>
      <c r="B3940" t="s">
        <v>27</v>
      </c>
      <c r="C3940" t="s">
        <v>180</v>
      </c>
      <c r="D3940">
        <v>90</v>
      </c>
      <c r="E3940" s="5">
        <v>43819</v>
      </c>
      <c r="F3940">
        <v>73050501</v>
      </c>
      <c r="G3940" t="s">
        <v>1066</v>
      </c>
      <c r="H3940" t="s">
        <v>1149</v>
      </c>
      <c r="I3940" t="s">
        <v>1150</v>
      </c>
      <c r="J3940" t="e">
        <v>#N/A</v>
      </c>
      <c r="K3940" t="e">
        <v>#N/A</v>
      </c>
      <c r="L3940" s="3">
        <v>13783883</v>
      </c>
      <c r="M3940" s="3">
        <v>129687</v>
      </c>
      <c r="N3940">
        <v>0</v>
      </c>
      <c r="O3940">
        <v>0</v>
      </c>
      <c r="P3940">
        <v>13913570</v>
      </c>
      <c r="Q3940" t="s">
        <v>30</v>
      </c>
      <c r="R3940" t="s">
        <v>1503</v>
      </c>
      <c r="S3940" t="str">
        <v>#N/A</v>
      </c>
      <c r="T3940" t="str">
        <v>13</v>
      </c>
    </row>
    <row r="3941" spans="1:20" ht="13.7" customHeight="1" x14ac:dyDescent="0.25">
      <c r="E3941" s="5">
        <v>43465</v>
      </c>
      <c r="F3941">
        <v>73050501</v>
      </c>
      <c r="G3941" t="s">
        <v>1066</v>
      </c>
      <c r="H3941" t="s">
        <v>1169</v>
      </c>
      <c r="I3941" t="s">
        <v>1170</v>
      </c>
      <c r="J3941">
        <v>0</v>
      </c>
      <c r="K3941">
        <v>0</v>
      </c>
      <c r="L3941" s="3">
        <v>8590256</v>
      </c>
      <c r="M3941" s="3">
        <v>0</v>
      </c>
      <c r="N3941">
        <v>0</v>
      </c>
      <c r="O3941">
        <v>0</v>
      </c>
      <c r="P3941">
        <v>8590256</v>
      </c>
      <c r="R3941" t="s">
        <v>1100</v>
      </c>
      <c r="S3941" t="str">
        <v>#N/A</v>
      </c>
      <c r="T3941" t="str">
        <v>13</v>
      </c>
    </row>
    <row r="3942" spans="1:20" ht="13.7" customHeight="1" x14ac:dyDescent="0.25">
      <c r="A3942" t="s">
        <v>26</v>
      </c>
      <c r="B3942" t="s">
        <v>27</v>
      </c>
      <c r="C3942" t="s">
        <v>28</v>
      </c>
      <c r="D3942">
        <v>77</v>
      </c>
      <c r="E3942" s="5">
        <v>43491</v>
      </c>
      <c r="F3942">
        <v>73050501</v>
      </c>
      <c r="G3942" t="s">
        <v>1066</v>
      </c>
      <c r="H3942" t="s">
        <v>1169</v>
      </c>
      <c r="I3942" t="s">
        <v>1170</v>
      </c>
      <c r="J3942">
        <v>1001</v>
      </c>
      <c r="K3942">
        <v>5001</v>
      </c>
      <c r="L3942" s="3">
        <v>8590256</v>
      </c>
      <c r="M3942" s="3">
        <v>422275</v>
      </c>
      <c r="N3942">
        <v>0</v>
      </c>
      <c r="O3942">
        <v>0</v>
      </c>
      <c r="P3942">
        <v>9012531</v>
      </c>
      <c r="Q3942" t="s">
        <v>30</v>
      </c>
      <c r="R3942" t="s">
        <v>202</v>
      </c>
      <c r="S3942" t="str">
        <v>#N/A</v>
      </c>
      <c r="T3942" t="str">
        <v>13</v>
      </c>
    </row>
    <row r="3943" spans="1:20" ht="13.7" customHeight="1" x14ac:dyDescent="0.25">
      <c r="A3943" t="s">
        <v>26</v>
      </c>
      <c r="B3943" t="s">
        <v>27</v>
      </c>
      <c r="C3943" t="s">
        <v>32</v>
      </c>
      <c r="D3943">
        <v>60</v>
      </c>
      <c r="E3943" s="5">
        <v>43505</v>
      </c>
      <c r="F3943">
        <v>73050501</v>
      </c>
      <c r="G3943" t="s">
        <v>1066</v>
      </c>
      <c r="H3943" t="s">
        <v>1169</v>
      </c>
      <c r="I3943" t="s">
        <v>1170</v>
      </c>
      <c r="J3943">
        <v>1001</v>
      </c>
      <c r="K3943">
        <v>5001</v>
      </c>
      <c r="L3943" s="3">
        <v>9012531</v>
      </c>
      <c r="M3943" s="3">
        <v>422275</v>
      </c>
      <c r="N3943">
        <v>0</v>
      </c>
      <c r="O3943">
        <v>0</v>
      </c>
      <c r="P3943">
        <v>9434806</v>
      </c>
      <c r="Q3943" t="s">
        <v>30</v>
      </c>
      <c r="R3943" t="s">
        <v>215</v>
      </c>
      <c r="S3943" t="str">
        <v>#N/A</v>
      </c>
      <c r="T3943" t="str">
        <v>13</v>
      </c>
    </row>
    <row r="3944" spans="1:20" ht="13.7" customHeight="1" x14ac:dyDescent="0.25">
      <c r="A3944" t="s">
        <v>26</v>
      </c>
      <c r="B3944" t="s">
        <v>27</v>
      </c>
      <c r="C3944" t="s">
        <v>32</v>
      </c>
      <c r="D3944">
        <v>61</v>
      </c>
      <c r="E3944" s="5">
        <v>43519</v>
      </c>
      <c r="F3944">
        <v>73050501</v>
      </c>
      <c r="G3944" t="s">
        <v>1066</v>
      </c>
      <c r="H3944" t="s">
        <v>1169</v>
      </c>
      <c r="I3944" t="s">
        <v>1170</v>
      </c>
      <c r="J3944">
        <v>1001</v>
      </c>
      <c r="K3944">
        <v>5001</v>
      </c>
      <c r="L3944" s="3">
        <v>9434806</v>
      </c>
      <c r="M3944" s="3">
        <v>422275</v>
      </c>
      <c r="N3944">
        <v>0</v>
      </c>
      <c r="O3944">
        <v>0</v>
      </c>
      <c r="P3944">
        <v>9857081</v>
      </c>
      <c r="Q3944" t="s">
        <v>30</v>
      </c>
      <c r="R3944" t="s">
        <v>226</v>
      </c>
      <c r="S3944" t="str">
        <v>#N/A</v>
      </c>
      <c r="T3944" t="str">
        <v>13</v>
      </c>
    </row>
    <row r="3945" spans="1:20" ht="13.7" customHeight="1" x14ac:dyDescent="0.25">
      <c r="A3945" t="s">
        <v>26</v>
      </c>
      <c r="B3945" t="s">
        <v>27</v>
      </c>
      <c r="C3945" t="s">
        <v>91</v>
      </c>
      <c r="D3945">
        <v>79</v>
      </c>
      <c r="E3945" s="5">
        <v>43533</v>
      </c>
      <c r="F3945">
        <v>73050501</v>
      </c>
      <c r="G3945" t="s">
        <v>1066</v>
      </c>
      <c r="H3945" t="s">
        <v>1169</v>
      </c>
      <c r="I3945" t="s">
        <v>1170</v>
      </c>
      <c r="J3945">
        <v>1001</v>
      </c>
      <c r="K3945">
        <v>5001</v>
      </c>
      <c r="L3945" s="3">
        <v>9857081</v>
      </c>
      <c r="M3945" s="3">
        <v>422275</v>
      </c>
      <c r="N3945">
        <v>0</v>
      </c>
      <c r="O3945">
        <v>0</v>
      </c>
      <c r="P3945">
        <v>10279356</v>
      </c>
      <c r="Q3945" t="s">
        <v>30</v>
      </c>
      <c r="R3945" t="s">
        <v>236</v>
      </c>
      <c r="S3945" t="str">
        <v>#N/A</v>
      </c>
      <c r="T3945" t="str">
        <v>13</v>
      </c>
    </row>
    <row r="3946" spans="1:20" ht="13.7" customHeight="1" x14ac:dyDescent="0.25">
      <c r="A3946" t="s">
        <v>26</v>
      </c>
      <c r="B3946" t="s">
        <v>27</v>
      </c>
      <c r="C3946" t="s">
        <v>91</v>
      </c>
      <c r="D3946">
        <v>80</v>
      </c>
      <c r="E3946" s="5">
        <v>43547</v>
      </c>
      <c r="F3946">
        <v>73050501</v>
      </c>
      <c r="G3946" t="s">
        <v>1066</v>
      </c>
      <c r="H3946" t="s">
        <v>1169</v>
      </c>
      <c r="I3946" t="s">
        <v>1170</v>
      </c>
      <c r="J3946">
        <v>1001</v>
      </c>
      <c r="K3946">
        <v>5001</v>
      </c>
      <c r="L3946" s="3">
        <v>10279356</v>
      </c>
      <c r="M3946" s="3">
        <v>422275</v>
      </c>
      <c r="N3946">
        <v>0</v>
      </c>
      <c r="O3946">
        <v>0</v>
      </c>
      <c r="P3946">
        <v>10701631</v>
      </c>
      <c r="Q3946" t="s">
        <v>30</v>
      </c>
      <c r="R3946" t="s">
        <v>244</v>
      </c>
      <c r="S3946" t="str">
        <v>#N/A</v>
      </c>
      <c r="T3946" t="str">
        <v>13</v>
      </c>
    </row>
    <row r="3947" spans="1:20" ht="13.7" customHeight="1" x14ac:dyDescent="0.25">
      <c r="A3947" t="s">
        <v>26</v>
      </c>
      <c r="B3947" t="s">
        <v>27</v>
      </c>
      <c r="C3947" t="s">
        <v>34</v>
      </c>
      <c r="D3947">
        <v>71</v>
      </c>
      <c r="E3947" s="5">
        <v>43561</v>
      </c>
      <c r="F3947">
        <v>73050501</v>
      </c>
      <c r="G3947" t="s">
        <v>1066</v>
      </c>
      <c r="H3947" t="s">
        <v>1169</v>
      </c>
      <c r="I3947" t="s">
        <v>1170</v>
      </c>
      <c r="J3947">
        <v>1001</v>
      </c>
      <c r="K3947">
        <v>5001</v>
      </c>
      <c r="L3947" s="3">
        <v>10701631</v>
      </c>
      <c r="M3947" s="3">
        <v>422275</v>
      </c>
      <c r="N3947">
        <v>0</v>
      </c>
      <c r="O3947">
        <v>0</v>
      </c>
      <c r="P3947">
        <v>11123906</v>
      </c>
      <c r="Q3947" t="s">
        <v>30</v>
      </c>
      <c r="R3947" t="s">
        <v>244</v>
      </c>
      <c r="S3947" t="str">
        <v>#N/A</v>
      </c>
      <c r="T3947" t="str">
        <v>13</v>
      </c>
    </row>
    <row r="3948" spans="1:20" ht="13.7" customHeight="1" x14ac:dyDescent="0.25">
      <c r="A3948" t="s">
        <v>26</v>
      </c>
      <c r="B3948" t="s">
        <v>27</v>
      </c>
      <c r="C3948" t="s">
        <v>34</v>
      </c>
      <c r="D3948">
        <v>72</v>
      </c>
      <c r="E3948" s="5">
        <v>43575</v>
      </c>
      <c r="F3948">
        <v>73050501</v>
      </c>
      <c r="G3948" t="s">
        <v>1066</v>
      </c>
      <c r="H3948" t="s">
        <v>1169</v>
      </c>
      <c r="I3948" t="s">
        <v>1170</v>
      </c>
      <c r="J3948">
        <v>1001</v>
      </c>
      <c r="K3948">
        <v>5001</v>
      </c>
      <c r="L3948" s="3">
        <v>11123906</v>
      </c>
      <c r="M3948" s="3">
        <v>422275</v>
      </c>
      <c r="N3948">
        <v>0</v>
      </c>
      <c r="O3948">
        <v>0</v>
      </c>
      <c r="P3948">
        <v>11546181</v>
      </c>
      <c r="Q3948" t="s">
        <v>30</v>
      </c>
      <c r="R3948" t="s">
        <v>254</v>
      </c>
      <c r="S3948" t="str">
        <v>#N/A</v>
      </c>
      <c r="T3948" t="str">
        <v>13</v>
      </c>
    </row>
    <row r="3949" spans="1:20" ht="13.7" customHeight="1" x14ac:dyDescent="0.25">
      <c r="A3949" t="s">
        <v>26</v>
      </c>
      <c r="B3949" t="s">
        <v>27</v>
      </c>
      <c r="C3949" t="s">
        <v>35</v>
      </c>
      <c r="D3949">
        <v>97</v>
      </c>
      <c r="E3949" s="5">
        <v>43589</v>
      </c>
      <c r="F3949">
        <v>73050501</v>
      </c>
      <c r="G3949" t="s">
        <v>1066</v>
      </c>
      <c r="H3949" t="s">
        <v>1169</v>
      </c>
      <c r="I3949" t="s">
        <v>1170</v>
      </c>
      <c r="J3949">
        <v>1001</v>
      </c>
      <c r="K3949">
        <v>5001</v>
      </c>
      <c r="L3949" s="3">
        <v>11546181</v>
      </c>
      <c r="M3949" s="3">
        <v>422275</v>
      </c>
      <c r="N3949">
        <v>0</v>
      </c>
      <c r="O3949">
        <v>0</v>
      </c>
      <c r="P3949">
        <v>11968456</v>
      </c>
      <c r="Q3949" t="s">
        <v>30</v>
      </c>
      <c r="R3949" t="s">
        <v>256</v>
      </c>
      <c r="S3949" t="str">
        <v>#N/A</v>
      </c>
      <c r="T3949" t="str">
        <v>13</v>
      </c>
    </row>
    <row r="3950" spans="1:20" ht="13.7" customHeight="1" x14ac:dyDescent="0.25">
      <c r="A3950" t="s">
        <v>26</v>
      </c>
      <c r="B3950" t="s">
        <v>27</v>
      </c>
      <c r="C3950" t="s">
        <v>35</v>
      </c>
      <c r="D3950">
        <v>98</v>
      </c>
      <c r="E3950" s="5">
        <v>43603</v>
      </c>
      <c r="F3950">
        <v>73050501</v>
      </c>
      <c r="G3950" t="s">
        <v>1066</v>
      </c>
      <c r="H3950" t="s">
        <v>1169</v>
      </c>
      <c r="I3950" t="s">
        <v>1170</v>
      </c>
      <c r="J3950">
        <v>1001</v>
      </c>
      <c r="K3950">
        <v>5001</v>
      </c>
      <c r="L3950" s="3">
        <v>11968456</v>
      </c>
      <c r="M3950" s="3">
        <v>422275</v>
      </c>
      <c r="N3950">
        <v>0</v>
      </c>
      <c r="O3950">
        <v>0</v>
      </c>
      <c r="P3950">
        <v>12390731</v>
      </c>
      <c r="Q3950" t="s">
        <v>30</v>
      </c>
      <c r="R3950" t="s">
        <v>261</v>
      </c>
      <c r="S3950" t="str">
        <v>#N/A</v>
      </c>
      <c r="T3950" t="str">
        <v>13</v>
      </c>
    </row>
    <row r="3951" spans="1:20" ht="13.7" customHeight="1" x14ac:dyDescent="0.25">
      <c r="A3951" t="s">
        <v>26</v>
      </c>
      <c r="B3951" t="s">
        <v>27</v>
      </c>
      <c r="C3951" t="s">
        <v>36</v>
      </c>
      <c r="D3951">
        <v>70</v>
      </c>
      <c r="E3951" s="5">
        <v>43617</v>
      </c>
      <c r="F3951">
        <v>73050501</v>
      </c>
      <c r="G3951" t="s">
        <v>1066</v>
      </c>
      <c r="H3951" t="s">
        <v>1169</v>
      </c>
      <c r="I3951" t="s">
        <v>1170</v>
      </c>
      <c r="J3951">
        <v>1001</v>
      </c>
      <c r="K3951">
        <v>5001</v>
      </c>
      <c r="L3951" s="3">
        <v>12390731</v>
      </c>
      <c r="M3951" s="3">
        <v>422275</v>
      </c>
      <c r="N3951">
        <v>0</v>
      </c>
      <c r="O3951">
        <v>0</v>
      </c>
      <c r="P3951">
        <v>12813006</v>
      </c>
      <c r="Q3951" t="s">
        <v>30</v>
      </c>
      <c r="R3951" t="s">
        <v>264</v>
      </c>
      <c r="S3951" t="str">
        <v>#N/A</v>
      </c>
      <c r="T3951" t="str">
        <v>13</v>
      </c>
    </row>
    <row r="3952" spans="1:20" ht="13.7" customHeight="1" x14ac:dyDescent="0.25">
      <c r="A3952" t="s">
        <v>26</v>
      </c>
      <c r="B3952" t="s">
        <v>27</v>
      </c>
      <c r="C3952" t="s">
        <v>36</v>
      </c>
      <c r="D3952">
        <v>71</v>
      </c>
      <c r="E3952" s="5">
        <v>43631</v>
      </c>
      <c r="F3952">
        <v>73050501</v>
      </c>
      <c r="G3952" t="s">
        <v>1066</v>
      </c>
      <c r="H3952" t="s">
        <v>1169</v>
      </c>
      <c r="I3952" t="s">
        <v>1170</v>
      </c>
      <c r="J3952">
        <v>1001</v>
      </c>
      <c r="K3952">
        <v>5001</v>
      </c>
      <c r="L3952" s="3">
        <v>12813006</v>
      </c>
      <c r="M3952" s="3">
        <v>422275</v>
      </c>
      <c r="N3952">
        <v>0</v>
      </c>
      <c r="O3952">
        <v>0</v>
      </c>
      <c r="P3952">
        <v>13235281</v>
      </c>
      <c r="Q3952" t="s">
        <v>30</v>
      </c>
      <c r="R3952" t="s">
        <v>270</v>
      </c>
      <c r="S3952" t="str">
        <v>#N/A</v>
      </c>
      <c r="T3952" t="str">
        <v>13</v>
      </c>
    </row>
    <row r="3953" spans="1:20" ht="13.7" customHeight="1" x14ac:dyDescent="0.25">
      <c r="A3953" t="s">
        <v>26</v>
      </c>
      <c r="B3953" t="s">
        <v>27</v>
      </c>
      <c r="C3953" t="s">
        <v>36</v>
      </c>
      <c r="D3953">
        <v>73</v>
      </c>
      <c r="E3953" s="5">
        <v>43642</v>
      </c>
      <c r="F3953">
        <v>73050501</v>
      </c>
      <c r="G3953" t="s">
        <v>1066</v>
      </c>
      <c r="H3953" t="s">
        <v>1169</v>
      </c>
      <c r="I3953" t="s">
        <v>1170</v>
      </c>
      <c r="J3953">
        <v>1001</v>
      </c>
      <c r="K3953">
        <v>5001</v>
      </c>
      <c r="L3953" s="3">
        <v>13235281</v>
      </c>
      <c r="M3953" s="3">
        <v>422275</v>
      </c>
      <c r="N3953">
        <v>0</v>
      </c>
      <c r="O3953">
        <v>0</v>
      </c>
      <c r="P3953">
        <v>13657556</v>
      </c>
      <c r="Q3953" t="s">
        <v>30</v>
      </c>
      <c r="R3953" t="s">
        <v>274</v>
      </c>
      <c r="S3953" t="str">
        <v>#N/A</v>
      </c>
      <c r="T3953" t="str">
        <v>13</v>
      </c>
    </row>
    <row r="3954" spans="1:20" ht="13.7" customHeight="1" x14ac:dyDescent="0.25">
      <c r="A3954" t="s">
        <v>26</v>
      </c>
      <c r="B3954" t="s">
        <v>27</v>
      </c>
      <c r="C3954" t="s">
        <v>37</v>
      </c>
      <c r="D3954">
        <v>66</v>
      </c>
      <c r="E3954" s="5">
        <v>43659</v>
      </c>
      <c r="F3954">
        <v>73050501</v>
      </c>
      <c r="G3954" t="s">
        <v>1066</v>
      </c>
      <c r="H3954" t="s">
        <v>1169</v>
      </c>
      <c r="I3954" t="s">
        <v>1170</v>
      </c>
      <c r="J3954">
        <v>1001</v>
      </c>
      <c r="K3954">
        <v>5001</v>
      </c>
      <c r="L3954" s="3">
        <v>13657556</v>
      </c>
      <c r="M3954" s="3">
        <v>422275</v>
      </c>
      <c r="N3954">
        <v>0</v>
      </c>
      <c r="O3954">
        <v>0</v>
      </c>
      <c r="P3954">
        <v>14079831</v>
      </c>
      <c r="Q3954" t="s">
        <v>30</v>
      </c>
      <c r="R3954" t="s">
        <v>279</v>
      </c>
      <c r="S3954" t="str">
        <v>#N/A</v>
      </c>
      <c r="T3954" t="str">
        <v>13</v>
      </c>
    </row>
    <row r="3955" spans="1:20" ht="13.7" customHeight="1" x14ac:dyDescent="0.25">
      <c r="A3955" t="s">
        <v>26</v>
      </c>
      <c r="B3955" t="s">
        <v>27</v>
      </c>
      <c r="C3955" t="s">
        <v>37</v>
      </c>
      <c r="D3955">
        <v>67</v>
      </c>
      <c r="E3955" s="5">
        <v>43673</v>
      </c>
      <c r="F3955">
        <v>73050501</v>
      </c>
      <c r="G3955" t="s">
        <v>1066</v>
      </c>
      <c r="H3955" t="s">
        <v>1169</v>
      </c>
      <c r="I3955" t="s">
        <v>1170</v>
      </c>
      <c r="J3955">
        <v>1001</v>
      </c>
      <c r="K3955">
        <v>5001</v>
      </c>
      <c r="L3955" s="3">
        <v>14079831</v>
      </c>
      <c r="M3955" s="3">
        <v>422275</v>
      </c>
      <c r="N3955">
        <v>0</v>
      </c>
      <c r="O3955">
        <v>0</v>
      </c>
      <c r="P3955">
        <v>14502106</v>
      </c>
      <c r="Q3955" t="s">
        <v>30</v>
      </c>
      <c r="R3955" t="s">
        <v>282</v>
      </c>
      <c r="S3955" t="str">
        <v>#N/A</v>
      </c>
      <c r="T3955" t="str">
        <v>13</v>
      </c>
    </row>
    <row r="3956" spans="1:20" ht="13.7" customHeight="1" x14ac:dyDescent="0.25">
      <c r="A3956" t="s">
        <v>26</v>
      </c>
      <c r="B3956" t="s">
        <v>27</v>
      </c>
      <c r="C3956" t="s">
        <v>38</v>
      </c>
      <c r="D3956">
        <v>56</v>
      </c>
      <c r="E3956" s="5">
        <v>43687</v>
      </c>
      <c r="F3956">
        <v>73050501</v>
      </c>
      <c r="G3956" t="s">
        <v>1066</v>
      </c>
      <c r="H3956" t="s">
        <v>1169</v>
      </c>
      <c r="I3956" t="s">
        <v>1170</v>
      </c>
      <c r="J3956">
        <v>1001</v>
      </c>
      <c r="K3956">
        <v>5001</v>
      </c>
      <c r="L3956" s="3">
        <v>14502106</v>
      </c>
      <c r="M3956" s="3">
        <v>422275</v>
      </c>
      <c r="N3956">
        <v>0</v>
      </c>
      <c r="O3956">
        <v>0</v>
      </c>
      <c r="P3956">
        <v>14924381</v>
      </c>
      <c r="Q3956" t="s">
        <v>30</v>
      </c>
      <c r="R3956" t="s">
        <v>284</v>
      </c>
      <c r="S3956" t="str">
        <v>#N/A</v>
      </c>
      <c r="T3956" t="str">
        <v>13</v>
      </c>
    </row>
    <row r="3957" spans="1:20" ht="13.7" customHeight="1" x14ac:dyDescent="0.25">
      <c r="A3957" t="s">
        <v>26</v>
      </c>
      <c r="B3957" t="s">
        <v>27</v>
      </c>
      <c r="C3957" t="s">
        <v>38</v>
      </c>
      <c r="D3957">
        <v>57</v>
      </c>
      <c r="E3957" s="5">
        <v>43701</v>
      </c>
      <c r="F3957">
        <v>73050501</v>
      </c>
      <c r="G3957" t="s">
        <v>1066</v>
      </c>
      <c r="H3957" t="s">
        <v>1169</v>
      </c>
      <c r="I3957" t="s">
        <v>1170</v>
      </c>
      <c r="J3957">
        <v>1001</v>
      </c>
      <c r="K3957">
        <v>5001</v>
      </c>
      <c r="L3957" s="3">
        <v>14924381</v>
      </c>
      <c r="M3957" s="3">
        <v>422275</v>
      </c>
      <c r="N3957">
        <v>0</v>
      </c>
      <c r="O3957">
        <v>0</v>
      </c>
      <c r="P3957">
        <v>15346656</v>
      </c>
      <c r="Q3957" t="s">
        <v>30</v>
      </c>
      <c r="R3957" t="s">
        <v>287</v>
      </c>
      <c r="S3957" t="str">
        <v>#N/A</v>
      </c>
      <c r="T3957" t="str">
        <v>13</v>
      </c>
    </row>
    <row r="3958" spans="1:20" ht="13.7" customHeight="1" x14ac:dyDescent="0.25">
      <c r="A3958" t="s">
        <v>26</v>
      </c>
      <c r="B3958" t="s">
        <v>27</v>
      </c>
      <c r="C3958" t="s">
        <v>39</v>
      </c>
      <c r="D3958">
        <v>68</v>
      </c>
      <c r="E3958" s="5">
        <v>43715</v>
      </c>
      <c r="F3958">
        <v>73050501</v>
      </c>
      <c r="G3958" t="s">
        <v>1066</v>
      </c>
      <c r="H3958" t="s">
        <v>1169</v>
      </c>
      <c r="I3958" t="s">
        <v>1170</v>
      </c>
      <c r="J3958">
        <v>1001</v>
      </c>
      <c r="K3958">
        <v>5001</v>
      </c>
      <c r="L3958" s="3">
        <v>15346656</v>
      </c>
      <c r="M3958" s="3">
        <v>422275</v>
      </c>
      <c r="N3958">
        <v>0</v>
      </c>
      <c r="O3958">
        <v>0</v>
      </c>
      <c r="P3958">
        <v>15768931</v>
      </c>
      <c r="Q3958" t="s">
        <v>30</v>
      </c>
      <c r="R3958" t="s">
        <v>288</v>
      </c>
      <c r="S3958" t="str">
        <v>#N/A</v>
      </c>
      <c r="T3958" t="str">
        <v>13</v>
      </c>
    </row>
    <row r="3959" spans="1:20" ht="13.7" customHeight="1" x14ac:dyDescent="0.25">
      <c r="A3959" t="s">
        <v>26</v>
      </c>
      <c r="B3959" t="s">
        <v>27</v>
      </c>
      <c r="C3959" t="s">
        <v>39</v>
      </c>
      <c r="D3959">
        <v>69</v>
      </c>
      <c r="E3959" s="5">
        <v>43729</v>
      </c>
      <c r="F3959">
        <v>73050501</v>
      </c>
      <c r="G3959" t="s">
        <v>1066</v>
      </c>
      <c r="H3959" t="s">
        <v>1169</v>
      </c>
      <c r="I3959" t="s">
        <v>1170</v>
      </c>
      <c r="J3959">
        <v>1001</v>
      </c>
      <c r="K3959">
        <v>5001</v>
      </c>
      <c r="L3959" s="3">
        <v>15768931</v>
      </c>
      <c r="M3959" s="3">
        <v>422275</v>
      </c>
      <c r="N3959">
        <v>0</v>
      </c>
      <c r="O3959">
        <v>0</v>
      </c>
      <c r="P3959">
        <v>16191206</v>
      </c>
      <c r="Q3959" t="s">
        <v>30</v>
      </c>
      <c r="R3959" t="s">
        <v>291</v>
      </c>
      <c r="S3959" t="str">
        <v>#N/A</v>
      </c>
      <c r="T3959" t="str">
        <v>13</v>
      </c>
    </row>
    <row r="3960" spans="1:20" ht="13.7" customHeight="1" x14ac:dyDescent="0.25">
      <c r="A3960" t="s">
        <v>26</v>
      </c>
      <c r="B3960" t="s">
        <v>27</v>
      </c>
      <c r="C3960" t="s">
        <v>40</v>
      </c>
      <c r="D3960">
        <v>61</v>
      </c>
      <c r="E3960" s="5">
        <v>43743</v>
      </c>
      <c r="F3960">
        <v>73050501</v>
      </c>
      <c r="G3960" t="s">
        <v>1066</v>
      </c>
      <c r="H3960" t="s">
        <v>1169</v>
      </c>
      <c r="I3960" t="s">
        <v>1170</v>
      </c>
      <c r="J3960">
        <v>1001</v>
      </c>
      <c r="K3960">
        <v>5001</v>
      </c>
      <c r="L3960" s="3">
        <v>16191206</v>
      </c>
      <c r="M3960" s="3">
        <v>422275</v>
      </c>
      <c r="N3960">
        <v>0</v>
      </c>
      <c r="O3960">
        <v>0</v>
      </c>
      <c r="P3960">
        <v>16613481</v>
      </c>
      <c r="Q3960" t="s">
        <v>30</v>
      </c>
      <c r="R3960" t="s">
        <v>293</v>
      </c>
      <c r="S3960" t="str">
        <v>#N/A</v>
      </c>
      <c r="T3960" t="str">
        <v>13</v>
      </c>
    </row>
    <row r="3961" spans="1:20" ht="13.7" customHeight="1" x14ac:dyDescent="0.25">
      <c r="A3961" t="s">
        <v>26</v>
      </c>
      <c r="B3961" t="s">
        <v>27</v>
      </c>
      <c r="C3961" t="s">
        <v>40</v>
      </c>
      <c r="D3961">
        <v>62</v>
      </c>
      <c r="E3961" s="5">
        <v>43757</v>
      </c>
      <c r="F3961">
        <v>73050501</v>
      </c>
      <c r="G3961" t="s">
        <v>1066</v>
      </c>
      <c r="H3961" t="s">
        <v>1169</v>
      </c>
      <c r="I3961" t="s">
        <v>1170</v>
      </c>
      <c r="J3961">
        <v>1001</v>
      </c>
      <c r="K3961">
        <v>5001</v>
      </c>
      <c r="L3961" s="3">
        <v>16613481</v>
      </c>
      <c r="M3961" s="3">
        <v>422275</v>
      </c>
      <c r="N3961">
        <v>0</v>
      </c>
      <c r="O3961">
        <v>0</v>
      </c>
      <c r="P3961">
        <v>17035756</v>
      </c>
      <c r="Q3961" t="s">
        <v>30</v>
      </c>
      <c r="R3961" t="s">
        <v>299</v>
      </c>
      <c r="S3961" t="str">
        <v>#N/A</v>
      </c>
      <c r="T3961" t="str">
        <v>13</v>
      </c>
    </row>
    <row r="3962" spans="1:20" ht="13.7" customHeight="1" x14ac:dyDescent="0.25">
      <c r="A3962" t="s">
        <v>26</v>
      </c>
      <c r="B3962" t="s">
        <v>27</v>
      </c>
      <c r="C3962" t="s">
        <v>41</v>
      </c>
      <c r="D3962">
        <v>76</v>
      </c>
      <c r="E3962" s="5">
        <v>43771</v>
      </c>
      <c r="F3962">
        <v>73050501</v>
      </c>
      <c r="G3962" t="s">
        <v>1066</v>
      </c>
      <c r="H3962" t="s">
        <v>1169</v>
      </c>
      <c r="I3962" t="s">
        <v>1170</v>
      </c>
      <c r="J3962">
        <v>1001</v>
      </c>
      <c r="K3962">
        <v>5001</v>
      </c>
      <c r="L3962" s="3">
        <v>17035756</v>
      </c>
      <c r="M3962" s="3">
        <v>422275</v>
      </c>
      <c r="N3962">
        <v>0</v>
      </c>
      <c r="O3962">
        <v>0</v>
      </c>
      <c r="P3962">
        <v>17458031</v>
      </c>
      <c r="Q3962" t="s">
        <v>30</v>
      </c>
      <c r="R3962" t="s">
        <v>301</v>
      </c>
      <c r="S3962" t="str">
        <v>#N/A</v>
      </c>
      <c r="T3962" t="str">
        <v>13</v>
      </c>
    </row>
    <row r="3963" spans="1:20" ht="13.7" customHeight="1" x14ac:dyDescent="0.25">
      <c r="A3963" t="s">
        <v>26</v>
      </c>
      <c r="B3963" t="s">
        <v>27</v>
      </c>
      <c r="C3963" t="s">
        <v>41</v>
      </c>
      <c r="D3963">
        <v>77</v>
      </c>
      <c r="E3963" s="5">
        <v>43785</v>
      </c>
      <c r="F3963">
        <v>73050501</v>
      </c>
      <c r="G3963" t="s">
        <v>1066</v>
      </c>
      <c r="H3963" t="s">
        <v>1169</v>
      </c>
      <c r="I3963" t="s">
        <v>1170</v>
      </c>
      <c r="J3963">
        <v>1001</v>
      </c>
      <c r="K3963">
        <v>5001</v>
      </c>
      <c r="L3963" s="3">
        <v>17458031</v>
      </c>
      <c r="M3963" s="3">
        <v>422275</v>
      </c>
      <c r="N3963">
        <v>0</v>
      </c>
      <c r="O3963">
        <v>0</v>
      </c>
      <c r="P3963">
        <v>17880306</v>
      </c>
      <c r="Q3963" t="s">
        <v>30</v>
      </c>
      <c r="R3963" t="s">
        <v>305</v>
      </c>
      <c r="S3963" t="str">
        <v>#N/A</v>
      </c>
      <c r="T3963" t="str">
        <v>13</v>
      </c>
    </row>
    <row r="3964" spans="1:20" ht="13.7" customHeight="1" x14ac:dyDescent="0.25">
      <c r="A3964" t="s">
        <v>26</v>
      </c>
      <c r="B3964" t="s">
        <v>27</v>
      </c>
      <c r="C3964" t="s">
        <v>41</v>
      </c>
      <c r="D3964">
        <v>78</v>
      </c>
      <c r="E3964" s="5">
        <v>43799</v>
      </c>
      <c r="F3964">
        <v>73050501</v>
      </c>
      <c r="G3964" t="s">
        <v>1066</v>
      </c>
      <c r="H3964" t="s">
        <v>1169</v>
      </c>
      <c r="I3964" t="s">
        <v>1170</v>
      </c>
      <c r="J3964">
        <v>1001</v>
      </c>
      <c r="K3964">
        <v>5001</v>
      </c>
      <c r="L3964" s="3">
        <v>17880306</v>
      </c>
      <c r="M3964" s="3">
        <v>422275</v>
      </c>
      <c r="N3964">
        <v>0</v>
      </c>
      <c r="O3964">
        <v>0</v>
      </c>
      <c r="P3964">
        <v>18302581</v>
      </c>
      <c r="Q3964" t="s">
        <v>30</v>
      </c>
      <c r="R3964" t="s">
        <v>309</v>
      </c>
      <c r="S3964" t="str">
        <v>#N/A</v>
      </c>
      <c r="T3964" t="str">
        <v>13</v>
      </c>
    </row>
    <row r="3965" spans="1:20" ht="13.7" customHeight="1" x14ac:dyDescent="0.25">
      <c r="A3965" t="s">
        <v>26</v>
      </c>
      <c r="B3965" t="s">
        <v>27</v>
      </c>
      <c r="C3965" t="s">
        <v>180</v>
      </c>
      <c r="D3965">
        <v>1</v>
      </c>
      <c r="E3965" s="5">
        <v>43813</v>
      </c>
      <c r="F3965">
        <v>73050501</v>
      </c>
      <c r="G3965" t="s">
        <v>1066</v>
      </c>
      <c r="H3965" t="s">
        <v>1169</v>
      </c>
      <c r="I3965" t="s">
        <v>1170</v>
      </c>
      <c r="J3965">
        <v>1001</v>
      </c>
      <c r="K3965">
        <v>5001</v>
      </c>
      <c r="L3965" s="3">
        <v>18302581</v>
      </c>
      <c r="M3965" s="3">
        <v>422275</v>
      </c>
      <c r="N3965">
        <v>0</v>
      </c>
      <c r="O3965">
        <v>0</v>
      </c>
      <c r="P3965">
        <v>18724856</v>
      </c>
      <c r="Q3965" t="s">
        <v>30</v>
      </c>
      <c r="R3965" t="s">
        <v>316</v>
      </c>
      <c r="S3965" t="str">
        <v>#N/A</v>
      </c>
      <c r="T3965" t="str">
        <v>13</v>
      </c>
    </row>
    <row r="3966" spans="1:20" ht="13.7" customHeight="1" x14ac:dyDescent="0.25">
      <c r="A3966" t="s">
        <v>26</v>
      </c>
      <c r="B3966" t="s">
        <v>27</v>
      </c>
      <c r="C3966" t="s">
        <v>180</v>
      </c>
      <c r="D3966">
        <v>90</v>
      </c>
      <c r="E3966" s="5">
        <v>43819</v>
      </c>
      <c r="F3966">
        <v>73050501</v>
      </c>
      <c r="G3966" t="s">
        <v>1066</v>
      </c>
      <c r="H3966" t="s">
        <v>1169</v>
      </c>
      <c r="I3966" t="s">
        <v>1170</v>
      </c>
      <c r="J3966" t="e">
        <v>#N/A</v>
      </c>
      <c r="K3966" t="e">
        <v>#N/A</v>
      </c>
      <c r="L3966" s="3">
        <v>18724856</v>
      </c>
      <c r="M3966" s="3">
        <v>175948</v>
      </c>
      <c r="N3966">
        <v>0</v>
      </c>
      <c r="O3966">
        <v>0</v>
      </c>
      <c r="P3966">
        <v>18900804</v>
      </c>
      <c r="Q3966" t="s">
        <v>30</v>
      </c>
      <c r="R3966" t="s">
        <v>1503</v>
      </c>
      <c r="S3966" t="str">
        <v>#N/A</v>
      </c>
      <c r="T3966" t="str">
        <v>13</v>
      </c>
    </row>
    <row r="3967" spans="1:20" ht="13.7" customHeight="1" x14ac:dyDescent="0.25">
      <c r="E3967" s="5">
        <v>43465</v>
      </c>
      <c r="F3967">
        <v>73050501</v>
      </c>
      <c r="G3967" t="s">
        <v>1066</v>
      </c>
      <c r="H3967" t="s">
        <v>1153</v>
      </c>
      <c r="I3967" t="s">
        <v>1154</v>
      </c>
      <c r="J3967">
        <v>0</v>
      </c>
      <c r="K3967">
        <v>0</v>
      </c>
      <c r="L3967" s="3">
        <v>7530365</v>
      </c>
      <c r="M3967" s="3">
        <v>0</v>
      </c>
      <c r="N3967">
        <v>0</v>
      </c>
      <c r="O3967">
        <v>0</v>
      </c>
      <c r="P3967">
        <v>7530365</v>
      </c>
      <c r="R3967" t="s">
        <v>1100</v>
      </c>
      <c r="S3967" t="str">
        <v>#N/A</v>
      </c>
      <c r="T3967" t="str">
        <v>#N/A</v>
      </c>
    </row>
    <row r="3968" spans="1:20" ht="13.7" customHeight="1" x14ac:dyDescent="0.25">
      <c r="A3968" t="s">
        <v>26</v>
      </c>
      <c r="B3968" t="s">
        <v>27</v>
      </c>
      <c r="C3968" t="s">
        <v>28</v>
      </c>
      <c r="D3968">
        <v>77</v>
      </c>
      <c r="E3968" s="5">
        <v>43491</v>
      </c>
      <c r="F3968">
        <v>73050501</v>
      </c>
      <c r="G3968" t="s">
        <v>1066</v>
      </c>
      <c r="H3968" t="s">
        <v>1153</v>
      </c>
      <c r="I3968" t="s">
        <v>1154</v>
      </c>
      <c r="J3968">
        <v>1001</v>
      </c>
      <c r="K3968">
        <v>5001</v>
      </c>
      <c r="L3968" s="3">
        <v>7530365</v>
      </c>
      <c r="M3968" s="3">
        <v>422581</v>
      </c>
      <c r="N3968">
        <v>0</v>
      </c>
      <c r="O3968">
        <v>0</v>
      </c>
      <c r="P3968">
        <v>7952946</v>
      </c>
      <c r="Q3968" t="s">
        <v>30</v>
      </c>
      <c r="R3968" t="s">
        <v>202</v>
      </c>
      <c r="S3968" t="str">
        <v>#N/A</v>
      </c>
      <c r="T3968" t="str">
        <v>#N/A</v>
      </c>
    </row>
    <row r="3969" spans="1:20" ht="13.7" customHeight="1" x14ac:dyDescent="0.25">
      <c r="A3969" t="s">
        <v>26</v>
      </c>
      <c r="B3969" t="s">
        <v>27</v>
      </c>
      <c r="C3969" t="s">
        <v>32</v>
      </c>
      <c r="D3969">
        <v>60</v>
      </c>
      <c r="E3969" s="5">
        <v>43505</v>
      </c>
      <c r="F3969">
        <v>73050501</v>
      </c>
      <c r="G3969" t="s">
        <v>1066</v>
      </c>
      <c r="H3969" t="s">
        <v>1153</v>
      </c>
      <c r="I3969" t="s">
        <v>1154</v>
      </c>
      <c r="J3969">
        <v>1001</v>
      </c>
      <c r="K3969">
        <v>5001</v>
      </c>
      <c r="L3969" s="3">
        <v>7952946</v>
      </c>
      <c r="M3969" s="3">
        <v>418079</v>
      </c>
      <c r="N3969">
        <v>0</v>
      </c>
      <c r="O3969">
        <v>0</v>
      </c>
      <c r="P3969">
        <v>8371025</v>
      </c>
      <c r="Q3969" t="s">
        <v>30</v>
      </c>
      <c r="R3969" t="s">
        <v>215</v>
      </c>
      <c r="S3969" t="str">
        <v>#N/A</v>
      </c>
      <c r="T3969" t="str">
        <v>#N/A</v>
      </c>
    </row>
    <row r="3970" spans="1:20" ht="13.7" customHeight="1" x14ac:dyDescent="0.25">
      <c r="A3970" t="s">
        <v>26</v>
      </c>
      <c r="B3970" t="s">
        <v>27</v>
      </c>
      <c r="C3970" t="s">
        <v>32</v>
      </c>
      <c r="D3970">
        <v>61</v>
      </c>
      <c r="E3970" s="5">
        <v>43519</v>
      </c>
      <c r="F3970">
        <v>73050501</v>
      </c>
      <c r="G3970" t="s">
        <v>1066</v>
      </c>
      <c r="H3970" t="s">
        <v>1153</v>
      </c>
      <c r="I3970" t="s">
        <v>1154</v>
      </c>
      <c r="J3970">
        <v>1001</v>
      </c>
      <c r="K3970">
        <v>5001</v>
      </c>
      <c r="L3970" s="3">
        <v>8371025</v>
      </c>
      <c r="M3970" s="3">
        <v>414932</v>
      </c>
      <c r="N3970">
        <v>0</v>
      </c>
      <c r="O3970">
        <v>0</v>
      </c>
      <c r="P3970">
        <v>8785957</v>
      </c>
      <c r="Q3970" t="s">
        <v>30</v>
      </c>
      <c r="R3970" t="s">
        <v>226</v>
      </c>
      <c r="S3970" t="str">
        <v>#N/A</v>
      </c>
      <c r="T3970" t="str">
        <v>#N/A</v>
      </c>
    </row>
    <row r="3971" spans="1:20" ht="13.7" customHeight="1" x14ac:dyDescent="0.25">
      <c r="A3971" t="s">
        <v>26</v>
      </c>
      <c r="B3971" t="s">
        <v>27</v>
      </c>
      <c r="C3971" t="s">
        <v>91</v>
      </c>
      <c r="D3971">
        <v>79</v>
      </c>
      <c r="E3971" s="5">
        <v>43533</v>
      </c>
      <c r="F3971">
        <v>73050501</v>
      </c>
      <c r="G3971" t="s">
        <v>1066</v>
      </c>
      <c r="H3971" t="s">
        <v>1153</v>
      </c>
      <c r="I3971" t="s">
        <v>1154</v>
      </c>
      <c r="J3971">
        <v>1001</v>
      </c>
      <c r="K3971">
        <v>5001</v>
      </c>
      <c r="L3971" s="3">
        <v>8785957</v>
      </c>
      <c r="M3971" s="3">
        <v>408954</v>
      </c>
      <c r="N3971">
        <v>0</v>
      </c>
      <c r="O3971">
        <v>0</v>
      </c>
      <c r="P3971">
        <v>9194911</v>
      </c>
      <c r="Q3971" t="s">
        <v>30</v>
      </c>
      <c r="R3971" t="s">
        <v>236</v>
      </c>
      <c r="S3971" t="str">
        <v>#N/A</v>
      </c>
      <c r="T3971" t="str">
        <v>#N/A</v>
      </c>
    </row>
    <row r="3972" spans="1:20" ht="13.7" customHeight="1" x14ac:dyDescent="0.25">
      <c r="A3972" t="s">
        <v>26</v>
      </c>
      <c r="B3972" t="s">
        <v>27</v>
      </c>
      <c r="C3972" t="s">
        <v>91</v>
      </c>
      <c r="D3972">
        <v>80</v>
      </c>
      <c r="E3972" s="5">
        <v>43547</v>
      </c>
      <c r="F3972">
        <v>73050501</v>
      </c>
      <c r="G3972" t="s">
        <v>1066</v>
      </c>
      <c r="H3972" t="s">
        <v>1153</v>
      </c>
      <c r="I3972" t="s">
        <v>1154</v>
      </c>
      <c r="J3972">
        <v>1001</v>
      </c>
      <c r="K3972">
        <v>5001</v>
      </c>
      <c r="L3972" s="3">
        <v>9194911</v>
      </c>
      <c r="M3972" s="3">
        <v>391369</v>
      </c>
      <c r="N3972">
        <v>0</v>
      </c>
      <c r="O3972">
        <v>0</v>
      </c>
      <c r="P3972">
        <v>9586280</v>
      </c>
      <c r="Q3972" t="s">
        <v>30</v>
      </c>
      <c r="R3972" t="s">
        <v>244</v>
      </c>
      <c r="S3972" t="str">
        <v>#N/A</v>
      </c>
      <c r="T3972" t="str">
        <v>#N/A</v>
      </c>
    </row>
    <row r="3973" spans="1:20" ht="13.7" customHeight="1" x14ac:dyDescent="0.25">
      <c r="A3973" t="s">
        <v>26</v>
      </c>
      <c r="B3973" t="s">
        <v>27</v>
      </c>
      <c r="C3973" t="s">
        <v>34</v>
      </c>
      <c r="D3973">
        <v>71</v>
      </c>
      <c r="E3973" s="5">
        <v>43561</v>
      </c>
      <c r="F3973">
        <v>73050501</v>
      </c>
      <c r="G3973" t="s">
        <v>1066</v>
      </c>
      <c r="H3973" t="s">
        <v>1153</v>
      </c>
      <c r="I3973" t="s">
        <v>1154</v>
      </c>
      <c r="J3973">
        <v>1001</v>
      </c>
      <c r="K3973">
        <v>5001</v>
      </c>
      <c r="L3973" s="3">
        <v>9586280</v>
      </c>
      <c r="M3973" s="3">
        <v>379928</v>
      </c>
      <c r="N3973">
        <v>0</v>
      </c>
      <c r="O3973">
        <v>0</v>
      </c>
      <c r="P3973">
        <v>9966208</v>
      </c>
      <c r="Q3973" t="s">
        <v>30</v>
      </c>
      <c r="R3973" t="s">
        <v>244</v>
      </c>
      <c r="S3973" t="str">
        <v>#N/A</v>
      </c>
      <c r="T3973" t="str">
        <v>#N/A</v>
      </c>
    </row>
    <row r="3974" spans="1:20" ht="13.7" customHeight="1" x14ac:dyDescent="0.25">
      <c r="A3974" t="s">
        <v>26</v>
      </c>
      <c r="B3974" t="s">
        <v>27</v>
      </c>
      <c r="C3974" t="s">
        <v>34</v>
      </c>
      <c r="D3974">
        <v>72</v>
      </c>
      <c r="E3974" s="5">
        <v>43575</v>
      </c>
      <c r="F3974">
        <v>73050501</v>
      </c>
      <c r="G3974" t="s">
        <v>1066</v>
      </c>
      <c r="H3974" t="s">
        <v>1153</v>
      </c>
      <c r="I3974" t="s">
        <v>1154</v>
      </c>
      <c r="J3974">
        <v>1001</v>
      </c>
      <c r="K3974">
        <v>5001</v>
      </c>
      <c r="L3974" s="3">
        <v>9966208</v>
      </c>
      <c r="M3974" s="3">
        <v>192015</v>
      </c>
      <c r="N3974">
        <v>0</v>
      </c>
      <c r="O3974">
        <v>0</v>
      </c>
      <c r="P3974">
        <v>10158223</v>
      </c>
      <c r="Q3974" t="s">
        <v>30</v>
      </c>
      <c r="R3974" t="s">
        <v>254</v>
      </c>
      <c r="S3974" t="str">
        <v>#N/A</v>
      </c>
      <c r="T3974" t="str">
        <v>#N/A</v>
      </c>
    </row>
    <row r="3975" spans="1:20" ht="13.7" customHeight="1" x14ac:dyDescent="0.25">
      <c r="A3975" t="s">
        <v>26</v>
      </c>
      <c r="B3975" t="s">
        <v>27</v>
      </c>
      <c r="C3975" t="s">
        <v>35</v>
      </c>
      <c r="D3975">
        <v>97</v>
      </c>
      <c r="E3975" s="5">
        <v>43589</v>
      </c>
      <c r="F3975">
        <v>73050501</v>
      </c>
      <c r="G3975" t="s">
        <v>1066</v>
      </c>
      <c r="H3975" t="s">
        <v>1153</v>
      </c>
      <c r="I3975" t="s">
        <v>1154</v>
      </c>
      <c r="J3975">
        <v>1001</v>
      </c>
      <c r="K3975">
        <v>5001</v>
      </c>
      <c r="L3975" s="3">
        <v>10158223</v>
      </c>
      <c r="M3975" s="3">
        <v>350591</v>
      </c>
      <c r="N3975">
        <v>0</v>
      </c>
      <c r="O3975">
        <v>0</v>
      </c>
      <c r="P3975">
        <v>10508814</v>
      </c>
      <c r="Q3975" t="s">
        <v>30</v>
      </c>
      <c r="R3975" t="s">
        <v>256</v>
      </c>
      <c r="S3975" t="str">
        <v>#N/A</v>
      </c>
      <c r="T3975" t="str">
        <v>#N/A</v>
      </c>
    </row>
    <row r="3976" spans="1:20" ht="13.7" customHeight="1" x14ac:dyDescent="0.25">
      <c r="A3976" t="s">
        <v>26</v>
      </c>
      <c r="B3976" t="s">
        <v>27</v>
      </c>
      <c r="C3976" t="s">
        <v>35</v>
      </c>
      <c r="D3976">
        <v>98</v>
      </c>
      <c r="E3976" s="5">
        <v>43603</v>
      </c>
      <c r="F3976">
        <v>73050501</v>
      </c>
      <c r="G3976" t="s">
        <v>1066</v>
      </c>
      <c r="H3976" t="s">
        <v>1153</v>
      </c>
      <c r="I3976" t="s">
        <v>1154</v>
      </c>
      <c r="J3976">
        <v>1001</v>
      </c>
      <c r="K3976">
        <v>5001</v>
      </c>
      <c r="L3976" s="3">
        <v>10508814</v>
      </c>
      <c r="M3976" s="3">
        <v>415569</v>
      </c>
      <c r="N3976">
        <v>0</v>
      </c>
      <c r="O3976">
        <v>0</v>
      </c>
      <c r="P3976">
        <v>10924383</v>
      </c>
      <c r="Q3976" t="s">
        <v>30</v>
      </c>
      <c r="R3976" t="s">
        <v>261</v>
      </c>
      <c r="S3976" t="str">
        <v>#N/A</v>
      </c>
      <c r="T3976" t="str">
        <v>#N/A</v>
      </c>
    </row>
    <row r="3977" spans="1:20" ht="13.7" customHeight="1" x14ac:dyDescent="0.25">
      <c r="A3977" t="s">
        <v>26</v>
      </c>
      <c r="B3977" t="s">
        <v>27</v>
      </c>
      <c r="C3977" t="s">
        <v>36</v>
      </c>
      <c r="D3977">
        <v>70</v>
      </c>
      <c r="E3977" s="5">
        <v>43617</v>
      </c>
      <c r="F3977">
        <v>73050501</v>
      </c>
      <c r="G3977" t="s">
        <v>1066</v>
      </c>
      <c r="H3977" t="s">
        <v>1153</v>
      </c>
      <c r="I3977" t="s">
        <v>1154</v>
      </c>
      <c r="J3977">
        <v>1001</v>
      </c>
      <c r="K3977">
        <v>5001</v>
      </c>
      <c r="L3977" s="3">
        <v>10924383</v>
      </c>
      <c r="M3977" s="3">
        <v>395909</v>
      </c>
      <c r="N3977">
        <v>0</v>
      </c>
      <c r="O3977">
        <v>0</v>
      </c>
      <c r="P3977">
        <v>11320292</v>
      </c>
      <c r="Q3977" t="s">
        <v>30</v>
      </c>
      <c r="R3977" t="s">
        <v>264</v>
      </c>
      <c r="S3977" t="str">
        <v>#N/A</v>
      </c>
      <c r="T3977" t="str">
        <v>#N/A</v>
      </c>
    </row>
    <row r="3978" spans="1:20" ht="13.7" customHeight="1" x14ac:dyDescent="0.25">
      <c r="A3978" t="s">
        <v>26</v>
      </c>
      <c r="B3978" t="s">
        <v>27</v>
      </c>
      <c r="C3978" t="s">
        <v>36</v>
      </c>
      <c r="D3978">
        <v>71</v>
      </c>
      <c r="E3978" s="5">
        <v>43631</v>
      </c>
      <c r="F3978">
        <v>73050501</v>
      </c>
      <c r="G3978" t="s">
        <v>1066</v>
      </c>
      <c r="H3978" t="s">
        <v>1153</v>
      </c>
      <c r="I3978" t="s">
        <v>1154</v>
      </c>
      <c r="J3978">
        <v>1001</v>
      </c>
      <c r="K3978">
        <v>5001</v>
      </c>
      <c r="L3978" s="3">
        <v>11320292</v>
      </c>
      <c r="M3978" s="3">
        <v>305365</v>
      </c>
      <c r="N3978">
        <v>0</v>
      </c>
      <c r="O3978">
        <v>0</v>
      </c>
      <c r="P3978">
        <v>11625657</v>
      </c>
      <c r="Q3978" t="s">
        <v>30</v>
      </c>
      <c r="R3978" t="s">
        <v>270</v>
      </c>
      <c r="S3978" t="str">
        <v>#N/A</v>
      </c>
      <c r="T3978" t="str">
        <v>#N/A</v>
      </c>
    </row>
    <row r="3979" spans="1:20" ht="13.7" customHeight="1" x14ac:dyDescent="0.25">
      <c r="A3979" t="s">
        <v>26</v>
      </c>
      <c r="B3979" t="s">
        <v>27</v>
      </c>
      <c r="C3979" t="s">
        <v>36</v>
      </c>
      <c r="D3979">
        <v>73</v>
      </c>
      <c r="E3979" s="5">
        <v>43642</v>
      </c>
      <c r="F3979">
        <v>73050501</v>
      </c>
      <c r="G3979" t="s">
        <v>1066</v>
      </c>
      <c r="H3979" t="s">
        <v>1153</v>
      </c>
      <c r="I3979" t="s">
        <v>1154</v>
      </c>
      <c r="J3979">
        <v>1001</v>
      </c>
      <c r="K3979">
        <v>5001</v>
      </c>
      <c r="L3979" s="3">
        <v>11625657</v>
      </c>
      <c r="M3979" s="3">
        <v>309441</v>
      </c>
      <c r="N3979">
        <v>0</v>
      </c>
      <c r="O3979">
        <v>0</v>
      </c>
      <c r="P3979">
        <v>11935098</v>
      </c>
      <c r="Q3979" t="s">
        <v>30</v>
      </c>
      <c r="R3979" t="s">
        <v>274</v>
      </c>
      <c r="S3979" t="str">
        <v>#N/A</v>
      </c>
      <c r="T3979" t="str">
        <v>#N/A</v>
      </c>
    </row>
    <row r="3980" spans="1:20" ht="13.7" customHeight="1" x14ac:dyDescent="0.25">
      <c r="A3980" t="s">
        <v>26</v>
      </c>
      <c r="B3980" t="s">
        <v>27</v>
      </c>
      <c r="C3980" t="s">
        <v>37</v>
      </c>
      <c r="D3980">
        <v>66</v>
      </c>
      <c r="E3980" s="5">
        <v>43659</v>
      </c>
      <c r="F3980">
        <v>73050501</v>
      </c>
      <c r="G3980" t="s">
        <v>1066</v>
      </c>
      <c r="H3980" t="s">
        <v>1153</v>
      </c>
      <c r="I3980" t="s">
        <v>1154</v>
      </c>
      <c r="J3980">
        <v>1001</v>
      </c>
      <c r="K3980">
        <v>5001</v>
      </c>
      <c r="L3980" s="3">
        <v>11935098</v>
      </c>
      <c r="M3980" s="3">
        <v>372069</v>
      </c>
      <c r="N3980">
        <v>0</v>
      </c>
      <c r="O3980">
        <v>0</v>
      </c>
      <c r="P3980">
        <v>12307167</v>
      </c>
      <c r="Q3980" t="s">
        <v>30</v>
      </c>
      <c r="R3980" t="s">
        <v>279</v>
      </c>
      <c r="S3980" t="str">
        <v>#N/A</v>
      </c>
      <c r="T3980" t="str">
        <v>#N/A</v>
      </c>
    </row>
    <row r="3981" spans="1:20" ht="13.7" customHeight="1" x14ac:dyDescent="0.25">
      <c r="A3981" t="s">
        <v>26</v>
      </c>
      <c r="B3981" t="s">
        <v>27</v>
      </c>
      <c r="C3981" t="s">
        <v>37</v>
      </c>
      <c r="D3981">
        <v>67</v>
      </c>
      <c r="E3981" s="5">
        <v>43673</v>
      </c>
      <c r="F3981">
        <v>73050501</v>
      </c>
      <c r="G3981" t="s">
        <v>1066</v>
      </c>
      <c r="H3981" t="s">
        <v>1153</v>
      </c>
      <c r="I3981" t="s">
        <v>1154</v>
      </c>
      <c r="J3981">
        <v>1001</v>
      </c>
      <c r="K3981">
        <v>5001</v>
      </c>
      <c r="L3981" s="3">
        <v>12307167</v>
      </c>
      <c r="M3981" s="3">
        <v>344080</v>
      </c>
      <c r="N3981">
        <v>0</v>
      </c>
      <c r="O3981">
        <v>0</v>
      </c>
      <c r="P3981">
        <v>12651247</v>
      </c>
      <c r="Q3981" t="s">
        <v>30</v>
      </c>
      <c r="R3981" t="s">
        <v>282</v>
      </c>
      <c r="S3981" t="str">
        <v>#N/A</v>
      </c>
      <c r="T3981" t="str">
        <v>#N/A</v>
      </c>
    </row>
    <row r="3982" spans="1:20" ht="13.7" customHeight="1" x14ac:dyDescent="0.25">
      <c r="A3982" t="s">
        <v>26</v>
      </c>
      <c r="B3982" t="s">
        <v>27</v>
      </c>
      <c r="C3982" t="s">
        <v>38</v>
      </c>
      <c r="D3982">
        <v>56</v>
      </c>
      <c r="E3982" s="5">
        <v>43687</v>
      </c>
      <c r="F3982">
        <v>73050501</v>
      </c>
      <c r="G3982" t="s">
        <v>1066</v>
      </c>
      <c r="H3982" t="s">
        <v>1153</v>
      </c>
      <c r="I3982" t="s">
        <v>1154</v>
      </c>
      <c r="J3982">
        <v>1001</v>
      </c>
      <c r="K3982">
        <v>5001</v>
      </c>
      <c r="L3982" s="3">
        <v>12651247</v>
      </c>
      <c r="M3982" s="3">
        <v>369574</v>
      </c>
      <c r="N3982">
        <v>0</v>
      </c>
      <c r="O3982">
        <v>0</v>
      </c>
      <c r="P3982">
        <v>13020821</v>
      </c>
      <c r="Q3982" t="s">
        <v>30</v>
      </c>
      <c r="R3982" t="s">
        <v>284</v>
      </c>
      <c r="S3982" t="str">
        <v>#N/A</v>
      </c>
      <c r="T3982" t="str">
        <v>#N/A</v>
      </c>
    </row>
    <row r="3983" spans="1:20" ht="13.7" customHeight="1" x14ac:dyDescent="0.25">
      <c r="A3983" t="s">
        <v>26</v>
      </c>
      <c r="B3983" t="s">
        <v>27</v>
      </c>
      <c r="C3983" t="s">
        <v>38</v>
      </c>
      <c r="D3983">
        <v>57</v>
      </c>
      <c r="E3983" s="5">
        <v>43701</v>
      </c>
      <c r="F3983">
        <v>73050501</v>
      </c>
      <c r="G3983" t="s">
        <v>1066</v>
      </c>
      <c r="H3983" t="s">
        <v>1153</v>
      </c>
      <c r="I3983" t="s">
        <v>1154</v>
      </c>
      <c r="J3983">
        <v>1001</v>
      </c>
      <c r="K3983">
        <v>5001</v>
      </c>
      <c r="L3983" s="3">
        <v>13020821</v>
      </c>
      <c r="M3983" s="3">
        <v>364584</v>
      </c>
      <c r="N3983">
        <v>0</v>
      </c>
      <c r="O3983">
        <v>0</v>
      </c>
      <c r="P3983">
        <v>13385405</v>
      </c>
      <c r="Q3983" t="s">
        <v>30</v>
      </c>
      <c r="R3983" t="s">
        <v>287</v>
      </c>
      <c r="S3983" t="str">
        <v>#N/A</v>
      </c>
      <c r="T3983" t="str">
        <v>#N/A</v>
      </c>
    </row>
    <row r="3984" spans="1:20" ht="13.7" customHeight="1" x14ac:dyDescent="0.25">
      <c r="A3984" t="s">
        <v>26</v>
      </c>
      <c r="B3984" t="s">
        <v>27</v>
      </c>
      <c r="C3984" t="s">
        <v>39</v>
      </c>
      <c r="D3984">
        <v>68</v>
      </c>
      <c r="E3984" s="5">
        <v>43715</v>
      </c>
      <c r="F3984">
        <v>73050501</v>
      </c>
      <c r="G3984" t="s">
        <v>1066</v>
      </c>
      <c r="H3984" t="s">
        <v>1153</v>
      </c>
      <c r="I3984" t="s">
        <v>1154</v>
      </c>
      <c r="J3984">
        <v>1001</v>
      </c>
      <c r="K3984">
        <v>5001</v>
      </c>
      <c r="L3984" s="3">
        <v>13385405</v>
      </c>
      <c r="M3984" s="3">
        <v>316816</v>
      </c>
      <c r="N3984">
        <v>0</v>
      </c>
      <c r="O3984">
        <v>0</v>
      </c>
      <c r="P3984">
        <v>13702221</v>
      </c>
      <c r="Q3984" t="s">
        <v>30</v>
      </c>
      <c r="R3984" t="s">
        <v>288</v>
      </c>
      <c r="S3984" t="str">
        <v>#N/A</v>
      </c>
      <c r="T3984" t="str">
        <v>#N/A</v>
      </c>
    </row>
    <row r="3985" spans="1:20" ht="13.7" customHeight="1" x14ac:dyDescent="0.25">
      <c r="A3985" t="s">
        <v>26</v>
      </c>
      <c r="B3985" t="s">
        <v>27</v>
      </c>
      <c r="C3985" t="s">
        <v>39</v>
      </c>
      <c r="D3985">
        <v>69</v>
      </c>
      <c r="E3985" s="5">
        <v>43729</v>
      </c>
      <c r="F3985">
        <v>73050501</v>
      </c>
      <c r="G3985" t="s">
        <v>1066</v>
      </c>
      <c r="H3985" t="s">
        <v>1153</v>
      </c>
      <c r="I3985" t="s">
        <v>1154</v>
      </c>
      <c r="J3985">
        <v>1001</v>
      </c>
      <c r="K3985">
        <v>5001</v>
      </c>
      <c r="L3985" s="3">
        <v>13702221</v>
      </c>
      <c r="M3985" s="3">
        <v>372753</v>
      </c>
      <c r="N3985">
        <v>0</v>
      </c>
      <c r="O3985">
        <v>0</v>
      </c>
      <c r="P3985">
        <v>14074974</v>
      </c>
      <c r="Q3985" t="s">
        <v>30</v>
      </c>
      <c r="R3985" t="s">
        <v>291</v>
      </c>
      <c r="S3985" t="str">
        <v>#N/A</v>
      </c>
      <c r="T3985" t="str">
        <v>#N/A</v>
      </c>
    </row>
    <row r="3986" spans="1:20" ht="13.7" customHeight="1" x14ac:dyDescent="0.25">
      <c r="A3986" t="s">
        <v>26</v>
      </c>
      <c r="B3986" t="s">
        <v>27</v>
      </c>
      <c r="C3986" t="s">
        <v>40</v>
      </c>
      <c r="D3986">
        <v>61</v>
      </c>
      <c r="E3986" s="5">
        <v>43743</v>
      </c>
      <c r="F3986">
        <v>73050501</v>
      </c>
      <c r="G3986" t="s">
        <v>1066</v>
      </c>
      <c r="H3986" t="s">
        <v>1153</v>
      </c>
      <c r="I3986" t="s">
        <v>1154</v>
      </c>
      <c r="J3986">
        <v>1001</v>
      </c>
      <c r="K3986">
        <v>5001</v>
      </c>
      <c r="L3986" s="3">
        <v>14074974</v>
      </c>
      <c r="M3986" s="3">
        <v>333924</v>
      </c>
      <c r="N3986">
        <v>0</v>
      </c>
      <c r="O3986">
        <v>0</v>
      </c>
      <c r="P3986">
        <v>14408898</v>
      </c>
      <c r="Q3986" t="s">
        <v>30</v>
      </c>
      <c r="R3986" t="s">
        <v>293</v>
      </c>
      <c r="S3986" t="str">
        <v>#N/A</v>
      </c>
      <c r="T3986" t="str">
        <v>#N/A</v>
      </c>
    </row>
    <row r="3987" spans="1:20" ht="13.7" customHeight="1" x14ac:dyDescent="0.25">
      <c r="A3987" t="s">
        <v>26</v>
      </c>
      <c r="B3987" t="s">
        <v>27</v>
      </c>
      <c r="C3987" t="s">
        <v>40</v>
      </c>
      <c r="D3987">
        <v>62</v>
      </c>
      <c r="E3987" s="5">
        <v>43757</v>
      </c>
      <c r="F3987">
        <v>73050501</v>
      </c>
      <c r="G3987" t="s">
        <v>1066</v>
      </c>
      <c r="H3987" t="s">
        <v>1153</v>
      </c>
      <c r="I3987" t="s">
        <v>1154</v>
      </c>
      <c r="J3987">
        <v>1001</v>
      </c>
      <c r="K3987">
        <v>5001</v>
      </c>
      <c r="L3987" s="3">
        <v>14408898</v>
      </c>
      <c r="M3987" s="3">
        <v>367778</v>
      </c>
      <c r="N3987">
        <v>0</v>
      </c>
      <c r="O3987">
        <v>0</v>
      </c>
      <c r="P3987">
        <v>14776676</v>
      </c>
      <c r="Q3987" t="s">
        <v>30</v>
      </c>
      <c r="R3987" t="s">
        <v>299</v>
      </c>
      <c r="S3987" t="str">
        <v>#N/A</v>
      </c>
      <c r="T3987" t="str">
        <v>#N/A</v>
      </c>
    </row>
    <row r="3988" spans="1:20" ht="13.7" customHeight="1" x14ac:dyDescent="0.25">
      <c r="A3988" t="s">
        <v>26</v>
      </c>
      <c r="B3988" t="s">
        <v>27</v>
      </c>
      <c r="C3988" t="s">
        <v>41</v>
      </c>
      <c r="D3988">
        <v>76</v>
      </c>
      <c r="E3988" s="5">
        <v>43771</v>
      </c>
      <c r="F3988">
        <v>73050501</v>
      </c>
      <c r="G3988" t="s">
        <v>1066</v>
      </c>
      <c r="H3988" t="s">
        <v>1153</v>
      </c>
      <c r="I3988" t="s">
        <v>1154</v>
      </c>
      <c r="J3988">
        <v>1001</v>
      </c>
      <c r="K3988">
        <v>5001</v>
      </c>
      <c r="L3988" s="3">
        <v>14776676</v>
      </c>
      <c r="M3988" s="3">
        <v>384770</v>
      </c>
      <c r="N3988">
        <v>0</v>
      </c>
      <c r="O3988">
        <v>0</v>
      </c>
      <c r="P3988">
        <v>15161446</v>
      </c>
      <c r="Q3988" t="s">
        <v>30</v>
      </c>
      <c r="R3988" t="s">
        <v>301</v>
      </c>
      <c r="S3988" t="str">
        <v>#N/A</v>
      </c>
      <c r="T3988" t="str">
        <v>#N/A</v>
      </c>
    </row>
    <row r="3989" spans="1:20" ht="13.7" customHeight="1" x14ac:dyDescent="0.25">
      <c r="A3989" t="s">
        <v>26</v>
      </c>
      <c r="B3989" t="s">
        <v>27</v>
      </c>
      <c r="C3989" t="s">
        <v>41</v>
      </c>
      <c r="D3989">
        <v>77</v>
      </c>
      <c r="E3989" s="5">
        <v>43785</v>
      </c>
      <c r="F3989">
        <v>73050501</v>
      </c>
      <c r="G3989" t="s">
        <v>1066</v>
      </c>
      <c r="H3989" t="s">
        <v>1153</v>
      </c>
      <c r="I3989" t="s">
        <v>1154</v>
      </c>
      <c r="J3989">
        <v>1001</v>
      </c>
      <c r="K3989">
        <v>5001</v>
      </c>
      <c r="L3989" s="3">
        <v>15161446</v>
      </c>
      <c r="M3989" s="3">
        <v>341855</v>
      </c>
      <c r="N3989">
        <v>0</v>
      </c>
      <c r="O3989">
        <v>0</v>
      </c>
      <c r="P3989">
        <v>15503301</v>
      </c>
      <c r="Q3989" t="s">
        <v>30</v>
      </c>
      <c r="R3989" t="s">
        <v>305</v>
      </c>
      <c r="S3989" t="str">
        <v>#N/A</v>
      </c>
      <c r="T3989" t="str">
        <v>#N/A</v>
      </c>
    </row>
    <row r="3990" spans="1:20" ht="13.7" customHeight="1" x14ac:dyDescent="0.25">
      <c r="A3990" t="s">
        <v>26</v>
      </c>
      <c r="B3990" t="s">
        <v>27</v>
      </c>
      <c r="C3990" t="s">
        <v>41</v>
      </c>
      <c r="D3990">
        <v>78</v>
      </c>
      <c r="E3990" s="5">
        <v>43799</v>
      </c>
      <c r="F3990">
        <v>73050501</v>
      </c>
      <c r="G3990" t="s">
        <v>1066</v>
      </c>
      <c r="H3990" t="s">
        <v>1153</v>
      </c>
      <c r="I3990" t="s">
        <v>1154</v>
      </c>
      <c r="J3990">
        <v>1001</v>
      </c>
      <c r="K3990">
        <v>5001</v>
      </c>
      <c r="L3990" s="3">
        <v>15503301</v>
      </c>
      <c r="M3990" s="3">
        <v>352571</v>
      </c>
      <c r="N3990">
        <v>0</v>
      </c>
      <c r="O3990">
        <v>0</v>
      </c>
      <c r="P3990">
        <v>15855872</v>
      </c>
      <c r="Q3990" t="s">
        <v>30</v>
      </c>
      <c r="R3990" t="s">
        <v>309</v>
      </c>
      <c r="S3990" t="str">
        <v>#N/A</v>
      </c>
      <c r="T3990" t="str">
        <v>#N/A</v>
      </c>
    </row>
    <row r="3991" spans="1:20" ht="13.7" customHeight="1" x14ac:dyDescent="0.25">
      <c r="A3991" t="s">
        <v>26</v>
      </c>
      <c r="B3991" t="s">
        <v>27</v>
      </c>
      <c r="C3991" t="s">
        <v>180</v>
      </c>
      <c r="D3991">
        <v>1</v>
      </c>
      <c r="E3991" s="5">
        <v>43813</v>
      </c>
      <c r="F3991">
        <v>73050501</v>
      </c>
      <c r="G3991" t="s">
        <v>1066</v>
      </c>
      <c r="H3991" t="s">
        <v>1153</v>
      </c>
      <c r="I3991" t="s">
        <v>1154</v>
      </c>
      <c r="J3991">
        <v>1001</v>
      </c>
      <c r="K3991">
        <v>5001</v>
      </c>
      <c r="L3991" s="3">
        <v>15855872</v>
      </c>
      <c r="M3991" s="3">
        <v>345815</v>
      </c>
      <c r="N3991">
        <v>0</v>
      </c>
      <c r="O3991">
        <v>0</v>
      </c>
      <c r="P3991">
        <v>16201687</v>
      </c>
      <c r="Q3991" t="s">
        <v>30</v>
      </c>
      <c r="R3991" t="s">
        <v>316</v>
      </c>
      <c r="S3991" t="str">
        <v>#N/A</v>
      </c>
      <c r="T3991" t="str">
        <v>#N/A</v>
      </c>
    </row>
    <row r="3992" spans="1:20" ht="13.7" customHeight="1" x14ac:dyDescent="0.25">
      <c r="A3992" t="s">
        <v>26</v>
      </c>
      <c r="B3992" t="s">
        <v>27</v>
      </c>
      <c r="C3992" t="s">
        <v>180</v>
      </c>
      <c r="D3992">
        <v>90</v>
      </c>
      <c r="E3992" s="5">
        <v>43819</v>
      </c>
      <c r="F3992">
        <v>73050501</v>
      </c>
      <c r="G3992" t="s">
        <v>1066</v>
      </c>
      <c r="H3992" t="s">
        <v>1153</v>
      </c>
      <c r="I3992" t="s">
        <v>1154</v>
      </c>
      <c r="J3992" t="e">
        <v>#N/A</v>
      </c>
      <c r="K3992" t="e">
        <v>#N/A</v>
      </c>
      <c r="L3992" s="3">
        <v>16201687</v>
      </c>
      <c r="M3992" s="3">
        <v>154698</v>
      </c>
      <c r="N3992">
        <v>0</v>
      </c>
      <c r="O3992">
        <v>0</v>
      </c>
      <c r="P3992">
        <v>16356385</v>
      </c>
      <c r="Q3992" t="s">
        <v>30</v>
      </c>
      <c r="R3992" t="s">
        <v>1503</v>
      </c>
      <c r="S3992" t="str">
        <v>#N/A</v>
      </c>
      <c r="T3992" t="str">
        <v>#N/A</v>
      </c>
    </row>
    <row r="3993" spans="1:20" ht="13.7" customHeight="1" x14ac:dyDescent="0.25">
      <c r="E3993" s="5">
        <v>43465</v>
      </c>
      <c r="F3993">
        <v>73051501</v>
      </c>
      <c r="G3993" t="s">
        <v>1067</v>
      </c>
      <c r="H3993" t="s">
        <v>1388</v>
      </c>
      <c r="I3993" t="s">
        <v>1389</v>
      </c>
      <c r="J3993">
        <v>0</v>
      </c>
      <c r="K3993">
        <v>0</v>
      </c>
      <c r="L3993" s="3">
        <v>0</v>
      </c>
      <c r="M3993" s="3">
        <v>0</v>
      </c>
      <c r="N3993">
        <v>0</v>
      </c>
      <c r="O3993">
        <v>0</v>
      </c>
      <c r="P3993">
        <v>0</v>
      </c>
      <c r="R3993" t="s">
        <v>1100</v>
      </c>
      <c r="S3993" t="str">
        <v>#N/A</v>
      </c>
      <c r="T3993" t="str">
        <v>#N/A</v>
      </c>
    </row>
    <row r="3994" spans="1:20" ht="13.7" customHeight="1" x14ac:dyDescent="0.25">
      <c r="A3994" t="s">
        <v>26</v>
      </c>
      <c r="B3994" t="s">
        <v>27</v>
      </c>
      <c r="C3994" t="s">
        <v>28</v>
      </c>
      <c r="D3994">
        <v>77</v>
      </c>
      <c r="E3994" s="5">
        <v>43491</v>
      </c>
      <c r="F3994">
        <v>73051501</v>
      </c>
      <c r="G3994" t="s">
        <v>1067</v>
      </c>
      <c r="H3994" t="s">
        <v>1388</v>
      </c>
      <c r="I3994" t="s">
        <v>1389</v>
      </c>
      <c r="J3994">
        <v>1001</v>
      </c>
      <c r="K3994">
        <v>5001</v>
      </c>
      <c r="L3994" s="3">
        <v>0</v>
      </c>
      <c r="M3994" s="3">
        <v>2309</v>
      </c>
      <c r="N3994">
        <v>0</v>
      </c>
      <c r="O3994">
        <v>0</v>
      </c>
      <c r="P3994">
        <v>2309</v>
      </c>
      <c r="Q3994" t="s">
        <v>30</v>
      </c>
      <c r="R3994" t="s">
        <v>202</v>
      </c>
      <c r="S3994" t="str">
        <v>#N/A</v>
      </c>
      <c r="T3994" t="str">
        <v>#N/A</v>
      </c>
    </row>
    <row r="3995" spans="1:20" ht="13.7" customHeight="1" x14ac:dyDescent="0.25">
      <c r="E3995" s="5">
        <v>43465</v>
      </c>
      <c r="F3995">
        <v>73051501</v>
      </c>
      <c r="G3995" t="s">
        <v>1067</v>
      </c>
      <c r="H3995" t="s">
        <v>1151</v>
      </c>
      <c r="I3995" t="s">
        <v>1152</v>
      </c>
      <c r="J3995">
        <v>0</v>
      </c>
      <c r="K3995">
        <v>0</v>
      </c>
      <c r="L3995" s="3">
        <v>0</v>
      </c>
      <c r="M3995" s="3">
        <v>0</v>
      </c>
      <c r="N3995">
        <v>0</v>
      </c>
      <c r="O3995">
        <v>0</v>
      </c>
      <c r="P3995">
        <v>0</v>
      </c>
      <c r="R3995" t="s">
        <v>1100</v>
      </c>
      <c r="S3995" t="str">
        <v>#N/A</v>
      </c>
      <c r="T3995" t="str">
        <v>#N/A</v>
      </c>
    </row>
    <row r="3996" spans="1:20" ht="13.7" customHeight="1" x14ac:dyDescent="0.25">
      <c r="A3996" t="s">
        <v>26</v>
      </c>
      <c r="B3996" t="s">
        <v>27</v>
      </c>
      <c r="C3996" t="s">
        <v>32</v>
      </c>
      <c r="D3996">
        <v>61</v>
      </c>
      <c r="E3996" s="5">
        <v>43519</v>
      </c>
      <c r="F3996">
        <v>73051501</v>
      </c>
      <c r="G3996" t="s">
        <v>1067</v>
      </c>
      <c r="H3996" t="s">
        <v>1151</v>
      </c>
      <c r="I3996" t="s">
        <v>1152</v>
      </c>
      <c r="J3996">
        <v>1001</v>
      </c>
      <c r="K3996">
        <v>5001</v>
      </c>
      <c r="L3996" s="3">
        <v>0</v>
      </c>
      <c r="M3996" s="3">
        <v>4034</v>
      </c>
      <c r="N3996">
        <v>0</v>
      </c>
      <c r="O3996">
        <v>0</v>
      </c>
      <c r="P3996">
        <v>4034</v>
      </c>
      <c r="Q3996" t="s">
        <v>30</v>
      </c>
      <c r="R3996" t="s">
        <v>226</v>
      </c>
      <c r="S3996" t="str">
        <v>#N/A</v>
      </c>
      <c r="T3996" t="str">
        <v>#N/A</v>
      </c>
    </row>
    <row r="3997" spans="1:20" ht="13.7" customHeight="1" x14ac:dyDescent="0.25">
      <c r="A3997" t="s">
        <v>26</v>
      </c>
      <c r="B3997" t="s">
        <v>27</v>
      </c>
      <c r="C3997" t="s">
        <v>91</v>
      </c>
      <c r="D3997">
        <v>79</v>
      </c>
      <c r="E3997" s="5">
        <v>43533</v>
      </c>
      <c r="F3997">
        <v>73051501</v>
      </c>
      <c r="G3997" t="s">
        <v>1067</v>
      </c>
      <c r="H3997" t="s">
        <v>1151</v>
      </c>
      <c r="I3997" t="s">
        <v>1152</v>
      </c>
      <c r="J3997">
        <v>1001</v>
      </c>
      <c r="K3997">
        <v>5001</v>
      </c>
      <c r="L3997" s="3">
        <v>4034</v>
      </c>
      <c r="M3997" s="3">
        <v>640</v>
      </c>
      <c r="N3997">
        <v>0</v>
      </c>
      <c r="O3997">
        <v>0</v>
      </c>
      <c r="P3997">
        <v>4674</v>
      </c>
      <c r="Q3997" t="s">
        <v>30</v>
      </c>
      <c r="R3997" t="s">
        <v>236</v>
      </c>
      <c r="S3997" t="str">
        <v>#N/A</v>
      </c>
      <c r="T3997" t="str">
        <v>#N/A</v>
      </c>
    </row>
    <row r="3998" spans="1:20" ht="13.7" customHeight="1" x14ac:dyDescent="0.25">
      <c r="A3998" t="s">
        <v>26</v>
      </c>
      <c r="B3998" t="s">
        <v>27</v>
      </c>
      <c r="C3998" t="s">
        <v>35</v>
      </c>
      <c r="D3998">
        <v>97</v>
      </c>
      <c r="E3998" s="5">
        <v>43589</v>
      </c>
      <c r="F3998">
        <v>73051501</v>
      </c>
      <c r="G3998" t="s">
        <v>1067</v>
      </c>
      <c r="H3998" t="s">
        <v>1151</v>
      </c>
      <c r="I3998" t="s">
        <v>1152</v>
      </c>
      <c r="J3998">
        <v>1001</v>
      </c>
      <c r="K3998">
        <v>5001</v>
      </c>
      <c r="L3998" s="3">
        <v>4674</v>
      </c>
      <c r="M3998" s="3">
        <v>2642</v>
      </c>
      <c r="N3998">
        <v>0</v>
      </c>
      <c r="O3998">
        <v>0</v>
      </c>
      <c r="P3998">
        <v>7316</v>
      </c>
      <c r="Q3998" t="s">
        <v>30</v>
      </c>
      <c r="R3998" t="s">
        <v>256</v>
      </c>
      <c r="S3998" t="str">
        <v>#N/A</v>
      </c>
      <c r="T3998" t="str">
        <v>#N/A</v>
      </c>
    </row>
    <row r="3999" spans="1:20" ht="13.7" customHeight="1" x14ac:dyDescent="0.25">
      <c r="A3999" t="s">
        <v>26</v>
      </c>
      <c r="B3999" t="s">
        <v>27</v>
      </c>
      <c r="C3999" t="s">
        <v>41</v>
      </c>
      <c r="D3999">
        <v>77</v>
      </c>
      <c r="E3999" s="5">
        <v>43785</v>
      </c>
      <c r="F3999">
        <v>73051501</v>
      </c>
      <c r="G3999" t="s">
        <v>1067</v>
      </c>
      <c r="H3999" t="s">
        <v>1151</v>
      </c>
      <c r="I3999" t="s">
        <v>1152</v>
      </c>
      <c r="J3999">
        <v>1001</v>
      </c>
      <c r="K3999">
        <v>5001</v>
      </c>
      <c r="L3999" s="3">
        <v>7316</v>
      </c>
      <c r="M3999" s="3">
        <v>7683</v>
      </c>
      <c r="N3999">
        <v>0</v>
      </c>
      <c r="O3999">
        <v>0</v>
      </c>
      <c r="P3999">
        <v>14999</v>
      </c>
      <c r="Q3999" t="s">
        <v>30</v>
      </c>
      <c r="R3999" t="s">
        <v>305</v>
      </c>
      <c r="S3999" t="str">
        <v>#N/A</v>
      </c>
      <c r="T3999" t="str">
        <v>#N/A</v>
      </c>
    </row>
    <row r="4000" spans="1:20" ht="13.7" customHeight="1" x14ac:dyDescent="0.25">
      <c r="E4000" s="5">
        <v>43465</v>
      </c>
      <c r="F4000">
        <v>73051501</v>
      </c>
      <c r="G4000" t="s">
        <v>1067</v>
      </c>
      <c r="H4000" t="s">
        <v>1521</v>
      </c>
      <c r="I4000" t="s">
        <v>1522</v>
      </c>
      <c r="J4000">
        <v>0</v>
      </c>
      <c r="K4000">
        <v>0</v>
      </c>
      <c r="L4000" s="3">
        <v>72354</v>
      </c>
      <c r="M4000" s="3">
        <v>0</v>
      </c>
      <c r="N4000">
        <v>0</v>
      </c>
      <c r="O4000">
        <v>0</v>
      </c>
      <c r="P4000">
        <v>72354</v>
      </c>
      <c r="R4000" t="s">
        <v>1100</v>
      </c>
      <c r="S4000" t="str">
        <v>#N/A</v>
      </c>
      <c r="T4000" t="str">
        <v>#N/A</v>
      </c>
    </row>
    <row r="4001" spans="1:20" ht="13.7" customHeight="1" x14ac:dyDescent="0.25">
      <c r="E4001" s="5">
        <v>43465</v>
      </c>
      <c r="F4001">
        <v>73051501</v>
      </c>
      <c r="G4001" t="s">
        <v>1067</v>
      </c>
      <c r="H4001" t="s">
        <v>1149</v>
      </c>
      <c r="I4001" t="s">
        <v>1150</v>
      </c>
      <c r="J4001">
        <v>0</v>
      </c>
      <c r="K4001">
        <v>0</v>
      </c>
      <c r="L4001" s="3">
        <v>6825</v>
      </c>
      <c r="M4001" s="3">
        <v>0</v>
      </c>
      <c r="N4001">
        <v>0</v>
      </c>
      <c r="O4001">
        <v>0</v>
      </c>
      <c r="P4001">
        <v>6825</v>
      </c>
      <c r="R4001" t="s">
        <v>1100</v>
      </c>
      <c r="S4001" t="str">
        <v>#N/A</v>
      </c>
      <c r="T4001" t="str">
        <v>13</v>
      </c>
    </row>
    <row r="4002" spans="1:20" ht="13.7" customHeight="1" x14ac:dyDescent="0.25">
      <c r="A4002" t="s">
        <v>26</v>
      </c>
      <c r="B4002" t="s">
        <v>27</v>
      </c>
      <c r="C4002" t="s">
        <v>28</v>
      </c>
      <c r="D4002">
        <v>77</v>
      </c>
      <c r="E4002" s="5">
        <v>43491</v>
      </c>
      <c r="F4002">
        <v>73051501</v>
      </c>
      <c r="G4002" t="s">
        <v>1067</v>
      </c>
      <c r="H4002" t="s">
        <v>1149</v>
      </c>
      <c r="I4002" t="s">
        <v>1150</v>
      </c>
      <c r="J4002">
        <v>1001</v>
      </c>
      <c r="K4002">
        <v>5001</v>
      </c>
      <c r="L4002" s="3">
        <v>6825</v>
      </c>
      <c r="M4002" s="3">
        <v>2788</v>
      </c>
      <c r="N4002">
        <v>0</v>
      </c>
      <c r="O4002">
        <v>0</v>
      </c>
      <c r="P4002">
        <v>9613</v>
      </c>
      <c r="Q4002" t="s">
        <v>30</v>
      </c>
      <c r="R4002" t="s">
        <v>202</v>
      </c>
      <c r="S4002" t="str">
        <v>#N/A</v>
      </c>
      <c r="T4002" t="str">
        <v>13</v>
      </c>
    </row>
    <row r="4003" spans="1:20" ht="13.7" customHeight="1" x14ac:dyDescent="0.25">
      <c r="A4003" t="s">
        <v>26</v>
      </c>
      <c r="B4003" t="s">
        <v>27</v>
      </c>
      <c r="C4003" t="s">
        <v>32</v>
      </c>
      <c r="D4003">
        <v>60</v>
      </c>
      <c r="E4003" s="5">
        <v>43505</v>
      </c>
      <c r="F4003">
        <v>73051501</v>
      </c>
      <c r="G4003" t="s">
        <v>1067</v>
      </c>
      <c r="H4003" t="s">
        <v>1149</v>
      </c>
      <c r="I4003" t="s">
        <v>1150</v>
      </c>
      <c r="J4003">
        <v>1001</v>
      </c>
      <c r="K4003">
        <v>5001</v>
      </c>
      <c r="L4003" s="3">
        <v>9613</v>
      </c>
      <c r="M4003" s="3">
        <v>2843</v>
      </c>
      <c r="N4003">
        <v>0</v>
      </c>
      <c r="O4003">
        <v>0</v>
      </c>
      <c r="P4003">
        <v>12456</v>
      </c>
      <c r="Q4003" t="s">
        <v>30</v>
      </c>
      <c r="R4003" t="s">
        <v>215</v>
      </c>
      <c r="S4003" t="str">
        <v>#N/A</v>
      </c>
      <c r="T4003" t="str">
        <v>13</v>
      </c>
    </row>
    <row r="4004" spans="1:20" ht="13.7" customHeight="1" x14ac:dyDescent="0.25">
      <c r="A4004" t="s">
        <v>26</v>
      </c>
      <c r="B4004" t="s">
        <v>27</v>
      </c>
      <c r="C4004" t="s">
        <v>32</v>
      </c>
      <c r="D4004">
        <v>61</v>
      </c>
      <c r="E4004" s="5">
        <v>43519</v>
      </c>
      <c r="F4004">
        <v>73051501</v>
      </c>
      <c r="G4004" t="s">
        <v>1067</v>
      </c>
      <c r="H4004" t="s">
        <v>1149</v>
      </c>
      <c r="I4004" t="s">
        <v>1150</v>
      </c>
      <c r="J4004">
        <v>1001</v>
      </c>
      <c r="K4004">
        <v>5001</v>
      </c>
      <c r="L4004" s="3">
        <v>12456</v>
      </c>
      <c r="M4004" s="3">
        <v>1712</v>
      </c>
      <c r="N4004">
        <v>0</v>
      </c>
      <c r="O4004">
        <v>0</v>
      </c>
      <c r="P4004">
        <v>14168</v>
      </c>
      <c r="Q4004" t="s">
        <v>30</v>
      </c>
      <c r="R4004" t="s">
        <v>226</v>
      </c>
      <c r="S4004" t="str">
        <v>#N/A</v>
      </c>
      <c r="T4004" t="str">
        <v>13</v>
      </c>
    </row>
    <row r="4005" spans="1:20" ht="13.7" customHeight="1" x14ac:dyDescent="0.25">
      <c r="A4005" t="s">
        <v>26</v>
      </c>
      <c r="B4005" t="s">
        <v>27</v>
      </c>
      <c r="C4005" t="s">
        <v>41</v>
      </c>
      <c r="D4005">
        <v>77</v>
      </c>
      <c r="E4005" s="5">
        <v>43785</v>
      </c>
      <c r="F4005">
        <v>73051501</v>
      </c>
      <c r="G4005" t="s">
        <v>1067</v>
      </c>
      <c r="H4005" t="s">
        <v>1149</v>
      </c>
      <c r="I4005" t="s">
        <v>1150</v>
      </c>
      <c r="J4005">
        <v>1001</v>
      </c>
      <c r="K4005">
        <v>5001</v>
      </c>
      <c r="L4005" s="3">
        <v>14168</v>
      </c>
      <c r="M4005" s="3">
        <v>12157</v>
      </c>
      <c r="N4005">
        <v>0</v>
      </c>
      <c r="O4005">
        <v>0</v>
      </c>
      <c r="P4005">
        <v>26325</v>
      </c>
      <c r="Q4005" t="s">
        <v>30</v>
      </c>
      <c r="R4005" t="s">
        <v>305</v>
      </c>
      <c r="S4005" t="str">
        <v>#N/A</v>
      </c>
      <c r="T4005" t="str">
        <v>13</v>
      </c>
    </row>
    <row r="4006" spans="1:20" ht="13.7" customHeight="1" x14ac:dyDescent="0.25">
      <c r="E4006" s="5">
        <v>43465</v>
      </c>
      <c r="F4006">
        <v>73051503</v>
      </c>
      <c r="G4006" t="s">
        <v>1068</v>
      </c>
      <c r="H4006" t="s">
        <v>1151</v>
      </c>
      <c r="I4006" t="s">
        <v>1152</v>
      </c>
      <c r="J4006">
        <v>0</v>
      </c>
      <c r="K4006">
        <v>0</v>
      </c>
      <c r="L4006" s="3">
        <v>0</v>
      </c>
      <c r="M4006" s="3">
        <v>0</v>
      </c>
      <c r="N4006">
        <v>0</v>
      </c>
      <c r="O4006">
        <v>0</v>
      </c>
      <c r="P4006">
        <v>0</v>
      </c>
      <c r="R4006" t="s">
        <v>1100</v>
      </c>
      <c r="S4006" t="str">
        <v>#N/A</v>
      </c>
      <c r="T4006" t="str">
        <v>#N/A</v>
      </c>
    </row>
    <row r="4007" spans="1:20" ht="13.7" customHeight="1" x14ac:dyDescent="0.25">
      <c r="A4007" t="s">
        <v>26</v>
      </c>
      <c r="B4007" t="s">
        <v>27</v>
      </c>
      <c r="C4007" t="s">
        <v>41</v>
      </c>
      <c r="D4007">
        <v>77</v>
      </c>
      <c r="E4007" s="5">
        <v>43785</v>
      </c>
      <c r="F4007">
        <v>73051503</v>
      </c>
      <c r="G4007" t="s">
        <v>1068</v>
      </c>
      <c r="H4007" t="s">
        <v>1151</v>
      </c>
      <c r="I4007" t="s">
        <v>1152</v>
      </c>
      <c r="J4007">
        <v>1001</v>
      </c>
      <c r="K4007">
        <v>5001</v>
      </c>
      <c r="L4007" s="3">
        <v>0</v>
      </c>
      <c r="M4007" s="3">
        <v>42357</v>
      </c>
      <c r="N4007">
        <v>0</v>
      </c>
      <c r="O4007">
        <v>0</v>
      </c>
      <c r="P4007">
        <v>42357</v>
      </c>
      <c r="Q4007" t="s">
        <v>30</v>
      </c>
      <c r="R4007" t="s">
        <v>305</v>
      </c>
      <c r="S4007" t="str">
        <v>#N/A</v>
      </c>
      <c r="T4007" t="str">
        <v>#N/A</v>
      </c>
    </row>
    <row r="4008" spans="1:20" ht="13.7" customHeight="1" x14ac:dyDescent="0.25">
      <c r="E4008" s="5">
        <v>43465</v>
      </c>
      <c r="F4008">
        <v>73051503</v>
      </c>
      <c r="G4008" t="s">
        <v>1068</v>
      </c>
      <c r="H4008" t="s">
        <v>1521</v>
      </c>
      <c r="I4008" t="s">
        <v>1522</v>
      </c>
      <c r="J4008">
        <v>0</v>
      </c>
      <c r="K4008">
        <v>0</v>
      </c>
      <c r="L4008" s="3">
        <v>45316</v>
      </c>
      <c r="M4008" s="3">
        <v>0</v>
      </c>
      <c r="N4008">
        <v>0</v>
      </c>
      <c r="O4008">
        <v>0</v>
      </c>
      <c r="P4008">
        <v>45316</v>
      </c>
      <c r="R4008" t="s">
        <v>1100</v>
      </c>
      <c r="S4008" t="str">
        <v>#N/A</v>
      </c>
      <c r="T4008" t="str">
        <v>#N/A</v>
      </c>
    </row>
    <row r="4009" spans="1:20" ht="13.7" customHeight="1" x14ac:dyDescent="0.25">
      <c r="E4009" s="5">
        <v>43465</v>
      </c>
      <c r="F4009">
        <v>73051503</v>
      </c>
      <c r="G4009" t="s">
        <v>1068</v>
      </c>
      <c r="H4009" t="s">
        <v>1173</v>
      </c>
      <c r="I4009" t="s">
        <v>1174</v>
      </c>
      <c r="J4009">
        <v>0</v>
      </c>
      <c r="K4009">
        <v>0</v>
      </c>
      <c r="L4009" s="3">
        <v>81595</v>
      </c>
      <c r="M4009" s="3">
        <v>0</v>
      </c>
      <c r="N4009">
        <v>0</v>
      </c>
      <c r="O4009">
        <v>0</v>
      </c>
      <c r="P4009">
        <v>81595</v>
      </c>
      <c r="R4009" t="s">
        <v>1100</v>
      </c>
      <c r="S4009" t="str">
        <v>#N/A</v>
      </c>
      <c r="T4009" t="str">
        <v>#N/A</v>
      </c>
    </row>
    <row r="4010" spans="1:20" ht="13.7" customHeight="1" x14ac:dyDescent="0.25">
      <c r="E4010" s="5">
        <v>43465</v>
      </c>
      <c r="F4010">
        <v>73051503</v>
      </c>
      <c r="G4010" t="s">
        <v>1068</v>
      </c>
      <c r="H4010" t="s">
        <v>1149</v>
      </c>
      <c r="I4010" t="s">
        <v>1150</v>
      </c>
      <c r="J4010">
        <v>0</v>
      </c>
      <c r="K4010">
        <v>0</v>
      </c>
      <c r="L4010" s="3">
        <v>70818</v>
      </c>
      <c r="M4010" s="3">
        <v>0</v>
      </c>
      <c r="N4010">
        <v>0</v>
      </c>
      <c r="O4010">
        <v>0</v>
      </c>
      <c r="P4010">
        <v>70818</v>
      </c>
      <c r="R4010" t="s">
        <v>1100</v>
      </c>
      <c r="S4010" t="str">
        <v>#N/A</v>
      </c>
      <c r="T4010" t="str">
        <v>13</v>
      </c>
    </row>
    <row r="4011" spans="1:20" ht="13.7" customHeight="1" x14ac:dyDescent="0.25">
      <c r="E4011" s="5">
        <v>43465</v>
      </c>
      <c r="F4011">
        <v>73051503</v>
      </c>
      <c r="G4011" t="s">
        <v>1068</v>
      </c>
      <c r="H4011" t="s">
        <v>1153</v>
      </c>
      <c r="I4011" t="s">
        <v>1154</v>
      </c>
      <c r="J4011">
        <v>0</v>
      </c>
      <c r="K4011">
        <v>0</v>
      </c>
      <c r="L4011" s="3">
        <v>58542</v>
      </c>
      <c r="M4011" s="3">
        <v>0</v>
      </c>
      <c r="N4011">
        <v>0</v>
      </c>
      <c r="O4011">
        <v>0</v>
      </c>
      <c r="P4011">
        <v>58542</v>
      </c>
      <c r="R4011" t="s">
        <v>1100</v>
      </c>
      <c r="S4011" t="str">
        <v>#N/A</v>
      </c>
      <c r="T4011" t="str">
        <v>#N/A</v>
      </c>
    </row>
    <row r="4012" spans="1:20" ht="13.7" customHeight="1" x14ac:dyDescent="0.25">
      <c r="E4012" s="5">
        <v>43465</v>
      </c>
      <c r="F4012">
        <v>73051506</v>
      </c>
      <c r="G4012" t="s">
        <v>1069</v>
      </c>
      <c r="H4012" t="s">
        <v>1147</v>
      </c>
      <c r="I4012" t="s">
        <v>1148</v>
      </c>
      <c r="J4012">
        <v>0</v>
      </c>
      <c r="K4012">
        <v>0</v>
      </c>
      <c r="L4012" s="3">
        <v>0</v>
      </c>
      <c r="M4012" s="3">
        <v>0</v>
      </c>
      <c r="N4012">
        <v>0</v>
      </c>
      <c r="O4012">
        <v>0</v>
      </c>
      <c r="P4012">
        <v>0</v>
      </c>
      <c r="R4012" t="s">
        <v>1100</v>
      </c>
      <c r="S4012" t="str">
        <v>#N/A</v>
      </c>
      <c r="T4012" t="str">
        <v>#N/A</v>
      </c>
    </row>
    <row r="4013" spans="1:20" ht="13.7" customHeight="1" x14ac:dyDescent="0.25">
      <c r="A4013" t="s">
        <v>26</v>
      </c>
      <c r="B4013" t="s">
        <v>27</v>
      </c>
      <c r="C4013" t="s">
        <v>35</v>
      </c>
      <c r="D4013">
        <v>98</v>
      </c>
      <c r="E4013" s="5">
        <v>43603</v>
      </c>
      <c r="F4013">
        <v>73051506</v>
      </c>
      <c r="G4013" t="s">
        <v>1069</v>
      </c>
      <c r="H4013" t="s">
        <v>1147</v>
      </c>
      <c r="I4013" t="s">
        <v>1148</v>
      </c>
      <c r="J4013">
        <v>1001</v>
      </c>
      <c r="K4013">
        <v>5001</v>
      </c>
      <c r="L4013" s="3">
        <v>0</v>
      </c>
      <c r="M4013" s="3">
        <v>55208</v>
      </c>
      <c r="N4013">
        <v>0</v>
      </c>
      <c r="O4013">
        <v>0</v>
      </c>
      <c r="P4013">
        <v>55208</v>
      </c>
      <c r="Q4013" t="s">
        <v>30</v>
      </c>
      <c r="R4013" t="s">
        <v>261</v>
      </c>
      <c r="S4013" t="str">
        <v>#N/A</v>
      </c>
      <c r="T4013" t="str">
        <v>#N/A</v>
      </c>
    </row>
    <row r="4014" spans="1:20" ht="13.7" customHeight="1" x14ac:dyDescent="0.25">
      <c r="A4014" t="s">
        <v>26</v>
      </c>
      <c r="B4014" t="s">
        <v>27</v>
      </c>
      <c r="C4014" t="s">
        <v>36</v>
      </c>
      <c r="D4014">
        <v>70</v>
      </c>
      <c r="E4014" s="5">
        <v>43617</v>
      </c>
      <c r="F4014">
        <v>73051506</v>
      </c>
      <c r="G4014" t="s">
        <v>1069</v>
      </c>
      <c r="H4014" t="s">
        <v>1147</v>
      </c>
      <c r="I4014" t="s">
        <v>1148</v>
      </c>
      <c r="J4014">
        <v>1001</v>
      </c>
      <c r="K4014">
        <v>5001</v>
      </c>
      <c r="L4014" s="3">
        <v>55208</v>
      </c>
      <c r="M4014" s="3">
        <v>51656</v>
      </c>
      <c r="N4014">
        <v>0</v>
      </c>
      <c r="O4014">
        <v>0</v>
      </c>
      <c r="P4014">
        <v>106864</v>
      </c>
      <c r="Q4014" t="s">
        <v>30</v>
      </c>
      <c r="R4014" t="s">
        <v>264</v>
      </c>
      <c r="S4014" t="str">
        <v>#N/A</v>
      </c>
      <c r="T4014" t="str">
        <v>#N/A</v>
      </c>
    </row>
    <row r="4015" spans="1:20" ht="13.7" customHeight="1" x14ac:dyDescent="0.25">
      <c r="A4015" t="s">
        <v>26</v>
      </c>
      <c r="B4015" t="s">
        <v>27</v>
      </c>
      <c r="C4015" t="s">
        <v>36</v>
      </c>
      <c r="D4015">
        <v>71</v>
      </c>
      <c r="E4015" s="5">
        <v>43631</v>
      </c>
      <c r="F4015">
        <v>73051506</v>
      </c>
      <c r="G4015" t="s">
        <v>1069</v>
      </c>
      <c r="H4015" t="s">
        <v>1147</v>
      </c>
      <c r="I4015" t="s">
        <v>1148</v>
      </c>
      <c r="J4015">
        <v>1001</v>
      </c>
      <c r="K4015">
        <v>5001</v>
      </c>
      <c r="L4015" s="3">
        <v>106864</v>
      </c>
      <c r="M4015" s="3">
        <v>72393</v>
      </c>
      <c r="N4015">
        <v>0</v>
      </c>
      <c r="O4015">
        <v>0</v>
      </c>
      <c r="P4015">
        <v>179257</v>
      </c>
      <c r="Q4015" t="s">
        <v>30</v>
      </c>
      <c r="R4015" t="s">
        <v>270</v>
      </c>
      <c r="S4015" t="str">
        <v>#N/A</v>
      </c>
      <c r="T4015" t="str">
        <v>#N/A</v>
      </c>
    </row>
    <row r="4016" spans="1:20" ht="13.7" customHeight="1" x14ac:dyDescent="0.25">
      <c r="A4016" t="s">
        <v>26</v>
      </c>
      <c r="B4016" t="s">
        <v>27</v>
      </c>
      <c r="C4016" t="s">
        <v>36</v>
      </c>
      <c r="D4016">
        <v>73</v>
      </c>
      <c r="E4016" s="5">
        <v>43642</v>
      </c>
      <c r="F4016">
        <v>73051506</v>
      </c>
      <c r="G4016" t="s">
        <v>1069</v>
      </c>
      <c r="H4016" t="s">
        <v>1147</v>
      </c>
      <c r="I4016" t="s">
        <v>1148</v>
      </c>
      <c r="J4016">
        <v>1001</v>
      </c>
      <c r="K4016">
        <v>5001</v>
      </c>
      <c r="L4016" s="3">
        <v>179257</v>
      </c>
      <c r="M4016" s="3">
        <v>75555</v>
      </c>
      <c r="N4016">
        <v>0</v>
      </c>
      <c r="O4016">
        <v>0</v>
      </c>
      <c r="P4016">
        <v>254812</v>
      </c>
      <c r="Q4016" t="s">
        <v>30</v>
      </c>
      <c r="R4016" t="s">
        <v>274</v>
      </c>
      <c r="S4016" t="str">
        <v>#N/A</v>
      </c>
      <c r="T4016" t="str">
        <v>#N/A</v>
      </c>
    </row>
    <row r="4017" spans="1:20" ht="13.7" customHeight="1" x14ac:dyDescent="0.25">
      <c r="A4017" t="s">
        <v>26</v>
      </c>
      <c r="B4017" t="s">
        <v>27</v>
      </c>
      <c r="C4017" t="s">
        <v>37</v>
      </c>
      <c r="D4017">
        <v>66</v>
      </c>
      <c r="E4017" s="5">
        <v>43659</v>
      </c>
      <c r="F4017">
        <v>73051506</v>
      </c>
      <c r="G4017" t="s">
        <v>1069</v>
      </c>
      <c r="H4017" t="s">
        <v>1147</v>
      </c>
      <c r="I4017" t="s">
        <v>1148</v>
      </c>
      <c r="J4017">
        <v>1001</v>
      </c>
      <c r="K4017">
        <v>5001</v>
      </c>
      <c r="L4017" s="3">
        <v>254812</v>
      </c>
      <c r="M4017" s="3">
        <v>80840</v>
      </c>
      <c r="N4017">
        <v>0</v>
      </c>
      <c r="O4017">
        <v>0</v>
      </c>
      <c r="P4017">
        <v>335652</v>
      </c>
      <c r="Q4017" t="s">
        <v>30</v>
      </c>
      <c r="R4017" t="s">
        <v>279</v>
      </c>
      <c r="S4017" t="str">
        <v>#N/A</v>
      </c>
      <c r="T4017" t="str">
        <v>#N/A</v>
      </c>
    </row>
    <row r="4018" spans="1:20" ht="13.7" customHeight="1" x14ac:dyDescent="0.25">
      <c r="A4018" t="s">
        <v>26</v>
      </c>
      <c r="B4018" t="s">
        <v>27</v>
      </c>
      <c r="C4018" t="s">
        <v>37</v>
      </c>
      <c r="D4018">
        <v>67</v>
      </c>
      <c r="E4018" s="5">
        <v>43673</v>
      </c>
      <c r="F4018">
        <v>73051506</v>
      </c>
      <c r="G4018" t="s">
        <v>1069</v>
      </c>
      <c r="H4018" t="s">
        <v>1147</v>
      </c>
      <c r="I4018" t="s">
        <v>1148</v>
      </c>
      <c r="J4018">
        <v>1001</v>
      </c>
      <c r="K4018">
        <v>5001</v>
      </c>
      <c r="L4018" s="3">
        <v>335652</v>
      </c>
      <c r="M4018" s="3">
        <v>82812</v>
      </c>
      <c r="N4018">
        <v>0</v>
      </c>
      <c r="O4018">
        <v>0</v>
      </c>
      <c r="P4018">
        <v>418464</v>
      </c>
      <c r="Q4018" t="s">
        <v>30</v>
      </c>
      <c r="R4018" t="s">
        <v>282</v>
      </c>
      <c r="S4018" t="str">
        <v>#N/A</v>
      </c>
      <c r="T4018" t="str">
        <v>#N/A</v>
      </c>
    </row>
    <row r="4019" spans="1:20" ht="13.7" customHeight="1" x14ac:dyDescent="0.25">
      <c r="A4019" t="s">
        <v>26</v>
      </c>
      <c r="B4019" t="s">
        <v>27</v>
      </c>
      <c r="C4019" t="s">
        <v>38</v>
      </c>
      <c r="D4019">
        <v>56</v>
      </c>
      <c r="E4019" s="5">
        <v>43687</v>
      </c>
      <c r="F4019">
        <v>73051506</v>
      </c>
      <c r="G4019" t="s">
        <v>1069</v>
      </c>
      <c r="H4019" t="s">
        <v>1147</v>
      </c>
      <c r="I4019" t="s">
        <v>1148</v>
      </c>
      <c r="J4019">
        <v>1001</v>
      </c>
      <c r="K4019">
        <v>5001</v>
      </c>
      <c r="L4019" s="3">
        <v>418464</v>
      </c>
      <c r="M4019" s="3">
        <v>82812</v>
      </c>
      <c r="N4019">
        <v>0</v>
      </c>
      <c r="O4019">
        <v>0</v>
      </c>
      <c r="P4019">
        <v>501276</v>
      </c>
      <c r="Q4019" t="s">
        <v>30</v>
      </c>
      <c r="R4019" t="s">
        <v>284</v>
      </c>
      <c r="S4019" t="str">
        <v>#N/A</v>
      </c>
      <c r="T4019" t="str">
        <v>#N/A</v>
      </c>
    </row>
    <row r="4020" spans="1:20" ht="13.7" customHeight="1" x14ac:dyDescent="0.25">
      <c r="A4020" t="s">
        <v>26</v>
      </c>
      <c r="B4020" t="s">
        <v>27</v>
      </c>
      <c r="C4020" t="s">
        <v>38</v>
      </c>
      <c r="D4020">
        <v>57</v>
      </c>
      <c r="E4020" s="5">
        <v>43701</v>
      </c>
      <c r="F4020">
        <v>73051506</v>
      </c>
      <c r="G4020" t="s">
        <v>1069</v>
      </c>
      <c r="H4020" t="s">
        <v>1147</v>
      </c>
      <c r="I4020" t="s">
        <v>1148</v>
      </c>
      <c r="J4020">
        <v>1001</v>
      </c>
      <c r="K4020">
        <v>5001</v>
      </c>
      <c r="L4020" s="3">
        <v>501276</v>
      </c>
      <c r="M4020" s="3">
        <v>82812</v>
      </c>
      <c r="N4020">
        <v>0</v>
      </c>
      <c r="O4020">
        <v>0</v>
      </c>
      <c r="P4020">
        <v>584088</v>
      </c>
      <c r="Q4020" t="s">
        <v>30</v>
      </c>
      <c r="R4020" t="s">
        <v>287</v>
      </c>
      <c r="S4020" t="str">
        <v>#N/A</v>
      </c>
      <c r="T4020" t="str">
        <v>#N/A</v>
      </c>
    </row>
    <row r="4021" spans="1:20" ht="13.7" customHeight="1" x14ac:dyDescent="0.25">
      <c r="A4021" t="s">
        <v>26</v>
      </c>
      <c r="B4021" t="s">
        <v>27</v>
      </c>
      <c r="C4021" t="s">
        <v>39</v>
      </c>
      <c r="D4021">
        <v>68</v>
      </c>
      <c r="E4021" s="5">
        <v>43715</v>
      </c>
      <c r="F4021">
        <v>73051506</v>
      </c>
      <c r="G4021" t="s">
        <v>1069</v>
      </c>
      <c r="H4021" t="s">
        <v>1147</v>
      </c>
      <c r="I4021" t="s">
        <v>1148</v>
      </c>
      <c r="J4021">
        <v>1001</v>
      </c>
      <c r="K4021">
        <v>5001</v>
      </c>
      <c r="L4021" s="3">
        <v>584088</v>
      </c>
      <c r="M4021" s="3">
        <v>32290</v>
      </c>
      <c r="N4021">
        <v>0</v>
      </c>
      <c r="O4021">
        <v>0</v>
      </c>
      <c r="P4021">
        <v>616378</v>
      </c>
      <c r="Q4021" t="s">
        <v>30</v>
      </c>
      <c r="R4021" t="s">
        <v>288</v>
      </c>
      <c r="S4021" t="str">
        <v>#N/A</v>
      </c>
      <c r="T4021" t="str">
        <v>#N/A</v>
      </c>
    </row>
    <row r="4022" spans="1:20" ht="13.7" customHeight="1" x14ac:dyDescent="0.25">
      <c r="E4022" s="5">
        <v>43465</v>
      </c>
      <c r="F4022">
        <v>73051506</v>
      </c>
      <c r="G4022" t="s">
        <v>1069</v>
      </c>
      <c r="H4022" t="s">
        <v>1388</v>
      </c>
      <c r="I4022" t="s">
        <v>1389</v>
      </c>
      <c r="J4022">
        <v>0</v>
      </c>
      <c r="K4022">
        <v>0</v>
      </c>
      <c r="L4022" s="3">
        <v>0</v>
      </c>
      <c r="M4022" s="3">
        <v>0</v>
      </c>
      <c r="N4022">
        <v>0</v>
      </c>
      <c r="O4022">
        <v>0</v>
      </c>
      <c r="P4022">
        <v>0</v>
      </c>
      <c r="R4022" t="s">
        <v>1100</v>
      </c>
      <c r="S4022" t="str">
        <v>#N/A</v>
      </c>
      <c r="T4022" t="str">
        <v>#N/A</v>
      </c>
    </row>
    <row r="4023" spans="1:20" ht="13.7" customHeight="1" x14ac:dyDescent="0.25">
      <c r="A4023" t="s">
        <v>26</v>
      </c>
      <c r="B4023" t="s">
        <v>27</v>
      </c>
      <c r="C4023" t="s">
        <v>28</v>
      </c>
      <c r="D4023">
        <v>77</v>
      </c>
      <c r="E4023" s="5">
        <v>43491</v>
      </c>
      <c r="F4023">
        <v>73051506</v>
      </c>
      <c r="G4023" t="s">
        <v>1069</v>
      </c>
      <c r="H4023" t="s">
        <v>1388</v>
      </c>
      <c r="I4023" t="s">
        <v>1389</v>
      </c>
      <c r="J4023">
        <v>1001</v>
      </c>
      <c r="K4023">
        <v>5001</v>
      </c>
      <c r="L4023" s="3">
        <v>0</v>
      </c>
      <c r="M4023" s="3">
        <v>41613</v>
      </c>
      <c r="N4023">
        <v>0</v>
      </c>
      <c r="O4023">
        <v>0</v>
      </c>
      <c r="P4023">
        <v>41613</v>
      </c>
      <c r="Q4023" t="s">
        <v>30</v>
      </c>
      <c r="R4023" t="s">
        <v>202</v>
      </c>
      <c r="S4023" t="str">
        <v>#N/A</v>
      </c>
      <c r="T4023" t="str">
        <v>#N/A</v>
      </c>
    </row>
    <row r="4024" spans="1:20" ht="13.7" customHeight="1" x14ac:dyDescent="0.25">
      <c r="A4024" t="s">
        <v>26</v>
      </c>
      <c r="B4024" t="s">
        <v>27</v>
      </c>
      <c r="C4024" t="s">
        <v>32</v>
      </c>
      <c r="D4024">
        <v>60</v>
      </c>
      <c r="E4024" s="5">
        <v>43505</v>
      </c>
      <c r="F4024">
        <v>73051506</v>
      </c>
      <c r="G4024" t="s">
        <v>1069</v>
      </c>
      <c r="H4024" t="s">
        <v>1388</v>
      </c>
      <c r="I4024" t="s">
        <v>1389</v>
      </c>
      <c r="J4024">
        <v>1001</v>
      </c>
      <c r="K4024">
        <v>5001</v>
      </c>
      <c r="L4024" s="3">
        <v>41613</v>
      </c>
      <c r="M4024" s="3">
        <v>46663</v>
      </c>
      <c r="N4024">
        <v>0</v>
      </c>
      <c r="O4024">
        <v>0</v>
      </c>
      <c r="P4024">
        <v>88276</v>
      </c>
      <c r="Q4024" t="s">
        <v>30</v>
      </c>
      <c r="R4024" t="s">
        <v>215</v>
      </c>
      <c r="S4024" t="str">
        <v>#N/A</v>
      </c>
      <c r="T4024" t="str">
        <v>#N/A</v>
      </c>
    </row>
    <row r="4025" spans="1:20" ht="13.7" customHeight="1" x14ac:dyDescent="0.25">
      <c r="A4025" t="s">
        <v>26</v>
      </c>
      <c r="B4025" t="s">
        <v>27</v>
      </c>
      <c r="C4025" t="s">
        <v>32</v>
      </c>
      <c r="D4025">
        <v>61</v>
      </c>
      <c r="E4025" s="5">
        <v>43519</v>
      </c>
      <c r="F4025">
        <v>73051506</v>
      </c>
      <c r="G4025" t="s">
        <v>1069</v>
      </c>
      <c r="H4025" t="s">
        <v>1388</v>
      </c>
      <c r="I4025" t="s">
        <v>1389</v>
      </c>
      <c r="J4025">
        <v>1001</v>
      </c>
      <c r="K4025">
        <v>5001</v>
      </c>
      <c r="L4025" s="3">
        <v>88276</v>
      </c>
      <c r="M4025" s="3">
        <v>34052</v>
      </c>
      <c r="N4025">
        <v>0</v>
      </c>
      <c r="O4025">
        <v>0</v>
      </c>
      <c r="P4025">
        <v>122328</v>
      </c>
      <c r="Q4025" t="s">
        <v>30</v>
      </c>
      <c r="R4025" t="s">
        <v>226</v>
      </c>
      <c r="S4025" t="str">
        <v>#N/A</v>
      </c>
      <c r="T4025" t="str">
        <v>#N/A</v>
      </c>
    </row>
    <row r="4026" spans="1:20" ht="13.7" customHeight="1" x14ac:dyDescent="0.25">
      <c r="A4026" t="s">
        <v>26</v>
      </c>
      <c r="B4026" t="s">
        <v>27</v>
      </c>
      <c r="C4026" t="s">
        <v>91</v>
      </c>
      <c r="D4026">
        <v>79</v>
      </c>
      <c r="E4026" s="5">
        <v>43533</v>
      </c>
      <c r="F4026">
        <v>73051506</v>
      </c>
      <c r="G4026" t="s">
        <v>1069</v>
      </c>
      <c r="H4026" t="s">
        <v>1388</v>
      </c>
      <c r="I4026" t="s">
        <v>1389</v>
      </c>
      <c r="J4026">
        <v>1001</v>
      </c>
      <c r="K4026">
        <v>5001</v>
      </c>
      <c r="L4026" s="3">
        <v>122328</v>
      </c>
      <c r="M4026" s="3">
        <v>2266</v>
      </c>
      <c r="N4026">
        <v>0</v>
      </c>
      <c r="O4026">
        <v>0</v>
      </c>
      <c r="P4026">
        <v>124594</v>
      </c>
      <c r="Q4026" t="s">
        <v>30</v>
      </c>
      <c r="R4026" t="s">
        <v>236</v>
      </c>
      <c r="S4026" t="str">
        <v>#N/A</v>
      </c>
      <c r="T4026" t="str">
        <v>#N/A</v>
      </c>
    </row>
    <row r="4027" spans="1:20" ht="13.7" customHeight="1" x14ac:dyDescent="0.25">
      <c r="E4027" s="5">
        <v>43465</v>
      </c>
      <c r="F4027">
        <v>73051506</v>
      </c>
      <c r="G4027" t="s">
        <v>1069</v>
      </c>
      <c r="H4027" t="s">
        <v>1151</v>
      </c>
      <c r="I4027" t="s">
        <v>1152</v>
      </c>
      <c r="J4027">
        <v>0</v>
      </c>
      <c r="K4027">
        <v>0</v>
      </c>
      <c r="L4027" s="3">
        <v>0</v>
      </c>
      <c r="M4027" s="3">
        <v>0</v>
      </c>
      <c r="N4027">
        <v>0</v>
      </c>
      <c r="O4027">
        <v>0</v>
      </c>
      <c r="P4027">
        <v>0</v>
      </c>
      <c r="R4027" t="s">
        <v>1100</v>
      </c>
      <c r="S4027" t="str">
        <v>#N/A</v>
      </c>
      <c r="T4027" t="str">
        <v>#N/A</v>
      </c>
    </row>
    <row r="4028" spans="1:20" ht="13.7" customHeight="1" x14ac:dyDescent="0.25">
      <c r="A4028" t="s">
        <v>26</v>
      </c>
      <c r="B4028" t="s">
        <v>27</v>
      </c>
      <c r="C4028" t="s">
        <v>32</v>
      </c>
      <c r="D4028">
        <v>61</v>
      </c>
      <c r="E4028" s="5">
        <v>43519</v>
      </c>
      <c r="F4028">
        <v>73051506</v>
      </c>
      <c r="G4028" t="s">
        <v>1069</v>
      </c>
      <c r="H4028" t="s">
        <v>1151</v>
      </c>
      <c r="I4028" t="s">
        <v>1152</v>
      </c>
      <c r="J4028">
        <v>1001</v>
      </c>
      <c r="K4028">
        <v>5001</v>
      </c>
      <c r="L4028" s="3">
        <v>0</v>
      </c>
      <c r="M4028" s="3">
        <v>69158</v>
      </c>
      <c r="N4028">
        <v>0</v>
      </c>
      <c r="O4028">
        <v>0</v>
      </c>
      <c r="P4028">
        <v>69158</v>
      </c>
      <c r="Q4028" t="s">
        <v>30</v>
      </c>
      <c r="R4028" t="s">
        <v>226</v>
      </c>
      <c r="S4028" t="str">
        <v>#N/A</v>
      </c>
      <c r="T4028" t="str">
        <v>#N/A</v>
      </c>
    </row>
    <row r="4029" spans="1:20" ht="13.7" customHeight="1" x14ac:dyDescent="0.25">
      <c r="A4029" t="s">
        <v>26</v>
      </c>
      <c r="B4029" t="s">
        <v>27</v>
      </c>
      <c r="C4029" t="s">
        <v>91</v>
      </c>
      <c r="D4029">
        <v>79</v>
      </c>
      <c r="E4029" s="5">
        <v>43533</v>
      </c>
      <c r="F4029">
        <v>73051506</v>
      </c>
      <c r="G4029" t="s">
        <v>1069</v>
      </c>
      <c r="H4029" t="s">
        <v>1151</v>
      </c>
      <c r="I4029" t="s">
        <v>1152</v>
      </c>
      <c r="J4029">
        <v>1001</v>
      </c>
      <c r="K4029">
        <v>5001</v>
      </c>
      <c r="L4029" s="3">
        <v>69158</v>
      </c>
      <c r="M4029" s="3">
        <v>55208</v>
      </c>
      <c r="N4029">
        <v>0</v>
      </c>
      <c r="O4029">
        <v>0</v>
      </c>
      <c r="P4029">
        <v>124366</v>
      </c>
      <c r="Q4029" t="s">
        <v>30</v>
      </c>
      <c r="R4029" t="s">
        <v>236</v>
      </c>
      <c r="S4029" t="str">
        <v>#N/A</v>
      </c>
      <c r="T4029" t="str">
        <v>#N/A</v>
      </c>
    </row>
    <row r="4030" spans="1:20" ht="13.7" customHeight="1" x14ac:dyDescent="0.25">
      <c r="A4030" t="s">
        <v>26</v>
      </c>
      <c r="B4030" t="s">
        <v>27</v>
      </c>
      <c r="C4030" t="s">
        <v>91</v>
      </c>
      <c r="D4030">
        <v>80</v>
      </c>
      <c r="E4030" s="5">
        <v>43547</v>
      </c>
      <c r="F4030">
        <v>73051506</v>
      </c>
      <c r="G4030" t="s">
        <v>1069</v>
      </c>
      <c r="H4030" t="s">
        <v>1151</v>
      </c>
      <c r="I4030" t="s">
        <v>1152</v>
      </c>
      <c r="J4030">
        <v>1001</v>
      </c>
      <c r="K4030">
        <v>5001</v>
      </c>
      <c r="L4030" s="3">
        <v>124366</v>
      </c>
      <c r="M4030" s="3">
        <v>55208</v>
      </c>
      <c r="N4030">
        <v>0</v>
      </c>
      <c r="O4030">
        <v>0</v>
      </c>
      <c r="P4030">
        <v>179574</v>
      </c>
      <c r="Q4030" t="s">
        <v>30</v>
      </c>
      <c r="R4030" t="s">
        <v>244</v>
      </c>
      <c r="S4030" t="str">
        <v>#N/A</v>
      </c>
      <c r="T4030" t="str">
        <v>#N/A</v>
      </c>
    </row>
    <row r="4031" spans="1:20" ht="13.7" customHeight="1" x14ac:dyDescent="0.25">
      <c r="A4031" t="s">
        <v>26</v>
      </c>
      <c r="B4031" t="s">
        <v>27</v>
      </c>
      <c r="C4031" t="s">
        <v>34</v>
      </c>
      <c r="D4031">
        <v>71</v>
      </c>
      <c r="E4031" s="5">
        <v>43561</v>
      </c>
      <c r="F4031">
        <v>73051506</v>
      </c>
      <c r="G4031" t="s">
        <v>1069</v>
      </c>
      <c r="H4031" t="s">
        <v>1151</v>
      </c>
      <c r="I4031" t="s">
        <v>1152</v>
      </c>
      <c r="J4031">
        <v>1001</v>
      </c>
      <c r="K4031">
        <v>5001</v>
      </c>
      <c r="L4031" s="3">
        <v>179574</v>
      </c>
      <c r="M4031" s="3">
        <v>82812</v>
      </c>
      <c r="N4031">
        <v>0</v>
      </c>
      <c r="O4031">
        <v>0</v>
      </c>
      <c r="P4031">
        <v>262386</v>
      </c>
      <c r="Q4031" t="s">
        <v>30</v>
      </c>
      <c r="R4031" t="s">
        <v>244</v>
      </c>
      <c r="S4031" t="str">
        <v>#N/A</v>
      </c>
      <c r="T4031" t="str">
        <v>#N/A</v>
      </c>
    </row>
    <row r="4032" spans="1:20" ht="13.7" customHeight="1" x14ac:dyDescent="0.25">
      <c r="A4032" t="s">
        <v>26</v>
      </c>
      <c r="B4032" t="s">
        <v>27</v>
      </c>
      <c r="C4032" t="s">
        <v>34</v>
      </c>
      <c r="D4032">
        <v>72</v>
      </c>
      <c r="E4032" s="5">
        <v>43575</v>
      </c>
      <c r="F4032">
        <v>73051506</v>
      </c>
      <c r="G4032" t="s">
        <v>1069</v>
      </c>
      <c r="H4032" t="s">
        <v>1151</v>
      </c>
      <c r="I4032" t="s">
        <v>1152</v>
      </c>
      <c r="J4032">
        <v>1001</v>
      </c>
      <c r="K4032">
        <v>5001</v>
      </c>
      <c r="L4032" s="3">
        <v>262386</v>
      </c>
      <c r="M4032" s="3">
        <v>110415</v>
      </c>
      <c r="N4032">
        <v>0</v>
      </c>
      <c r="O4032">
        <v>0</v>
      </c>
      <c r="P4032">
        <v>372801</v>
      </c>
      <c r="Q4032" t="s">
        <v>30</v>
      </c>
      <c r="R4032" t="s">
        <v>254</v>
      </c>
      <c r="S4032" t="str">
        <v>#N/A</v>
      </c>
      <c r="T4032" t="str">
        <v>#N/A</v>
      </c>
    </row>
    <row r="4033" spans="1:20" ht="13.7" customHeight="1" x14ac:dyDescent="0.25">
      <c r="A4033" t="s">
        <v>26</v>
      </c>
      <c r="B4033" t="s">
        <v>27</v>
      </c>
      <c r="C4033" t="s">
        <v>35</v>
      </c>
      <c r="D4033">
        <v>97</v>
      </c>
      <c r="E4033" s="5">
        <v>43589</v>
      </c>
      <c r="F4033">
        <v>73051506</v>
      </c>
      <c r="G4033" t="s">
        <v>1069</v>
      </c>
      <c r="H4033" t="s">
        <v>1151</v>
      </c>
      <c r="I4033" t="s">
        <v>1152</v>
      </c>
      <c r="J4033">
        <v>1001</v>
      </c>
      <c r="K4033">
        <v>5001</v>
      </c>
      <c r="L4033" s="3">
        <v>372801</v>
      </c>
      <c r="M4033" s="3">
        <v>82812</v>
      </c>
      <c r="N4033">
        <v>0</v>
      </c>
      <c r="O4033">
        <v>0</v>
      </c>
      <c r="P4033">
        <v>455613</v>
      </c>
      <c r="Q4033" t="s">
        <v>30</v>
      </c>
      <c r="R4033" t="s">
        <v>256</v>
      </c>
      <c r="S4033" t="str">
        <v>#N/A</v>
      </c>
      <c r="T4033" t="str">
        <v>#N/A</v>
      </c>
    </row>
    <row r="4034" spans="1:20" ht="13.7" customHeight="1" x14ac:dyDescent="0.25">
      <c r="A4034" t="s">
        <v>26</v>
      </c>
      <c r="B4034" t="s">
        <v>27</v>
      </c>
      <c r="C4034" t="s">
        <v>35</v>
      </c>
      <c r="D4034">
        <v>98</v>
      </c>
      <c r="E4034" s="5">
        <v>43603</v>
      </c>
      <c r="F4034">
        <v>73051506</v>
      </c>
      <c r="G4034" t="s">
        <v>1069</v>
      </c>
      <c r="H4034" t="s">
        <v>1151</v>
      </c>
      <c r="I4034" t="s">
        <v>1152</v>
      </c>
      <c r="J4034">
        <v>1001</v>
      </c>
      <c r="K4034">
        <v>5001</v>
      </c>
      <c r="L4034" s="3">
        <v>455613</v>
      </c>
      <c r="M4034" s="3">
        <v>55208</v>
      </c>
      <c r="N4034">
        <v>0</v>
      </c>
      <c r="O4034">
        <v>0</v>
      </c>
      <c r="P4034">
        <v>510821</v>
      </c>
      <c r="Q4034" t="s">
        <v>30</v>
      </c>
      <c r="R4034" t="s">
        <v>261</v>
      </c>
      <c r="S4034" t="str">
        <v>#N/A</v>
      </c>
      <c r="T4034" t="str">
        <v>#N/A</v>
      </c>
    </row>
    <row r="4035" spans="1:20" ht="13.7" customHeight="1" x14ac:dyDescent="0.25">
      <c r="A4035" t="s">
        <v>26</v>
      </c>
      <c r="B4035" t="s">
        <v>27</v>
      </c>
      <c r="C4035" t="s">
        <v>36</v>
      </c>
      <c r="D4035">
        <v>70</v>
      </c>
      <c r="E4035" s="5">
        <v>43617</v>
      </c>
      <c r="F4035">
        <v>73051506</v>
      </c>
      <c r="G4035" t="s">
        <v>1069</v>
      </c>
      <c r="H4035" t="s">
        <v>1151</v>
      </c>
      <c r="I4035" t="s">
        <v>1152</v>
      </c>
      <c r="J4035">
        <v>1001</v>
      </c>
      <c r="K4035">
        <v>5001</v>
      </c>
      <c r="L4035" s="3">
        <v>510821</v>
      </c>
      <c r="M4035" s="3">
        <v>55208</v>
      </c>
      <c r="N4035">
        <v>0</v>
      </c>
      <c r="O4035">
        <v>0</v>
      </c>
      <c r="P4035">
        <v>566029</v>
      </c>
      <c r="Q4035" t="s">
        <v>30</v>
      </c>
      <c r="R4035" t="s">
        <v>264</v>
      </c>
      <c r="S4035" t="str">
        <v>#N/A</v>
      </c>
      <c r="T4035" t="str">
        <v>#N/A</v>
      </c>
    </row>
    <row r="4036" spans="1:20" ht="13.7" customHeight="1" x14ac:dyDescent="0.25">
      <c r="A4036" t="s">
        <v>26</v>
      </c>
      <c r="B4036" t="s">
        <v>27</v>
      </c>
      <c r="C4036" t="s">
        <v>36</v>
      </c>
      <c r="D4036">
        <v>71</v>
      </c>
      <c r="E4036" s="5">
        <v>43631</v>
      </c>
      <c r="F4036">
        <v>73051506</v>
      </c>
      <c r="G4036" t="s">
        <v>1069</v>
      </c>
      <c r="H4036" t="s">
        <v>1151</v>
      </c>
      <c r="I4036" t="s">
        <v>1152</v>
      </c>
      <c r="J4036">
        <v>1001</v>
      </c>
      <c r="K4036">
        <v>5001</v>
      </c>
      <c r="L4036" s="3">
        <v>566029</v>
      </c>
      <c r="M4036" s="3">
        <v>82812</v>
      </c>
      <c r="N4036">
        <v>0</v>
      </c>
      <c r="O4036">
        <v>0</v>
      </c>
      <c r="P4036">
        <v>648841</v>
      </c>
      <c r="Q4036" t="s">
        <v>30</v>
      </c>
      <c r="R4036" t="s">
        <v>270</v>
      </c>
      <c r="S4036" t="str">
        <v>#N/A</v>
      </c>
      <c r="T4036" t="str">
        <v>#N/A</v>
      </c>
    </row>
    <row r="4037" spans="1:20" ht="13.7" customHeight="1" x14ac:dyDescent="0.25">
      <c r="A4037" t="s">
        <v>26</v>
      </c>
      <c r="B4037" t="s">
        <v>27</v>
      </c>
      <c r="C4037" t="s">
        <v>37</v>
      </c>
      <c r="D4037">
        <v>66</v>
      </c>
      <c r="E4037" s="5">
        <v>43659</v>
      </c>
      <c r="F4037">
        <v>73051506</v>
      </c>
      <c r="G4037" t="s">
        <v>1069</v>
      </c>
      <c r="H4037" t="s">
        <v>1151</v>
      </c>
      <c r="I4037" t="s">
        <v>1152</v>
      </c>
      <c r="J4037">
        <v>1001</v>
      </c>
      <c r="K4037">
        <v>5001</v>
      </c>
      <c r="L4037" s="3">
        <v>648841</v>
      </c>
      <c r="M4037" s="3">
        <v>82812</v>
      </c>
      <c r="N4037">
        <v>0</v>
      </c>
      <c r="O4037">
        <v>0</v>
      </c>
      <c r="P4037">
        <v>731653</v>
      </c>
      <c r="Q4037" t="s">
        <v>30</v>
      </c>
      <c r="R4037" t="s">
        <v>279</v>
      </c>
      <c r="S4037" t="str">
        <v>#N/A</v>
      </c>
      <c r="T4037" t="str">
        <v>#N/A</v>
      </c>
    </row>
    <row r="4038" spans="1:20" ht="13.7" customHeight="1" x14ac:dyDescent="0.25">
      <c r="A4038" t="s">
        <v>26</v>
      </c>
      <c r="B4038" t="s">
        <v>27</v>
      </c>
      <c r="C4038" t="s">
        <v>37</v>
      </c>
      <c r="D4038">
        <v>67</v>
      </c>
      <c r="E4038" s="5">
        <v>43673</v>
      </c>
      <c r="F4038">
        <v>73051506</v>
      </c>
      <c r="G4038" t="s">
        <v>1069</v>
      </c>
      <c r="H4038" t="s">
        <v>1151</v>
      </c>
      <c r="I4038" t="s">
        <v>1152</v>
      </c>
      <c r="J4038">
        <v>1001</v>
      </c>
      <c r="K4038">
        <v>5001</v>
      </c>
      <c r="L4038" s="3">
        <v>731653</v>
      </c>
      <c r="M4038" s="3">
        <v>82812</v>
      </c>
      <c r="N4038">
        <v>0</v>
      </c>
      <c r="O4038">
        <v>0</v>
      </c>
      <c r="P4038">
        <v>814465</v>
      </c>
      <c r="Q4038" t="s">
        <v>30</v>
      </c>
      <c r="R4038" t="s">
        <v>282</v>
      </c>
      <c r="S4038" t="str">
        <v>#N/A</v>
      </c>
      <c r="T4038" t="str">
        <v>#N/A</v>
      </c>
    </row>
    <row r="4039" spans="1:20" ht="13.7" customHeight="1" x14ac:dyDescent="0.25">
      <c r="A4039" t="s">
        <v>26</v>
      </c>
      <c r="B4039" t="s">
        <v>27</v>
      </c>
      <c r="C4039" t="s">
        <v>38</v>
      </c>
      <c r="D4039">
        <v>56</v>
      </c>
      <c r="E4039" s="5">
        <v>43687</v>
      </c>
      <c r="F4039">
        <v>73051506</v>
      </c>
      <c r="G4039" t="s">
        <v>1069</v>
      </c>
      <c r="H4039" t="s">
        <v>1151</v>
      </c>
      <c r="I4039" t="s">
        <v>1152</v>
      </c>
      <c r="J4039">
        <v>1001</v>
      </c>
      <c r="K4039">
        <v>5001</v>
      </c>
      <c r="L4039" s="3">
        <v>814465</v>
      </c>
      <c r="M4039" s="3">
        <v>82812</v>
      </c>
      <c r="N4039">
        <v>0</v>
      </c>
      <c r="O4039">
        <v>0</v>
      </c>
      <c r="P4039">
        <v>897277</v>
      </c>
      <c r="Q4039" t="s">
        <v>30</v>
      </c>
      <c r="R4039" t="s">
        <v>284</v>
      </c>
      <c r="S4039" t="str">
        <v>#N/A</v>
      </c>
      <c r="T4039" t="str">
        <v>#N/A</v>
      </c>
    </row>
    <row r="4040" spans="1:20" ht="13.7" customHeight="1" x14ac:dyDescent="0.25">
      <c r="A4040" t="s">
        <v>26</v>
      </c>
      <c r="B4040" t="s">
        <v>27</v>
      </c>
      <c r="C4040" t="s">
        <v>38</v>
      </c>
      <c r="D4040">
        <v>57</v>
      </c>
      <c r="E4040" s="5">
        <v>43701</v>
      </c>
      <c r="F4040">
        <v>73051506</v>
      </c>
      <c r="G4040" t="s">
        <v>1069</v>
      </c>
      <c r="H4040" t="s">
        <v>1151</v>
      </c>
      <c r="I4040" t="s">
        <v>1152</v>
      </c>
      <c r="J4040">
        <v>1001</v>
      </c>
      <c r="K4040">
        <v>5001</v>
      </c>
      <c r="L4040" s="3">
        <v>897277</v>
      </c>
      <c r="M4040" s="3">
        <v>70787</v>
      </c>
      <c r="N4040">
        <v>0</v>
      </c>
      <c r="O4040">
        <v>0</v>
      </c>
      <c r="P4040">
        <v>968064</v>
      </c>
      <c r="Q4040" t="s">
        <v>30</v>
      </c>
      <c r="R4040" t="s">
        <v>287</v>
      </c>
      <c r="S4040" t="str">
        <v>#N/A</v>
      </c>
      <c r="T4040" t="str">
        <v>#N/A</v>
      </c>
    </row>
    <row r="4041" spans="1:20" ht="13.7" customHeight="1" x14ac:dyDescent="0.25">
      <c r="A4041" t="s">
        <v>26</v>
      </c>
      <c r="B4041" t="s">
        <v>27</v>
      </c>
      <c r="C4041" t="s">
        <v>39</v>
      </c>
      <c r="D4041">
        <v>68</v>
      </c>
      <c r="E4041" s="5">
        <v>43715</v>
      </c>
      <c r="F4041">
        <v>73051506</v>
      </c>
      <c r="G4041" t="s">
        <v>1069</v>
      </c>
      <c r="H4041" t="s">
        <v>1151</v>
      </c>
      <c r="I4041" t="s">
        <v>1152</v>
      </c>
      <c r="J4041">
        <v>1001</v>
      </c>
      <c r="K4041">
        <v>5001</v>
      </c>
      <c r="L4041" s="3">
        <v>968064</v>
      </c>
      <c r="M4041" s="3">
        <v>54021</v>
      </c>
      <c r="N4041">
        <v>0</v>
      </c>
      <c r="O4041">
        <v>0</v>
      </c>
      <c r="P4041">
        <v>1022085</v>
      </c>
      <c r="Q4041" t="s">
        <v>30</v>
      </c>
      <c r="R4041" t="s">
        <v>288</v>
      </c>
      <c r="S4041" t="str">
        <v>#N/A</v>
      </c>
      <c r="T4041" t="str">
        <v>#N/A</v>
      </c>
    </row>
    <row r="4042" spans="1:20" ht="13.7" customHeight="1" x14ac:dyDescent="0.25">
      <c r="A4042" t="s">
        <v>26</v>
      </c>
      <c r="B4042" t="s">
        <v>27</v>
      </c>
      <c r="C4042" t="s">
        <v>39</v>
      </c>
      <c r="D4042">
        <v>69</v>
      </c>
      <c r="E4042" s="5">
        <v>43729</v>
      </c>
      <c r="F4042">
        <v>73051506</v>
      </c>
      <c r="G4042" t="s">
        <v>1069</v>
      </c>
      <c r="H4042" t="s">
        <v>1151</v>
      </c>
      <c r="I4042" t="s">
        <v>1152</v>
      </c>
      <c r="J4042">
        <v>1001</v>
      </c>
      <c r="K4042">
        <v>5001</v>
      </c>
      <c r="L4042" s="3">
        <v>1022085</v>
      </c>
      <c r="M4042" s="3">
        <v>51547</v>
      </c>
      <c r="N4042">
        <v>0</v>
      </c>
      <c r="O4042">
        <v>0</v>
      </c>
      <c r="P4042">
        <v>1073632</v>
      </c>
      <c r="Q4042" t="s">
        <v>30</v>
      </c>
      <c r="R4042" t="s">
        <v>291</v>
      </c>
      <c r="S4042" t="str">
        <v>#N/A</v>
      </c>
      <c r="T4042" t="str">
        <v>#N/A</v>
      </c>
    </row>
    <row r="4043" spans="1:20" ht="13.7" customHeight="1" x14ac:dyDescent="0.25">
      <c r="A4043" t="s">
        <v>26</v>
      </c>
      <c r="B4043" t="s">
        <v>27</v>
      </c>
      <c r="C4043" t="s">
        <v>40</v>
      </c>
      <c r="D4043">
        <v>61</v>
      </c>
      <c r="E4043" s="5">
        <v>43743</v>
      </c>
      <c r="F4043">
        <v>73051506</v>
      </c>
      <c r="G4043" t="s">
        <v>1069</v>
      </c>
      <c r="H4043" t="s">
        <v>1151</v>
      </c>
      <c r="I4043" t="s">
        <v>1152</v>
      </c>
      <c r="J4043">
        <v>1001</v>
      </c>
      <c r="K4043">
        <v>5001</v>
      </c>
      <c r="L4043" s="3">
        <v>1073632</v>
      </c>
      <c r="M4043" s="3">
        <v>52535</v>
      </c>
      <c r="N4043">
        <v>0</v>
      </c>
      <c r="O4043">
        <v>0</v>
      </c>
      <c r="P4043">
        <v>1126167</v>
      </c>
      <c r="Q4043" t="s">
        <v>30</v>
      </c>
      <c r="R4043" t="s">
        <v>293</v>
      </c>
      <c r="S4043" t="str">
        <v>#N/A</v>
      </c>
      <c r="T4043" t="str">
        <v>#N/A</v>
      </c>
    </row>
    <row r="4044" spans="1:20" ht="13.7" customHeight="1" x14ac:dyDescent="0.25">
      <c r="A4044" t="s">
        <v>26</v>
      </c>
      <c r="B4044" t="s">
        <v>27</v>
      </c>
      <c r="C4044" t="s">
        <v>40</v>
      </c>
      <c r="D4044">
        <v>62</v>
      </c>
      <c r="E4044" s="5">
        <v>43757</v>
      </c>
      <c r="F4044">
        <v>73051506</v>
      </c>
      <c r="G4044" t="s">
        <v>1069</v>
      </c>
      <c r="H4044" t="s">
        <v>1151</v>
      </c>
      <c r="I4044" t="s">
        <v>1152</v>
      </c>
      <c r="J4044">
        <v>1001</v>
      </c>
      <c r="K4044">
        <v>5001</v>
      </c>
      <c r="L4044" s="3">
        <v>1126167</v>
      </c>
      <c r="M4044" s="3">
        <v>82812</v>
      </c>
      <c r="N4044">
        <v>0</v>
      </c>
      <c r="O4044">
        <v>0</v>
      </c>
      <c r="P4044">
        <v>1208979</v>
      </c>
      <c r="Q4044" t="s">
        <v>30</v>
      </c>
      <c r="R4044" t="s">
        <v>299</v>
      </c>
      <c r="S4044" t="str">
        <v>#N/A</v>
      </c>
      <c r="T4044" t="str">
        <v>#N/A</v>
      </c>
    </row>
    <row r="4045" spans="1:20" ht="13.7" customHeight="1" x14ac:dyDescent="0.25">
      <c r="A4045" t="s">
        <v>26</v>
      </c>
      <c r="B4045" t="s">
        <v>27</v>
      </c>
      <c r="C4045" t="s">
        <v>41</v>
      </c>
      <c r="D4045">
        <v>76</v>
      </c>
      <c r="E4045" s="5">
        <v>43771</v>
      </c>
      <c r="F4045">
        <v>73051506</v>
      </c>
      <c r="G4045" t="s">
        <v>1069</v>
      </c>
      <c r="H4045" t="s">
        <v>1151</v>
      </c>
      <c r="I4045" t="s">
        <v>1152</v>
      </c>
      <c r="J4045">
        <v>1001</v>
      </c>
      <c r="K4045">
        <v>5001</v>
      </c>
      <c r="L4045" s="3">
        <v>1208979</v>
      </c>
      <c r="M4045" s="3">
        <v>49275</v>
      </c>
      <c r="N4045">
        <v>0</v>
      </c>
      <c r="O4045">
        <v>0</v>
      </c>
      <c r="P4045">
        <v>1258254</v>
      </c>
      <c r="Q4045" t="s">
        <v>30</v>
      </c>
      <c r="R4045" t="s">
        <v>301</v>
      </c>
      <c r="S4045" t="str">
        <v>#N/A</v>
      </c>
      <c r="T4045" t="str">
        <v>#N/A</v>
      </c>
    </row>
    <row r="4046" spans="1:20" ht="13.7" customHeight="1" x14ac:dyDescent="0.25">
      <c r="A4046" t="s">
        <v>26</v>
      </c>
      <c r="B4046" t="s">
        <v>27</v>
      </c>
      <c r="C4046" t="s">
        <v>41</v>
      </c>
      <c r="D4046">
        <v>77</v>
      </c>
      <c r="E4046" s="5">
        <v>43785</v>
      </c>
      <c r="F4046">
        <v>73051506</v>
      </c>
      <c r="G4046" t="s">
        <v>1069</v>
      </c>
      <c r="H4046" t="s">
        <v>1151</v>
      </c>
      <c r="I4046" t="s">
        <v>1152</v>
      </c>
      <c r="J4046">
        <v>1001</v>
      </c>
      <c r="K4046">
        <v>5001</v>
      </c>
      <c r="L4046" s="3">
        <v>1258254</v>
      </c>
      <c r="M4046" s="3">
        <v>110415</v>
      </c>
      <c r="N4046">
        <v>0</v>
      </c>
      <c r="O4046">
        <v>0</v>
      </c>
      <c r="P4046">
        <v>1368669</v>
      </c>
      <c r="Q4046" t="s">
        <v>30</v>
      </c>
      <c r="R4046" t="s">
        <v>305</v>
      </c>
      <c r="S4046" t="str">
        <v>#N/A</v>
      </c>
      <c r="T4046" t="str">
        <v>#N/A</v>
      </c>
    </row>
    <row r="4047" spans="1:20" ht="13.7" customHeight="1" x14ac:dyDescent="0.25">
      <c r="A4047" t="s">
        <v>26</v>
      </c>
      <c r="B4047" t="s">
        <v>27</v>
      </c>
      <c r="C4047" t="s">
        <v>41</v>
      </c>
      <c r="D4047">
        <v>78</v>
      </c>
      <c r="E4047" s="5">
        <v>43799</v>
      </c>
      <c r="F4047">
        <v>73051506</v>
      </c>
      <c r="G4047" t="s">
        <v>1069</v>
      </c>
      <c r="H4047" t="s">
        <v>1151</v>
      </c>
      <c r="I4047" t="s">
        <v>1152</v>
      </c>
      <c r="J4047">
        <v>1001</v>
      </c>
      <c r="K4047">
        <v>5001</v>
      </c>
      <c r="L4047" s="3">
        <v>1368669</v>
      </c>
      <c r="M4047" s="3">
        <v>49174</v>
      </c>
      <c r="N4047">
        <v>0</v>
      </c>
      <c r="O4047">
        <v>0</v>
      </c>
      <c r="P4047">
        <v>1417843</v>
      </c>
      <c r="Q4047" t="s">
        <v>30</v>
      </c>
      <c r="R4047" t="s">
        <v>309</v>
      </c>
      <c r="S4047" t="str">
        <v>#N/A</v>
      </c>
      <c r="T4047" t="str">
        <v>#N/A</v>
      </c>
    </row>
    <row r="4048" spans="1:20" ht="13.7" customHeight="1" x14ac:dyDescent="0.25">
      <c r="A4048" t="s">
        <v>26</v>
      </c>
      <c r="B4048" t="s">
        <v>27</v>
      </c>
      <c r="C4048" t="s">
        <v>180</v>
      </c>
      <c r="D4048">
        <v>1</v>
      </c>
      <c r="E4048" s="5">
        <v>43813</v>
      </c>
      <c r="F4048">
        <v>73051506</v>
      </c>
      <c r="G4048" t="s">
        <v>1069</v>
      </c>
      <c r="H4048" t="s">
        <v>1151</v>
      </c>
      <c r="I4048" t="s">
        <v>1152</v>
      </c>
      <c r="J4048">
        <v>1001</v>
      </c>
      <c r="K4048">
        <v>5001</v>
      </c>
      <c r="L4048" s="3">
        <v>1417843</v>
      </c>
      <c r="M4048" s="3">
        <v>49065</v>
      </c>
      <c r="N4048">
        <v>0</v>
      </c>
      <c r="O4048">
        <v>0</v>
      </c>
      <c r="P4048">
        <v>1466908</v>
      </c>
      <c r="Q4048" t="s">
        <v>30</v>
      </c>
      <c r="R4048" t="s">
        <v>316</v>
      </c>
      <c r="S4048" t="str">
        <v>#N/A</v>
      </c>
      <c r="T4048" t="str">
        <v>#N/A</v>
      </c>
    </row>
    <row r="4049" spans="1:20" ht="13.7" customHeight="1" x14ac:dyDescent="0.25">
      <c r="A4049" t="s">
        <v>26</v>
      </c>
      <c r="B4049" t="s">
        <v>27</v>
      </c>
      <c r="C4049" t="s">
        <v>180</v>
      </c>
      <c r="D4049">
        <v>90</v>
      </c>
      <c r="E4049" s="5">
        <v>43819</v>
      </c>
      <c r="F4049">
        <v>73051506</v>
      </c>
      <c r="G4049" t="s">
        <v>1069</v>
      </c>
      <c r="H4049" t="s">
        <v>1151</v>
      </c>
      <c r="I4049" t="s">
        <v>1152</v>
      </c>
      <c r="J4049" t="e">
        <v>#N/A</v>
      </c>
      <c r="K4049" t="e">
        <v>#N/A</v>
      </c>
      <c r="L4049" s="3">
        <v>1466908</v>
      </c>
      <c r="M4049" s="3">
        <v>21347</v>
      </c>
      <c r="N4049">
        <v>0</v>
      </c>
      <c r="O4049">
        <v>0</v>
      </c>
      <c r="P4049">
        <v>1488255</v>
      </c>
      <c r="Q4049" t="s">
        <v>30</v>
      </c>
      <c r="R4049" t="s">
        <v>1503</v>
      </c>
      <c r="S4049" t="str">
        <v>#N/A</v>
      </c>
      <c r="T4049" t="str">
        <v>#N/A</v>
      </c>
    </row>
    <row r="4050" spans="1:20" ht="13.7" customHeight="1" x14ac:dyDescent="0.25">
      <c r="E4050" s="5">
        <v>43465</v>
      </c>
      <c r="F4050">
        <v>73051506</v>
      </c>
      <c r="G4050" t="s">
        <v>1069</v>
      </c>
      <c r="H4050" t="s">
        <v>1521</v>
      </c>
      <c r="I4050" t="s">
        <v>1522</v>
      </c>
      <c r="J4050">
        <v>0</v>
      </c>
      <c r="K4050">
        <v>0</v>
      </c>
      <c r="L4050" s="3">
        <v>351558</v>
      </c>
      <c r="M4050" s="3">
        <v>0</v>
      </c>
      <c r="N4050">
        <v>0</v>
      </c>
      <c r="O4050">
        <v>0</v>
      </c>
      <c r="P4050">
        <v>351558</v>
      </c>
      <c r="R4050" t="s">
        <v>1100</v>
      </c>
      <c r="S4050" t="str">
        <v>#N/A</v>
      </c>
      <c r="T4050" t="str">
        <v>#N/A</v>
      </c>
    </row>
    <row r="4051" spans="1:20" ht="13.7" customHeight="1" x14ac:dyDescent="0.25">
      <c r="E4051" s="5">
        <v>43465</v>
      </c>
      <c r="F4051">
        <v>73051506</v>
      </c>
      <c r="G4051" t="s">
        <v>1069</v>
      </c>
      <c r="H4051" t="s">
        <v>1173</v>
      </c>
      <c r="I4051" t="s">
        <v>1174</v>
      </c>
      <c r="J4051">
        <v>0</v>
      </c>
      <c r="K4051">
        <v>0</v>
      </c>
      <c r="L4051" s="3">
        <v>105511</v>
      </c>
      <c r="M4051" s="3">
        <v>0</v>
      </c>
      <c r="N4051">
        <v>0</v>
      </c>
      <c r="O4051">
        <v>0</v>
      </c>
      <c r="P4051">
        <v>105511</v>
      </c>
      <c r="R4051" t="s">
        <v>1100</v>
      </c>
      <c r="S4051" t="str">
        <v>#N/A</v>
      </c>
      <c r="T4051" t="str">
        <v>#N/A</v>
      </c>
    </row>
    <row r="4052" spans="1:20" ht="13.7" customHeight="1" x14ac:dyDescent="0.25">
      <c r="E4052" s="5">
        <v>43465</v>
      </c>
      <c r="F4052">
        <v>73051506</v>
      </c>
      <c r="G4052" t="s">
        <v>1069</v>
      </c>
      <c r="H4052" t="s">
        <v>1141</v>
      </c>
      <c r="I4052" t="s">
        <v>1142</v>
      </c>
      <c r="J4052">
        <v>0</v>
      </c>
      <c r="K4052">
        <v>0</v>
      </c>
      <c r="L4052" s="3">
        <v>0</v>
      </c>
      <c r="M4052" s="3">
        <v>0</v>
      </c>
      <c r="N4052">
        <v>0</v>
      </c>
      <c r="O4052">
        <v>0</v>
      </c>
      <c r="P4052">
        <v>0</v>
      </c>
      <c r="R4052" t="s">
        <v>1100</v>
      </c>
      <c r="S4052" t="str">
        <v>#N/A</v>
      </c>
      <c r="T4052" t="str">
        <v>13</v>
      </c>
    </row>
    <row r="4053" spans="1:20" ht="13.7" customHeight="1" x14ac:dyDescent="0.25">
      <c r="A4053" t="s">
        <v>26</v>
      </c>
      <c r="B4053" t="s">
        <v>27</v>
      </c>
      <c r="C4053" t="s">
        <v>32</v>
      </c>
      <c r="D4053">
        <v>60</v>
      </c>
      <c r="E4053" s="5">
        <v>43505</v>
      </c>
      <c r="F4053">
        <v>73051506</v>
      </c>
      <c r="G4053" t="s">
        <v>1069</v>
      </c>
      <c r="H4053" t="s">
        <v>1141</v>
      </c>
      <c r="I4053" t="s">
        <v>1142</v>
      </c>
      <c r="J4053">
        <v>1001</v>
      </c>
      <c r="K4053">
        <v>5001</v>
      </c>
      <c r="L4053" s="3">
        <v>0</v>
      </c>
      <c r="M4053" s="3">
        <v>55208</v>
      </c>
      <c r="N4053">
        <v>0</v>
      </c>
      <c r="O4053">
        <v>0</v>
      </c>
      <c r="P4053">
        <v>55208</v>
      </c>
      <c r="Q4053" t="s">
        <v>30</v>
      </c>
      <c r="R4053" t="s">
        <v>215</v>
      </c>
      <c r="S4053" t="str">
        <v>#N/A</v>
      </c>
      <c r="T4053" t="str">
        <v>13</v>
      </c>
    </row>
    <row r="4054" spans="1:20" ht="13.7" customHeight="1" x14ac:dyDescent="0.25">
      <c r="A4054" t="s">
        <v>26</v>
      </c>
      <c r="B4054" t="s">
        <v>27</v>
      </c>
      <c r="C4054" t="s">
        <v>32</v>
      </c>
      <c r="D4054">
        <v>61</v>
      </c>
      <c r="E4054" s="5">
        <v>43519</v>
      </c>
      <c r="F4054">
        <v>73051506</v>
      </c>
      <c r="G4054" t="s">
        <v>1069</v>
      </c>
      <c r="H4054" t="s">
        <v>1141</v>
      </c>
      <c r="I4054" t="s">
        <v>1142</v>
      </c>
      <c r="J4054">
        <v>1001</v>
      </c>
      <c r="K4054">
        <v>5001</v>
      </c>
      <c r="L4054" s="3">
        <v>55208</v>
      </c>
      <c r="M4054" s="3">
        <v>55208</v>
      </c>
      <c r="N4054">
        <v>0</v>
      </c>
      <c r="O4054">
        <v>0</v>
      </c>
      <c r="P4054">
        <v>110416</v>
      </c>
      <c r="Q4054" t="s">
        <v>30</v>
      </c>
      <c r="R4054" t="s">
        <v>226</v>
      </c>
      <c r="S4054" t="str">
        <v>#N/A</v>
      </c>
      <c r="T4054" t="str">
        <v>13</v>
      </c>
    </row>
    <row r="4055" spans="1:20" ht="13.7" customHeight="1" x14ac:dyDescent="0.25">
      <c r="A4055" t="s">
        <v>26</v>
      </c>
      <c r="B4055" t="s">
        <v>27</v>
      </c>
      <c r="C4055" t="s">
        <v>91</v>
      </c>
      <c r="D4055">
        <v>79</v>
      </c>
      <c r="E4055" s="5">
        <v>43533</v>
      </c>
      <c r="F4055">
        <v>73051506</v>
      </c>
      <c r="G4055" t="s">
        <v>1069</v>
      </c>
      <c r="H4055" t="s">
        <v>1141</v>
      </c>
      <c r="I4055" t="s">
        <v>1142</v>
      </c>
      <c r="J4055">
        <v>1001</v>
      </c>
      <c r="K4055">
        <v>5001</v>
      </c>
      <c r="L4055" s="3">
        <v>110416</v>
      </c>
      <c r="M4055" s="3">
        <v>55208</v>
      </c>
      <c r="N4055">
        <v>0</v>
      </c>
      <c r="O4055">
        <v>0</v>
      </c>
      <c r="P4055">
        <v>165624</v>
      </c>
      <c r="Q4055" t="s">
        <v>30</v>
      </c>
      <c r="R4055" t="s">
        <v>236</v>
      </c>
      <c r="S4055" t="str">
        <v>#N/A</v>
      </c>
      <c r="T4055" t="str">
        <v>13</v>
      </c>
    </row>
    <row r="4056" spans="1:20" ht="13.7" customHeight="1" x14ac:dyDescent="0.25">
      <c r="A4056" t="s">
        <v>26</v>
      </c>
      <c r="B4056" t="s">
        <v>27</v>
      </c>
      <c r="C4056" t="s">
        <v>91</v>
      </c>
      <c r="D4056">
        <v>80</v>
      </c>
      <c r="E4056" s="5">
        <v>43547</v>
      </c>
      <c r="F4056">
        <v>73051506</v>
      </c>
      <c r="G4056" t="s">
        <v>1069</v>
      </c>
      <c r="H4056" t="s">
        <v>1141</v>
      </c>
      <c r="I4056" t="s">
        <v>1142</v>
      </c>
      <c r="J4056">
        <v>1001</v>
      </c>
      <c r="K4056">
        <v>5001</v>
      </c>
      <c r="L4056" s="3">
        <v>165624</v>
      </c>
      <c r="M4056" s="3">
        <v>55208</v>
      </c>
      <c r="N4056">
        <v>0</v>
      </c>
      <c r="O4056">
        <v>0</v>
      </c>
      <c r="P4056">
        <v>220832</v>
      </c>
      <c r="Q4056" t="s">
        <v>30</v>
      </c>
      <c r="R4056" t="s">
        <v>244</v>
      </c>
      <c r="S4056" t="str">
        <v>#N/A</v>
      </c>
      <c r="T4056" t="str">
        <v>13</v>
      </c>
    </row>
    <row r="4057" spans="1:20" ht="13.7" customHeight="1" x14ac:dyDescent="0.25">
      <c r="A4057" t="s">
        <v>26</v>
      </c>
      <c r="B4057" t="s">
        <v>27</v>
      </c>
      <c r="C4057" t="s">
        <v>34</v>
      </c>
      <c r="D4057">
        <v>71</v>
      </c>
      <c r="E4057" s="5">
        <v>43561</v>
      </c>
      <c r="F4057">
        <v>73051506</v>
      </c>
      <c r="G4057" t="s">
        <v>1069</v>
      </c>
      <c r="H4057" t="s">
        <v>1141</v>
      </c>
      <c r="I4057" t="s">
        <v>1142</v>
      </c>
      <c r="J4057">
        <v>1001</v>
      </c>
      <c r="K4057">
        <v>5001</v>
      </c>
      <c r="L4057" s="3">
        <v>220832</v>
      </c>
      <c r="M4057" s="3">
        <v>82812</v>
      </c>
      <c r="N4057">
        <v>0</v>
      </c>
      <c r="O4057">
        <v>0</v>
      </c>
      <c r="P4057">
        <v>303644</v>
      </c>
      <c r="Q4057" t="s">
        <v>30</v>
      </c>
      <c r="R4057" t="s">
        <v>244</v>
      </c>
      <c r="S4057" t="str">
        <v>#N/A</v>
      </c>
      <c r="T4057" t="str">
        <v>13</v>
      </c>
    </row>
    <row r="4058" spans="1:20" ht="13.7" customHeight="1" x14ac:dyDescent="0.25">
      <c r="A4058" t="s">
        <v>26</v>
      </c>
      <c r="B4058" t="s">
        <v>27</v>
      </c>
      <c r="C4058" t="s">
        <v>34</v>
      </c>
      <c r="D4058">
        <v>72</v>
      </c>
      <c r="E4058" s="5">
        <v>43575</v>
      </c>
      <c r="F4058">
        <v>73051506</v>
      </c>
      <c r="G4058" t="s">
        <v>1069</v>
      </c>
      <c r="H4058" t="s">
        <v>1141</v>
      </c>
      <c r="I4058" t="s">
        <v>1142</v>
      </c>
      <c r="J4058">
        <v>1001</v>
      </c>
      <c r="K4058">
        <v>5001</v>
      </c>
      <c r="L4058" s="3">
        <v>303644</v>
      </c>
      <c r="M4058" s="3">
        <v>82812</v>
      </c>
      <c r="N4058">
        <v>0</v>
      </c>
      <c r="O4058">
        <v>0</v>
      </c>
      <c r="P4058">
        <v>386456</v>
      </c>
      <c r="Q4058" t="s">
        <v>30</v>
      </c>
      <c r="R4058" t="s">
        <v>254</v>
      </c>
      <c r="S4058" t="str">
        <v>#N/A</v>
      </c>
      <c r="T4058" t="str">
        <v>13</v>
      </c>
    </row>
    <row r="4059" spans="1:20" ht="13.7" customHeight="1" x14ac:dyDescent="0.25">
      <c r="A4059" t="s">
        <v>26</v>
      </c>
      <c r="B4059" t="s">
        <v>27</v>
      </c>
      <c r="C4059" t="s">
        <v>35</v>
      </c>
      <c r="D4059">
        <v>97</v>
      </c>
      <c r="E4059" s="5">
        <v>43589</v>
      </c>
      <c r="F4059">
        <v>73051506</v>
      </c>
      <c r="G4059" t="s">
        <v>1069</v>
      </c>
      <c r="H4059" t="s">
        <v>1141</v>
      </c>
      <c r="I4059" t="s">
        <v>1142</v>
      </c>
      <c r="J4059">
        <v>1001</v>
      </c>
      <c r="K4059">
        <v>5001</v>
      </c>
      <c r="L4059" s="3">
        <v>386456</v>
      </c>
      <c r="M4059" s="3">
        <v>82812</v>
      </c>
      <c r="N4059">
        <v>0</v>
      </c>
      <c r="O4059">
        <v>0</v>
      </c>
      <c r="P4059">
        <v>469268</v>
      </c>
      <c r="Q4059" t="s">
        <v>30</v>
      </c>
      <c r="R4059" t="s">
        <v>256</v>
      </c>
      <c r="S4059" t="str">
        <v>#N/A</v>
      </c>
      <c r="T4059" t="str">
        <v>13</v>
      </c>
    </row>
    <row r="4060" spans="1:20" ht="13.7" customHeight="1" x14ac:dyDescent="0.25">
      <c r="A4060" t="s">
        <v>26</v>
      </c>
      <c r="B4060" t="s">
        <v>27</v>
      </c>
      <c r="C4060" t="s">
        <v>35</v>
      </c>
      <c r="D4060">
        <v>98</v>
      </c>
      <c r="E4060" s="5">
        <v>43603</v>
      </c>
      <c r="F4060">
        <v>73051506</v>
      </c>
      <c r="G4060" t="s">
        <v>1069</v>
      </c>
      <c r="H4060" t="s">
        <v>1141</v>
      </c>
      <c r="I4060" t="s">
        <v>1142</v>
      </c>
      <c r="J4060">
        <v>1001</v>
      </c>
      <c r="K4060">
        <v>5001</v>
      </c>
      <c r="L4060" s="3">
        <v>469268</v>
      </c>
      <c r="M4060" s="3">
        <v>82812</v>
      </c>
      <c r="N4060">
        <v>0</v>
      </c>
      <c r="O4060">
        <v>0</v>
      </c>
      <c r="P4060">
        <v>552080</v>
      </c>
      <c r="Q4060" t="s">
        <v>30</v>
      </c>
      <c r="R4060" t="s">
        <v>261</v>
      </c>
      <c r="S4060" t="str">
        <v>#N/A</v>
      </c>
      <c r="T4060" t="str">
        <v>13</v>
      </c>
    </row>
    <row r="4061" spans="1:20" ht="13.7" customHeight="1" x14ac:dyDescent="0.25">
      <c r="A4061" t="s">
        <v>26</v>
      </c>
      <c r="B4061" t="s">
        <v>27</v>
      </c>
      <c r="C4061" t="s">
        <v>36</v>
      </c>
      <c r="D4061">
        <v>70</v>
      </c>
      <c r="E4061" s="5">
        <v>43617</v>
      </c>
      <c r="F4061">
        <v>73051506</v>
      </c>
      <c r="G4061" t="s">
        <v>1069</v>
      </c>
      <c r="H4061" t="s">
        <v>1141</v>
      </c>
      <c r="I4061" t="s">
        <v>1142</v>
      </c>
      <c r="J4061">
        <v>1001</v>
      </c>
      <c r="K4061">
        <v>5001</v>
      </c>
      <c r="L4061" s="3">
        <v>552080</v>
      </c>
      <c r="M4061" s="3">
        <v>82812</v>
      </c>
      <c r="N4061">
        <v>0</v>
      </c>
      <c r="O4061">
        <v>0</v>
      </c>
      <c r="P4061">
        <v>634892</v>
      </c>
      <c r="Q4061" t="s">
        <v>30</v>
      </c>
      <c r="R4061" t="s">
        <v>264</v>
      </c>
      <c r="S4061" t="str">
        <v>#N/A</v>
      </c>
      <c r="T4061" t="str">
        <v>13</v>
      </c>
    </row>
    <row r="4062" spans="1:20" ht="13.7" customHeight="1" x14ac:dyDescent="0.25">
      <c r="A4062" t="s">
        <v>26</v>
      </c>
      <c r="B4062" t="s">
        <v>27</v>
      </c>
      <c r="C4062" t="s">
        <v>36</v>
      </c>
      <c r="D4062">
        <v>71</v>
      </c>
      <c r="E4062" s="5">
        <v>43631</v>
      </c>
      <c r="F4062">
        <v>73051506</v>
      </c>
      <c r="G4062" t="s">
        <v>1069</v>
      </c>
      <c r="H4062" t="s">
        <v>1141</v>
      </c>
      <c r="I4062" t="s">
        <v>1142</v>
      </c>
      <c r="J4062">
        <v>1001</v>
      </c>
      <c r="K4062">
        <v>5001</v>
      </c>
      <c r="L4062" s="3">
        <v>634892</v>
      </c>
      <c r="M4062" s="3">
        <v>82812</v>
      </c>
      <c r="N4062">
        <v>0</v>
      </c>
      <c r="O4062">
        <v>0</v>
      </c>
      <c r="P4062">
        <v>717704</v>
      </c>
      <c r="Q4062" t="s">
        <v>30</v>
      </c>
      <c r="R4062" t="s">
        <v>270</v>
      </c>
      <c r="S4062" t="str">
        <v>#N/A</v>
      </c>
      <c r="T4062" t="str">
        <v>13</v>
      </c>
    </row>
    <row r="4063" spans="1:20" ht="13.7" customHeight="1" x14ac:dyDescent="0.25">
      <c r="A4063" t="s">
        <v>26</v>
      </c>
      <c r="B4063" t="s">
        <v>27</v>
      </c>
      <c r="C4063" t="s">
        <v>36</v>
      </c>
      <c r="D4063">
        <v>73</v>
      </c>
      <c r="E4063" s="5">
        <v>43642</v>
      </c>
      <c r="F4063">
        <v>73051506</v>
      </c>
      <c r="G4063" t="s">
        <v>1069</v>
      </c>
      <c r="H4063" t="s">
        <v>1141</v>
      </c>
      <c r="I4063" t="s">
        <v>1142</v>
      </c>
      <c r="J4063">
        <v>1001</v>
      </c>
      <c r="K4063">
        <v>5001</v>
      </c>
      <c r="L4063" s="3">
        <v>717704</v>
      </c>
      <c r="M4063" s="3">
        <v>82812</v>
      </c>
      <c r="N4063">
        <v>0</v>
      </c>
      <c r="O4063">
        <v>0</v>
      </c>
      <c r="P4063">
        <v>800516</v>
      </c>
      <c r="Q4063" t="s">
        <v>30</v>
      </c>
      <c r="R4063" t="s">
        <v>274</v>
      </c>
      <c r="S4063" t="str">
        <v>#N/A</v>
      </c>
      <c r="T4063" t="str">
        <v>13</v>
      </c>
    </row>
    <row r="4064" spans="1:20" ht="13.7" customHeight="1" x14ac:dyDescent="0.25">
      <c r="A4064" t="s">
        <v>26</v>
      </c>
      <c r="B4064" t="s">
        <v>27</v>
      </c>
      <c r="C4064" t="s">
        <v>37</v>
      </c>
      <c r="D4064">
        <v>66</v>
      </c>
      <c r="E4064" s="5">
        <v>43659</v>
      </c>
      <c r="F4064">
        <v>73051506</v>
      </c>
      <c r="G4064" t="s">
        <v>1069</v>
      </c>
      <c r="H4064" t="s">
        <v>1141</v>
      </c>
      <c r="I4064" t="s">
        <v>1142</v>
      </c>
      <c r="J4064">
        <v>1001</v>
      </c>
      <c r="K4064">
        <v>5001</v>
      </c>
      <c r="L4064" s="3">
        <v>800516</v>
      </c>
      <c r="M4064" s="3">
        <v>82812</v>
      </c>
      <c r="N4064">
        <v>0</v>
      </c>
      <c r="O4064">
        <v>0</v>
      </c>
      <c r="P4064">
        <v>883328</v>
      </c>
      <c r="Q4064" t="s">
        <v>30</v>
      </c>
      <c r="R4064" t="s">
        <v>279</v>
      </c>
      <c r="S4064" t="str">
        <v>#N/A</v>
      </c>
      <c r="T4064" t="str">
        <v>13</v>
      </c>
    </row>
    <row r="4065" spans="1:20" ht="13.7" customHeight="1" x14ac:dyDescent="0.25">
      <c r="A4065" t="s">
        <v>26</v>
      </c>
      <c r="B4065" t="s">
        <v>27</v>
      </c>
      <c r="C4065" t="s">
        <v>37</v>
      </c>
      <c r="D4065">
        <v>67</v>
      </c>
      <c r="E4065" s="5">
        <v>43673</v>
      </c>
      <c r="F4065">
        <v>73051506</v>
      </c>
      <c r="G4065" t="s">
        <v>1069</v>
      </c>
      <c r="H4065" t="s">
        <v>1141</v>
      </c>
      <c r="I4065" t="s">
        <v>1142</v>
      </c>
      <c r="J4065">
        <v>1001</v>
      </c>
      <c r="K4065">
        <v>5001</v>
      </c>
      <c r="L4065" s="3">
        <v>883328</v>
      </c>
      <c r="M4065" s="3">
        <v>82812</v>
      </c>
      <c r="N4065">
        <v>0</v>
      </c>
      <c r="O4065">
        <v>0</v>
      </c>
      <c r="P4065">
        <v>966140</v>
      </c>
      <c r="Q4065" t="s">
        <v>30</v>
      </c>
      <c r="R4065" t="s">
        <v>282</v>
      </c>
      <c r="S4065" t="str">
        <v>#N/A</v>
      </c>
      <c r="T4065" t="str">
        <v>13</v>
      </c>
    </row>
    <row r="4066" spans="1:20" ht="13.7" customHeight="1" x14ac:dyDescent="0.25">
      <c r="A4066" t="s">
        <v>26</v>
      </c>
      <c r="B4066" t="s">
        <v>27</v>
      </c>
      <c r="C4066" t="s">
        <v>38</v>
      </c>
      <c r="D4066">
        <v>56</v>
      </c>
      <c r="E4066" s="5">
        <v>43687</v>
      </c>
      <c r="F4066">
        <v>73051506</v>
      </c>
      <c r="G4066" t="s">
        <v>1069</v>
      </c>
      <c r="H4066" t="s">
        <v>1141</v>
      </c>
      <c r="I4066" t="s">
        <v>1142</v>
      </c>
      <c r="J4066">
        <v>1001</v>
      </c>
      <c r="K4066">
        <v>5001</v>
      </c>
      <c r="L4066" s="3">
        <v>966140</v>
      </c>
      <c r="M4066" s="3">
        <v>82812</v>
      </c>
      <c r="N4066">
        <v>0</v>
      </c>
      <c r="O4066">
        <v>0</v>
      </c>
      <c r="P4066">
        <v>1048952</v>
      </c>
      <c r="Q4066" t="s">
        <v>30</v>
      </c>
      <c r="R4066" t="s">
        <v>284</v>
      </c>
      <c r="S4066" t="str">
        <v>#N/A</v>
      </c>
      <c r="T4066" t="str">
        <v>13</v>
      </c>
    </row>
    <row r="4067" spans="1:20" ht="13.7" customHeight="1" x14ac:dyDescent="0.25">
      <c r="A4067" t="s">
        <v>26</v>
      </c>
      <c r="B4067" t="s">
        <v>27</v>
      </c>
      <c r="C4067" t="s">
        <v>38</v>
      </c>
      <c r="D4067">
        <v>57</v>
      </c>
      <c r="E4067" s="5">
        <v>43701</v>
      </c>
      <c r="F4067">
        <v>73051506</v>
      </c>
      <c r="G4067" t="s">
        <v>1069</v>
      </c>
      <c r="H4067" t="s">
        <v>1141</v>
      </c>
      <c r="I4067" t="s">
        <v>1142</v>
      </c>
      <c r="J4067">
        <v>1001</v>
      </c>
      <c r="K4067">
        <v>5001</v>
      </c>
      <c r="L4067" s="3">
        <v>1048952</v>
      </c>
      <c r="M4067" s="3">
        <v>82812</v>
      </c>
      <c r="N4067">
        <v>0</v>
      </c>
      <c r="O4067">
        <v>0</v>
      </c>
      <c r="P4067">
        <v>1131764</v>
      </c>
      <c r="Q4067" t="s">
        <v>30</v>
      </c>
      <c r="R4067" t="s">
        <v>287</v>
      </c>
      <c r="S4067" t="str">
        <v>#N/A</v>
      </c>
      <c r="T4067" t="str">
        <v>13</v>
      </c>
    </row>
    <row r="4068" spans="1:20" ht="13.7" customHeight="1" x14ac:dyDescent="0.25">
      <c r="A4068" t="s">
        <v>26</v>
      </c>
      <c r="B4068" t="s">
        <v>27</v>
      </c>
      <c r="C4068" t="s">
        <v>39</v>
      </c>
      <c r="D4068">
        <v>68</v>
      </c>
      <c r="E4068" s="5">
        <v>43715</v>
      </c>
      <c r="F4068">
        <v>73051506</v>
      </c>
      <c r="G4068" t="s">
        <v>1069</v>
      </c>
      <c r="H4068" t="s">
        <v>1141</v>
      </c>
      <c r="I4068" t="s">
        <v>1142</v>
      </c>
      <c r="J4068">
        <v>1001</v>
      </c>
      <c r="K4068">
        <v>5001</v>
      </c>
      <c r="L4068" s="3">
        <v>1131764</v>
      </c>
      <c r="M4068" s="3">
        <v>82812</v>
      </c>
      <c r="N4068">
        <v>0</v>
      </c>
      <c r="O4068">
        <v>0</v>
      </c>
      <c r="P4068">
        <v>1214576</v>
      </c>
      <c r="Q4068" t="s">
        <v>30</v>
      </c>
      <c r="R4068" t="s">
        <v>288</v>
      </c>
      <c r="S4068" t="str">
        <v>#N/A</v>
      </c>
      <c r="T4068" t="str">
        <v>13</v>
      </c>
    </row>
    <row r="4069" spans="1:20" ht="13.7" customHeight="1" x14ac:dyDescent="0.25">
      <c r="A4069" t="s">
        <v>26</v>
      </c>
      <c r="B4069" t="s">
        <v>27</v>
      </c>
      <c r="C4069" t="s">
        <v>39</v>
      </c>
      <c r="D4069">
        <v>69</v>
      </c>
      <c r="E4069" s="5">
        <v>43729</v>
      </c>
      <c r="F4069">
        <v>73051506</v>
      </c>
      <c r="G4069" t="s">
        <v>1069</v>
      </c>
      <c r="H4069" t="s">
        <v>1141</v>
      </c>
      <c r="I4069" t="s">
        <v>1142</v>
      </c>
      <c r="J4069">
        <v>1001</v>
      </c>
      <c r="K4069">
        <v>5001</v>
      </c>
      <c r="L4069" s="3">
        <v>1214576</v>
      </c>
      <c r="M4069" s="3">
        <v>82812</v>
      </c>
      <c r="N4069">
        <v>0</v>
      </c>
      <c r="O4069">
        <v>0</v>
      </c>
      <c r="P4069">
        <v>1297388</v>
      </c>
      <c r="Q4069" t="s">
        <v>30</v>
      </c>
      <c r="R4069" t="s">
        <v>291</v>
      </c>
      <c r="S4069" t="str">
        <v>#N/A</v>
      </c>
      <c r="T4069" t="str">
        <v>13</v>
      </c>
    </row>
    <row r="4070" spans="1:20" ht="13.7" customHeight="1" x14ac:dyDescent="0.25">
      <c r="A4070" t="s">
        <v>26</v>
      </c>
      <c r="B4070" t="s">
        <v>27</v>
      </c>
      <c r="C4070" t="s">
        <v>40</v>
      </c>
      <c r="D4070">
        <v>61</v>
      </c>
      <c r="E4070" s="5">
        <v>43743</v>
      </c>
      <c r="F4070">
        <v>73051506</v>
      </c>
      <c r="G4070" t="s">
        <v>1069</v>
      </c>
      <c r="H4070" t="s">
        <v>1141</v>
      </c>
      <c r="I4070" t="s">
        <v>1142</v>
      </c>
      <c r="J4070">
        <v>1001</v>
      </c>
      <c r="K4070">
        <v>5001</v>
      </c>
      <c r="L4070" s="3">
        <v>1297388</v>
      </c>
      <c r="M4070" s="3">
        <v>82812</v>
      </c>
      <c r="N4070">
        <v>0</v>
      </c>
      <c r="O4070">
        <v>0</v>
      </c>
      <c r="P4070">
        <v>1380200</v>
      </c>
      <c r="Q4070" t="s">
        <v>30</v>
      </c>
      <c r="R4070" t="s">
        <v>293</v>
      </c>
      <c r="S4070" t="str">
        <v>#N/A</v>
      </c>
      <c r="T4070" t="str">
        <v>13</v>
      </c>
    </row>
    <row r="4071" spans="1:20" ht="13.7" customHeight="1" x14ac:dyDescent="0.25">
      <c r="A4071" t="s">
        <v>26</v>
      </c>
      <c r="B4071" t="s">
        <v>27</v>
      </c>
      <c r="C4071" t="s">
        <v>40</v>
      </c>
      <c r="D4071">
        <v>62</v>
      </c>
      <c r="E4071" s="5">
        <v>43757</v>
      </c>
      <c r="F4071">
        <v>73051506</v>
      </c>
      <c r="G4071" t="s">
        <v>1069</v>
      </c>
      <c r="H4071" t="s">
        <v>1141</v>
      </c>
      <c r="I4071" t="s">
        <v>1142</v>
      </c>
      <c r="J4071">
        <v>1001</v>
      </c>
      <c r="K4071">
        <v>5001</v>
      </c>
      <c r="L4071" s="3">
        <v>1380200</v>
      </c>
      <c r="M4071" s="3">
        <v>82812</v>
      </c>
      <c r="N4071">
        <v>0</v>
      </c>
      <c r="O4071">
        <v>0</v>
      </c>
      <c r="P4071">
        <v>1463012</v>
      </c>
      <c r="Q4071" t="s">
        <v>30</v>
      </c>
      <c r="R4071" t="s">
        <v>299</v>
      </c>
      <c r="S4071" t="str">
        <v>#N/A</v>
      </c>
      <c r="T4071" t="str">
        <v>13</v>
      </c>
    </row>
    <row r="4072" spans="1:20" ht="13.7" customHeight="1" x14ac:dyDescent="0.25">
      <c r="A4072" t="s">
        <v>26</v>
      </c>
      <c r="B4072" t="s">
        <v>27</v>
      </c>
      <c r="C4072" t="s">
        <v>41</v>
      </c>
      <c r="D4072">
        <v>76</v>
      </c>
      <c r="E4072" s="5">
        <v>43771</v>
      </c>
      <c r="F4072">
        <v>73051506</v>
      </c>
      <c r="G4072" t="s">
        <v>1069</v>
      </c>
      <c r="H4072" t="s">
        <v>1141</v>
      </c>
      <c r="I4072" t="s">
        <v>1142</v>
      </c>
      <c r="J4072">
        <v>1001</v>
      </c>
      <c r="K4072">
        <v>5001</v>
      </c>
      <c r="L4072" s="3">
        <v>1463012</v>
      </c>
      <c r="M4072" s="3">
        <v>82812</v>
      </c>
      <c r="N4072">
        <v>0</v>
      </c>
      <c r="O4072">
        <v>0</v>
      </c>
      <c r="P4072">
        <v>1545824</v>
      </c>
      <c r="Q4072" t="s">
        <v>30</v>
      </c>
      <c r="R4072" t="s">
        <v>301</v>
      </c>
      <c r="S4072" t="str">
        <v>#N/A</v>
      </c>
      <c r="T4072" t="str">
        <v>13</v>
      </c>
    </row>
    <row r="4073" spans="1:20" ht="13.7" customHeight="1" x14ac:dyDescent="0.25">
      <c r="A4073" t="s">
        <v>26</v>
      </c>
      <c r="B4073" t="s">
        <v>27</v>
      </c>
      <c r="C4073" t="s">
        <v>41</v>
      </c>
      <c r="D4073">
        <v>77</v>
      </c>
      <c r="E4073" s="5">
        <v>43785</v>
      </c>
      <c r="F4073">
        <v>73051506</v>
      </c>
      <c r="G4073" t="s">
        <v>1069</v>
      </c>
      <c r="H4073" t="s">
        <v>1141</v>
      </c>
      <c r="I4073" t="s">
        <v>1142</v>
      </c>
      <c r="J4073">
        <v>1001</v>
      </c>
      <c r="K4073">
        <v>5001</v>
      </c>
      <c r="L4073" s="3">
        <v>1545824</v>
      </c>
      <c r="M4073" s="3">
        <v>82812</v>
      </c>
      <c r="N4073">
        <v>0</v>
      </c>
      <c r="O4073">
        <v>0</v>
      </c>
      <c r="P4073">
        <v>1628636</v>
      </c>
      <c r="Q4073" t="s">
        <v>30</v>
      </c>
      <c r="R4073" t="s">
        <v>305</v>
      </c>
      <c r="S4073" t="str">
        <v>#N/A</v>
      </c>
      <c r="T4073" t="str">
        <v>13</v>
      </c>
    </row>
    <row r="4074" spans="1:20" ht="13.7" customHeight="1" x14ac:dyDescent="0.25">
      <c r="A4074" t="s">
        <v>26</v>
      </c>
      <c r="B4074" t="s">
        <v>27</v>
      </c>
      <c r="C4074" t="s">
        <v>41</v>
      </c>
      <c r="D4074">
        <v>78</v>
      </c>
      <c r="E4074" s="5">
        <v>43799</v>
      </c>
      <c r="F4074">
        <v>73051506</v>
      </c>
      <c r="G4074" t="s">
        <v>1069</v>
      </c>
      <c r="H4074" t="s">
        <v>1141</v>
      </c>
      <c r="I4074" t="s">
        <v>1142</v>
      </c>
      <c r="J4074">
        <v>1001</v>
      </c>
      <c r="K4074">
        <v>5001</v>
      </c>
      <c r="L4074" s="3">
        <v>1628636</v>
      </c>
      <c r="M4074" s="3">
        <v>82812</v>
      </c>
      <c r="N4074">
        <v>0</v>
      </c>
      <c r="O4074">
        <v>0</v>
      </c>
      <c r="P4074">
        <v>1711448</v>
      </c>
      <c r="Q4074" t="s">
        <v>30</v>
      </c>
      <c r="R4074" t="s">
        <v>309</v>
      </c>
      <c r="S4074" t="str">
        <v>#N/A</v>
      </c>
      <c r="T4074" t="str">
        <v>13</v>
      </c>
    </row>
    <row r="4075" spans="1:20" ht="13.7" customHeight="1" x14ac:dyDescent="0.25">
      <c r="A4075" t="s">
        <v>26</v>
      </c>
      <c r="B4075" t="s">
        <v>27</v>
      </c>
      <c r="C4075" t="s">
        <v>180</v>
      </c>
      <c r="D4075">
        <v>1</v>
      </c>
      <c r="E4075" s="5">
        <v>43813</v>
      </c>
      <c r="F4075">
        <v>73051506</v>
      </c>
      <c r="G4075" t="s">
        <v>1069</v>
      </c>
      <c r="H4075" t="s">
        <v>1141</v>
      </c>
      <c r="I4075" t="s">
        <v>1142</v>
      </c>
      <c r="J4075">
        <v>1001</v>
      </c>
      <c r="K4075">
        <v>5001</v>
      </c>
      <c r="L4075" s="3">
        <v>1711448</v>
      </c>
      <c r="M4075" s="3">
        <v>82812</v>
      </c>
      <c r="N4075">
        <v>0</v>
      </c>
      <c r="O4075">
        <v>0</v>
      </c>
      <c r="P4075">
        <v>1794260</v>
      </c>
      <c r="Q4075" t="s">
        <v>30</v>
      </c>
      <c r="R4075" t="s">
        <v>316</v>
      </c>
      <c r="S4075" t="str">
        <v>#N/A</v>
      </c>
      <c r="T4075" t="str">
        <v>13</v>
      </c>
    </row>
    <row r="4076" spans="1:20" ht="13.7" customHeight="1" x14ac:dyDescent="0.25">
      <c r="A4076" t="s">
        <v>26</v>
      </c>
      <c r="B4076" t="s">
        <v>27</v>
      </c>
      <c r="C4076" t="s">
        <v>180</v>
      </c>
      <c r="D4076">
        <v>90</v>
      </c>
      <c r="E4076" s="5">
        <v>43819</v>
      </c>
      <c r="F4076">
        <v>73051506</v>
      </c>
      <c r="G4076" t="s">
        <v>1069</v>
      </c>
      <c r="H4076" t="s">
        <v>1141</v>
      </c>
      <c r="I4076" t="s">
        <v>1142</v>
      </c>
      <c r="J4076" t="e">
        <v>#N/A</v>
      </c>
      <c r="K4076" t="e">
        <v>#N/A</v>
      </c>
      <c r="L4076" s="3">
        <v>1794260</v>
      </c>
      <c r="M4076" s="3">
        <v>27604</v>
      </c>
      <c r="N4076">
        <v>0</v>
      </c>
      <c r="O4076">
        <v>0</v>
      </c>
      <c r="P4076">
        <v>1821864</v>
      </c>
      <c r="Q4076" t="s">
        <v>30</v>
      </c>
      <c r="R4076" t="s">
        <v>1503</v>
      </c>
      <c r="S4076" t="str">
        <v>#N/A</v>
      </c>
      <c r="T4076" t="str">
        <v>13</v>
      </c>
    </row>
    <row r="4077" spans="1:20" ht="13.7" customHeight="1" x14ac:dyDescent="0.25">
      <c r="E4077" s="5">
        <v>43465</v>
      </c>
      <c r="F4077">
        <v>73051506</v>
      </c>
      <c r="G4077" t="s">
        <v>1069</v>
      </c>
      <c r="H4077" t="s">
        <v>1149</v>
      </c>
      <c r="I4077" t="s">
        <v>1150</v>
      </c>
      <c r="J4077">
        <v>0</v>
      </c>
      <c r="K4077">
        <v>0</v>
      </c>
      <c r="L4077" s="3">
        <v>1662021</v>
      </c>
      <c r="M4077" s="3">
        <v>0</v>
      </c>
      <c r="N4077">
        <v>0</v>
      </c>
      <c r="O4077">
        <v>0</v>
      </c>
      <c r="P4077">
        <v>1662021</v>
      </c>
      <c r="R4077" t="s">
        <v>1100</v>
      </c>
      <c r="S4077" t="str">
        <v>#N/A</v>
      </c>
      <c r="T4077" t="str">
        <v>13</v>
      </c>
    </row>
    <row r="4078" spans="1:20" ht="13.7" customHeight="1" x14ac:dyDescent="0.25">
      <c r="A4078" t="s">
        <v>26</v>
      </c>
      <c r="B4078" t="s">
        <v>27</v>
      </c>
      <c r="C4078" t="s">
        <v>28</v>
      </c>
      <c r="D4078">
        <v>77</v>
      </c>
      <c r="E4078" s="5">
        <v>43491</v>
      </c>
      <c r="F4078">
        <v>73051506</v>
      </c>
      <c r="G4078" t="s">
        <v>1069</v>
      </c>
      <c r="H4078" t="s">
        <v>1149</v>
      </c>
      <c r="I4078" t="s">
        <v>1150</v>
      </c>
      <c r="J4078">
        <v>1001</v>
      </c>
      <c r="K4078">
        <v>5001</v>
      </c>
      <c r="L4078" s="3">
        <v>1662021</v>
      </c>
      <c r="M4078" s="3">
        <v>55208</v>
      </c>
      <c r="N4078">
        <v>0</v>
      </c>
      <c r="O4078">
        <v>0</v>
      </c>
      <c r="P4078">
        <v>1717229</v>
      </c>
      <c r="Q4078" t="s">
        <v>30</v>
      </c>
      <c r="R4078" t="s">
        <v>202</v>
      </c>
      <c r="S4078" t="str">
        <v>#N/A</v>
      </c>
      <c r="T4078" t="str">
        <v>13</v>
      </c>
    </row>
    <row r="4079" spans="1:20" ht="13.7" customHeight="1" x14ac:dyDescent="0.25">
      <c r="A4079" t="s">
        <v>26</v>
      </c>
      <c r="B4079" t="s">
        <v>27</v>
      </c>
      <c r="C4079" t="s">
        <v>32</v>
      </c>
      <c r="D4079">
        <v>60</v>
      </c>
      <c r="E4079" s="5">
        <v>43505</v>
      </c>
      <c r="F4079">
        <v>73051506</v>
      </c>
      <c r="G4079" t="s">
        <v>1069</v>
      </c>
      <c r="H4079" t="s">
        <v>1149</v>
      </c>
      <c r="I4079" t="s">
        <v>1150</v>
      </c>
      <c r="J4079">
        <v>1001</v>
      </c>
      <c r="K4079">
        <v>5001</v>
      </c>
      <c r="L4079" s="3">
        <v>1717229</v>
      </c>
      <c r="M4079" s="3">
        <v>55208</v>
      </c>
      <c r="N4079">
        <v>0</v>
      </c>
      <c r="O4079">
        <v>0</v>
      </c>
      <c r="P4079">
        <v>1772437</v>
      </c>
      <c r="Q4079" t="s">
        <v>30</v>
      </c>
      <c r="R4079" t="s">
        <v>215</v>
      </c>
      <c r="S4079" t="str">
        <v>#N/A</v>
      </c>
      <c r="T4079" t="str">
        <v>13</v>
      </c>
    </row>
    <row r="4080" spans="1:20" ht="13.7" customHeight="1" x14ac:dyDescent="0.25">
      <c r="A4080" t="s">
        <v>26</v>
      </c>
      <c r="B4080" t="s">
        <v>27</v>
      </c>
      <c r="C4080" t="s">
        <v>32</v>
      </c>
      <c r="D4080">
        <v>61</v>
      </c>
      <c r="E4080" s="5">
        <v>43519</v>
      </c>
      <c r="F4080">
        <v>73051506</v>
      </c>
      <c r="G4080" t="s">
        <v>1069</v>
      </c>
      <c r="H4080" t="s">
        <v>1149</v>
      </c>
      <c r="I4080" t="s">
        <v>1150</v>
      </c>
      <c r="J4080">
        <v>1001</v>
      </c>
      <c r="K4080">
        <v>5001</v>
      </c>
      <c r="L4080" s="3">
        <v>1772437</v>
      </c>
      <c r="M4080" s="3">
        <v>55208</v>
      </c>
      <c r="N4080">
        <v>0</v>
      </c>
      <c r="O4080">
        <v>0</v>
      </c>
      <c r="P4080">
        <v>1827645</v>
      </c>
      <c r="Q4080" t="s">
        <v>30</v>
      </c>
      <c r="R4080" t="s">
        <v>226</v>
      </c>
      <c r="S4080" t="str">
        <v>#N/A</v>
      </c>
      <c r="T4080" t="str">
        <v>13</v>
      </c>
    </row>
    <row r="4081" spans="1:20" ht="13.7" customHeight="1" x14ac:dyDescent="0.25">
      <c r="A4081" t="s">
        <v>26</v>
      </c>
      <c r="B4081" t="s">
        <v>27</v>
      </c>
      <c r="C4081" t="s">
        <v>91</v>
      </c>
      <c r="D4081">
        <v>79</v>
      </c>
      <c r="E4081" s="5">
        <v>43533</v>
      </c>
      <c r="F4081">
        <v>73051506</v>
      </c>
      <c r="G4081" t="s">
        <v>1069</v>
      </c>
      <c r="H4081" t="s">
        <v>1149</v>
      </c>
      <c r="I4081" t="s">
        <v>1150</v>
      </c>
      <c r="J4081">
        <v>1001</v>
      </c>
      <c r="K4081">
        <v>5001</v>
      </c>
      <c r="L4081" s="3">
        <v>1827645</v>
      </c>
      <c r="M4081" s="3">
        <v>53249</v>
      </c>
      <c r="N4081">
        <v>0</v>
      </c>
      <c r="O4081">
        <v>0</v>
      </c>
      <c r="P4081">
        <v>1880894</v>
      </c>
      <c r="Q4081" t="s">
        <v>30</v>
      </c>
      <c r="R4081" t="s">
        <v>236</v>
      </c>
      <c r="S4081" t="str">
        <v>#N/A</v>
      </c>
      <c r="T4081" t="str">
        <v>13</v>
      </c>
    </row>
    <row r="4082" spans="1:20" ht="13.7" customHeight="1" x14ac:dyDescent="0.25">
      <c r="A4082" t="s">
        <v>26</v>
      </c>
      <c r="B4082" t="s">
        <v>27</v>
      </c>
      <c r="C4082" t="s">
        <v>91</v>
      </c>
      <c r="D4082">
        <v>80</v>
      </c>
      <c r="E4082" s="5">
        <v>43547</v>
      </c>
      <c r="F4082">
        <v>73051506</v>
      </c>
      <c r="G4082" t="s">
        <v>1069</v>
      </c>
      <c r="H4082" t="s">
        <v>1149</v>
      </c>
      <c r="I4082" t="s">
        <v>1150</v>
      </c>
      <c r="J4082">
        <v>1001</v>
      </c>
      <c r="K4082">
        <v>5001</v>
      </c>
      <c r="L4082" s="3">
        <v>1880894</v>
      </c>
      <c r="M4082" s="3">
        <v>51728</v>
      </c>
      <c r="N4082">
        <v>0</v>
      </c>
      <c r="O4082">
        <v>0</v>
      </c>
      <c r="P4082">
        <v>1932622</v>
      </c>
      <c r="Q4082" t="s">
        <v>30</v>
      </c>
      <c r="R4082" t="s">
        <v>244</v>
      </c>
      <c r="S4082" t="str">
        <v>#N/A</v>
      </c>
      <c r="T4082" t="str">
        <v>13</v>
      </c>
    </row>
    <row r="4083" spans="1:20" ht="13.7" customHeight="1" x14ac:dyDescent="0.25">
      <c r="A4083" t="s">
        <v>26</v>
      </c>
      <c r="B4083" t="s">
        <v>27</v>
      </c>
      <c r="C4083" t="s">
        <v>34</v>
      </c>
      <c r="D4083">
        <v>71</v>
      </c>
      <c r="E4083" s="5">
        <v>43561</v>
      </c>
      <c r="F4083">
        <v>73051506</v>
      </c>
      <c r="G4083" t="s">
        <v>1069</v>
      </c>
      <c r="H4083" t="s">
        <v>1149</v>
      </c>
      <c r="I4083" t="s">
        <v>1150</v>
      </c>
      <c r="J4083">
        <v>1001</v>
      </c>
      <c r="K4083">
        <v>5001</v>
      </c>
      <c r="L4083" s="3">
        <v>1932622</v>
      </c>
      <c r="M4083" s="3">
        <v>76362</v>
      </c>
      <c r="N4083">
        <v>0</v>
      </c>
      <c r="O4083">
        <v>0</v>
      </c>
      <c r="P4083">
        <v>2008984</v>
      </c>
      <c r="Q4083" t="s">
        <v>30</v>
      </c>
      <c r="R4083" t="s">
        <v>244</v>
      </c>
      <c r="S4083" t="str">
        <v>#N/A</v>
      </c>
      <c r="T4083" t="str">
        <v>13</v>
      </c>
    </row>
    <row r="4084" spans="1:20" ht="13.7" customHeight="1" x14ac:dyDescent="0.25">
      <c r="A4084" t="s">
        <v>26</v>
      </c>
      <c r="B4084" t="s">
        <v>27</v>
      </c>
      <c r="C4084" t="s">
        <v>34</v>
      </c>
      <c r="D4084">
        <v>72</v>
      </c>
      <c r="E4084" s="5">
        <v>43575</v>
      </c>
      <c r="F4084">
        <v>73051506</v>
      </c>
      <c r="G4084" t="s">
        <v>1069</v>
      </c>
      <c r="H4084" t="s">
        <v>1149</v>
      </c>
      <c r="I4084" t="s">
        <v>1150</v>
      </c>
      <c r="J4084">
        <v>1001</v>
      </c>
      <c r="K4084">
        <v>5001</v>
      </c>
      <c r="L4084" s="3">
        <v>2008984</v>
      </c>
      <c r="M4084" s="3">
        <v>110415</v>
      </c>
      <c r="N4084">
        <v>0</v>
      </c>
      <c r="O4084">
        <v>0</v>
      </c>
      <c r="P4084">
        <v>2119399</v>
      </c>
      <c r="Q4084" t="s">
        <v>30</v>
      </c>
      <c r="R4084" t="s">
        <v>254</v>
      </c>
      <c r="S4084" t="str">
        <v>#N/A</v>
      </c>
      <c r="T4084" t="str">
        <v>13</v>
      </c>
    </row>
    <row r="4085" spans="1:20" ht="13.7" customHeight="1" x14ac:dyDescent="0.25">
      <c r="A4085" t="s">
        <v>26</v>
      </c>
      <c r="B4085" t="s">
        <v>27</v>
      </c>
      <c r="C4085" t="s">
        <v>35</v>
      </c>
      <c r="D4085">
        <v>97</v>
      </c>
      <c r="E4085" s="5">
        <v>43589</v>
      </c>
      <c r="F4085">
        <v>73051506</v>
      </c>
      <c r="G4085" t="s">
        <v>1069</v>
      </c>
      <c r="H4085" t="s">
        <v>1149</v>
      </c>
      <c r="I4085" t="s">
        <v>1150</v>
      </c>
      <c r="J4085">
        <v>1001</v>
      </c>
      <c r="K4085">
        <v>5001</v>
      </c>
      <c r="L4085" s="3">
        <v>2119399</v>
      </c>
      <c r="M4085" s="3">
        <v>82812</v>
      </c>
      <c r="N4085">
        <v>0</v>
      </c>
      <c r="O4085">
        <v>0</v>
      </c>
      <c r="P4085">
        <v>2202211</v>
      </c>
      <c r="Q4085" t="s">
        <v>30</v>
      </c>
      <c r="R4085" t="s">
        <v>256</v>
      </c>
      <c r="S4085" t="str">
        <v>#N/A</v>
      </c>
      <c r="T4085" t="str">
        <v>13</v>
      </c>
    </row>
    <row r="4086" spans="1:20" ht="13.7" customHeight="1" x14ac:dyDescent="0.25">
      <c r="A4086" t="s">
        <v>26</v>
      </c>
      <c r="B4086" t="s">
        <v>27</v>
      </c>
      <c r="C4086" t="s">
        <v>35</v>
      </c>
      <c r="D4086">
        <v>98</v>
      </c>
      <c r="E4086" s="5">
        <v>43603</v>
      </c>
      <c r="F4086">
        <v>73051506</v>
      </c>
      <c r="G4086" t="s">
        <v>1069</v>
      </c>
      <c r="H4086" t="s">
        <v>1149</v>
      </c>
      <c r="I4086" t="s">
        <v>1150</v>
      </c>
      <c r="J4086">
        <v>1001</v>
      </c>
      <c r="K4086">
        <v>5001</v>
      </c>
      <c r="L4086" s="3">
        <v>2202211</v>
      </c>
      <c r="M4086" s="3">
        <v>55208</v>
      </c>
      <c r="N4086">
        <v>0</v>
      </c>
      <c r="O4086">
        <v>0</v>
      </c>
      <c r="P4086">
        <v>2257419</v>
      </c>
      <c r="Q4086" t="s">
        <v>30</v>
      </c>
      <c r="R4086" t="s">
        <v>261</v>
      </c>
      <c r="S4086" t="str">
        <v>#N/A</v>
      </c>
      <c r="T4086" t="str">
        <v>13</v>
      </c>
    </row>
    <row r="4087" spans="1:20" ht="13.7" customHeight="1" x14ac:dyDescent="0.25">
      <c r="A4087" t="s">
        <v>26</v>
      </c>
      <c r="B4087" t="s">
        <v>27</v>
      </c>
      <c r="C4087" t="s">
        <v>36</v>
      </c>
      <c r="D4087">
        <v>70</v>
      </c>
      <c r="E4087" s="5">
        <v>43617</v>
      </c>
      <c r="F4087">
        <v>73051506</v>
      </c>
      <c r="G4087" t="s">
        <v>1069</v>
      </c>
      <c r="H4087" t="s">
        <v>1149</v>
      </c>
      <c r="I4087" t="s">
        <v>1150</v>
      </c>
      <c r="J4087">
        <v>1001</v>
      </c>
      <c r="K4087">
        <v>5001</v>
      </c>
      <c r="L4087" s="3">
        <v>2257419</v>
      </c>
      <c r="M4087" s="3">
        <v>51514</v>
      </c>
      <c r="N4087">
        <v>0</v>
      </c>
      <c r="O4087">
        <v>0</v>
      </c>
      <c r="P4087">
        <v>2308933</v>
      </c>
      <c r="Q4087" t="s">
        <v>30</v>
      </c>
      <c r="R4087" t="s">
        <v>264</v>
      </c>
      <c r="S4087" t="str">
        <v>#N/A</v>
      </c>
      <c r="T4087" t="str">
        <v>13</v>
      </c>
    </row>
    <row r="4088" spans="1:20" ht="13.7" customHeight="1" x14ac:dyDescent="0.25">
      <c r="A4088" t="s">
        <v>26</v>
      </c>
      <c r="B4088" t="s">
        <v>27</v>
      </c>
      <c r="C4088" t="s">
        <v>36</v>
      </c>
      <c r="D4088">
        <v>71</v>
      </c>
      <c r="E4088" s="5">
        <v>43631</v>
      </c>
      <c r="F4088">
        <v>73051506</v>
      </c>
      <c r="G4088" t="s">
        <v>1069</v>
      </c>
      <c r="H4088" t="s">
        <v>1149</v>
      </c>
      <c r="I4088" t="s">
        <v>1150</v>
      </c>
      <c r="J4088">
        <v>1001</v>
      </c>
      <c r="K4088">
        <v>5001</v>
      </c>
      <c r="L4088" s="3">
        <v>2308933</v>
      </c>
      <c r="M4088" s="3">
        <v>69756</v>
      </c>
      <c r="N4088">
        <v>0</v>
      </c>
      <c r="O4088">
        <v>0</v>
      </c>
      <c r="P4088">
        <v>2378689</v>
      </c>
      <c r="Q4088" t="s">
        <v>30</v>
      </c>
      <c r="R4088" t="s">
        <v>270</v>
      </c>
      <c r="S4088" t="str">
        <v>#N/A</v>
      </c>
      <c r="T4088" t="str">
        <v>13</v>
      </c>
    </row>
    <row r="4089" spans="1:20" ht="13.7" customHeight="1" x14ac:dyDescent="0.25">
      <c r="A4089" t="s">
        <v>26</v>
      </c>
      <c r="B4089" t="s">
        <v>27</v>
      </c>
      <c r="C4089" t="s">
        <v>36</v>
      </c>
      <c r="D4089">
        <v>73</v>
      </c>
      <c r="E4089" s="5">
        <v>43642</v>
      </c>
      <c r="F4089">
        <v>73051506</v>
      </c>
      <c r="G4089" t="s">
        <v>1069</v>
      </c>
      <c r="H4089" t="s">
        <v>1149</v>
      </c>
      <c r="I4089" t="s">
        <v>1150</v>
      </c>
      <c r="J4089">
        <v>1001</v>
      </c>
      <c r="K4089">
        <v>5001</v>
      </c>
      <c r="L4089" s="3">
        <v>2378689</v>
      </c>
      <c r="M4089" s="3">
        <v>73510</v>
      </c>
      <c r="N4089">
        <v>0</v>
      </c>
      <c r="O4089">
        <v>0</v>
      </c>
      <c r="P4089">
        <v>2452199</v>
      </c>
      <c r="Q4089" t="s">
        <v>30</v>
      </c>
      <c r="R4089" t="s">
        <v>274</v>
      </c>
      <c r="S4089" t="str">
        <v>#N/A</v>
      </c>
      <c r="T4089" t="str">
        <v>13</v>
      </c>
    </row>
    <row r="4090" spans="1:20" ht="13.7" customHeight="1" x14ac:dyDescent="0.25">
      <c r="A4090" t="s">
        <v>26</v>
      </c>
      <c r="B4090" t="s">
        <v>27</v>
      </c>
      <c r="C4090" t="s">
        <v>37</v>
      </c>
      <c r="D4090">
        <v>66</v>
      </c>
      <c r="E4090" s="5">
        <v>43659</v>
      </c>
      <c r="F4090">
        <v>73051506</v>
      </c>
      <c r="G4090" t="s">
        <v>1069</v>
      </c>
      <c r="H4090" t="s">
        <v>1149</v>
      </c>
      <c r="I4090" t="s">
        <v>1150</v>
      </c>
      <c r="J4090">
        <v>1001</v>
      </c>
      <c r="K4090">
        <v>5001</v>
      </c>
      <c r="L4090" s="3">
        <v>2452199</v>
      </c>
      <c r="M4090" s="3">
        <v>82812</v>
      </c>
      <c r="N4090">
        <v>0</v>
      </c>
      <c r="O4090">
        <v>0</v>
      </c>
      <c r="P4090">
        <v>2535011</v>
      </c>
      <c r="Q4090" t="s">
        <v>30</v>
      </c>
      <c r="R4090" t="s">
        <v>279</v>
      </c>
      <c r="S4090" t="str">
        <v>#N/A</v>
      </c>
      <c r="T4090" t="str">
        <v>13</v>
      </c>
    </row>
    <row r="4091" spans="1:20" ht="13.7" customHeight="1" x14ac:dyDescent="0.25">
      <c r="A4091" t="s">
        <v>26</v>
      </c>
      <c r="B4091" t="s">
        <v>27</v>
      </c>
      <c r="C4091" t="s">
        <v>37</v>
      </c>
      <c r="D4091">
        <v>67</v>
      </c>
      <c r="E4091" s="5">
        <v>43673</v>
      </c>
      <c r="F4091">
        <v>73051506</v>
      </c>
      <c r="G4091" t="s">
        <v>1069</v>
      </c>
      <c r="H4091" t="s">
        <v>1149</v>
      </c>
      <c r="I4091" t="s">
        <v>1150</v>
      </c>
      <c r="J4091">
        <v>1001</v>
      </c>
      <c r="K4091">
        <v>5001</v>
      </c>
      <c r="L4091" s="3">
        <v>2535011</v>
      </c>
      <c r="M4091" s="3">
        <v>58816</v>
      </c>
      <c r="N4091">
        <v>0</v>
      </c>
      <c r="O4091">
        <v>0</v>
      </c>
      <c r="P4091">
        <v>2593827</v>
      </c>
      <c r="Q4091" t="s">
        <v>30</v>
      </c>
      <c r="R4091" t="s">
        <v>282</v>
      </c>
      <c r="S4091" t="str">
        <v>#N/A</v>
      </c>
      <c r="T4091" t="str">
        <v>13</v>
      </c>
    </row>
    <row r="4092" spans="1:20" ht="13.7" customHeight="1" x14ac:dyDescent="0.25">
      <c r="A4092" t="s">
        <v>26</v>
      </c>
      <c r="B4092" t="s">
        <v>27</v>
      </c>
      <c r="C4092" t="s">
        <v>38</v>
      </c>
      <c r="D4092">
        <v>56</v>
      </c>
      <c r="E4092" s="5">
        <v>43687</v>
      </c>
      <c r="F4092">
        <v>73051506</v>
      </c>
      <c r="G4092" t="s">
        <v>1069</v>
      </c>
      <c r="H4092" t="s">
        <v>1149</v>
      </c>
      <c r="I4092" t="s">
        <v>1150</v>
      </c>
      <c r="J4092">
        <v>1001</v>
      </c>
      <c r="K4092">
        <v>5001</v>
      </c>
      <c r="L4092" s="3">
        <v>2593827</v>
      </c>
      <c r="M4092" s="3">
        <v>68193</v>
      </c>
      <c r="N4092">
        <v>0</v>
      </c>
      <c r="O4092">
        <v>0</v>
      </c>
      <c r="P4092">
        <v>2662020</v>
      </c>
      <c r="Q4092" t="s">
        <v>30</v>
      </c>
      <c r="R4092" t="s">
        <v>284</v>
      </c>
      <c r="S4092" t="str">
        <v>#N/A</v>
      </c>
      <c r="T4092" t="str">
        <v>13</v>
      </c>
    </row>
    <row r="4093" spans="1:20" ht="13.7" customHeight="1" x14ac:dyDescent="0.25">
      <c r="A4093" t="s">
        <v>26</v>
      </c>
      <c r="B4093" t="s">
        <v>27</v>
      </c>
      <c r="C4093" t="s">
        <v>38</v>
      </c>
      <c r="D4093">
        <v>57</v>
      </c>
      <c r="E4093" s="5">
        <v>43701</v>
      </c>
      <c r="F4093">
        <v>73051506</v>
      </c>
      <c r="G4093" t="s">
        <v>1069</v>
      </c>
      <c r="H4093" t="s">
        <v>1149</v>
      </c>
      <c r="I4093" t="s">
        <v>1150</v>
      </c>
      <c r="J4093">
        <v>1001</v>
      </c>
      <c r="K4093">
        <v>5001</v>
      </c>
      <c r="L4093" s="3">
        <v>2662020</v>
      </c>
      <c r="M4093" s="3">
        <v>80295</v>
      </c>
      <c r="N4093">
        <v>0</v>
      </c>
      <c r="O4093">
        <v>0</v>
      </c>
      <c r="P4093">
        <v>2742315</v>
      </c>
      <c r="Q4093" t="s">
        <v>30</v>
      </c>
      <c r="R4093" t="s">
        <v>287</v>
      </c>
      <c r="S4093" t="str">
        <v>#N/A</v>
      </c>
      <c r="T4093" t="str">
        <v>13</v>
      </c>
    </row>
    <row r="4094" spans="1:20" ht="13.7" customHeight="1" x14ac:dyDescent="0.25">
      <c r="A4094" t="s">
        <v>26</v>
      </c>
      <c r="B4094" t="s">
        <v>27</v>
      </c>
      <c r="C4094" t="s">
        <v>39</v>
      </c>
      <c r="D4094">
        <v>68</v>
      </c>
      <c r="E4094" s="5">
        <v>43715</v>
      </c>
      <c r="F4094">
        <v>73051506</v>
      </c>
      <c r="G4094" t="s">
        <v>1069</v>
      </c>
      <c r="H4094" t="s">
        <v>1149</v>
      </c>
      <c r="I4094" t="s">
        <v>1150</v>
      </c>
      <c r="J4094">
        <v>1001</v>
      </c>
      <c r="K4094">
        <v>5001</v>
      </c>
      <c r="L4094" s="3">
        <v>2742315</v>
      </c>
      <c r="M4094" s="3">
        <v>51453</v>
      </c>
      <c r="N4094">
        <v>0</v>
      </c>
      <c r="O4094">
        <v>0</v>
      </c>
      <c r="P4094">
        <v>2793768</v>
      </c>
      <c r="Q4094" t="s">
        <v>30</v>
      </c>
      <c r="R4094" t="s">
        <v>288</v>
      </c>
      <c r="S4094" t="str">
        <v>#N/A</v>
      </c>
      <c r="T4094" t="str">
        <v>13</v>
      </c>
    </row>
    <row r="4095" spans="1:20" ht="13.7" customHeight="1" x14ac:dyDescent="0.25">
      <c r="A4095" t="s">
        <v>26</v>
      </c>
      <c r="B4095" t="s">
        <v>27</v>
      </c>
      <c r="C4095" t="s">
        <v>39</v>
      </c>
      <c r="D4095">
        <v>69</v>
      </c>
      <c r="E4095" s="5">
        <v>43729</v>
      </c>
      <c r="F4095">
        <v>73051506</v>
      </c>
      <c r="G4095" t="s">
        <v>1069</v>
      </c>
      <c r="H4095" t="s">
        <v>1149</v>
      </c>
      <c r="I4095" t="s">
        <v>1150</v>
      </c>
      <c r="J4095">
        <v>1001</v>
      </c>
      <c r="K4095">
        <v>5001</v>
      </c>
      <c r="L4095" s="3">
        <v>2793768</v>
      </c>
      <c r="M4095" s="3">
        <v>52419</v>
      </c>
      <c r="N4095">
        <v>0</v>
      </c>
      <c r="O4095">
        <v>0</v>
      </c>
      <c r="P4095">
        <v>2846187</v>
      </c>
      <c r="Q4095" t="s">
        <v>30</v>
      </c>
      <c r="R4095" t="s">
        <v>291</v>
      </c>
      <c r="S4095" t="str">
        <v>#N/A</v>
      </c>
      <c r="T4095" t="str">
        <v>13</v>
      </c>
    </row>
    <row r="4096" spans="1:20" ht="13.7" customHeight="1" x14ac:dyDescent="0.25">
      <c r="A4096" t="s">
        <v>26</v>
      </c>
      <c r="B4096" t="s">
        <v>27</v>
      </c>
      <c r="C4096" t="s">
        <v>40</v>
      </c>
      <c r="D4096">
        <v>61</v>
      </c>
      <c r="E4096" s="5">
        <v>43743</v>
      </c>
      <c r="F4096">
        <v>73051506</v>
      </c>
      <c r="G4096" t="s">
        <v>1069</v>
      </c>
      <c r="H4096" t="s">
        <v>1149</v>
      </c>
      <c r="I4096" t="s">
        <v>1150</v>
      </c>
      <c r="J4096">
        <v>1001</v>
      </c>
      <c r="K4096">
        <v>5001</v>
      </c>
      <c r="L4096" s="3">
        <v>2846187</v>
      </c>
      <c r="M4096" s="3">
        <v>55208</v>
      </c>
      <c r="N4096">
        <v>0</v>
      </c>
      <c r="O4096">
        <v>0</v>
      </c>
      <c r="P4096">
        <v>2901395</v>
      </c>
      <c r="Q4096" t="s">
        <v>30</v>
      </c>
      <c r="R4096" t="s">
        <v>293</v>
      </c>
      <c r="S4096" t="str">
        <v>#N/A</v>
      </c>
      <c r="T4096" t="str">
        <v>13</v>
      </c>
    </row>
    <row r="4097" spans="1:20" ht="13.7" customHeight="1" x14ac:dyDescent="0.25">
      <c r="A4097" t="s">
        <v>26</v>
      </c>
      <c r="B4097" t="s">
        <v>27</v>
      </c>
      <c r="C4097" t="s">
        <v>40</v>
      </c>
      <c r="D4097">
        <v>62</v>
      </c>
      <c r="E4097" s="5">
        <v>43757</v>
      </c>
      <c r="F4097">
        <v>73051506</v>
      </c>
      <c r="G4097" t="s">
        <v>1069</v>
      </c>
      <c r="H4097" t="s">
        <v>1149</v>
      </c>
      <c r="I4097" t="s">
        <v>1150</v>
      </c>
      <c r="J4097">
        <v>1001</v>
      </c>
      <c r="K4097">
        <v>5001</v>
      </c>
      <c r="L4097" s="3">
        <v>2901395</v>
      </c>
      <c r="M4097" s="3">
        <v>82812</v>
      </c>
      <c r="N4097">
        <v>0</v>
      </c>
      <c r="O4097">
        <v>0</v>
      </c>
      <c r="P4097">
        <v>2984207</v>
      </c>
      <c r="Q4097" t="s">
        <v>30</v>
      </c>
      <c r="R4097" t="s">
        <v>299</v>
      </c>
      <c r="S4097" t="str">
        <v>#N/A</v>
      </c>
      <c r="T4097" t="str">
        <v>13</v>
      </c>
    </row>
    <row r="4098" spans="1:20" ht="13.7" customHeight="1" x14ac:dyDescent="0.25">
      <c r="A4098" t="s">
        <v>26</v>
      </c>
      <c r="B4098" t="s">
        <v>27</v>
      </c>
      <c r="C4098" t="s">
        <v>41</v>
      </c>
      <c r="D4098">
        <v>76</v>
      </c>
      <c r="E4098" s="5">
        <v>43771</v>
      </c>
      <c r="F4098">
        <v>73051506</v>
      </c>
      <c r="G4098" t="s">
        <v>1069</v>
      </c>
      <c r="H4098" t="s">
        <v>1149</v>
      </c>
      <c r="I4098" t="s">
        <v>1150</v>
      </c>
      <c r="J4098">
        <v>1001</v>
      </c>
      <c r="K4098">
        <v>5001</v>
      </c>
      <c r="L4098" s="3">
        <v>2984207</v>
      </c>
      <c r="M4098" s="3">
        <v>55208</v>
      </c>
      <c r="N4098">
        <v>0</v>
      </c>
      <c r="O4098">
        <v>0</v>
      </c>
      <c r="P4098">
        <v>3039415</v>
      </c>
      <c r="Q4098" t="s">
        <v>30</v>
      </c>
      <c r="R4098" t="s">
        <v>301</v>
      </c>
      <c r="S4098" t="str">
        <v>#N/A</v>
      </c>
      <c r="T4098" t="str">
        <v>13</v>
      </c>
    </row>
    <row r="4099" spans="1:20" ht="13.7" customHeight="1" x14ac:dyDescent="0.25">
      <c r="A4099" t="s">
        <v>26</v>
      </c>
      <c r="B4099" t="s">
        <v>27</v>
      </c>
      <c r="C4099" t="s">
        <v>41</v>
      </c>
      <c r="D4099">
        <v>77</v>
      </c>
      <c r="E4099" s="5">
        <v>43785</v>
      </c>
      <c r="F4099">
        <v>73051506</v>
      </c>
      <c r="G4099" t="s">
        <v>1069</v>
      </c>
      <c r="H4099" t="s">
        <v>1149</v>
      </c>
      <c r="I4099" t="s">
        <v>1150</v>
      </c>
      <c r="J4099">
        <v>1001</v>
      </c>
      <c r="K4099">
        <v>5001</v>
      </c>
      <c r="L4099" s="3">
        <v>3039415</v>
      </c>
      <c r="M4099" s="3">
        <v>110415</v>
      </c>
      <c r="N4099">
        <v>0</v>
      </c>
      <c r="O4099">
        <v>0</v>
      </c>
      <c r="P4099">
        <v>3149830</v>
      </c>
      <c r="Q4099" t="s">
        <v>30</v>
      </c>
      <c r="R4099" t="s">
        <v>305</v>
      </c>
      <c r="S4099" t="str">
        <v>#N/A</v>
      </c>
      <c r="T4099" t="str">
        <v>13</v>
      </c>
    </row>
    <row r="4100" spans="1:20" ht="13.7" customHeight="1" x14ac:dyDescent="0.25">
      <c r="A4100" t="s">
        <v>26</v>
      </c>
      <c r="B4100" t="s">
        <v>27</v>
      </c>
      <c r="C4100" t="s">
        <v>41</v>
      </c>
      <c r="D4100">
        <v>78</v>
      </c>
      <c r="E4100" s="5">
        <v>43799</v>
      </c>
      <c r="F4100">
        <v>73051506</v>
      </c>
      <c r="G4100" t="s">
        <v>1069</v>
      </c>
      <c r="H4100" t="s">
        <v>1149</v>
      </c>
      <c r="I4100" t="s">
        <v>1150</v>
      </c>
      <c r="J4100">
        <v>1001</v>
      </c>
      <c r="K4100">
        <v>5001</v>
      </c>
      <c r="L4100" s="3">
        <v>3149830</v>
      </c>
      <c r="M4100" s="3">
        <v>55208</v>
      </c>
      <c r="N4100">
        <v>0</v>
      </c>
      <c r="O4100">
        <v>0</v>
      </c>
      <c r="P4100">
        <v>3205038</v>
      </c>
      <c r="Q4100" t="s">
        <v>30</v>
      </c>
      <c r="R4100" t="s">
        <v>309</v>
      </c>
      <c r="S4100" t="str">
        <v>#N/A</v>
      </c>
      <c r="T4100" t="str">
        <v>13</v>
      </c>
    </row>
    <row r="4101" spans="1:20" ht="13.7" customHeight="1" x14ac:dyDescent="0.25">
      <c r="A4101" t="s">
        <v>26</v>
      </c>
      <c r="B4101" t="s">
        <v>27</v>
      </c>
      <c r="C4101" t="s">
        <v>180</v>
      </c>
      <c r="D4101">
        <v>1</v>
      </c>
      <c r="E4101" s="5">
        <v>43813</v>
      </c>
      <c r="F4101">
        <v>73051506</v>
      </c>
      <c r="G4101" t="s">
        <v>1069</v>
      </c>
      <c r="H4101" t="s">
        <v>1149</v>
      </c>
      <c r="I4101" t="s">
        <v>1150</v>
      </c>
      <c r="J4101">
        <v>1001</v>
      </c>
      <c r="K4101">
        <v>5001</v>
      </c>
      <c r="L4101" s="3">
        <v>3205038</v>
      </c>
      <c r="M4101" s="3">
        <v>49523</v>
      </c>
      <c r="N4101">
        <v>0</v>
      </c>
      <c r="O4101">
        <v>0</v>
      </c>
      <c r="P4101">
        <v>3254561</v>
      </c>
      <c r="Q4101" t="s">
        <v>30</v>
      </c>
      <c r="R4101" t="s">
        <v>316</v>
      </c>
      <c r="S4101" t="str">
        <v>#N/A</v>
      </c>
      <c r="T4101" t="str">
        <v>13</v>
      </c>
    </row>
    <row r="4102" spans="1:20" ht="13.7" customHeight="1" x14ac:dyDescent="0.25">
      <c r="A4102" t="s">
        <v>26</v>
      </c>
      <c r="B4102" t="s">
        <v>27</v>
      </c>
      <c r="C4102" t="s">
        <v>180</v>
      </c>
      <c r="D4102">
        <v>90</v>
      </c>
      <c r="E4102" s="5">
        <v>43819</v>
      </c>
      <c r="F4102">
        <v>73051506</v>
      </c>
      <c r="G4102" t="s">
        <v>1069</v>
      </c>
      <c r="H4102" t="s">
        <v>1149</v>
      </c>
      <c r="I4102" t="s">
        <v>1150</v>
      </c>
      <c r="J4102" t="e">
        <v>#N/A</v>
      </c>
      <c r="K4102" t="e">
        <v>#N/A</v>
      </c>
      <c r="L4102" s="3">
        <v>3254561</v>
      </c>
      <c r="M4102" s="3">
        <v>21615</v>
      </c>
      <c r="N4102">
        <v>0</v>
      </c>
      <c r="O4102">
        <v>0</v>
      </c>
      <c r="P4102">
        <v>3276176</v>
      </c>
      <c r="Q4102" t="s">
        <v>30</v>
      </c>
      <c r="R4102" t="s">
        <v>1503</v>
      </c>
      <c r="S4102" t="str">
        <v>#N/A</v>
      </c>
      <c r="T4102" t="str">
        <v>13</v>
      </c>
    </row>
    <row r="4103" spans="1:20" ht="13.7" customHeight="1" x14ac:dyDescent="0.25">
      <c r="E4103" s="5">
        <v>43465</v>
      </c>
      <c r="F4103">
        <v>73051506</v>
      </c>
      <c r="G4103" t="s">
        <v>1069</v>
      </c>
      <c r="H4103" t="s">
        <v>1169</v>
      </c>
      <c r="I4103" t="s">
        <v>1170</v>
      </c>
      <c r="J4103">
        <v>0</v>
      </c>
      <c r="K4103">
        <v>0</v>
      </c>
      <c r="L4103" s="3">
        <v>1528484</v>
      </c>
      <c r="M4103" s="3">
        <v>0</v>
      </c>
      <c r="N4103">
        <v>0</v>
      </c>
      <c r="O4103">
        <v>0</v>
      </c>
      <c r="P4103">
        <v>1528484</v>
      </c>
      <c r="R4103" t="s">
        <v>1100</v>
      </c>
      <c r="S4103" t="str">
        <v>#N/A</v>
      </c>
      <c r="T4103" t="str">
        <v>13</v>
      </c>
    </row>
    <row r="4104" spans="1:20" ht="13.7" customHeight="1" x14ac:dyDescent="0.25">
      <c r="A4104" t="s">
        <v>26</v>
      </c>
      <c r="B4104" t="s">
        <v>27</v>
      </c>
      <c r="C4104" t="s">
        <v>28</v>
      </c>
      <c r="D4104">
        <v>77</v>
      </c>
      <c r="E4104" s="5">
        <v>43491</v>
      </c>
      <c r="F4104">
        <v>73051506</v>
      </c>
      <c r="G4104" t="s">
        <v>1069</v>
      </c>
      <c r="H4104" t="s">
        <v>1169</v>
      </c>
      <c r="I4104" t="s">
        <v>1170</v>
      </c>
      <c r="J4104">
        <v>1001</v>
      </c>
      <c r="K4104">
        <v>5001</v>
      </c>
      <c r="L4104" s="3">
        <v>1528484</v>
      </c>
      <c r="M4104" s="3">
        <v>70379</v>
      </c>
      <c r="N4104">
        <v>0</v>
      </c>
      <c r="O4104">
        <v>0</v>
      </c>
      <c r="P4104">
        <v>1598863</v>
      </c>
      <c r="Q4104" t="s">
        <v>30</v>
      </c>
      <c r="R4104" t="s">
        <v>202</v>
      </c>
      <c r="S4104" t="str">
        <v>#N/A</v>
      </c>
      <c r="T4104" t="str">
        <v>13</v>
      </c>
    </row>
    <row r="4105" spans="1:20" ht="13.7" customHeight="1" x14ac:dyDescent="0.25">
      <c r="A4105" t="s">
        <v>26</v>
      </c>
      <c r="B4105" t="s">
        <v>27</v>
      </c>
      <c r="C4105" t="s">
        <v>32</v>
      </c>
      <c r="D4105">
        <v>60</v>
      </c>
      <c r="E4105" s="5">
        <v>43505</v>
      </c>
      <c r="F4105">
        <v>73051506</v>
      </c>
      <c r="G4105" t="s">
        <v>1069</v>
      </c>
      <c r="H4105" t="s">
        <v>1169</v>
      </c>
      <c r="I4105" t="s">
        <v>1170</v>
      </c>
      <c r="J4105">
        <v>1001</v>
      </c>
      <c r="K4105">
        <v>5001</v>
      </c>
      <c r="L4105" s="3">
        <v>1598863</v>
      </c>
      <c r="M4105" s="3">
        <v>70379</v>
      </c>
      <c r="N4105">
        <v>0</v>
      </c>
      <c r="O4105">
        <v>0</v>
      </c>
      <c r="P4105">
        <v>1669242</v>
      </c>
      <c r="Q4105" t="s">
        <v>30</v>
      </c>
      <c r="R4105" t="s">
        <v>215</v>
      </c>
      <c r="S4105" t="str">
        <v>#N/A</v>
      </c>
      <c r="T4105" t="str">
        <v>13</v>
      </c>
    </row>
    <row r="4106" spans="1:20" ht="13.7" customHeight="1" x14ac:dyDescent="0.25">
      <c r="A4106" t="s">
        <v>26</v>
      </c>
      <c r="B4106" t="s">
        <v>27</v>
      </c>
      <c r="C4106" t="s">
        <v>32</v>
      </c>
      <c r="D4106">
        <v>61</v>
      </c>
      <c r="E4106" s="5">
        <v>43519</v>
      </c>
      <c r="F4106">
        <v>73051506</v>
      </c>
      <c r="G4106" t="s">
        <v>1069</v>
      </c>
      <c r="H4106" t="s">
        <v>1169</v>
      </c>
      <c r="I4106" t="s">
        <v>1170</v>
      </c>
      <c r="J4106">
        <v>1001</v>
      </c>
      <c r="K4106">
        <v>5001</v>
      </c>
      <c r="L4106" s="3">
        <v>1669242</v>
      </c>
      <c r="M4106" s="3">
        <v>70379</v>
      </c>
      <c r="N4106">
        <v>0</v>
      </c>
      <c r="O4106">
        <v>0</v>
      </c>
      <c r="P4106">
        <v>1739621</v>
      </c>
      <c r="Q4106" t="s">
        <v>30</v>
      </c>
      <c r="R4106" t="s">
        <v>226</v>
      </c>
      <c r="S4106" t="str">
        <v>#N/A</v>
      </c>
      <c r="T4106" t="str">
        <v>13</v>
      </c>
    </row>
    <row r="4107" spans="1:20" ht="13.7" customHeight="1" x14ac:dyDescent="0.25">
      <c r="A4107" t="s">
        <v>26</v>
      </c>
      <c r="B4107" t="s">
        <v>27</v>
      </c>
      <c r="C4107" t="s">
        <v>91</v>
      </c>
      <c r="D4107">
        <v>79</v>
      </c>
      <c r="E4107" s="5">
        <v>43533</v>
      </c>
      <c r="F4107">
        <v>73051506</v>
      </c>
      <c r="G4107" t="s">
        <v>1069</v>
      </c>
      <c r="H4107" t="s">
        <v>1169</v>
      </c>
      <c r="I4107" t="s">
        <v>1170</v>
      </c>
      <c r="J4107">
        <v>1001</v>
      </c>
      <c r="K4107">
        <v>5001</v>
      </c>
      <c r="L4107" s="3">
        <v>1739621</v>
      </c>
      <c r="M4107" s="3">
        <v>70379</v>
      </c>
      <c r="N4107">
        <v>0</v>
      </c>
      <c r="O4107">
        <v>0</v>
      </c>
      <c r="P4107">
        <v>1810000</v>
      </c>
      <c r="Q4107" t="s">
        <v>30</v>
      </c>
      <c r="R4107" t="s">
        <v>236</v>
      </c>
      <c r="S4107" t="str">
        <v>#N/A</v>
      </c>
      <c r="T4107" t="str">
        <v>13</v>
      </c>
    </row>
    <row r="4108" spans="1:20" ht="13.7" customHeight="1" x14ac:dyDescent="0.25">
      <c r="A4108" t="s">
        <v>26</v>
      </c>
      <c r="B4108" t="s">
        <v>27</v>
      </c>
      <c r="C4108" t="s">
        <v>91</v>
      </c>
      <c r="D4108">
        <v>80</v>
      </c>
      <c r="E4108" s="5">
        <v>43547</v>
      </c>
      <c r="F4108">
        <v>73051506</v>
      </c>
      <c r="G4108" t="s">
        <v>1069</v>
      </c>
      <c r="H4108" t="s">
        <v>1169</v>
      </c>
      <c r="I4108" t="s">
        <v>1170</v>
      </c>
      <c r="J4108">
        <v>1001</v>
      </c>
      <c r="K4108">
        <v>5001</v>
      </c>
      <c r="L4108" s="3">
        <v>1810000</v>
      </c>
      <c r="M4108" s="3">
        <v>70379</v>
      </c>
      <c r="N4108">
        <v>0</v>
      </c>
      <c r="O4108">
        <v>0</v>
      </c>
      <c r="P4108">
        <v>1880379</v>
      </c>
      <c r="Q4108" t="s">
        <v>30</v>
      </c>
      <c r="R4108" t="s">
        <v>244</v>
      </c>
      <c r="S4108" t="str">
        <v>#N/A</v>
      </c>
      <c r="T4108" t="str">
        <v>13</v>
      </c>
    </row>
    <row r="4109" spans="1:20" ht="13.7" customHeight="1" x14ac:dyDescent="0.25">
      <c r="A4109" t="s">
        <v>26</v>
      </c>
      <c r="B4109" t="s">
        <v>27</v>
      </c>
      <c r="C4109" t="s">
        <v>34</v>
      </c>
      <c r="D4109">
        <v>71</v>
      </c>
      <c r="E4109" s="5">
        <v>43561</v>
      </c>
      <c r="F4109">
        <v>73051506</v>
      </c>
      <c r="G4109" t="s">
        <v>1069</v>
      </c>
      <c r="H4109" t="s">
        <v>1169</v>
      </c>
      <c r="I4109" t="s">
        <v>1170</v>
      </c>
      <c r="J4109">
        <v>1001</v>
      </c>
      <c r="K4109">
        <v>5001</v>
      </c>
      <c r="L4109" s="3">
        <v>1880379</v>
      </c>
      <c r="M4109" s="3">
        <v>70379</v>
      </c>
      <c r="N4109">
        <v>0</v>
      </c>
      <c r="O4109">
        <v>0</v>
      </c>
      <c r="P4109">
        <v>1950758</v>
      </c>
      <c r="Q4109" t="s">
        <v>30</v>
      </c>
      <c r="R4109" t="s">
        <v>244</v>
      </c>
      <c r="S4109" t="str">
        <v>#N/A</v>
      </c>
      <c r="T4109" t="str">
        <v>13</v>
      </c>
    </row>
    <row r="4110" spans="1:20" ht="13.7" customHeight="1" x14ac:dyDescent="0.25">
      <c r="A4110" t="s">
        <v>26</v>
      </c>
      <c r="B4110" t="s">
        <v>27</v>
      </c>
      <c r="C4110" t="s">
        <v>34</v>
      </c>
      <c r="D4110">
        <v>72</v>
      </c>
      <c r="E4110" s="5">
        <v>43575</v>
      </c>
      <c r="F4110">
        <v>73051506</v>
      </c>
      <c r="G4110" t="s">
        <v>1069</v>
      </c>
      <c r="H4110" t="s">
        <v>1169</v>
      </c>
      <c r="I4110" t="s">
        <v>1170</v>
      </c>
      <c r="J4110">
        <v>1001</v>
      </c>
      <c r="K4110">
        <v>5001</v>
      </c>
      <c r="L4110" s="3">
        <v>1950758</v>
      </c>
      <c r="M4110" s="3">
        <v>70379</v>
      </c>
      <c r="N4110">
        <v>0</v>
      </c>
      <c r="O4110">
        <v>0</v>
      </c>
      <c r="P4110">
        <v>2021137</v>
      </c>
      <c r="Q4110" t="s">
        <v>30</v>
      </c>
      <c r="R4110" t="s">
        <v>254</v>
      </c>
      <c r="S4110" t="str">
        <v>#N/A</v>
      </c>
      <c r="T4110" t="str">
        <v>13</v>
      </c>
    </row>
    <row r="4111" spans="1:20" ht="13.7" customHeight="1" x14ac:dyDescent="0.25">
      <c r="A4111" t="s">
        <v>26</v>
      </c>
      <c r="B4111" t="s">
        <v>27</v>
      </c>
      <c r="C4111" t="s">
        <v>35</v>
      </c>
      <c r="D4111">
        <v>97</v>
      </c>
      <c r="E4111" s="5">
        <v>43589</v>
      </c>
      <c r="F4111">
        <v>73051506</v>
      </c>
      <c r="G4111" t="s">
        <v>1069</v>
      </c>
      <c r="H4111" t="s">
        <v>1169</v>
      </c>
      <c r="I4111" t="s">
        <v>1170</v>
      </c>
      <c r="J4111">
        <v>1001</v>
      </c>
      <c r="K4111">
        <v>5001</v>
      </c>
      <c r="L4111" s="3">
        <v>2021137</v>
      </c>
      <c r="M4111" s="3">
        <v>70379</v>
      </c>
      <c r="N4111">
        <v>0</v>
      </c>
      <c r="O4111">
        <v>0</v>
      </c>
      <c r="P4111">
        <v>2091516</v>
      </c>
      <c r="Q4111" t="s">
        <v>30</v>
      </c>
      <c r="R4111" t="s">
        <v>256</v>
      </c>
      <c r="S4111" t="str">
        <v>#N/A</v>
      </c>
      <c r="T4111" t="str">
        <v>13</v>
      </c>
    </row>
    <row r="4112" spans="1:20" ht="13.7" customHeight="1" x14ac:dyDescent="0.25">
      <c r="A4112" t="s">
        <v>26</v>
      </c>
      <c r="B4112" t="s">
        <v>27</v>
      </c>
      <c r="C4112" t="s">
        <v>35</v>
      </c>
      <c r="D4112">
        <v>98</v>
      </c>
      <c r="E4112" s="5">
        <v>43603</v>
      </c>
      <c r="F4112">
        <v>73051506</v>
      </c>
      <c r="G4112" t="s">
        <v>1069</v>
      </c>
      <c r="H4112" t="s">
        <v>1169</v>
      </c>
      <c r="I4112" t="s">
        <v>1170</v>
      </c>
      <c r="J4112">
        <v>1001</v>
      </c>
      <c r="K4112">
        <v>5001</v>
      </c>
      <c r="L4112" s="3">
        <v>2091516</v>
      </c>
      <c r="M4112" s="3">
        <v>70379</v>
      </c>
      <c r="N4112">
        <v>0</v>
      </c>
      <c r="O4112">
        <v>0</v>
      </c>
      <c r="P4112">
        <v>2161895</v>
      </c>
      <c r="Q4112" t="s">
        <v>30</v>
      </c>
      <c r="R4112" t="s">
        <v>261</v>
      </c>
      <c r="S4112" t="str">
        <v>#N/A</v>
      </c>
      <c r="T4112" t="str">
        <v>13</v>
      </c>
    </row>
    <row r="4113" spans="1:20" ht="13.7" customHeight="1" x14ac:dyDescent="0.25">
      <c r="A4113" t="s">
        <v>26</v>
      </c>
      <c r="B4113" t="s">
        <v>27</v>
      </c>
      <c r="C4113" t="s">
        <v>36</v>
      </c>
      <c r="D4113">
        <v>70</v>
      </c>
      <c r="E4113" s="5">
        <v>43617</v>
      </c>
      <c r="F4113">
        <v>73051506</v>
      </c>
      <c r="G4113" t="s">
        <v>1069</v>
      </c>
      <c r="H4113" t="s">
        <v>1169</v>
      </c>
      <c r="I4113" t="s">
        <v>1170</v>
      </c>
      <c r="J4113">
        <v>1001</v>
      </c>
      <c r="K4113">
        <v>5001</v>
      </c>
      <c r="L4113" s="3">
        <v>2161895</v>
      </c>
      <c r="M4113" s="3">
        <v>70379</v>
      </c>
      <c r="N4113">
        <v>0</v>
      </c>
      <c r="O4113">
        <v>0</v>
      </c>
      <c r="P4113">
        <v>2232274</v>
      </c>
      <c r="Q4113" t="s">
        <v>30</v>
      </c>
      <c r="R4113" t="s">
        <v>264</v>
      </c>
      <c r="S4113" t="str">
        <v>#N/A</v>
      </c>
      <c r="T4113" t="str">
        <v>13</v>
      </c>
    </row>
    <row r="4114" spans="1:20" ht="13.7" customHeight="1" x14ac:dyDescent="0.25">
      <c r="A4114" t="s">
        <v>26</v>
      </c>
      <c r="B4114" t="s">
        <v>27</v>
      </c>
      <c r="C4114" t="s">
        <v>36</v>
      </c>
      <c r="D4114">
        <v>71</v>
      </c>
      <c r="E4114" s="5">
        <v>43631</v>
      </c>
      <c r="F4114">
        <v>73051506</v>
      </c>
      <c r="G4114" t="s">
        <v>1069</v>
      </c>
      <c r="H4114" t="s">
        <v>1169</v>
      </c>
      <c r="I4114" t="s">
        <v>1170</v>
      </c>
      <c r="J4114">
        <v>1001</v>
      </c>
      <c r="K4114">
        <v>5001</v>
      </c>
      <c r="L4114" s="3">
        <v>2232274</v>
      </c>
      <c r="M4114" s="3">
        <v>70379</v>
      </c>
      <c r="N4114">
        <v>0</v>
      </c>
      <c r="O4114">
        <v>0</v>
      </c>
      <c r="P4114">
        <v>2302653</v>
      </c>
      <c r="Q4114" t="s">
        <v>30</v>
      </c>
      <c r="R4114" t="s">
        <v>270</v>
      </c>
      <c r="S4114" t="str">
        <v>#N/A</v>
      </c>
      <c r="T4114" t="str">
        <v>13</v>
      </c>
    </row>
    <row r="4115" spans="1:20" ht="13.7" customHeight="1" x14ac:dyDescent="0.25">
      <c r="A4115" t="s">
        <v>26</v>
      </c>
      <c r="B4115" t="s">
        <v>27</v>
      </c>
      <c r="C4115" t="s">
        <v>36</v>
      </c>
      <c r="D4115">
        <v>73</v>
      </c>
      <c r="E4115" s="5">
        <v>43642</v>
      </c>
      <c r="F4115">
        <v>73051506</v>
      </c>
      <c r="G4115" t="s">
        <v>1069</v>
      </c>
      <c r="H4115" t="s">
        <v>1169</v>
      </c>
      <c r="I4115" t="s">
        <v>1170</v>
      </c>
      <c r="J4115">
        <v>1001</v>
      </c>
      <c r="K4115">
        <v>5001</v>
      </c>
      <c r="L4115" s="3">
        <v>2302653</v>
      </c>
      <c r="M4115" s="3">
        <v>70379</v>
      </c>
      <c r="N4115">
        <v>0</v>
      </c>
      <c r="O4115">
        <v>0</v>
      </c>
      <c r="P4115">
        <v>2373032</v>
      </c>
      <c r="Q4115" t="s">
        <v>30</v>
      </c>
      <c r="R4115" t="s">
        <v>274</v>
      </c>
      <c r="S4115" t="str">
        <v>#N/A</v>
      </c>
      <c r="T4115" t="str">
        <v>13</v>
      </c>
    </row>
    <row r="4116" spans="1:20" ht="13.7" customHeight="1" x14ac:dyDescent="0.25">
      <c r="A4116" t="s">
        <v>26</v>
      </c>
      <c r="B4116" t="s">
        <v>27</v>
      </c>
      <c r="C4116" t="s">
        <v>37</v>
      </c>
      <c r="D4116">
        <v>66</v>
      </c>
      <c r="E4116" s="5">
        <v>43659</v>
      </c>
      <c r="F4116">
        <v>73051506</v>
      </c>
      <c r="G4116" t="s">
        <v>1069</v>
      </c>
      <c r="H4116" t="s">
        <v>1169</v>
      </c>
      <c r="I4116" t="s">
        <v>1170</v>
      </c>
      <c r="J4116">
        <v>1001</v>
      </c>
      <c r="K4116">
        <v>5001</v>
      </c>
      <c r="L4116" s="3">
        <v>2373032</v>
      </c>
      <c r="M4116" s="3">
        <v>70379</v>
      </c>
      <c r="N4116">
        <v>0</v>
      </c>
      <c r="O4116">
        <v>0</v>
      </c>
      <c r="P4116">
        <v>2443411</v>
      </c>
      <c r="Q4116" t="s">
        <v>30</v>
      </c>
      <c r="R4116" t="s">
        <v>279</v>
      </c>
      <c r="S4116" t="str">
        <v>#N/A</v>
      </c>
      <c r="T4116" t="str">
        <v>13</v>
      </c>
    </row>
    <row r="4117" spans="1:20" ht="13.7" customHeight="1" x14ac:dyDescent="0.25">
      <c r="A4117" t="s">
        <v>26</v>
      </c>
      <c r="B4117" t="s">
        <v>27</v>
      </c>
      <c r="C4117" t="s">
        <v>37</v>
      </c>
      <c r="D4117">
        <v>67</v>
      </c>
      <c r="E4117" s="5">
        <v>43673</v>
      </c>
      <c r="F4117">
        <v>73051506</v>
      </c>
      <c r="G4117" t="s">
        <v>1069</v>
      </c>
      <c r="H4117" t="s">
        <v>1169</v>
      </c>
      <c r="I4117" t="s">
        <v>1170</v>
      </c>
      <c r="J4117">
        <v>1001</v>
      </c>
      <c r="K4117">
        <v>5001</v>
      </c>
      <c r="L4117" s="3">
        <v>2443411</v>
      </c>
      <c r="M4117" s="3">
        <v>70379</v>
      </c>
      <c r="N4117">
        <v>0</v>
      </c>
      <c r="O4117">
        <v>0</v>
      </c>
      <c r="P4117">
        <v>2513790</v>
      </c>
      <c r="Q4117" t="s">
        <v>30</v>
      </c>
      <c r="R4117" t="s">
        <v>282</v>
      </c>
      <c r="S4117" t="str">
        <v>#N/A</v>
      </c>
      <c r="T4117" t="str">
        <v>13</v>
      </c>
    </row>
    <row r="4118" spans="1:20" ht="13.7" customHeight="1" x14ac:dyDescent="0.25">
      <c r="A4118" t="s">
        <v>26</v>
      </c>
      <c r="B4118" t="s">
        <v>27</v>
      </c>
      <c r="C4118" t="s">
        <v>38</v>
      </c>
      <c r="D4118">
        <v>56</v>
      </c>
      <c r="E4118" s="5">
        <v>43687</v>
      </c>
      <c r="F4118">
        <v>73051506</v>
      </c>
      <c r="G4118" t="s">
        <v>1069</v>
      </c>
      <c r="H4118" t="s">
        <v>1169</v>
      </c>
      <c r="I4118" t="s">
        <v>1170</v>
      </c>
      <c r="J4118">
        <v>1001</v>
      </c>
      <c r="K4118">
        <v>5001</v>
      </c>
      <c r="L4118" s="3">
        <v>2513790</v>
      </c>
      <c r="M4118" s="3">
        <v>70379</v>
      </c>
      <c r="N4118">
        <v>0</v>
      </c>
      <c r="O4118">
        <v>0</v>
      </c>
      <c r="P4118">
        <v>2584169</v>
      </c>
      <c r="Q4118" t="s">
        <v>30</v>
      </c>
      <c r="R4118" t="s">
        <v>284</v>
      </c>
      <c r="S4118" t="str">
        <v>#N/A</v>
      </c>
      <c r="T4118" t="str">
        <v>13</v>
      </c>
    </row>
    <row r="4119" spans="1:20" ht="13.7" customHeight="1" x14ac:dyDescent="0.25">
      <c r="A4119" t="s">
        <v>26</v>
      </c>
      <c r="B4119" t="s">
        <v>27</v>
      </c>
      <c r="C4119" t="s">
        <v>38</v>
      </c>
      <c r="D4119">
        <v>57</v>
      </c>
      <c r="E4119" s="5">
        <v>43701</v>
      </c>
      <c r="F4119">
        <v>73051506</v>
      </c>
      <c r="G4119" t="s">
        <v>1069</v>
      </c>
      <c r="H4119" t="s">
        <v>1169</v>
      </c>
      <c r="I4119" t="s">
        <v>1170</v>
      </c>
      <c r="J4119">
        <v>1001</v>
      </c>
      <c r="K4119">
        <v>5001</v>
      </c>
      <c r="L4119" s="3">
        <v>2584169</v>
      </c>
      <c r="M4119" s="3">
        <v>70379</v>
      </c>
      <c r="N4119">
        <v>0</v>
      </c>
      <c r="O4119">
        <v>0</v>
      </c>
      <c r="P4119">
        <v>2654548</v>
      </c>
      <c r="Q4119" t="s">
        <v>30</v>
      </c>
      <c r="R4119" t="s">
        <v>287</v>
      </c>
      <c r="S4119" t="str">
        <v>#N/A</v>
      </c>
      <c r="T4119" t="str">
        <v>13</v>
      </c>
    </row>
    <row r="4120" spans="1:20" ht="13.7" customHeight="1" x14ac:dyDescent="0.25">
      <c r="A4120" t="s">
        <v>26</v>
      </c>
      <c r="B4120" t="s">
        <v>27</v>
      </c>
      <c r="C4120" t="s">
        <v>38</v>
      </c>
      <c r="D4120">
        <v>57</v>
      </c>
      <c r="E4120" s="5">
        <v>43701</v>
      </c>
      <c r="F4120">
        <v>73051506</v>
      </c>
      <c r="G4120" t="s">
        <v>1069</v>
      </c>
      <c r="H4120" t="s">
        <v>1169</v>
      </c>
      <c r="I4120" t="s">
        <v>1170</v>
      </c>
      <c r="J4120">
        <v>1001</v>
      </c>
      <c r="K4120">
        <v>5001</v>
      </c>
      <c r="L4120" s="3">
        <v>2654548</v>
      </c>
      <c r="M4120" s="3">
        <v>45282</v>
      </c>
      <c r="N4120">
        <v>0</v>
      </c>
      <c r="O4120">
        <v>0</v>
      </c>
      <c r="P4120">
        <v>2699830</v>
      </c>
      <c r="Q4120" t="s">
        <v>30</v>
      </c>
      <c r="R4120" t="s">
        <v>287</v>
      </c>
      <c r="S4120" t="str">
        <v>#N/A</v>
      </c>
      <c r="T4120" t="str">
        <v>13</v>
      </c>
    </row>
    <row r="4121" spans="1:20" ht="13.7" customHeight="1" x14ac:dyDescent="0.25">
      <c r="A4121" t="s">
        <v>26</v>
      </c>
      <c r="B4121" t="s">
        <v>27</v>
      </c>
      <c r="C4121" t="s">
        <v>39</v>
      </c>
      <c r="D4121">
        <v>68</v>
      </c>
      <c r="E4121" s="5">
        <v>43715</v>
      </c>
      <c r="F4121">
        <v>73051506</v>
      </c>
      <c r="G4121" t="s">
        <v>1069</v>
      </c>
      <c r="H4121" t="s">
        <v>1169</v>
      </c>
      <c r="I4121" t="s">
        <v>1170</v>
      </c>
      <c r="J4121">
        <v>1001</v>
      </c>
      <c r="K4121">
        <v>5001</v>
      </c>
      <c r="L4121" s="3">
        <v>2699830</v>
      </c>
      <c r="M4121" s="3">
        <v>70379</v>
      </c>
      <c r="N4121">
        <v>0</v>
      </c>
      <c r="O4121">
        <v>0</v>
      </c>
      <c r="P4121">
        <v>2770209</v>
      </c>
      <c r="Q4121" t="s">
        <v>30</v>
      </c>
      <c r="R4121" t="s">
        <v>288</v>
      </c>
      <c r="S4121" t="str">
        <v>#N/A</v>
      </c>
      <c r="T4121" t="str">
        <v>13</v>
      </c>
    </row>
    <row r="4122" spans="1:20" ht="13.7" customHeight="1" x14ac:dyDescent="0.25">
      <c r="A4122" t="s">
        <v>26</v>
      </c>
      <c r="B4122" t="s">
        <v>27</v>
      </c>
      <c r="C4122" t="s">
        <v>39</v>
      </c>
      <c r="D4122">
        <v>69</v>
      </c>
      <c r="E4122" s="5">
        <v>43729</v>
      </c>
      <c r="F4122">
        <v>73051506</v>
      </c>
      <c r="G4122" t="s">
        <v>1069</v>
      </c>
      <c r="H4122" t="s">
        <v>1169</v>
      </c>
      <c r="I4122" t="s">
        <v>1170</v>
      </c>
      <c r="J4122">
        <v>1001</v>
      </c>
      <c r="K4122">
        <v>5001</v>
      </c>
      <c r="L4122" s="3">
        <v>2770209</v>
      </c>
      <c r="M4122" s="3">
        <v>70379</v>
      </c>
      <c r="N4122">
        <v>0</v>
      </c>
      <c r="O4122">
        <v>0</v>
      </c>
      <c r="P4122">
        <v>2840588</v>
      </c>
      <c r="Q4122" t="s">
        <v>30</v>
      </c>
      <c r="R4122" t="s">
        <v>291</v>
      </c>
      <c r="S4122" t="str">
        <v>#N/A</v>
      </c>
      <c r="T4122" t="str">
        <v>13</v>
      </c>
    </row>
    <row r="4123" spans="1:20" ht="13.7" customHeight="1" x14ac:dyDescent="0.25">
      <c r="A4123" t="s">
        <v>26</v>
      </c>
      <c r="B4123" t="s">
        <v>27</v>
      </c>
      <c r="C4123" t="s">
        <v>40</v>
      </c>
      <c r="D4123">
        <v>61</v>
      </c>
      <c r="E4123" s="5">
        <v>43743</v>
      </c>
      <c r="F4123">
        <v>73051506</v>
      </c>
      <c r="G4123" t="s">
        <v>1069</v>
      </c>
      <c r="H4123" t="s">
        <v>1169</v>
      </c>
      <c r="I4123" t="s">
        <v>1170</v>
      </c>
      <c r="J4123">
        <v>1001</v>
      </c>
      <c r="K4123">
        <v>5001</v>
      </c>
      <c r="L4123" s="3">
        <v>2840588</v>
      </c>
      <c r="M4123" s="3">
        <v>70379</v>
      </c>
      <c r="N4123">
        <v>0</v>
      </c>
      <c r="O4123">
        <v>0</v>
      </c>
      <c r="P4123">
        <v>2910967</v>
      </c>
      <c r="Q4123" t="s">
        <v>30</v>
      </c>
      <c r="R4123" t="s">
        <v>293</v>
      </c>
      <c r="S4123" t="str">
        <v>#N/A</v>
      </c>
      <c r="T4123" t="str">
        <v>13</v>
      </c>
    </row>
    <row r="4124" spans="1:20" ht="13.7" customHeight="1" x14ac:dyDescent="0.25">
      <c r="A4124" t="s">
        <v>26</v>
      </c>
      <c r="B4124" t="s">
        <v>27</v>
      </c>
      <c r="C4124" t="s">
        <v>40</v>
      </c>
      <c r="D4124">
        <v>62</v>
      </c>
      <c r="E4124" s="5">
        <v>43757</v>
      </c>
      <c r="F4124">
        <v>73051506</v>
      </c>
      <c r="G4124" t="s">
        <v>1069</v>
      </c>
      <c r="H4124" t="s">
        <v>1169</v>
      </c>
      <c r="I4124" t="s">
        <v>1170</v>
      </c>
      <c r="J4124">
        <v>1001</v>
      </c>
      <c r="K4124">
        <v>5001</v>
      </c>
      <c r="L4124" s="3">
        <v>2910967</v>
      </c>
      <c r="M4124" s="3">
        <v>70379</v>
      </c>
      <c r="N4124">
        <v>0</v>
      </c>
      <c r="O4124">
        <v>0</v>
      </c>
      <c r="P4124">
        <v>2981346</v>
      </c>
      <c r="Q4124" t="s">
        <v>30</v>
      </c>
      <c r="R4124" t="s">
        <v>299</v>
      </c>
      <c r="S4124" t="str">
        <v>#N/A</v>
      </c>
      <c r="T4124" t="str">
        <v>13</v>
      </c>
    </row>
    <row r="4125" spans="1:20" ht="13.7" customHeight="1" x14ac:dyDescent="0.25">
      <c r="A4125" t="s">
        <v>26</v>
      </c>
      <c r="B4125" t="s">
        <v>27</v>
      </c>
      <c r="C4125" t="s">
        <v>41</v>
      </c>
      <c r="D4125">
        <v>76</v>
      </c>
      <c r="E4125" s="5">
        <v>43771</v>
      </c>
      <c r="F4125">
        <v>73051506</v>
      </c>
      <c r="G4125" t="s">
        <v>1069</v>
      </c>
      <c r="H4125" t="s">
        <v>1169</v>
      </c>
      <c r="I4125" t="s">
        <v>1170</v>
      </c>
      <c r="J4125">
        <v>1001</v>
      </c>
      <c r="K4125">
        <v>5001</v>
      </c>
      <c r="L4125" s="3">
        <v>2981346</v>
      </c>
      <c r="M4125" s="3">
        <v>70379</v>
      </c>
      <c r="N4125">
        <v>0</v>
      </c>
      <c r="O4125">
        <v>0</v>
      </c>
      <c r="P4125">
        <v>3051725</v>
      </c>
      <c r="Q4125" t="s">
        <v>30</v>
      </c>
      <c r="R4125" t="s">
        <v>301</v>
      </c>
      <c r="S4125" t="str">
        <v>#N/A</v>
      </c>
      <c r="T4125" t="str">
        <v>13</v>
      </c>
    </row>
    <row r="4126" spans="1:20" ht="13.7" customHeight="1" x14ac:dyDescent="0.25">
      <c r="A4126" t="s">
        <v>26</v>
      </c>
      <c r="B4126" t="s">
        <v>27</v>
      </c>
      <c r="C4126" t="s">
        <v>41</v>
      </c>
      <c r="D4126">
        <v>77</v>
      </c>
      <c r="E4126" s="5">
        <v>43785</v>
      </c>
      <c r="F4126">
        <v>73051506</v>
      </c>
      <c r="G4126" t="s">
        <v>1069</v>
      </c>
      <c r="H4126" t="s">
        <v>1169</v>
      </c>
      <c r="I4126" t="s">
        <v>1170</v>
      </c>
      <c r="J4126">
        <v>1001</v>
      </c>
      <c r="K4126">
        <v>5001</v>
      </c>
      <c r="L4126" s="3">
        <v>3051725</v>
      </c>
      <c r="M4126" s="3">
        <v>70379</v>
      </c>
      <c r="N4126">
        <v>0</v>
      </c>
      <c r="O4126">
        <v>0</v>
      </c>
      <c r="P4126">
        <v>3122104</v>
      </c>
      <c r="Q4126" t="s">
        <v>30</v>
      </c>
      <c r="R4126" t="s">
        <v>305</v>
      </c>
      <c r="S4126" t="str">
        <v>#N/A</v>
      </c>
      <c r="T4126" t="str">
        <v>13</v>
      </c>
    </row>
    <row r="4127" spans="1:20" ht="13.7" customHeight="1" x14ac:dyDescent="0.25">
      <c r="A4127" t="s">
        <v>26</v>
      </c>
      <c r="B4127" t="s">
        <v>27</v>
      </c>
      <c r="C4127" t="s">
        <v>41</v>
      </c>
      <c r="D4127">
        <v>78</v>
      </c>
      <c r="E4127" s="5">
        <v>43799</v>
      </c>
      <c r="F4127">
        <v>73051506</v>
      </c>
      <c r="G4127" t="s">
        <v>1069</v>
      </c>
      <c r="H4127" t="s">
        <v>1169</v>
      </c>
      <c r="I4127" t="s">
        <v>1170</v>
      </c>
      <c r="J4127">
        <v>1001</v>
      </c>
      <c r="K4127">
        <v>5001</v>
      </c>
      <c r="L4127" s="3">
        <v>3122104</v>
      </c>
      <c r="M4127" s="3">
        <v>70379</v>
      </c>
      <c r="N4127">
        <v>0</v>
      </c>
      <c r="O4127">
        <v>0</v>
      </c>
      <c r="P4127">
        <v>3192483</v>
      </c>
      <c r="Q4127" t="s">
        <v>30</v>
      </c>
      <c r="R4127" t="s">
        <v>309</v>
      </c>
      <c r="S4127" t="str">
        <v>#N/A</v>
      </c>
      <c r="T4127" t="str">
        <v>13</v>
      </c>
    </row>
    <row r="4128" spans="1:20" ht="13.7" customHeight="1" x14ac:dyDescent="0.25">
      <c r="A4128" t="s">
        <v>26</v>
      </c>
      <c r="B4128" t="s">
        <v>27</v>
      </c>
      <c r="C4128" t="s">
        <v>180</v>
      </c>
      <c r="D4128">
        <v>1</v>
      </c>
      <c r="E4128" s="5">
        <v>43813</v>
      </c>
      <c r="F4128">
        <v>73051506</v>
      </c>
      <c r="G4128" t="s">
        <v>1069</v>
      </c>
      <c r="H4128" t="s">
        <v>1169</v>
      </c>
      <c r="I4128" t="s">
        <v>1170</v>
      </c>
      <c r="J4128">
        <v>1001</v>
      </c>
      <c r="K4128">
        <v>5001</v>
      </c>
      <c r="L4128" s="3">
        <v>3192483</v>
      </c>
      <c r="M4128" s="3">
        <v>70379</v>
      </c>
      <c r="N4128">
        <v>0</v>
      </c>
      <c r="O4128">
        <v>0</v>
      </c>
      <c r="P4128">
        <v>3262862</v>
      </c>
      <c r="Q4128" t="s">
        <v>30</v>
      </c>
      <c r="R4128" t="s">
        <v>316</v>
      </c>
      <c r="S4128" t="str">
        <v>#N/A</v>
      </c>
      <c r="T4128" t="str">
        <v>13</v>
      </c>
    </row>
    <row r="4129" spans="1:20" ht="13.7" customHeight="1" x14ac:dyDescent="0.25">
      <c r="A4129" t="s">
        <v>26</v>
      </c>
      <c r="B4129" t="s">
        <v>27</v>
      </c>
      <c r="C4129" t="s">
        <v>180</v>
      </c>
      <c r="D4129">
        <v>90</v>
      </c>
      <c r="E4129" s="5">
        <v>43819</v>
      </c>
      <c r="F4129">
        <v>73051506</v>
      </c>
      <c r="G4129" t="s">
        <v>1069</v>
      </c>
      <c r="H4129" t="s">
        <v>1169</v>
      </c>
      <c r="I4129" t="s">
        <v>1170</v>
      </c>
      <c r="J4129" t="e">
        <v>#N/A</v>
      </c>
      <c r="K4129" t="e">
        <v>#N/A</v>
      </c>
      <c r="L4129" s="3">
        <v>3262862</v>
      </c>
      <c r="M4129" s="3">
        <v>35190</v>
      </c>
      <c r="N4129">
        <v>0</v>
      </c>
      <c r="O4129">
        <v>0</v>
      </c>
      <c r="P4129">
        <v>3298052</v>
      </c>
      <c r="Q4129" t="s">
        <v>30</v>
      </c>
      <c r="R4129" t="s">
        <v>1503</v>
      </c>
      <c r="S4129" t="str">
        <v>#N/A</v>
      </c>
      <c r="T4129" t="str">
        <v>13</v>
      </c>
    </row>
    <row r="4130" spans="1:20" ht="13.7" customHeight="1" x14ac:dyDescent="0.25">
      <c r="E4130" s="5">
        <v>43465</v>
      </c>
      <c r="F4130">
        <v>73051506</v>
      </c>
      <c r="G4130" t="s">
        <v>1069</v>
      </c>
      <c r="H4130" t="s">
        <v>1153</v>
      </c>
      <c r="I4130" t="s">
        <v>1154</v>
      </c>
      <c r="J4130">
        <v>0</v>
      </c>
      <c r="K4130">
        <v>0</v>
      </c>
      <c r="L4130" s="3">
        <v>1785661</v>
      </c>
      <c r="M4130" s="3">
        <v>0</v>
      </c>
      <c r="N4130">
        <v>0</v>
      </c>
      <c r="O4130">
        <v>0</v>
      </c>
      <c r="P4130">
        <v>1785661</v>
      </c>
      <c r="R4130" t="s">
        <v>1100</v>
      </c>
      <c r="S4130" t="str">
        <v>#N/A</v>
      </c>
      <c r="T4130" t="str">
        <v>#N/A</v>
      </c>
    </row>
    <row r="4131" spans="1:20" ht="13.7" customHeight="1" x14ac:dyDescent="0.25">
      <c r="A4131" t="s">
        <v>26</v>
      </c>
      <c r="B4131" t="s">
        <v>27</v>
      </c>
      <c r="C4131" t="s">
        <v>28</v>
      </c>
      <c r="D4131">
        <v>77</v>
      </c>
      <c r="E4131" s="5">
        <v>43491</v>
      </c>
      <c r="F4131">
        <v>73051506</v>
      </c>
      <c r="G4131" t="s">
        <v>1069</v>
      </c>
      <c r="H4131" t="s">
        <v>1153</v>
      </c>
      <c r="I4131" t="s">
        <v>1154</v>
      </c>
      <c r="J4131">
        <v>1001</v>
      </c>
      <c r="K4131">
        <v>5001</v>
      </c>
      <c r="L4131" s="3">
        <v>1785661</v>
      </c>
      <c r="M4131" s="3">
        <v>71936</v>
      </c>
      <c r="N4131">
        <v>0</v>
      </c>
      <c r="O4131">
        <v>0</v>
      </c>
      <c r="P4131">
        <v>1857597</v>
      </c>
      <c r="Q4131" t="s">
        <v>30</v>
      </c>
      <c r="R4131" t="s">
        <v>202</v>
      </c>
      <c r="S4131" t="str">
        <v>#N/A</v>
      </c>
      <c r="T4131" t="str">
        <v>#N/A</v>
      </c>
    </row>
    <row r="4132" spans="1:20" ht="13.7" customHeight="1" x14ac:dyDescent="0.25">
      <c r="A4132" t="s">
        <v>26</v>
      </c>
      <c r="B4132" t="s">
        <v>27</v>
      </c>
      <c r="C4132" t="s">
        <v>32</v>
      </c>
      <c r="D4132">
        <v>60</v>
      </c>
      <c r="E4132" s="5">
        <v>43505</v>
      </c>
      <c r="F4132">
        <v>73051506</v>
      </c>
      <c r="G4132" t="s">
        <v>1069</v>
      </c>
      <c r="H4132" t="s">
        <v>1153</v>
      </c>
      <c r="I4132" t="s">
        <v>1154</v>
      </c>
      <c r="J4132">
        <v>1001</v>
      </c>
      <c r="K4132">
        <v>5001</v>
      </c>
      <c r="L4132" s="3">
        <v>1857597</v>
      </c>
      <c r="M4132" s="3">
        <v>69680</v>
      </c>
      <c r="N4132">
        <v>0</v>
      </c>
      <c r="O4132">
        <v>0</v>
      </c>
      <c r="P4132">
        <v>1927277</v>
      </c>
      <c r="Q4132" t="s">
        <v>30</v>
      </c>
      <c r="R4132" t="s">
        <v>215</v>
      </c>
      <c r="S4132" t="str">
        <v>#N/A</v>
      </c>
      <c r="T4132" t="str">
        <v>#N/A</v>
      </c>
    </row>
    <row r="4133" spans="1:20" ht="13.7" customHeight="1" x14ac:dyDescent="0.25">
      <c r="A4133" t="s">
        <v>26</v>
      </c>
      <c r="B4133" t="s">
        <v>27</v>
      </c>
      <c r="C4133" t="s">
        <v>32</v>
      </c>
      <c r="D4133">
        <v>61</v>
      </c>
      <c r="E4133" s="5">
        <v>43519</v>
      </c>
      <c r="F4133">
        <v>73051506</v>
      </c>
      <c r="G4133" t="s">
        <v>1069</v>
      </c>
      <c r="H4133" t="s">
        <v>1153</v>
      </c>
      <c r="I4133" t="s">
        <v>1154</v>
      </c>
      <c r="J4133">
        <v>1001</v>
      </c>
      <c r="K4133">
        <v>5001</v>
      </c>
      <c r="L4133" s="3">
        <v>1927277</v>
      </c>
      <c r="M4133" s="3">
        <v>70591</v>
      </c>
      <c r="N4133">
        <v>0</v>
      </c>
      <c r="O4133">
        <v>0</v>
      </c>
      <c r="P4133">
        <v>1997868</v>
      </c>
      <c r="Q4133" t="s">
        <v>30</v>
      </c>
      <c r="R4133" t="s">
        <v>226</v>
      </c>
      <c r="S4133" t="str">
        <v>#N/A</v>
      </c>
      <c r="T4133" t="str">
        <v>#N/A</v>
      </c>
    </row>
    <row r="4134" spans="1:20" ht="13.7" customHeight="1" x14ac:dyDescent="0.25">
      <c r="A4134" t="s">
        <v>26</v>
      </c>
      <c r="B4134" t="s">
        <v>27</v>
      </c>
      <c r="C4134" t="s">
        <v>91</v>
      </c>
      <c r="D4134">
        <v>79</v>
      </c>
      <c r="E4134" s="5">
        <v>43533</v>
      </c>
      <c r="F4134">
        <v>73051506</v>
      </c>
      <c r="G4134" t="s">
        <v>1069</v>
      </c>
      <c r="H4134" t="s">
        <v>1153</v>
      </c>
      <c r="I4134" t="s">
        <v>1154</v>
      </c>
      <c r="J4134">
        <v>1001</v>
      </c>
      <c r="K4134">
        <v>5001</v>
      </c>
      <c r="L4134" s="3">
        <v>1997868</v>
      </c>
      <c r="M4134" s="3">
        <v>68159</v>
      </c>
      <c r="N4134">
        <v>0</v>
      </c>
      <c r="O4134">
        <v>0</v>
      </c>
      <c r="P4134">
        <v>2066027</v>
      </c>
      <c r="Q4134" t="s">
        <v>30</v>
      </c>
      <c r="R4134" t="s">
        <v>236</v>
      </c>
      <c r="S4134" t="str">
        <v>#N/A</v>
      </c>
      <c r="T4134" t="str">
        <v>#N/A</v>
      </c>
    </row>
    <row r="4135" spans="1:20" ht="13.7" customHeight="1" x14ac:dyDescent="0.25">
      <c r="A4135" t="s">
        <v>26</v>
      </c>
      <c r="B4135" t="s">
        <v>27</v>
      </c>
      <c r="C4135" t="s">
        <v>91</v>
      </c>
      <c r="D4135">
        <v>80</v>
      </c>
      <c r="E4135" s="5">
        <v>43547</v>
      </c>
      <c r="F4135">
        <v>73051506</v>
      </c>
      <c r="G4135" t="s">
        <v>1069</v>
      </c>
      <c r="H4135" t="s">
        <v>1153</v>
      </c>
      <c r="I4135" t="s">
        <v>1154</v>
      </c>
      <c r="J4135">
        <v>1001</v>
      </c>
      <c r="K4135">
        <v>5001</v>
      </c>
      <c r="L4135" s="3">
        <v>2066027</v>
      </c>
      <c r="M4135" s="3">
        <v>65228</v>
      </c>
      <c r="N4135">
        <v>0</v>
      </c>
      <c r="O4135">
        <v>0</v>
      </c>
      <c r="P4135">
        <v>2131255</v>
      </c>
      <c r="Q4135" t="s">
        <v>30</v>
      </c>
      <c r="R4135" t="s">
        <v>244</v>
      </c>
      <c r="S4135" t="str">
        <v>#N/A</v>
      </c>
      <c r="T4135" t="str">
        <v>#N/A</v>
      </c>
    </row>
    <row r="4136" spans="1:20" ht="13.7" customHeight="1" x14ac:dyDescent="0.25">
      <c r="A4136" t="s">
        <v>26</v>
      </c>
      <c r="B4136" t="s">
        <v>27</v>
      </c>
      <c r="C4136" t="s">
        <v>34</v>
      </c>
      <c r="D4136">
        <v>71</v>
      </c>
      <c r="E4136" s="5">
        <v>43561</v>
      </c>
      <c r="F4136">
        <v>73051506</v>
      </c>
      <c r="G4136" t="s">
        <v>1069</v>
      </c>
      <c r="H4136" t="s">
        <v>1153</v>
      </c>
      <c r="I4136" t="s">
        <v>1154</v>
      </c>
      <c r="J4136">
        <v>1001</v>
      </c>
      <c r="K4136">
        <v>5001</v>
      </c>
      <c r="L4136" s="3">
        <v>2131255</v>
      </c>
      <c r="M4136" s="3">
        <v>100183</v>
      </c>
      <c r="N4136">
        <v>0</v>
      </c>
      <c r="O4136">
        <v>0</v>
      </c>
      <c r="P4136">
        <v>2231438</v>
      </c>
      <c r="Q4136" t="s">
        <v>30</v>
      </c>
      <c r="R4136" t="s">
        <v>244</v>
      </c>
      <c r="S4136" t="str">
        <v>#N/A</v>
      </c>
      <c r="T4136" t="str">
        <v>#N/A</v>
      </c>
    </row>
    <row r="4137" spans="1:20" ht="13.7" customHeight="1" x14ac:dyDescent="0.25">
      <c r="A4137" t="s">
        <v>26</v>
      </c>
      <c r="B4137" t="s">
        <v>27</v>
      </c>
      <c r="C4137" t="s">
        <v>34</v>
      </c>
      <c r="D4137">
        <v>72</v>
      </c>
      <c r="E4137" s="5">
        <v>43575</v>
      </c>
      <c r="F4137">
        <v>73051506</v>
      </c>
      <c r="G4137" t="s">
        <v>1069</v>
      </c>
      <c r="H4137" t="s">
        <v>1153</v>
      </c>
      <c r="I4137" t="s">
        <v>1154</v>
      </c>
      <c r="J4137">
        <v>1001</v>
      </c>
      <c r="K4137">
        <v>5001</v>
      </c>
      <c r="L4137" s="3">
        <v>2231438</v>
      </c>
      <c r="M4137" s="3">
        <v>105725</v>
      </c>
      <c r="N4137">
        <v>0</v>
      </c>
      <c r="O4137">
        <v>0</v>
      </c>
      <c r="P4137">
        <v>2337163</v>
      </c>
      <c r="Q4137" t="s">
        <v>30</v>
      </c>
      <c r="R4137" t="s">
        <v>254</v>
      </c>
      <c r="S4137" t="str">
        <v>#N/A</v>
      </c>
      <c r="T4137" t="str">
        <v>#N/A</v>
      </c>
    </row>
    <row r="4138" spans="1:20" ht="13.7" customHeight="1" x14ac:dyDescent="0.25">
      <c r="A4138" t="s">
        <v>26</v>
      </c>
      <c r="B4138" t="s">
        <v>27</v>
      </c>
      <c r="C4138" t="s">
        <v>35</v>
      </c>
      <c r="D4138">
        <v>97</v>
      </c>
      <c r="E4138" s="5">
        <v>43589</v>
      </c>
      <c r="F4138">
        <v>73051506</v>
      </c>
      <c r="G4138" t="s">
        <v>1069</v>
      </c>
      <c r="H4138" t="s">
        <v>1153</v>
      </c>
      <c r="I4138" t="s">
        <v>1154</v>
      </c>
      <c r="J4138">
        <v>1001</v>
      </c>
      <c r="K4138">
        <v>5001</v>
      </c>
      <c r="L4138" s="3">
        <v>2337163</v>
      </c>
      <c r="M4138" s="3">
        <v>95293</v>
      </c>
      <c r="N4138">
        <v>0</v>
      </c>
      <c r="O4138">
        <v>0</v>
      </c>
      <c r="P4138">
        <v>2432456</v>
      </c>
      <c r="Q4138" t="s">
        <v>30</v>
      </c>
      <c r="R4138" t="s">
        <v>256</v>
      </c>
      <c r="S4138" t="str">
        <v>#N/A</v>
      </c>
      <c r="T4138" t="str">
        <v>#N/A</v>
      </c>
    </row>
    <row r="4139" spans="1:20" ht="13.7" customHeight="1" x14ac:dyDescent="0.25">
      <c r="A4139" t="s">
        <v>26</v>
      </c>
      <c r="B4139" t="s">
        <v>27</v>
      </c>
      <c r="C4139" t="s">
        <v>35</v>
      </c>
      <c r="D4139">
        <v>98</v>
      </c>
      <c r="E4139" s="5">
        <v>43603</v>
      </c>
      <c r="F4139">
        <v>73051506</v>
      </c>
      <c r="G4139" t="s">
        <v>1069</v>
      </c>
      <c r="H4139" t="s">
        <v>1153</v>
      </c>
      <c r="I4139" t="s">
        <v>1154</v>
      </c>
      <c r="J4139">
        <v>1001</v>
      </c>
      <c r="K4139">
        <v>5001</v>
      </c>
      <c r="L4139" s="3">
        <v>2432456</v>
      </c>
      <c r="M4139" s="3">
        <v>69262</v>
      </c>
      <c r="N4139">
        <v>0</v>
      </c>
      <c r="O4139">
        <v>0</v>
      </c>
      <c r="P4139">
        <v>2501718</v>
      </c>
      <c r="Q4139" t="s">
        <v>30</v>
      </c>
      <c r="R4139" t="s">
        <v>261</v>
      </c>
      <c r="S4139" t="str">
        <v>#N/A</v>
      </c>
      <c r="T4139" t="str">
        <v>#N/A</v>
      </c>
    </row>
    <row r="4140" spans="1:20" ht="13.7" customHeight="1" x14ac:dyDescent="0.25">
      <c r="A4140" t="s">
        <v>26</v>
      </c>
      <c r="B4140" t="s">
        <v>27</v>
      </c>
      <c r="C4140" t="s">
        <v>36</v>
      </c>
      <c r="D4140">
        <v>70</v>
      </c>
      <c r="E4140" s="5">
        <v>43617</v>
      </c>
      <c r="F4140">
        <v>73051506</v>
      </c>
      <c r="G4140" t="s">
        <v>1069</v>
      </c>
      <c r="H4140" t="s">
        <v>1153</v>
      </c>
      <c r="I4140" t="s">
        <v>1154</v>
      </c>
      <c r="J4140">
        <v>1001</v>
      </c>
      <c r="K4140">
        <v>5001</v>
      </c>
      <c r="L4140" s="3">
        <v>2501718</v>
      </c>
      <c r="M4140" s="3">
        <v>65985</v>
      </c>
      <c r="N4140">
        <v>0</v>
      </c>
      <c r="O4140">
        <v>0</v>
      </c>
      <c r="P4140">
        <v>2567703</v>
      </c>
      <c r="Q4140" t="s">
        <v>30</v>
      </c>
      <c r="R4140" t="s">
        <v>264</v>
      </c>
      <c r="S4140" t="str">
        <v>#N/A</v>
      </c>
      <c r="T4140" t="str">
        <v>#N/A</v>
      </c>
    </row>
    <row r="4141" spans="1:20" ht="13.7" customHeight="1" x14ac:dyDescent="0.25">
      <c r="A4141" t="s">
        <v>26</v>
      </c>
      <c r="B4141" t="s">
        <v>27</v>
      </c>
      <c r="C4141" t="s">
        <v>36</v>
      </c>
      <c r="D4141">
        <v>71</v>
      </c>
      <c r="E4141" s="5">
        <v>43631</v>
      </c>
      <c r="F4141">
        <v>73051506</v>
      </c>
      <c r="G4141" t="s">
        <v>1069</v>
      </c>
      <c r="H4141" t="s">
        <v>1153</v>
      </c>
      <c r="I4141" t="s">
        <v>1154</v>
      </c>
      <c r="J4141">
        <v>1001</v>
      </c>
      <c r="K4141">
        <v>5001</v>
      </c>
      <c r="L4141" s="3">
        <v>2567703</v>
      </c>
      <c r="M4141" s="3">
        <v>87755</v>
      </c>
      <c r="N4141">
        <v>0</v>
      </c>
      <c r="O4141">
        <v>0</v>
      </c>
      <c r="P4141">
        <v>2655458</v>
      </c>
      <c r="Q4141" t="s">
        <v>30</v>
      </c>
      <c r="R4141" t="s">
        <v>270</v>
      </c>
      <c r="S4141" t="str">
        <v>#N/A</v>
      </c>
      <c r="T4141" t="str">
        <v>#N/A</v>
      </c>
    </row>
    <row r="4142" spans="1:20" ht="13.7" customHeight="1" x14ac:dyDescent="0.25">
      <c r="A4142" t="s">
        <v>26</v>
      </c>
      <c r="B4142" t="s">
        <v>27</v>
      </c>
      <c r="C4142" t="s">
        <v>36</v>
      </c>
      <c r="D4142">
        <v>73</v>
      </c>
      <c r="E4142" s="5">
        <v>43642</v>
      </c>
      <c r="F4142">
        <v>73051506</v>
      </c>
      <c r="G4142" t="s">
        <v>1069</v>
      </c>
      <c r="H4142" t="s">
        <v>1153</v>
      </c>
      <c r="I4142" t="s">
        <v>1154</v>
      </c>
      <c r="J4142">
        <v>1001</v>
      </c>
      <c r="K4142">
        <v>5001</v>
      </c>
      <c r="L4142" s="3">
        <v>2655458</v>
      </c>
      <c r="M4142" s="3">
        <v>88435</v>
      </c>
      <c r="N4142">
        <v>0</v>
      </c>
      <c r="O4142">
        <v>0</v>
      </c>
      <c r="P4142">
        <v>2743893</v>
      </c>
      <c r="Q4142" t="s">
        <v>30</v>
      </c>
      <c r="R4142" t="s">
        <v>274</v>
      </c>
      <c r="S4142" t="str">
        <v>#N/A</v>
      </c>
      <c r="T4142" t="str">
        <v>#N/A</v>
      </c>
    </row>
    <row r="4143" spans="1:20" ht="13.7" customHeight="1" x14ac:dyDescent="0.25">
      <c r="A4143" t="s">
        <v>26</v>
      </c>
      <c r="B4143" t="s">
        <v>27</v>
      </c>
      <c r="C4143" t="s">
        <v>37</v>
      </c>
      <c r="D4143">
        <v>66</v>
      </c>
      <c r="E4143" s="5">
        <v>43659</v>
      </c>
      <c r="F4143">
        <v>73051506</v>
      </c>
      <c r="G4143" t="s">
        <v>1069</v>
      </c>
      <c r="H4143" t="s">
        <v>1153</v>
      </c>
      <c r="I4143" t="s">
        <v>1154</v>
      </c>
      <c r="J4143">
        <v>1001</v>
      </c>
      <c r="K4143">
        <v>5001</v>
      </c>
      <c r="L4143" s="3">
        <v>2743893</v>
      </c>
      <c r="M4143" s="3">
        <v>98873</v>
      </c>
      <c r="N4143">
        <v>0</v>
      </c>
      <c r="O4143">
        <v>0</v>
      </c>
      <c r="P4143">
        <v>2842766</v>
      </c>
      <c r="Q4143" t="s">
        <v>30</v>
      </c>
      <c r="R4143" t="s">
        <v>279</v>
      </c>
      <c r="S4143" t="str">
        <v>#N/A</v>
      </c>
      <c r="T4143" t="str">
        <v>#N/A</v>
      </c>
    </row>
    <row r="4144" spans="1:20" ht="13.7" customHeight="1" x14ac:dyDescent="0.25">
      <c r="A4144" t="s">
        <v>26</v>
      </c>
      <c r="B4144" t="s">
        <v>27</v>
      </c>
      <c r="C4144" t="s">
        <v>37</v>
      </c>
      <c r="D4144">
        <v>67</v>
      </c>
      <c r="E4144" s="5">
        <v>43673</v>
      </c>
      <c r="F4144">
        <v>73051506</v>
      </c>
      <c r="G4144" t="s">
        <v>1069</v>
      </c>
      <c r="H4144" t="s">
        <v>1153</v>
      </c>
      <c r="I4144" t="s">
        <v>1154</v>
      </c>
      <c r="J4144">
        <v>1001</v>
      </c>
      <c r="K4144">
        <v>5001</v>
      </c>
      <c r="L4144" s="3">
        <v>2842766</v>
      </c>
      <c r="M4144" s="3">
        <v>94208</v>
      </c>
      <c r="N4144">
        <v>0</v>
      </c>
      <c r="O4144">
        <v>0</v>
      </c>
      <c r="P4144">
        <v>2936974</v>
      </c>
      <c r="Q4144" t="s">
        <v>30</v>
      </c>
      <c r="R4144" t="s">
        <v>282</v>
      </c>
      <c r="S4144" t="str">
        <v>#N/A</v>
      </c>
      <c r="T4144" t="str">
        <v>#N/A</v>
      </c>
    </row>
    <row r="4145" spans="1:20" ht="13.7" customHeight="1" x14ac:dyDescent="0.25">
      <c r="A4145" t="s">
        <v>26</v>
      </c>
      <c r="B4145" t="s">
        <v>27</v>
      </c>
      <c r="C4145" t="s">
        <v>38</v>
      </c>
      <c r="D4145">
        <v>56</v>
      </c>
      <c r="E4145" s="5">
        <v>43687</v>
      </c>
      <c r="F4145">
        <v>73051506</v>
      </c>
      <c r="G4145" t="s">
        <v>1069</v>
      </c>
      <c r="H4145" t="s">
        <v>1153</v>
      </c>
      <c r="I4145" t="s">
        <v>1154</v>
      </c>
      <c r="J4145">
        <v>1001</v>
      </c>
      <c r="K4145">
        <v>5001</v>
      </c>
      <c r="L4145" s="3">
        <v>2936974</v>
      </c>
      <c r="M4145" s="3">
        <v>98457</v>
      </c>
      <c r="N4145">
        <v>0</v>
      </c>
      <c r="O4145">
        <v>0</v>
      </c>
      <c r="P4145">
        <v>3035431</v>
      </c>
      <c r="Q4145" t="s">
        <v>30</v>
      </c>
      <c r="R4145" t="s">
        <v>284</v>
      </c>
      <c r="S4145" t="str">
        <v>#N/A</v>
      </c>
      <c r="T4145" t="str">
        <v>#N/A</v>
      </c>
    </row>
    <row r="4146" spans="1:20" ht="13.7" customHeight="1" x14ac:dyDescent="0.25">
      <c r="A4146" t="s">
        <v>26</v>
      </c>
      <c r="B4146" t="s">
        <v>27</v>
      </c>
      <c r="C4146" t="s">
        <v>38</v>
      </c>
      <c r="D4146">
        <v>57</v>
      </c>
      <c r="E4146" s="5">
        <v>43701</v>
      </c>
      <c r="F4146">
        <v>73051506</v>
      </c>
      <c r="G4146" t="s">
        <v>1069</v>
      </c>
      <c r="H4146" t="s">
        <v>1153</v>
      </c>
      <c r="I4146" t="s">
        <v>1154</v>
      </c>
      <c r="J4146">
        <v>1001</v>
      </c>
      <c r="K4146">
        <v>5001</v>
      </c>
      <c r="L4146" s="3">
        <v>3035431</v>
      </c>
      <c r="M4146" s="3">
        <v>97625</v>
      </c>
      <c r="N4146">
        <v>0</v>
      </c>
      <c r="O4146">
        <v>0</v>
      </c>
      <c r="P4146">
        <v>3133056</v>
      </c>
      <c r="Q4146" t="s">
        <v>30</v>
      </c>
      <c r="R4146" t="s">
        <v>287</v>
      </c>
      <c r="S4146" t="str">
        <v>#N/A</v>
      </c>
      <c r="T4146" t="str">
        <v>#N/A</v>
      </c>
    </row>
    <row r="4147" spans="1:20" ht="13.7" customHeight="1" x14ac:dyDescent="0.25">
      <c r="A4147" t="s">
        <v>26</v>
      </c>
      <c r="B4147" t="s">
        <v>27</v>
      </c>
      <c r="C4147" t="s">
        <v>39</v>
      </c>
      <c r="D4147">
        <v>68</v>
      </c>
      <c r="E4147" s="5">
        <v>43715</v>
      </c>
      <c r="F4147">
        <v>73051506</v>
      </c>
      <c r="G4147" t="s">
        <v>1069</v>
      </c>
      <c r="H4147" t="s">
        <v>1153</v>
      </c>
      <c r="I4147" t="s">
        <v>1154</v>
      </c>
      <c r="J4147">
        <v>1001</v>
      </c>
      <c r="K4147">
        <v>5001</v>
      </c>
      <c r="L4147" s="3">
        <v>3133056</v>
      </c>
      <c r="M4147" s="3">
        <v>52803</v>
      </c>
      <c r="N4147">
        <v>0</v>
      </c>
      <c r="O4147">
        <v>0</v>
      </c>
      <c r="P4147">
        <v>3185859</v>
      </c>
      <c r="Q4147" t="s">
        <v>30</v>
      </c>
      <c r="R4147" t="s">
        <v>288</v>
      </c>
      <c r="S4147" t="str">
        <v>#N/A</v>
      </c>
      <c r="T4147" t="str">
        <v>#N/A</v>
      </c>
    </row>
    <row r="4148" spans="1:20" ht="13.7" customHeight="1" x14ac:dyDescent="0.25">
      <c r="A4148" t="s">
        <v>26</v>
      </c>
      <c r="B4148" t="s">
        <v>27</v>
      </c>
      <c r="C4148" t="s">
        <v>39</v>
      </c>
      <c r="D4148">
        <v>69</v>
      </c>
      <c r="E4148" s="5">
        <v>43729</v>
      </c>
      <c r="F4148">
        <v>73051506</v>
      </c>
      <c r="G4148" t="s">
        <v>1069</v>
      </c>
      <c r="H4148" t="s">
        <v>1153</v>
      </c>
      <c r="I4148" t="s">
        <v>1154</v>
      </c>
      <c r="J4148">
        <v>1001</v>
      </c>
      <c r="K4148">
        <v>5001</v>
      </c>
      <c r="L4148" s="3">
        <v>3185859</v>
      </c>
      <c r="M4148" s="3">
        <v>62125</v>
      </c>
      <c r="N4148">
        <v>0</v>
      </c>
      <c r="O4148">
        <v>0</v>
      </c>
      <c r="P4148">
        <v>3247984</v>
      </c>
      <c r="Q4148" t="s">
        <v>30</v>
      </c>
      <c r="R4148" t="s">
        <v>291</v>
      </c>
      <c r="S4148" t="str">
        <v>#N/A</v>
      </c>
      <c r="T4148" t="str">
        <v>#N/A</v>
      </c>
    </row>
    <row r="4149" spans="1:20" ht="13.7" customHeight="1" x14ac:dyDescent="0.25">
      <c r="A4149" t="s">
        <v>26</v>
      </c>
      <c r="B4149" t="s">
        <v>27</v>
      </c>
      <c r="C4149" t="s">
        <v>40</v>
      </c>
      <c r="D4149">
        <v>61</v>
      </c>
      <c r="E4149" s="5">
        <v>43743</v>
      </c>
      <c r="F4149">
        <v>73051506</v>
      </c>
      <c r="G4149" t="s">
        <v>1069</v>
      </c>
      <c r="H4149" t="s">
        <v>1153</v>
      </c>
      <c r="I4149" t="s">
        <v>1154</v>
      </c>
      <c r="J4149">
        <v>1001</v>
      </c>
      <c r="K4149">
        <v>5001</v>
      </c>
      <c r="L4149" s="3">
        <v>3247984</v>
      </c>
      <c r="M4149" s="3">
        <v>55654</v>
      </c>
      <c r="N4149">
        <v>0</v>
      </c>
      <c r="O4149">
        <v>0</v>
      </c>
      <c r="P4149">
        <v>3303638</v>
      </c>
      <c r="Q4149" t="s">
        <v>30</v>
      </c>
      <c r="R4149" t="s">
        <v>293</v>
      </c>
      <c r="S4149" t="str">
        <v>#N/A</v>
      </c>
      <c r="T4149" t="str">
        <v>#N/A</v>
      </c>
    </row>
    <row r="4150" spans="1:20" ht="13.7" customHeight="1" x14ac:dyDescent="0.25">
      <c r="A4150" t="s">
        <v>26</v>
      </c>
      <c r="B4150" t="s">
        <v>27</v>
      </c>
      <c r="C4150" t="s">
        <v>40</v>
      </c>
      <c r="D4150">
        <v>62</v>
      </c>
      <c r="E4150" s="5">
        <v>43757</v>
      </c>
      <c r="F4150">
        <v>73051506</v>
      </c>
      <c r="G4150" t="s">
        <v>1069</v>
      </c>
      <c r="H4150" t="s">
        <v>1153</v>
      </c>
      <c r="I4150" t="s">
        <v>1154</v>
      </c>
      <c r="J4150">
        <v>1001</v>
      </c>
      <c r="K4150">
        <v>5001</v>
      </c>
      <c r="L4150" s="3">
        <v>3303638</v>
      </c>
      <c r="M4150" s="3">
        <v>98158</v>
      </c>
      <c r="N4150">
        <v>0</v>
      </c>
      <c r="O4150">
        <v>0</v>
      </c>
      <c r="P4150">
        <v>3401796</v>
      </c>
      <c r="Q4150" t="s">
        <v>30</v>
      </c>
      <c r="R4150" t="s">
        <v>299</v>
      </c>
      <c r="S4150" t="str">
        <v>#N/A</v>
      </c>
      <c r="T4150" t="str">
        <v>#N/A</v>
      </c>
    </row>
    <row r="4151" spans="1:20" ht="13.7" customHeight="1" x14ac:dyDescent="0.25">
      <c r="A4151" t="s">
        <v>26</v>
      </c>
      <c r="B4151" t="s">
        <v>27</v>
      </c>
      <c r="C4151" t="s">
        <v>41</v>
      </c>
      <c r="D4151">
        <v>76</v>
      </c>
      <c r="E4151" s="5">
        <v>43771</v>
      </c>
      <c r="F4151">
        <v>73051506</v>
      </c>
      <c r="G4151" t="s">
        <v>1069</v>
      </c>
      <c r="H4151" t="s">
        <v>1153</v>
      </c>
      <c r="I4151" t="s">
        <v>1154</v>
      </c>
      <c r="J4151">
        <v>1001</v>
      </c>
      <c r="K4151">
        <v>5001</v>
      </c>
      <c r="L4151" s="3">
        <v>3401796</v>
      </c>
      <c r="M4151" s="3">
        <v>64128</v>
      </c>
      <c r="N4151">
        <v>0</v>
      </c>
      <c r="O4151">
        <v>0</v>
      </c>
      <c r="P4151">
        <v>3465924</v>
      </c>
      <c r="Q4151" t="s">
        <v>30</v>
      </c>
      <c r="R4151" t="s">
        <v>301</v>
      </c>
      <c r="S4151" t="str">
        <v>#N/A</v>
      </c>
      <c r="T4151" t="str">
        <v>#N/A</v>
      </c>
    </row>
    <row r="4152" spans="1:20" ht="13.7" customHeight="1" x14ac:dyDescent="0.25">
      <c r="A4152" t="s">
        <v>26</v>
      </c>
      <c r="B4152" t="s">
        <v>27</v>
      </c>
      <c r="C4152" t="s">
        <v>41</v>
      </c>
      <c r="D4152">
        <v>77</v>
      </c>
      <c r="E4152" s="5">
        <v>43785</v>
      </c>
      <c r="F4152">
        <v>73051506</v>
      </c>
      <c r="G4152" t="s">
        <v>1069</v>
      </c>
      <c r="H4152" t="s">
        <v>1153</v>
      </c>
      <c r="I4152" t="s">
        <v>1154</v>
      </c>
      <c r="J4152">
        <v>1001</v>
      </c>
      <c r="K4152">
        <v>5001</v>
      </c>
      <c r="L4152" s="3">
        <v>3465924</v>
      </c>
      <c r="M4152" s="3">
        <v>137473</v>
      </c>
      <c r="N4152">
        <v>0</v>
      </c>
      <c r="O4152">
        <v>0</v>
      </c>
      <c r="P4152">
        <v>3603397</v>
      </c>
      <c r="Q4152" t="s">
        <v>30</v>
      </c>
      <c r="R4152" t="s">
        <v>305</v>
      </c>
      <c r="S4152" t="str">
        <v>#N/A</v>
      </c>
      <c r="T4152" t="str">
        <v>#N/A</v>
      </c>
    </row>
    <row r="4153" spans="1:20" ht="13.7" customHeight="1" x14ac:dyDescent="0.25">
      <c r="A4153" t="s">
        <v>26</v>
      </c>
      <c r="B4153" t="s">
        <v>27</v>
      </c>
      <c r="C4153" t="s">
        <v>41</v>
      </c>
      <c r="D4153">
        <v>78</v>
      </c>
      <c r="E4153" s="5">
        <v>43799</v>
      </c>
      <c r="F4153">
        <v>73051506</v>
      </c>
      <c r="G4153" t="s">
        <v>1069</v>
      </c>
      <c r="H4153" t="s">
        <v>1153</v>
      </c>
      <c r="I4153" t="s">
        <v>1154</v>
      </c>
      <c r="J4153">
        <v>1001</v>
      </c>
      <c r="K4153">
        <v>5001</v>
      </c>
      <c r="L4153" s="3">
        <v>3603397</v>
      </c>
      <c r="M4153" s="3">
        <v>58762</v>
      </c>
      <c r="N4153">
        <v>0</v>
      </c>
      <c r="O4153">
        <v>0</v>
      </c>
      <c r="P4153">
        <v>3662159</v>
      </c>
      <c r="Q4153" t="s">
        <v>30</v>
      </c>
      <c r="R4153" t="s">
        <v>309</v>
      </c>
      <c r="S4153" t="str">
        <v>#N/A</v>
      </c>
      <c r="T4153" t="str">
        <v>#N/A</v>
      </c>
    </row>
    <row r="4154" spans="1:20" ht="13.7" customHeight="1" x14ac:dyDescent="0.25">
      <c r="A4154" t="s">
        <v>26</v>
      </c>
      <c r="B4154" t="s">
        <v>27</v>
      </c>
      <c r="C4154" t="s">
        <v>180</v>
      </c>
      <c r="D4154">
        <v>1</v>
      </c>
      <c r="E4154" s="5">
        <v>43813</v>
      </c>
      <c r="F4154">
        <v>73051506</v>
      </c>
      <c r="G4154" t="s">
        <v>1069</v>
      </c>
      <c r="H4154" t="s">
        <v>1153</v>
      </c>
      <c r="I4154" t="s">
        <v>1154</v>
      </c>
      <c r="J4154">
        <v>1001</v>
      </c>
      <c r="K4154">
        <v>5001</v>
      </c>
      <c r="L4154" s="3">
        <v>3662159</v>
      </c>
      <c r="M4154" s="3">
        <v>57636</v>
      </c>
      <c r="N4154">
        <v>0</v>
      </c>
      <c r="O4154">
        <v>0</v>
      </c>
      <c r="P4154">
        <v>3719795</v>
      </c>
      <c r="Q4154" t="s">
        <v>30</v>
      </c>
      <c r="R4154" t="s">
        <v>316</v>
      </c>
      <c r="S4154" t="str">
        <v>#N/A</v>
      </c>
      <c r="T4154" t="str">
        <v>#N/A</v>
      </c>
    </row>
    <row r="4155" spans="1:20" ht="13.7" customHeight="1" x14ac:dyDescent="0.25">
      <c r="A4155" t="s">
        <v>26</v>
      </c>
      <c r="B4155" t="s">
        <v>27</v>
      </c>
      <c r="C4155" t="s">
        <v>180</v>
      </c>
      <c r="D4155">
        <v>90</v>
      </c>
      <c r="E4155" s="5">
        <v>43819</v>
      </c>
      <c r="F4155">
        <v>73051506</v>
      </c>
      <c r="G4155" t="s">
        <v>1069</v>
      </c>
      <c r="H4155" t="s">
        <v>1153</v>
      </c>
      <c r="I4155" t="s">
        <v>1154</v>
      </c>
      <c r="J4155" t="e">
        <v>#N/A</v>
      </c>
      <c r="K4155" t="e">
        <v>#N/A</v>
      </c>
      <c r="L4155" s="3">
        <v>3719795</v>
      </c>
      <c r="M4155" s="3">
        <v>25783</v>
      </c>
      <c r="N4155">
        <v>0</v>
      </c>
      <c r="O4155">
        <v>0</v>
      </c>
      <c r="P4155">
        <v>3745578</v>
      </c>
      <c r="Q4155" t="s">
        <v>30</v>
      </c>
      <c r="R4155" t="s">
        <v>1503</v>
      </c>
      <c r="S4155" t="str">
        <v>#N/A</v>
      </c>
      <c r="T4155" t="str">
        <v>#N/A</v>
      </c>
    </row>
    <row r="4156" spans="1:20" ht="13.7" customHeight="1" x14ac:dyDescent="0.25">
      <c r="E4156" s="5">
        <v>43465</v>
      </c>
      <c r="F4156">
        <v>73051802</v>
      </c>
      <c r="G4156" t="s">
        <v>1390</v>
      </c>
      <c r="H4156" t="s">
        <v>1169</v>
      </c>
      <c r="I4156" t="s">
        <v>1170</v>
      </c>
      <c r="J4156">
        <v>0</v>
      </c>
      <c r="K4156">
        <v>0</v>
      </c>
      <c r="L4156" s="3">
        <v>107345</v>
      </c>
      <c r="M4156" s="3">
        <v>0</v>
      </c>
      <c r="N4156">
        <v>0</v>
      </c>
      <c r="O4156">
        <v>0</v>
      </c>
      <c r="P4156">
        <v>107345</v>
      </c>
      <c r="R4156" t="s">
        <v>1100</v>
      </c>
      <c r="S4156" t="str">
        <v>#N/A</v>
      </c>
      <c r="T4156" t="str">
        <v>13</v>
      </c>
    </row>
    <row r="4157" spans="1:20" ht="13.7" customHeight="1" x14ac:dyDescent="0.25">
      <c r="E4157" s="5">
        <v>43465</v>
      </c>
      <c r="F4157">
        <v>73051802</v>
      </c>
      <c r="G4157" t="s">
        <v>1390</v>
      </c>
      <c r="H4157" t="s">
        <v>1153</v>
      </c>
      <c r="I4157" t="s">
        <v>1154</v>
      </c>
      <c r="J4157">
        <v>0</v>
      </c>
      <c r="K4157">
        <v>0</v>
      </c>
      <c r="L4157" s="3">
        <v>111192</v>
      </c>
      <c r="M4157" s="3">
        <v>0</v>
      </c>
      <c r="N4157">
        <v>0</v>
      </c>
      <c r="O4157">
        <v>0</v>
      </c>
      <c r="P4157">
        <v>111192</v>
      </c>
      <c r="R4157" t="s">
        <v>1100</v>
      </c>
      <c r="S4157" t="str">
        <v>#N/A</v>
      </c>
      <c r="T4157" t="str">
        <v>#N/A</v>
      </c>
    </row>
    <row r="4158" spans="1:20" ht="13.7" customHeight="1" x14ac:dyDescent="0.25">
      <c r="E4158" s="5">
        <v>43465</v>
      </c>
      <c r="F4158">
        <v>73052401</v>
      </c>
      <c r="G4158" t="s">
        <v>1070</v>
      </c>
      <c r="H4158" t="s">
        <v>1151</v>
      </c>
      <c r="I4158" t="s">
        <v>1152</v>
      </c>
      <c r="J4158">
        <v>0</v>
      </c>
      <c r="K4158">
        <v>0</v>
      </c>
      <c r="L4158" s="3">
        <v>0</v>
      </c>
      <c r="M4158" s="3">
        <v>0</v>
      </c>
      <c r="N4158">
        <v>0</v>
      </c>
      <c r="O4158">
        <v>0</v>
      </c>
      <c r="P4158">
        <v>0</v>
      </c>
      <c r="R4158" t="s">
        <v>1100</v>
      </c>
      <c r="S4158" t="str">
        <v>#N/A</v>
      </c>
      <c r="T4158" t="str">
        <v>#N/A</v>
      </c>
    </row>
    <row r="4159" spans="1:20" ht="13.7" customHeight="1" x14ac:dyDescent="0.25">
      <c r="A4159" t="s">
        <v>26</v>
      </c>
      <c r="B4159" t="s">
        <v>27</v>
      </c>
      <c r="C4159" t="s">
        <v>36</v>
      </c>
      <c r="D4159">
        <v>73</v>
      </c>
      <c r="E4159" s="5">
        <v>43642</v>
      </c>
      <c r="F4159">
        <v>73052401</v>
      </c>
      <c r="G4159" t="s">
        <v>1070</v>
      </c>
      <c r="H4159" t="s">
        <v>1151</v>
      </c>
      <c r="I4159" t="s">
        <v>1152</v>
      </c>
      <c r="J4159">
        <v>1001</v>
      </c>
      <c r="K4159">
        <v>5001</v>
      </c>
      <c r="L4159" s="3">
        <v>0</v>
      </c>
      <c r="M4159" s="3">
        <v>27604</v>
      </c>
      <c r="N4159">
        <v>0</v>
      </c>
      <c r="O4159">
        <v>0</v>
      </c>
      <c r="P4159">
        <v>27604</v>
      </c>
      <c r="Q4159" t="s">
        <v>30</v>
      </c>
      <c r="R4159" t="s">
        <v>274</v>
      </c>
      <c r="S4159" t="str">
        <v>#N/A</v>
      </c>
      <c r="T4159" t="str">
        <v>#N/A</v>
      </c>
    </row>
    <row r="4160" spans="1:20" ht="13.7" customHeight="1" x14ac:dyDescent="0.25">
      <c r="E4160" s="5">
        <v>43465</v>
      </c>
      <c r="F4160">
        <v>73052401</v>
      </c>
      <c r="G4160" t="s">
        <v>1070</v>
      </c>
      <c r="H4160" t="s">
        <v>1149</v>
      </c>
      <c r="I4160" t="s">
        <v>1150</v>
      </c>
      <c r="J4160">
        <v>0</v>
      </c>
      <c r="K4160">
        <v>0</v>
      </c>
      <c r="L4160" s="3">
        <v>26041</v>
      </c>
      <c r="M4160" s="3">
        <v>0</v>
      </c>
      <c r="N4160">
        <v>0</v>
      </c>
      <c r="O4160">
        <v>0</v>
      </c>
      <c r="P4160">
        <v>26041</v>
      </c>
      <c r="R4160" t="s">
        <v>1100</v>
      </c>
      <c r="S4160" t="str">
        <v>#N/A</v>
      </c>
      <c r="T4160" t="str">
        <v>13</v>
      </c>
    </row>
    <row r="4161" spans="1:20" ht="13.7" customHeight="1" x14ac:dyDescent="0.25">
      <c r="A4161" t="s">
        <v>26</v>
      </c>
      <c r="B4161" t="s">
        <v>27</v>
      </c>
      <c r="C4161" t="s">
        <v>41</v>
      </c>
      <c r="D4161">
        <v>76</v>
      </c>
      <c r="E4161" s="5">
        <v>43771</v>
      </c>
      <c r="F4161">
        <v>73052401</v>
      </c>
      <c r="G4161" t="s">
        <v>1070</v>
      </c>
      <c r="H4161" t="s">
        <v>1149</v>
      </c>
      <c r="I4161" t="s">
        <v>1150</v>
      </c>
      <c r="J4161">
        <v>1001</v>
      </c>
      <c r="K4161">
        <v>5001</v>
      </c>
      <c r="L4161" s="3">
        <v>26041</v>
      </c>
      <c r="M4161" s="3">
        <v>55208</v>
      </c>
      <c r="N4161">
        <v>0</v>
      </c>
      <c r="O4161">
        <v>0</v>
      </c>
      <c r="P4161">
        <v>81249</v>
      </c>
      <c r="Q4161" t="s">
        <v>30</v>
      </c>
      <c r="R4161" t="s">
        <v>301</v>
      </c>
      <c r="S4161" t="str">
        <v>#N/A</v>
      </c>
      <c r="T4161" t="str">
        <v>13</v>
      </c>
    </row>
    <row r="4162" spans="1:20" ht="13.7" customHeight="1" x14ac:dyDescent="0.25">
      <c r="E4162" s="5">
        <v>43465</v>
      </c>
      <c r="F4162">
        <v>73052701</v>
      </c>
      <c r="G4162" t="s">
        <v>1071</v>
      </c>
      <c r="H4162" t="s">
        <v>1147</v>
      </c>
      <c r="I4162" t="s">
        <v>1148</v>
      </c>
      <c r="J4162">
        <v>0</v>
      </c>
      <c r="K4162">
        <v>0</v>
      </c>
      <c r="L4162" s="3">
        <v>0</v>
      </c>
      <c r="M4162" s="3">
        <v>0</v>
      </c>
      <c r="N4162">
        <v>0</v>
      </c>
      <c r="O4162">
        <v>0</v>
      </c>
      <c r="P4162">
        <v>0</v>
      </c>
      <c r="R4162" t="s">
        <v>1100</v>
      </c>
      <c r="S4162" t="str">
        <v>#N/A</v>
      </c>
      <c r="T4162" t="str">
        <v>#N/A</v>
      </c>
    </row>
    <row r="4163" spans="1:20" ht="13.7" customHeight="1" x14ac:dyDescent="0.25">
      <c r="A4163" t="s">
        <v>26</v>
      </c>
      <c r="B4163" t="s">
        <v>27</v>
      </c>
      <c r="C4163" t="s">
        <v>35</v>
      </c>
      <c r="D4163">
        <v>98</v>
      </c>
      <c r="E4163" s="5">
        <v>43603</v>
      </c>
      <c r="F4163">
        <v>73052701</v>
      </c>
      <c r="G4163" t="s">
        <v>1071</v>
      </c>
      <c r="H4163" t="s">
        <v>1147</v>
      </c>
      <c r="I4163" t="s">
        <v>1148</v>
      </c>
      <c r="J4163">
        <v>1001</v>
      </c>
      <c r="K4163">
        <v>5001</v>
      </c>
      <c r="L4163" s="3">
        <v>0</v>
      </c>
      <c r="M4163" s="3">
        <v>45282</v>
      </c>
      <c r="N4163">
        <v>0</v>
      </c>
      <c r="O4163">
        <v>0</v>
      </c>
      <c r="P4163">
        <v>45282</v>
      </c>
      <c r="Q4163" t="s">
        <v>30</v>
      </c>
      <c r="R4163" t="s">
        <v>261</v>
      </c>
      <c r="S4163" t="str">
        <v>#N/A</v>
      </c>
      <c r="T4163" t="str">
        <v>#N/A</v>
      </c>
    </row>
    <row r="4164" spans="1:20" ht="13.7" customHeight="1" x14ac:dyDescent="0.25">
      <c r="A4164" t="s">
        <v>26</v>
      </c>
      <c r="B4164" t="s">
        <v>27</v>
      </c>
      <c r="C4164" t="s">
        <v>36</v>
      </c>
      <c r="D4164">
        <v>70</v>
      </c>
      <c r="E4164" s="5">
        <v>43617</v>
      </c>
      <c r="F4164">
        <v>73052701</v>
      </c>
      <c r="G4164" t="s">
        <v>1071</v>
      </c>
      <c r="H4164" t="s">
        <v>1147</v>
      </c>
      <c r="I4164" t="s">
        <v>1148</v>
      </c>
      <c r="J4164">
        <v>1001</v>
      </c>
      <c r="K4164">
        <v>5001</v>
      </c>
      <c r="L4164" s="3">
        <v>45282</v>
      </c>
      <c r="M4164" s="3">
        <v>45282</v>
      </c>
      <c r="N4164">
        <v>0</v>
      </c>
      <c r="O4164">
        <v>0</v>
      </c>
      <c r="P4164">
        <v>90564</v>
      </c>
      <c r="Q4164" t="s">
        <v>30</v>
      </c>
      <c r="R4164" t="s">
        <v>264</v>
      </c>
      <c r="S4164" t="str">
        <v>#N/A</v>
      </c>
      <c r="T4164" t="str">
        <v>#N/A</v>
      </c>
    </row>
    <row r="4165" spans="1:20" ht="13.7" customHeight="1" x14ac:dyDescent="0.25">
      <c r="A4165" t="s">
        <v>26</v>
      </c>
      <c r="B4165" t="s">
        <v>27</v>
      </c>
      <c r="C4165" t="s">
        <v>36</v>
      </c>
      <c r="D4165">
        <v>71</v>
      </c>
      <c r="E4165" s="5">
        <v>43631</v>
      </c>
      <c r="F4165">
        <v>73052701</v>
      </c>
      <c r="G4165" t="s">
        <v>1071</v>
      </c>
      <c r="H4165" t="s">
        <v>1147</v>
      </c>
      <c r="I4165" t="s">
        <v>1148</v>
      </c>
      <c r="J4165">
        <v>1001</v>
      </c>
      <c r="K4165">
        <v>5001</v>
      </c>
      <c r="L4165" s="3">
        <v>90564</v>
      </c>
      <c r="M4165" s="3">
        <v>45282</v>
      </c>
      <c r="N4165">
        <v>0</v>
      </c>
      <c r="O4165">
        <v>0</v>
      </c>
      <c r="P4165">
        <v>135846</v>
      </c>
      <c r="Q4165" t="s">
        <v>30</v>
      </c>
      <c r="R4165" t="s">
        <v>270</v>
      </c>
      <c r="S4165" t="str">
        <v>#N/A</v>
      </c>
      <c r="T4165" t="str">
        <v>#N/A</v>
      </c>
    </row>
    <row r="4166" spans="1:20" ht="13.7" customHeight="1" x14ac:dyDescent="0.25">
      <c r="A4166" t="s">
        <v>26</v>
      </c>
      <c r="B4166" t="s">
        <v>27</v>
      </c>
      <c r="C4166" t="s">
        <v>36</v>
      </c>
      <c r="D4166">
        <v>73</v>
      </c>
      <c r="E4166" s="5">
        <v>43642</v>
      </c>
      <c r="F4166">
        <v>73052701</v>
      </c>
      <c r="G4166" t="s">
        <v>1071</v>
      </c>
      <c r="H4166" t="s">
        <v>1147</v>
      </c>
      <c r="I4166" t="s">
        <v>1148</v>
      </c>
      <c r="J4166">
        <v>1001</v>
      </c>
      <c r="K4166">
        <v>5001</v>
      </c>
      <c r="L4166" s="3">
        <v>135846</v>
      </c>
      <c r="M4166" s="3">
        <v>45282</v>
      </c>
      <c r="N4166">
        <v>0</v>
      </c>
      <c r="O4166">
        <v>0</v>
      </c>
      <c r="P4166">
        <v>181128</v>
      </c>
      <c r="Q4166" t="s">
        <v>30</v>
      </c>
      <c r="R4166" t="s">
        <v>274</v>
      </c>
      <c r="S4166" t="str">
        <v>#N/A</v>
      </c>
      <c r="T4166" t="str">
        <v>#N/A</v>
      </c>
    </row>
    <row r="4167" spans="1:20" ht="13.7" customHeight="1" x14ac:dyDescent="0.25">
      <c r="A4167" t="s">
        <v>26</v>
      </c>
      <c r="B4167" t="s">
        <v>27</v>
      </c>
      <c r="C4167" t="s">
        <v>37</v>
      </c>
      <c r="D4167">
        <v>66</v>
      </c>
      <c r="E4167" s="5">
        <v>43659</v>
      </c>
      <c r="F4167">
        <v>73052701</v>
      </c>
      <c r="G4167" t="s">
        <v>1071</v>
      </c>
      <c r="H4167" t="s">
        <v>1147</v>
      </c>
      <c r="I4167" t="s">
        <v>1148</v>
      </c>
      <c r="J4167">
        <v>1001</v>
      </c>
      <c r="K4167">
        <v>5001</v>
      </c>
      <c r="L4167" s="3">
        <v>181128</v>
      </c>
      <c r="M4167" s="3">
        <v>45282</v>
      </c>
      <c r="N4167">
        <v>0</v>
      </c>
      <c r="O4167">
        <v>0</v>
      </c>
      <c r="P4167">
        <v>226410</v>
      </c>
      <c r="Q4167" t="s">
        <v>30</v>
      </c>
      <c r="R4167" t="s">
        <v>279</v>
      </c>
      <c r="S4167" t="str">
        <v>#N/A</v>
      </c>
      <c r="T4167" t="str">
        <v>#N/A</v>
      </c>
    </row>
    <row r="4168" spans="1:20" ht="13.7" customHeight="1" x14ac:dyDescent="0.25">
      <c r="A4168" t="s">
        <v>26</v>
      </c>
      <c r="B4168" t="s">
        <v>27</v>
      </c>
      <c r="C4168" t="s">
        <v>37</v>
      </c>
      <c r="D4168">
        <v>67</v>
      </c>
      <c r="E4168" s="5">
        <v>43673</v>
      </c>
      <c r="F4168">
        <v>73052701</v>
      </c>
      <c r="G4168" t="s">
        <v>1071</v>
      </c>
      <c r="H4168" t="s">
        <v>1147</v>
      </c>
      <c r="I4168" t="s">
        <v>1148</v>
      </c>
      <c r="J4168">
        <v>1001</v>
      </c>
      <c r="K4168">
        <v>5001</v>
      </c>
      <c r="L4168" s="3">
        <v>226410</v>
      </c>
      <c r="M4168" s="3">
        <v>45282</v>
      </c>
      <c r="N4168">
        <v>0</v>
      </c>
      <c r="O4168">
        <v>0</v>
      </c>
      <c r="P4168">
        <v>271692</v>
      </c>
      <c r="Q4168" t="s">
        <v>30</v>
      </c>
      <c r="R4168" t="s">
        <v>282</v>
      </c>
      <c r="S4168" t="str">
        <v>#N/A</v>
      </c>
      <c r="T4168" t="str">
        <v>#N/A</v>
      </c>
    </row>
    <row r="4169" spans="1:20" ht="13.7" customHeight="1" x14ac:dyDescent="0.25">
      <c r="A4169" t="s">
        <v>26</v>
      </c>
      <c r="B4169" t="s">
        <v>27</v>
      </c>
      <c r="C4169" t="s">
        <v>38</v>
      </c>
      <c r="D4169">
        <v>56</v>
      </c>
      <c r="E4169" s="5">
        <v>43687</v>
      </c>
      <c r="F4169">
        <v>73052701</v>
      </c>
      <c r="G4169" t="s">
        <v>1071</v>
      </c>
      <c r="H4169" t="s">
        <v>1147</v>
      </c>
      <c r="I4169" t="s">
        <v>1148</v>
      </c>
      <c r="J4169">
        <v>1001</v>
      </c>
      <c r="K4169">
        <v>5001</v>
      </c>
      <c r="L4169" s="3">
        <v>271692</v>
      </c>
      <c r="M4169" s="3">
        <v>45282</v>
      </c>
      <c r="N4169">
        <v>0</v>
      </c>
      <c r="O4169">
        <v>0</v>
      </c>
      <c r="P4169">
        <v>316974</v>
      </c>
      <c r="Q4169" t="s">
        <v>30</v>
      </c>
      <c r="R4169" t="s">
        <v>284</v>
      </c>
      <c r="S4169" t="str">
        <v>#N/A</v>
      </c>
      <c r="T4169" t="str">
        <v>#N/A</v>
      </c>
    </row>
    <row r="4170" spans="1:20" ht="13.7" customHeight="1" x14ac:dyDescent="0.25">
      <c r="A4170" t="s">
        <v>26</v>
      </c>
      <c r="B4170" t="s">
        <v>27</v>
      </c>
      <c r="C4170" t="s">
        <v>38</v>
      </c>
      <c r="D4170">
        <v>57</v>
      </c>
      <c r="E4170" s="5">
        <v>43701</v>
      </c>
      <c r="F4170">
        <v>73052701</v>
      </c>
      <c r="G4170" t="s">
        <v>1071</v>
      </c>
      <c r="H4170" t="s">
        <v>1147</v>
      </c>
      <c r="I4170" t="s">
        <v>1148</v>
      </c>
      <c r="J4170">
        <v>1001</v>
      </c>
      <c r="K4170">
        <v>5001</v>
      </c>
      <c r="L4170" s="3">
        <v>316974</v>
      </c>
      <c r="M4170" s="3">
        <v>45282</v>
      </c>
      <c r="N4170">
        <v>0</v>
      </c>
      <c r="O4170">
        <v>0</v>
      </c>
      <c r="P4170">
        <v>362256</v>
      </c>
      <c r="Q4170" t="s">
        <v>30</v>
      </c>
      <c r="R4170" t="s">
        <v>287</v>
      </c>
      <c r="S4170" t="str">
        <v>#N/A</v>
      </c>
      <c r="T4170" t="str">
        <v>#N/A</v>
      </c>
    </row>
    <row r="4171" spans="1:20" ht="13.7" customHeight="1" x14ac:dyDescent="0.25">
      <c r="A4171" t="s">
        <v>26</v>
      </c>
      <c r="B4171" t="s">
        <v>27</v>
      </c>
      <c r="C4171" t="s">
        <v>39</v>
      </c>
      <c r="D4171">
        <v>68</v>
      </c>
      <c r="E4171" s="5">
        <v>43715</v>
      </c>
      <c r="F4171">
        <v>73052701</v>
      </c>
      <c r="G4171" t="s">
        <v>1071</v>
      </c>
      <c r="H4171" t="s">
        <v>1147</v>
      </c>
      <c r="I4171" t="s">
        <v>1148</v>
      </c>
      <c r="J4171">
        <v>1001</v>
      </c>
      <c r="K4171">
        <v>5001</v>
      </c>
      <c r="L4171" s="3">
        <v>362256</v>
      </c>
      <c r="M4171" s="3">
        <v>25875</v>
      </c>
      <c r="N4171">
        <v>0</v>
      </c>
      <c r="O4171">
        <v>0</v>
      </c>
      <c r="P4171">
        <v>388131</v>
      </c>
      <c r="Q4171" t="s">
        <v>30</v>
      </c>
      <c r="R4171" t="s">
        <v>288</v>
      </c>
      <c r="S4171" t="str">
        <v>#N/A</v>
      </c>
      <c r="T4171" t="str">
        <v>#N/A</v>
      </c>
    </row>
    <row r="4172" spans="1:20" ht="13.7" customHeight="1" x14ac:dyDescent="0.25">
      <c r="E4172" s="5">
        <v>43465</v>
      </c>
      <c r="F4172">
        <v>73052701</v>
      </c>
      <c r="G4172" t="s">
        <v>1071</v>
      </c>
      <c r="H4172" t="s">
        <v>1388</v>
      </c>
      <c r="I4172" t="s">
        <v>1389</v>
      </c>
      <c r="J4172">
        <v>0</v>
      </c>
      <c r="K4172">
        <v>0</v>
      </c>
      <c r="L4172" s="3">
        <v>0</v>
      </c>
      <c r="M4172" s="3">
        <v>0</v>
      </c>
      <c r="N4172">
        <v>0</v>
      </c>
      <c r="O4172">
        <v>0</v>
      </c>
      <c r="P4172">
        <v>0</v>
      </c>
      <c r="R4172" t="s">
        <v>1100</v>
      </c>
      <c r="S4172" t="str">
        <v>#N/A</v>
      </c>
      <c r="T4172" t="str">
        <v>#N/A</v>
      </c>
    </row>
    <row r="4173" spans="1:20" ht="13.7" customHeight="1" x14ac:dyDescent="0.25">
      <c r="A4173" t="s">
        <v>26</v>
      </c>
      <c r="B4173" t="s">
        <v>27</v>
      </c>
      <c r="C4173" t="s">
        <v>28</v>
      </c>
      <c r="D4173">
        <v>77</v>
      </c>
      <c r="E4173" s="5">
        <v>43491</v>
      </c>
      <c r="F4173">
        <v>73052701</v>
      </c>
      <c r="G4173" t="s">
        <v>1071</v>
      </c>
      <c r="H4173" t="s">
        <v>1388</v>
      </c>
      <c r="I4173" t="s">
        <v>1389</v>
      </c>
      <c r="J4173">
        <v>1001</v>
      </c>
      <c r="K4173">
        <v>5001</v>
      </c>
      <c r="L4173" s="3">
        <v>0</v>
      </c>
      <c r="M4173" s="3">
        <v>32344</v>
      </c>
      <c r="N4173">
        <v>0</v>
      </c>
      <c r="O4173">
        <v>0</v>
      </c>
      <c r="P4173">
        <v>32344</v>
      </c>
      <c r="Q4173" t="s">
        <v>30</v>
      </c>
      <c r="R4173" t="s">
        <v>202</v>
      </c>
      <c r="S4173" t="str">
        <v>#N/A</v>
      </c>
      <c r="T4173" t="str">
        <v>#N/A</v>
      </c>
    </row>
    <row r="4174" spans="1:20" ht="13.7" customHeight="1" x14ac:dyDescent="0.25">
      <c r="A4174" t="s">
        <v>26</v>
      </c>
      <c r="B4174" t="s">
        <v>27</v>
      </c>
      <c r="C4174" t="s">
        <v>32</v>
      </c>
      <c r="D4174">
        <v>60</v>
      </c>
      <c r="E4174" s="5">
        <v>43505</v>
      </c>
      <c r="F4174">
        <v>73052701</v>
      </c>
      <c r="G4174" t="s">
        <v>1071</v>
      </c>
      <c r="H4174" t="s">
        <v>1388</v>
      </c>
      <c r="I4174" t="s">
        <v>1389</v>
      </c>
      <c r="J4174">
        <v>1001</v>
      </c>
      <c r="K4174">
        <v>5001</v>
      </c>
      <c r="L4174" s="3">
        <v>32344</v>
      </c>
      <c r="M4174" s="3">
        <v>45282</v>
      </c>
      <c r="N4174">
        <v>0</v>
      </c>
      <c r="O4174">
        <v>0</v>
      </c>
      <c r="P4174">
        <v>77626</v>
      </c>
      <c r="Q4174" t="s">
        <v>30</v>
      </c>
      <c r="R4174" t="s">
        <v>215</v>
      </c>
      <c r="S4174" t="str">
        <v>#N/A</v>
      </c>
      <c r="T4174" t="str">
        <v>#N/A</v>
      </c>
    </row>
    <row r="4175" spans="1:20" ht="13.7" customHeight="1" x14ac:dyDescent="0.25">
      <c r="A4175" t="s">
        <v>26</v>
      </c>
      <c r="B4175" t="s">
        <v>27</v>
      </c>
      <c r="C4175" t="s">
        <v>32</v>
      </c>
      <c r="D4175">
        <v>61</v>
      </c>
      <c r="E4175" s="5">
        <v>43519</v>
      </c>
      <c r="F4175">
        <v>73052701</v>
      </c>
      <c r="G4175" t="s">
        <v>1071</v>
      </c>
      <c r="H4175" t="s">
        <v>1388</v>
      </c>
      <c r="I4175" t="s">
        <v>1389</v>
      </c>
      <c r="J4175">
        <v>1001</v>
      </c>
      <c r="K4175">
        <v>5001</v>
      </c>
      <c r="L4175" s="3">
        <v>77626</v>
      </c>
      <c r="M4175" s="3">
        <v>45282</v>
      </c>
      <c r="N4175">
        <v>0</v>
      </c>
      <c r="O4175">
        <v>0</v>
      </c>
      <c r="P4175">
        <v>122908</v>
      </c>
      <c r="Q4175" t="s">
        <v>30</v>
      </c>
      <c r="R4175" t="s">
        <v>226</v>
      </c>
      <c r="S4175" t="str">
        <v>#N/A</v>
      </c>
      <c r="T4175" t="str">
        <v>#N/A</v>
      </c>
    </row>
    <row r="4176" spans="1:20" ht="13.7" customHeight="1" x14ac:dyDescent="0.25">
      <c r="A4176" t="s">
        <v>26</v>
      </c>
      <c r="B4176" t="s">
        <v>27</v>
      </c>
      <c r="C4176" t="s">
        <v>91</v>
      </c>
      <c r="D4176">
        <v>79</v>
      </c>
      <c r="E4176" s="5">
        <v>43533</v>
      </c>
      <c r="F4176">
        <v>73052701</v>
      </c>
      <c r="G4176" t="s">
        <v>1071</v>
      </c>
      <c r="H4176" t="s">
        <v>1388</v>
      </c>
      <c r="I4176" t="s">
        <v>1389</v>
      </c>
      <c r="J4176">
        <v>1001</v>
      </c>
      <c r="K4176">
        <v>5001</v>
      </c>
      <c r="L4176" s="3">
        <v>122908</v>
      </c>
      <c r="M4176" s="3">
        <v>3234</v>
      </c>
      <c r="N4176">
        <v>0</v>
      </c>
      <c r="O4176">
        <v>0</v>
      </c>
      <c r="P4176">
        <v>126142</v>
      </c>
      <c r="Q4176" t="s">
        <v>30</v>
      </c>
      <c r="R4176" t="s">
        <v>236</v>
      </c>
      <c r="S4176" t="str">
        <v>#N/A</v>
      </c>
      <c r="T4176" t="str">
        <v>#N/A</v>
      </c>
    </row>
    <row r="4177" spans="1:20" ht="13.7" customHeight="1" x14ac:dyDescent="0.25">
      <c r="E4177" s="5">
        <v>43465</v>
      </c>
      <c r="F4177">
        <v>73052701</v>
      </c>
      <c r="G4177" t="s">
        <v>1071</v>
      </c>
      <c r="H4177" t="s">
        <v>1151</v>
      </c>
      <c r="I4177" t="s">
        <v>1152</v>
      </c>
      <c r="J4177">
        <v>0</v>
      </c>
      <c r="K4177">
        <v>0</v>
      </c>
      <c r="L4177" s="3">
        <v>0</v>
      </c>
      <c r="M4177" s="3">
        <v>0</v>
      </c>
      <c r="N4177">
        <v>0</v>
      </c>
      <c r="O4177">
        <v>0</v>
      </c>
      <c r="P4177">
        <v>0</v>
      </c>
      <c r="R4177" t="s">
        <v>1100</v>
      </c>
      <c r="S4177" t="str">
        <v>#N/A</v>
      </c>
      <c r="T4177" t="str">
        <v>#N/A</v>
      </c>
    </row>
    <row r="4178" spans="1:20" ht="13.7" customHeight="1" x14ac:dyDescent="0.25">
      <c r="A4178" t="s">
        <v>26</v>
      </c>
      <c r="B4178" t="s">
        <v>27</v>
      </c>
      <c r="C4178" t="s">
        <v>32</v>
      </c>
      <c r="D4178">
        <v>61</v>
      </c>
      <c r="E4178" s="5">
        <v>43519</v>
      </c>
      <c r="F4178">
        <v>73052701</v>
      </c>
      <c r="G4178" t="s">
        <v>1071</v>
      </c>
      <c r="H4178" t="s">
        <v>1151</v>
      </c>
      <c r="I4178" t="s">
        <v>1152</v>
      </c>
      <c r="J4178">
        <v>1001</v>
      </c>
      <c r="K4178">
        <v>5001</v>
      </c>
      <c r="L4178" s="3">
        <v>0</v>
      </c>
      <c r="M4178" s="3">
        <v>19406</v>
      </c>
      <c r="N4178">
        <v>0</v>
      </c>
      <c r="O4178">
        <v>0</v>
      </c>
      <c r="P4178">
        <v>19406</v>
      </c>
      <c r="Q4178" t="s">
        <v>30</v>
      </c>
      <c r="R4178" t="s">
        <v>226</v>
      </c>
      <c r="S4178" t="str">
        <v>#N/A</v>
      </c>
      <c r="T4178" t="str">
        <v>#N/A</v>
      </c>
    </row>
    <row r="4179" spans="1:20" ht="13.7" customHeight="1" x14ac:dyDescent="0.25">
      <c r="A4179" t="s">
        <v>26</v>
      </c>
      <c r="B4179" t="s">
        <v>27</v>
      </c>
      <c r="C4179" t="s">
        <v>91</v>
      </c>
      <c r="D4179">
        <v>79</v>
      </c>
      <c r="E4179" s="5">
        <v>43533</v>
      </c>
      <c r="F4179">
        <v>73052701</v>
      </c>
      <c r="G4179" t="s">
        <v>1071</v>
      </c>
      <c r="H4179" t="s">
        <v>1151</v>
      </c>
      <c r="I4179" t="s">
        <v>1152</v>
      </c>
      <c r="J4179">
        <v>1001</v>
      </c>
      <c r="K4179">
        <v>5001</v>
      </c>
      <c r="L4179" s="3">
        <v>19406</v>
      </c>
      <c r="M4179" s="3">
        <v>45282</v>
      </c>
      <c r="N4179">
        <v>0</v>
      </c>
      <c r="O4179">
        <v>0</v>
      </c>
      <c r="P4179">
        <v>64688</v>
      </c>
      <c r="Q4179" t="s">
        <v>30</v>
      </c>
      <c r="R4179" t="s">
        <v>236</v>
      </c>
      <c r="S4179" t="str">
        <v>#N/A</v>
      </c>
      <c r="T4179" t="str">
        <v>#N/A</v>
      </c>
    </row>
    <row r="4180" spans="1:20" ht="13.7" customHeight="1" x14ac:dyDescent="0.25">
      <c r="A4180" t="s">
        <v>26</v>
      </c>
      <c r="B4180" t="s">
        <v>27</v>
      </c>
      <c r="C4180" t="s">
        <v>91</v>
      </c>
      <c r="D4180">
        <v>80</v>
      </c>
      <c r="E4180" s="5">
        <v>43547</v>
      </c>
      <c r="F4180">
        <v>73052701</v>
      </c>
      <c r="G4180" t="s">
        <v>1071</v>
      </c>
      <c r="H4180" t="s">
        <v>1151</v>
      </c>
      <c r="I4180" t="s">
        <v>1152</v>
      </c>
      <c r="J4180">
        <v>1001</v>
      </c>
      <c r="K4180">
        <v>5001</v>
      </c>
      <c r="L4180" s="3">
        <v>64688</v>
      </c>
      <c r="M4180" s="3">
        <v>45282</v>
      </c>
      <c r="N4180">
        <v>0</v>
      </c>
      <c r="O4180">
        <v>0</v>
      </c>
      <c r="P4180">
        <v>109970</v>
      </c>
      <c r="Q4180" t="s">
        <v>30</v>
      </c>
      <c r="R4180" t="s">
        <v>244</v>
      </c>
      <c r="S4180" t="str">
        <v>#N/A</v>
      </c>
      <c r="T4180" t="str">
        <v>#N/A</v>
      </c>
    </row>
    <row r="4181" spans="1:20" ht="13.7" customHeight="1" x14ac:dyDescent="0.25">
      <c r="A4181" t="s">
        <v>26</v>
      </c>
      <c r="B4181" t="s">
        <v>27</v>
      </c>
      <c r="C4181" t="s">
        <v>34</v>
      </c>
      <c r="D4181">
        <v>71</v>
      </c>
      <c r="E4181" s="5">
        <v>43561</v>
      </c>
      <c r="F4181">
        <v>73052701</v>
      </c>
      <c r="G4181" t="s">
        <v>1071</v>
      </c>
      <c r="H4181" t="s">
        <v>1151</v>
      </c>
      <c r="I4181" t="s">
        <v>1152</v>
      </c>
      <c r="J4181">
        <v>1001</v>
      </c>
      <c r="K4181">
        <v>5001</v>
      </c>
      <c r="L4181" s="3">
        <v>109970</v>
      </c>
      <c r="M4181" s="3">
        <v>45282</v>
      </c>
      <c r="N4181">
        <v>0</v>
      </c>
      <c r="O4181">
        <v>0</v>
      </c>
      <c r="P4181">
        <v>155252</v>
      </c>
      <c r="Q4181" t="s">
        <v>30</v>
      </c>
      <c r="R4181" t="s">
        <v>244</v>
      </c>
      <c r="S4181" t="str">
        <v>#N/A</v>
      </c>
      <c r="T4181" t="str">
        <v>#N/A</v>
      </c>
    </row>
    <row r="4182" spans="1:20" ht="13.7" customHeight="1" x14ac:dyDescent="0.25">
      <c r="A4182" t="s">
        <v>26</v>
      </c>
      <c r="B4182" t="s">
        <v>27</v>
      </c>
      <c r="C4182" t="s">
        <v>34</v>
      </c>
      <c r="D4182">
        <v>72</v>
      </c>
      <c r="E4182" s="5">
        <v>43575</v>
      </c>
      <c r="F4182">
        <v>73052701</v>
      </c>
      <c r="G4182" t="s">
        <v>1071</v>
      </c>
      <c r="H4182" t="s">
        <v>1151</v>
      </c>
      <c r="I4182" t="s">
        <v>1152</v>
      </c>
      <c r="J4182">
        <v>1001</v>
      </c>
      <c r="K4182">
        <v>5001</v>
      </c>
      <c r="L4182" s="3">
        <v>155252</v>
      </c>
      <c r="M4182" s="3">
        <v>45282</v>
      </c>
      <c r="N4182">
        <v>0</v>
      </c>
      <c r="O4182">
        <v>0</v>
      </c>
      <c r="P4182">
        <v>200534</v>
      </c>
      <c r="Q4182" t="s">
        <v>30</v>
      </c>
      <c r="R4182" t="s">
        <v>254</v>
      </c>
      <c r="S4182" t="str">
        <v>#N/A</v>
      </c>
      <c r="T4182" t="str">
        <v>#N/A</v>
      </c>
    </row>
    <row r="4183" spans="1:20" ht="13.7" customHeight="1" x14ac:dyDescent="0.25">
      <c r="A4183" t="s">
        <v>26</v>
      </c>
      <c r="B4183" t="s">
        <v>27</v>
      </c>
      <c r="C4183" t="s">
        <v>35</v>
      </c>
      <c r="D4183">
        <v>97</v>
      </c>
      <c r="E4183" s="5">
        <v>43589</v>
      </c>
      <c r="F4183">
        <v>73052701</v>
      </c>
      <c r="G4183" t="s">
        <v>1071</v>
      </c>
      <c r="H4183" t="s">
        <v>1151</v>
      </c>
      <c r="I4183" t="s">
        <v>1152</v>
      </c>
      <c r="J4183">
        <v>1001</v>
      </c>
      <c r="K4183">
        <v>5001</v>
      </c>
      <c r="L4183" s="3">
        <v>200534</v>
      </c>
      <c r="M4183" s="3">
        <v>45282</v>
      </c>
      <c r="N4183">
        <v>0</v>
      </c>
      <c r="O4183">
        <v>0</v>
      </c>
      <c r="P4183">
        <v>245816</v>
      </c>
      <c r="Q4183" t="s">
        <v>30</v>
      </c>
      <c r="R4183" t="s">
        <v>256</v>
      </c>
      <c r="S4183" t="str">
        <v>#N/A</v>
      </c>
      <c r="T4183" t="str">
        <v>#N/A</v>
      </c>
    </row>
    <row r="4184" spans="1:20" ht="13.7" customHeight="1" x14ac:dyDescent="0.25">
      <c r="A4184" t="s">
        <v>26</v>
      </c>
      <c r="B4184" t="s">
        <v>27</v>
      </c>
      <c r="C4184" t="s">
        <v>35</v>
      </c>
      <c r="D4184">
        <v>98</v>
      </c>
      <c r="E4184" s="5">
        <v>43603</v>
      </c>
      <c r="F4184">
        <v>73052701</v>
      </c>
      <c r="G4184" t="s">
        <v>1071</v>
      </c>
      <c r="H4184" t="s">
        <v>1151</v>
      </c>
      <c r="I4184" t="s">
        <v>1152</v>
      </c>
      <c r="J4184">
        <v>1001</v>
      </c>
      <c r="K4184">
        <v>5001</v>
      </c>
      <c r="L4184" s="3">
        <v>245816</v>
      </c>
      <c r="M4184" s="3">
        <v>45282</v>
      </c>
      <c r="N4184">
        <v>0</v>
      </c>
      <c r="O4184">
        <v>0</v>
      </c>
      <c r="P4184">
        <v>291098</v>
      </c>
      <c r="Q4184" t="s">
        <v>30</v>
      </c>
      <c r="R4184" t="s">
        <v>261</v>
      </c>
      <c r="S4184" t="str">
        <v>#N/A</v>
      </c>
      <c r="T4184" t="str">
        <v>#N/A</v>
      </c>
    </row>
    <row r="4185" spans="1:20" ht="13.7" customHeight="1" x14ac:dyDescent="0.25">
      <c r="A4185" t="s">
        <v>26</v>
      </c>
      <c r="B4185" t="s">
        <v>27</v>
      </c>
      <c r="C4185" t="s">
        <v>36</v>
      </c>
      <c r="D4185">
        <v>70</v>
      </c>
      <c r="E4185" s="5">
        <v>43617</v>
      </c>
      <c r="F4185">
        <v>73052701</v>
      </c>
      <c r="G4185" t="s">
        <v>1071</v>
      </c>
      <c r="H4185" t="s">
        <v>1151</v>
      </c>
      <c r="I4185" t="s">
        <v>1152</v>
      </c>
      <c r="J4185">
        <v>1001</v>
      </c>
      <c r="K4185">
        <v>5001</v>
      </c>
      <c r="L4185" s="3">
        <v>291098</v>
      </c>
      <c r="M4185" s="3">
        <v>45282</v>
      </c>
      <c r="N4185">
        <v>0</v>
      </c>
      <c r="O4185">
        <v>0</v>
      </c>
      <c r="P4185">
        <v>336380</v>
      </c>
      <c r="Q4185" t="s">
        <v>30</v>
      </c>
      <c r="R4185" t="s">
        <v>264</v>
      </c>
      <c r="S4185" t="str">
        <v>#N/A</v>
      </c>
      <c r="T4185" t="str">
        <v>#N/A</v>
      </c>
    </row>
    <row r="4186" spans="1:20" ht="13.7" customHeight="1" x14ac:dyDescent="0.25">
      <c r="A4186" t="s">
        <v>26</v>
      </c>
      <c r="B4186" t="s">
        <v>27</v>
      </c>
      <c r="C4186" t="s">
        <v>36</v>
      </c>
      <c r="D4186">
        <v>71</v>
      </c>
      <c r="E4186" s="5">
        <v>43631</v>
      </c>
      <c r="F4186">
        <v>73052701</v>
      </c>
      <c r="G4186" t="s">
        <v>1071</v>
      </c>
      <c r="H4186" t="s">
        <v>1151</v>
      </c>
      <c r="I4186" t="s">
        <v>1152</v>
      </c>
      <c r="J4186">
        <v>1001</v>
      </c>
      <c r="K4186">
        <v>5001</v>
      </c>
      <c r="L4186" s="3">
        <v>336380</v>
      </c>
      <c r="M4186" s="3">
        <v>45282</v>
      </c>
      <c r="N4186">
        <v>0</v>
      </c>
      <c r="O4186">
        <v>0</v>
      </c>
      <c r="P4186">
        <v>381662</v>
      </c>
      <c r="Q4186" t="s">
        <v>30</v>
      </c>
      <c r="R4186" t="s">
        <v>270</v>
      </c>
      <c r="S4186" t="str">
        <v>#N/A</v>
      </c>
      <c r="T4186" t="str">
        <v>#N/A</v>
      </c>
    </row>
    <row r="4187" spans="1:20" ht="13.7" customHeight="1" x14ac:dyDescent="0.25">
      <c r="A4187" t="s">
        <v>26</v>
      </c>
      <c r="B4187" t="s">
        <v>27</v>
      </c>
      <c r="C4187" t="s">
        <v>37</v>
      </c>
      <c r="D4187">
        <v>66</v>
      </c>
      <c r="E4187" s="5">
        <v>43659</v>
      </c>
      <c r="F4187">
        <v>73052701</v>
      </c>
      <c r="G4187" t="s">
        <v>1071</v>
      </c>
      <c r="H4187" t="s">
        <v>1151</v>
      </c>
      <c r="I4187" t="s">
        <v>1152</v>
      </c>
      <c r="J4187">
        <v>1001</v>
      </c>
      <c r="K4187">
        <v>5001</v>
      </c>
      <c r="L4187" s="3">
        <v>381662</v>
      </c>
      <c r="M4187" s="3">
        <v>45282</v>
      </c>
      <c r="N4187">
        <v>0</v>
      </c>
      <c r="O4187">
        <v>0</v>
      </c>
      <c r="P4187">
        <v>426944</v>
      </c>
      <c r="Q4187" t="s">
        <v>30</v>
      </c>
      <c r="R4187" t="s">
        <v>279</v>
      </c>
      <c r="S4187" t="str">
        <v>#N/A</v>
      </c>
      <c r="T4187" t="str">
        <v>#N/A</v>
      </c>
    </row>
    <row r="4188" spans="1:20" ht="13.7" customHeight="1" x14ac:dyDescent="0.25">
      <c r="A4188" t="s">
        <v>26</v>
      </c>
      <c r="B4188" t="s">
        <v>27</v>
      </c>
      <c r="C4188" t="s">
        <v>37</v>
      </c>
      <c r="D4188">
        <v>67</v>
      </c>
      <c r="E4188" s="5">
        <v>43673</v>
      </c>
      <c r="F4188">
        <v>73052701</v>
      </c>
      <c r="G4188" t="s">
        <v>1071</v>
      </c>
      <c r="H4188" t="s">
        <v>1151</v>
      </c>
      <c r="I4188" t="s">
        <v>1152</v>
      </c>
      <c r="J4188">
        <v>1001</v>
      </c>
      <c r="K4188">
        <v>5001</v>
      </c>
      <c r="L4188" s="3">
        <v>426944</v>
      </c>
      <c r="M4188" s="3">
        <v>45282</v>
      </c>
      <c r="N4188">
        <v>0</v>
      </c>
      <c r="O4188">
        <v>0</v>
      </c>
      <c r="P4188">
        <v>472226</v>
      </c>
      <c r="Q4188" t="s">
        <v>30</v>
      </c>
      <c r="R4188" t="s">
        <v>282</v>
      </c>
      <c r="S4188" t="str">
        <v>#N/A</v>
      </c>
      <c r="T4188" t="str">
        <v>#N/A</v>
      </c>
    </row>
    <row r="4189" spans="1:20" ht="13.7" customHeight="1" x14ac:dyDescent="0.25">
      <c r="A4189" t="s">
        <v>26</v>
      </c>
      <c r="B4189" t="s">
        <v>27</v>
      </c>
      <c r="C4189" t="s">
        <v>38</v>
      </c>
      <c r="D4189">
        <v>56</v>
      </c>
      <c r="E4189" s="5">
        <v>43687</v>
      </c>
      <c r="F4189">
        <v>73052701</v>
      </c>
      <c r="G4189" t="s">
        <v>1071</v>
      </c>
      <c r="H4189" t="s">
        <v>1151</v>
      </c>
      <c r="I4189" t="s">
        <v>1152</v>
      </c>
      <c r="J4189">
        <v>1001</v>
      </c>
      <c r="K4189">
        <v>5001</v>
      </c>
      <c r="L4189" s="3">
        <v>472226</v>
      </c>
      <c r="M4189" s="3">
        <v>45282</v>
      </c>
      <c r="N4189">
        <v>0</v>
      </c>
      <c r="O4189">
        <v>0</v>
      </c>
      <c r="P4189">
        <v>517508</v>
      </c>
      <c r="Q4189" t="s">
        <v>30</v>
      </c>
      <c r="R4189" t="s">
        <v>284</v>
      </c>
      <c r="S4189" t="str">
        <v>#N/A</v>
      </c>
      <c r="T4189" t="str">
        <v>#N/A</v>
      </c>
    </row>
    <row r="4190" spans="1:20" ht="13.7" customHeight="1" x14ac:dyDescent="0.25">
      <c r="A4190" t="s">
        <v>26</v>
      </c>
      <c r="B4190" t="s">
        <v>27</v>
      </c>
      <c r="C4190" t="s">
        <v>38</v>
      </c>
      <c r="D4190">
        <v>57</v>
      </c>
      <c r="E4190" s="5">
        <v>43701</v>
      </c>
      <c r="F4190">
        <v>73052701</v>
      </c>
      <c r="G4190" t="s">
        <v>1071</v>
      </c>
      <c r="H4190" t="s">
        <v>1151</v>
      </c>
      <c r="I4190" t="s">
        <v>1152</v>
      </c>
      <c r="J4190">
        <v>1001</v>
      </c>
      <c r="K4190">
        <v>5001</v>
      </c>
      <c r="L4190" s="3">
        <v>517508</v>
      </c>
      <c r="M4190" s="3">
        <v>45282</v>
      </c>
      <c r="N4190">
        <v>0</v>
      </c>
      <c r="O4190">
        <v>0</v>
      </c>
      <c r="P4190">
        <v>562790</v>
      </c>
      <c r="Q4190" t="s">
        <v>30</v>
      </c>
      <c r="R4190" t="s">
        <v>287</v>
      </c>
      <c r="S4190" t="str">
        <v>#N/A</v>
      </c>
      <c r="T4190" t="str">
        <v>#N/A</v>
      </c>
    </row>
    <row r="4191" spans="1:20" ht="13.7" customHeight="1" x14ac:dyDescent="0.25">
      <c r="A4191" t="s">
        <v>26</v>
      </c>
      <c r="B4191" t="s">
        <v>27</v>
      </c>
      <c r="C4191" t="s">
        <v>39</v>
      </c>
      <c r="D4191">
        <v>68</v>
      </c>
      <c r="E4191" s="5">
        <v>43715</v>
      </c>
      <c r="F4191">
        <v>73052701</v>
      </c>
      <c r="G4191" t="s">
        <v>1071</v>
      </c>
      <c r="H4191" t="s">
        <v>1151</v>
      </c>
      <c r="I4191" t="s">
        <v>1152</v>
      </c>
      <c r="J4191">
        <v>1001</v>
      </c>
      <c r="K4191">
        <v>5001</v>
      </c>
      <c r="L4191" s="3">
        <v>562790</v>
      </c>
      <c r="M4191" s="3">
        <v>35578</v>
      </c>
      <c r="N4191">
        <v>0</v>
      </c>
      <c r="O4191">
        <v>0</v>
      </c>
      <c r="P4191">
        <v>598368</v>
      </c>
      <c r="Q4191" t="s">
        <v>30</v>
      </c>
      <c r="R4191" t="s">
        <v>288</v>
      </c>
      <c r="S4191" t="str">
        <v>#N/A</v>
      </c>
      <c r="T4191" t="str">
        <v>#N/A</v>
      </c>
    </row>
    <row r="4192" spans="1:20" ht="13.7" customHeight="1" x14ac:dyDescent="0.25">
      <c r="A4192" t="s">
        <v>26</v>
      </c>
      <c r="B4192" t="s">
        <v>27</v>
      </c>
      <c r="C4192" t="s">
        <v>39</v>
      </c>
      <c r="D4192">
        <v>69</v>
      </c>
      <c r="E4192" s="5">
        <v>43729</v>
      </c>
      <c r="F4192">
        <v>73052701</v>
      </c>
      <c r="G4192" t="s">
        <v>1071</v>
      </c>
      <c r="H4192" t="s">
        <v>1151</v>
      </c>
      <c r="I4192" t="s">
        <v>1152</v>
      </c>
      <c r="J4192">
        <v>1001</v>
      </c>
      <c r="K4192">
        <v>5001</v>
      </c>
      <c r="L4192" s="3">
        <v>598368</v>
      </c>
      <c r="M4192" s="3">
        <v>35578</v>
      </c>
      <c r="N4192">
        <v>0</v>
      </c>
      <c r="O4192">
        <v>0</v>
      </c>
      <c r="P4192">
        <v>633946</v>
      </c>
      <c r="Q4192" t="s">
        <v>30</v>
      </c>
      <c r="R4192" t="s">
        <v>291</v>
      </c>
      <c r="S4192" t="str">
        <v>#N/A</v>
      </c>
      <c r="T4192" t="str">
        <v>#N/A</v>
      </c>
    </row>
    <row r="4193" spans="1:20" ht="13.7" customHeight="1" x14ac:dyDescent="0.25">
      <c r="A4193" t="s">
        <v>26</v>
      </c>
      <c r="B4193" t="s">
        <v>27</v>
      </c>
      <c r="C4193" t="s">
        <v>40</v>
      </c>
      <c r="D4193">
        <v>61</v>
      </c>
      <c r="E4193" s="5">
        <v>43743</v>
      </c>
      <c r="F4193">
        <v>73052701</v>
      </c>
      <c r="G4193" t="s">
        <v>1071</v>
      </c>
      <c r="H4193" t="s">
        <v>1151</v>
      </c>
      <c r="I4193" t="s">
        <v>1152</v>
      </c>
      <c r="J4193">
        <v>1001</v>
      </c>
      <c r="K4193">
        <v>5001</v>
      </c>
      <c r="L4193" s="3">
        <v>633946</v>
      </c>
      <c r="M4193" s="3">
        <v>45282</v>
      </c>
      <c r="N4193">
        <v>0</v>
      </c>
      <c r="O4193">
        <v>0</v>
      </c>
      <c r="P4193">
        <v>679228</v>
      </c>
      <c r="Q4193" t="s">
        <v>30</v>
      </c>
      <c r="R4193" t="s">
        <v>293</v>
      </c>
      <c r="S4193" t="str">
        <v>#N/A</v>
      </c>
      <c r="T4193" t="str">
        <v>#N/A</v>
      </c>
    </row>
    <row r="4194" spans="1:20" ht="13.7" customHeight="1" x14ac:dyDescent="0.25">
      <c r="A4194" t="s">
        <v>26</v>
      </c>
      <c r="B4194" t="s">
        <v>27</v>
      </c>
      <c r="C4194" t="s">
        <v>40</v>
      </c>
      <c r="D4194">
        <v>62</v>
      </c>
      <c r="E4194" s="5">
        <v>43757</v>
      </c>
      <c r="F4194">
        <v>73052701</v>
      </c>
      <c r="G4194" t="s">
        <v>1071</v>
      </c>
      <c r="H4194" t="s">
        <v>1151</v>
      </c>
      <c r="I4194" t="s">
        <v>1152</v>
      </c>
      <c r="J4194">
        <v>1001</v>
      </c>
      <c r="K4194">
        <v>5001</v>
      </c>
      <c r="L4194" s="3">
        <v>679228</v>
      </c>
      <c r="M4194" s="3">
        <v>45282</v>
      </c>
      <c r="N4194">
        <v>0</v>
      </c>
      <c r="O4194">
        <v>0</v>
      </c>
      <c r="P4194">
        <v>724510</v>
      </c>
      <c r="Q4194" t="s">
        <v>30</v>
      </c>
      <c r="R4194" t="s">
        <v>299</v>
      </c>
      <c r="S4194" t="str">
        <v>#N/A</v>
      </c>
      <c r="T4194" t="str">
        <v>#N/A</v>
      </c>
    </row>
    <row r="4195" spans="1:20" ht="13.7" customHeight="1" x14ac:dyDescent="0.25">
      <c r="A4195" t="s">
        <v>26</v>
      </c>
      <c r="B4195" t="s">
        <v>27</v>
      </c>
      <c r="C4195" t="s">
        <v>41</v>
      </c>
      <c r="D4195">
        <v>76</v>
      </c>
      <c r="E4195" s="5">
        <v>43771</v>
      </c>
      <c r="F4195">
        <v>73052701</v>
      </c>
      <c r="G4195" t="s">
        <v>1071</v>
      </c>
      <c r="H4195" t="s">
        <v>1151</v>
      </c>
      <c r="I4195" t="s">
        <v>1152</v>
      </c>
      <c r="J4195">
        <v>1001</v>
      </c>
      <c r="K4195">
        <v>5001</v>
      </c>
      <c r="L4195" s="3">
        <v>724510</v>
      </c>
      <c r="M4195" s="3">
        <v>45282</v>
      </c>
      <c r="N4195">
        <v>0</v>
      </c>
      <c r="O4195">
        <v>0</v>
      </c>
      <c r="P4195">
        <v>769792</v>
      </c>
      <c r="Q4195" t="s">
        <v>30</v>
      </c>
      <c r="R4195" t="s">
        <v>301</v>
      </c>
      <c r="S4195" t="str">
        <v>#N/A</v>
      </c>
      <c r="T4195" t="str">
        <v>#N/A</v>
      </c>
    </row>
    <row r="4196" spans="1:20" ht="13.7" customHeight="1" x14ac:dyDescent="0.25">
      <c r="A4196" t="s">
        <v>26</v>
      </c>
      <c r="B4196" t="s">
        <v>27</v>
      </c>
      <c r="C4196" t="s">
        <v>41</v>
      </c>
      <c r="D4196">
        <v>77</v>
      </c>
      <c r="E4196" s="5">
        <v>43785</v>
      </c>
      <c r="F4196">
        <v>73052701</v>
      </c>
      <c r="G4196" t="s">
        <v>1071</v>
      </c>
      <c r="H4196" t="s">
        <v>1151</v>
      </c>
      <c r="I4196" t="s">
        <v>1152</v>
      </c>
      <c r="J4196">
        <v>1001</v>
      </c>
      <c r="K4196">
        <v>5001</v>
      </c>
      <c r="L4196" s="3">
        <v>769792</v>
      </c>
      <c r="M4196" s="3">
        <v>45282</v>
      </c>
      <c r="N4196">
        <v>0</v>
      </c>
      <c r="O4196">
        <v>0</v>
      </c>
      <c r="P4196">
        <v>815074</v>
      </c>
      <c r="Q4196" t="s">
        <v>30</v>
      </c>
      <c r="R4196" t="s">
        <v>305</v>
      </c>
      <c r="S4196" t="str">
        <v>#N/A</v>
      </c>
      <c r="T4196" t="str">
        <v>#N/A</v>
      </c>
    </row>
    <row r="4197" spans="1:20" ht="13.7" customHeight="1" x14ac:dyDescent="0.25">
      <c r="A4197" t="s">
        <v>26</v>
      </c>
      <c r="B4197" t="s">
        <v>27</v>
      </c>
      <c r="C4197" t="s">
        <v>41</v>
      </c>
      <c r="D4197">
        <v>78</v>
      </c>
      <c r="E4197" s="5">
        <v>43799</v>
      </c>
      <c r="F4197">
        <v>73052701</v>
      </c>
      <c r="G4197" t="s">
        <v>1071</v>
      </c>
      <c r="H4197" t="s">
        <v>1151</v>
      </c>
      <c r="I4197" t="s">
        <v>1152</v>
      </c>
      <c r="J4197">
        <v>1001</v>
      </c>
      <c r="K4197">
        <v>5001</v>
      </c>
      <c r="L4197" s="3">
        <v>815074</v>
      </c>
      <c r="M4197" s="3">
        <v>45282</v>
      </c>
      <c r="N4197">
        <v>0</v>
      </c>
      <c r="O4197">
        <v>0</v>
      </c>
      <c r="P4197">
        <v>860356</v>
      </c>
      <c r="Q4197" t="s">
        <v>30</v>
      </c>
      <c r="R4197" t="s">
        <v>309</v>
      </c>
      <c r="S4197" t="str">
        <v>#N/A</v>
      </c>
      <c r="T4197" t="str">
        <v>#N/A</v>
      </c>
    </row>
    <row r="4198" spans="1:20" ht="13.7" customHeight="1" x14ac:dyDescent="0.25">
      <c r="A4198" t="s">
        <v>26</v>
      </c>
      <c r="B4198" t="s">
        <v>27</v>
      </c>
      <c r="C4198" t="s">
        <v>180</v>
      </c>
      <c r="D4198">
        <v>1</v>
      </c>
      <c r="E4198" s="5">
        <v>43813</v>
      </c>
      <c r="F4198">
        <v>73052701</v>
      </c>
      <c r="G4198" t="s">
        <v>1071</v>
      </c>
      <c r="H4198" t="s">
        <v>1151</v>
      </c>
      <c r="I4198" t="s">
        <v>1152</v>
      </c>
      <c r="J4198">
        <v>1001</v>
      </c>
      <c r="K4198">
        <v>5001</v>
      </c>
      <c r="L4198" s="3">
        <v>860356</v>
      </c>
      <c r="M4198" s="3">
        <v>45282</v>
      </c>
      <c r="N4198">
        <v>0</v>
      </c>
      <c r="O4198">
        <v>0</v>
      </c>
      <c r="P4198">
        <v>905638</v>
      </c>
      <c r="Q4198" t="s">
        <v>30</v>
      </c>
      <c r="R4198" t="s">
        <v>316</v>
      </c>
      <c r="S4198" t="str">
        <v>#N/A</v>
      </c>
      <c r="T4198" t="str">
        <v>#N/A</v>
      </c>
    </row>
    <row r="4199" spans="1:20" ht="13.7" customHeight="1" x14ac:dyDescent="0.25">
      <c r="A4199" t="s">
        <v>26</v>
      </c>
      <c r="B4199" t="s">
        <v>27</v>
      </c>
      <c r="C4199" t="s">
        <v>180</v>
      </c>
      <c r="D4199">
        <v>90</v>
      </c>
      <c r="E4199" s="5">
        <v>43819</v>
      </c>
      <c r="F4199">
        <v>73052701</v>
      </c>
      <c r="G4199" t="s">
        <v>1071</v>
      </c>
      <c r="H4199" t="s">
        <v>1151</v>
      </c>
      <c r="I4199" t="s">
        <v>1152</v>
      </c>
      <c r="J4199" t="e">
        <v>#N/A</v>
      </c>
      <c r="K4199" t="e">
        <v>#N/A</v>
      </c>
      <c r="L4199" s="3">
        <v>905638</v>
      </c>
      <c r="M4199" s="3">
        <v>45282</v>
      </c>
      <c r="N4199">
        <v>0</v>
      </c>
      <c r="O4199">
        <v>0</v>
      </c>
      <c r="P4199">
        <v>950920</v>
      </c>
      <c r="Q4199" t="s">
        <v>30</v>
      </c>
      <c r="R4199" t="s">
        <v>1503</v>
      </c>
      <c r="S4199" t="str">
        <v>#N/A</v>
      </c>
      <c r="T4199" t="str">
        <v>#N/A</v>
      </c>
    </row>
    <row r="4200" spans="1:20" ht="13.7" customHeight="1" x14ac:dyDescent="0.25">
      <c r="E4200" s="5">
        <v>43465</v>
      </c>
      <c r="F4200">
        <v>73052701</v>
      </c>
      <c r="G4200" t="s">
        <v>1071</v>
      </c>
      <c r="H4200" t="s">
        <v>1521</v>
      </c>
      <c r="I4200" t="s">
        <v>1522</v>
      </c>
      <c r="J4200">
        <v>0</v>
      </c>
      <c r="K4200">
        <v>0</v>
      </c>
      <c r="L4200" s="3">
        <v>288155</v>
      </c>
      <c r="M4200" s="3">
        <v>0</v>
      </c>
      <c r="N4200">
        <v>0</v>
      </c>
      <c r="O4200">
        <v>0</v>
      </c>
      <c r="P4200">
        <v>288155</v>
      </c>
      <c r="R4200" t="s">
        <v>1100</v>
      </c>
      <c r="S4200" t="str">
        <v>#N/A</v>
      </c>
      <c r="T4200" t="str">
        <v>#N/A</v>
      </c>
    </row>
    <row r="4201" spans="1:20" ht="13.7" customHeight="1" x14ac:dyDescent="0.25">
      <c r="E4201" s="5">
        <v>43465</v>
      </c>
      <c r="F4201">
        <v>73052701</v>
      </c>
      <c r="G4201" t="s">
        <v>1071</v>
      </c>
      <c r="H4201" t="s">
        <v>1141</v>
      </c>
      <c r="I4201" t="s">
        <v>1142</v>
      </c>
      <c r="J4201">
        <v>0</v>
      </c>
      <c r="K4201">
        <v>0</v>
      </c>
      <c r="L4201" s="3">
        <v>826243</v>
      </c>
      <c r="M4201" s="3">
        <v>0</v>
      </c>
      <c r="N4201">
        <v>0</v>
      </c>
      <c r="O4201">
        <v>0</v>
      </c>
      <c r="P4201">
        <v>826243</v>
      </c>
      <c r="R4201" t="s">
        <v>1100</v>
      </c>
      <c r="S4201" t="str">
        <v>#N/A</v>
      </c>
      <c r="T4201" t="str">
        <v>13</v>
      </c>
    </row>
    <row r="4202" spans="1:20" ht="13.7" customHeight="1" x14ac:dyDescent="0.25">
      <c r="A4202" t="s">
        <v>26</v>
      </c>
      <c r="B4202" t="s">
        <v>27</v>
      </c>
      <c r="C4202" t="s">
        <v>28</v>
      </c>
      <c r="D4202">
        <v>77</v>
      </c>
      <c r="E4202" s="5">
        <v>43491</v>
      </c>
      <c r="F4202">
        <v>73052701</v>
      </c>
      <c r="G4202" t="s">
        <v>1071</v>
      </c>
      <c r="H4202" t="s">
        <v>1141</v>
      </c>
      <c r="I4202" t="s">
        <v>1142</v>
      </c>
      <c r="J4202">
        <v>1001</v>
      </c>
      <c r="K4202">
        <v>5001</v>
      </c>
      <c r="L4202" s="3">
        <v>826243</v>
      </c>
      <c r="M4202" s="3">
        <v>58219</v>
      </c>
      <c r="N4202">
        <v>0</v>
      </c>
      <c r="O4202">
        <v>0</v>
      </c>
      <c r="P4202">
        <v>884462</v>
      </c>
      <c r="Q4202" t="s">
        <v>30</v>
      </c>
      <c r="R4202" t="s">
        <v>202</v>
      </c>
      <c r="S4202" t="str">
        <v>#N/A</v>
      </c>
      <c r="T4202" t="str">
        <v>13</v>
      </c>
    </row>
    <row r="4203" spans="1:20" ht="13.7" customHeight="1" x14ac:dyDescent="0.25">
      <c r="A4203" t="s">
        <v>26</v>
      </c>
      <c r="B4203" t="s">
        <v>27</v>
      </c>
      <c r="C4203" t="s">
        <v>32</v>
      </c>
      <c r="D4203">
        <v>60</v>
      </c>
      <c r="E4203" s="5">
        <v>43505</v>
      </c>
      <c r="F4203">
        <v>73052701</v>
      </c>
      <c r="G4203" t="s">
        <v>1071</v>
      </c>
      <c r="H4203" t="s">
        <v>1141</v>
      </c>
      <c r="I4203" t="s">
        <v>1142</v>
      </c>
      <c r="J4203">
        <v>1001</v>
      </c>
      <c r="K4203">
        <v>5001</v>
      </c>
      <c r="L4203" s="3">
        <v>884462</v>
      </c>
      <c r="M4203" s="3">
        <v>45282</v>
      </c>
      <c r="N4203">
        <v>0</v>
      </c>
      <c r="O4203">
        <v>0</v>
      </c>
      <c r="P4203">
        <v>929744</v>
      </c>
      <c r="Q4203" t="s">
        <v>30</v>
      </c>
      <c r="R4203" t="s">
        <v>215</v>
      </c>
      <c r="S4203" t="str">
        <v>#N/A</v>
      </c>
      <c r="T4203" t="str">
        <v>13</v>
      </c>
    </row>
    <row r="4204" spans="1:20" ht="13.7" customHeight="1" x14ac:dyDescent="0.25">
      <c r="A4204" t="s">
        <v>26</v>
      </c>
      <c r="B4204" t="s">
        <v>27</v>
      </c>
      <c r="C4204" t="s">
        <v>32</v>
      </c>
      <c r="D4204">
        <v>61</v>
      </c>
      <c r="E4204" s="5">
        <v>43519</v>
      </c>
      <c r="F4204">
        <v>73052701</v>
      </c>
      <c r="G4204" t="s">
        <v>1071</v>
      </c>
      <c r="H4204" t="s">
        <v>1141</v>
      </c>
      <c r="I4204" t="s">
        <v>1142</v>
      </c>
      <c r="J4204">
        <v>1001</v>
      </c>
      <c r="K4204">
        <v>5001</v>
      </c>
      <c r="L4204" s="3">
        <v>929744</v>
      </c>
      <c r="M4204" s="3">
        <v>45282</v>
      </c>
      <c r="N4204">
        <v>0</v>
      </c>
      <c r="O4204">
        <v>0</v>
      </c>
      <c r="P4204">
        <v>975026</v>
      </c>
      <c r="Q4204" t="s">
        <v>30</v>
      </c>
      <c r="R4204" t="s">
        <v>226</v>
      </c>
      <c r="S4204" t="str">
        <v>#N/A</v>
      </c>
      <c r="T4204" t="str">
        <v>13</v>
      </c>
    </row>
    <row r="4205" spans="1:20" ht="13.7" customHeight="1" x14ac:dyDescent="0.25">
      <c r="A4205" t="s">
        <v>26</v>
      </c>
      <c r="B4205" t="s">
        <v>27</v>
      </c>
      <c r="C4205" t="s">
        <v>91</v>
      </c>
      <c r="D4205">
        <v>79</v>
      </c>
      <c r="E4205" s="5">
        <v>43533</v>
      </c>
      <c r="F4205">
        <v>73052701</v>
      </c>
      <c r="G4205" t="s">
        <v>1071</v>
      </c>
      <c r="H4205" t="s">
        <v>1141</v>
      </c>
      <c r="I4205" t="s">
        <v>1142</v>
      </c>
      <c r="J4205">
        <v>1001</v>
      </c>
      <c r="K4205">
        <v>5001</v>
      </c>
      <c r="L4205" s="3">
        <v>975026</v>
      </c>
      <c r="M4205" s="3">
        <v>45282</v>
      </c>
      <c r="N4205">
        <v>0</v>
      </c>
      <c r="O4205">
        <v>0</v>
      </c>
      <c r="P4205">
        <v>1020308</v>
      </c>
      <c r="Q4205" t="s">
        <v>30</v>
      </c>
      <c r="R4205" t="s">
        <v>236</v>
      </c>
      <c r="S4205" t="str">
        <v>#N/A</v>
      </c>
      <c r="T4205" t="str">
        <v>13</v>
      </c>
    </row>
    <row r="4206" spans="1:20" ht="13.7" customHeight="1" x14ac:dyDescent="0.25">
      <c r="A4206" t="s">
        <v>26</v>
      </c>
      <c r="B4206" t="s">
        <v>27</v>
      </c>
      <c r="C4206" t="s">
        <v>91</v>
      </c>
      <c r="D4206">
        <v>80</v>
      </c>
      <c r="E4206" s="5">
        <v>43547</v>
      </c>
      <c r="F4206">
        <v>73052701</v>
      </c>
      <c r="G4206" t="s">
        <v>1071</v>
      </c>
      <c r="H4206" t="s">
        <v>1141</v>
      </c>
      <c r="I4206" t="s">
        <v>1142</v>
      </c>
      <c r="J4206">
        <v>1001</v>
      </c>
      <c r="K4206">
        <v>5001</v>
      </c>
      <c r="L4206" s="3">
        <v>1020308</v>
      </c>
      <c r="M4206" s="3">
        <v>45282</v>
      </c>
      <c r="N4206">
        <v>0</v>
      </c>
      <c r="O4206">
        <v>0</v>
      </c>
      <c r="P4206">
        <v>1065590</v>
      </c>
      <c r="Q4206" t="s">
        <v>30</v>
      </c>
      <c r="R4206" t="s">
        <v>244</v>
      </c>
      <c r="S4206" t="str">
        <v>#N/A</v>
      </c>
      <c r="T4206" t="str">
        <v>13</v>
      </c>
    </row>
    <row r="4207" spans="1:20" ht="13.7" customHeight="1" x14ac:dyDescent="0.25">
      <c r="A4207" t="s">
        <v>26</v>
      </c>
      <c r="B4207" t="s">
        <v>27</v>
      </c>
      <c r="C4207" t="s">
        <v>34</v>
      </c>
      <c r="D4207">
        <v>71</v>
      </c>
      <c r="E4207" s="5">
        <v>43561</v>
      </c>
      <c r="F4207">
        <v>73052701</v>
      </c>
      <c r="G4207" t="s">
        <v>1071</v>
      </c>
      <c r="H4207" t="s">
        <v>1141</v>
      </c>
      <c r="I4207" t="s">
        <v>1142</v>
      </c>
      <c r="J4207">
        <v>1001</v>
      </c>
      <c r="K4207">
        <v>5001</v>
      </c>
      <c r="L4207" s="3">
        <v>1065590</v>
      </c>
      <c r="M4207" s="3">
        <v>45282</v>
      </c>
      <c r="N4207">
        <v>0</v>
      </c>
      <c r="O4207">
        <v>0</v>
      </c>
      <c r="P4207">
        <v>1110872</v>
      </c>
      <c r="Q4207" t="s">
        <v>30</v>
      </c>
      <c r="R4207" t="s">
        <v>244</v>
      </c>
      <c r="S4207" t="str">
        <v>#N/A</v>
      </c>
      <c r="T4207" t="str">
        <v>13</v>
      </c>
    </row>
    <row r="4208" spans="1:20" ht="13.7" customHeight="1" x14ac:dyDescent="0.25">
      <c r="A4208" t="s">
        <v>26</v>
      </c>
      <c r="B4208" t="s">
        <v>27</v>
      </c>
      <c r="C4208" t="s">
        <v>34</v>
      </c>
      <c r="D4208">
        <v>72</v>
      </c>
      <c r="E4208" s="5">
        <v>43575</v>
      </c>
      <c r="F4208">
        <v>73052701</v>
      </c>
      <c r="G4208" t="s">
        <v>1071</v>
      </c>
      <c r="H4208" t="s">
        <v>1141</v>
      </c>
      <c r="I4208" t="s">
        <v>1142</v>
      </c>
      <c r="J4208">
        <v>1001</v>
      </c>
      <c r="K4208">
        <v>5001</v>
      </c>
      <c r="L4208" s="3">
        <v>1110872</v>
      </c>
      <c r="M4208" s="3">
        <v>45282</v>
      </c>
      <c r="N4208">
        <v>0</v>
      </c>
      <c r="O4208">
        <v>0</v>
      </c>
      <c r="P4208">
        <v>1156154</v>
      </c>
      <c r="Q4208" t="s">
        <v>30</v>
      </c>
      <c r="R4208" t="s">
        <v>254</v>
      </c>
      <c r="S4208" t="str">
        <v>#N/A</v>
      </c>
      <c r="T4208" t="str">
        <v>13</v>
      </c>
    </row>
    <row r="4209" spans="1:20" ht="13.7" customHeight="1" x14ac:dyDescent="0.25">
      <c r="A4209" t="s">
        <v>26</v>
      </c>
      <c r="B4209" t="s">
        <v>27</v>
      </c>
      <c r="C4209" t="s">
        <v>35</v>
      </c>
      <c r="D4209">
        <v>97</v>
      </c>
      <c r="E4209" s="5">
        <v>43589</v>
      </c>
      <c r="F4209">
        <v>73052701</v>
      </c>
      <c r="G4209" t="s">
        <v>1071</v>
      </c>
      <c r="H4209" t="s">
        <v>1141</v>
      </c>
      <c r="I4209" t="s">
        <v>1142</v>
      </c>
      <c r="J4209">
        <v>1001</v>
      </c>
      <c r="K4209">
        <v>5001</v>
      </c>
      <c r="L4209" s="3">
        <v>1156154</v>
      </c>
      <c r="M4209" s="3">
        <v>45282</v>
      </c>
      <c r="N4209">
        <v>0</v>
      </c>
      <c r="O4209">
        <v>0</v>
      </c>
      <c r="P4209">
        <v>1201436</v>
      </c>
      <c r="Q4209" t="s">
        <v>30</v>
      </c>
      <c r="R4209" t="s">
        <v>256</v>
      </c>
      <c r="S4209" t="str">
        <v>#N/A</v>
      </c>
      <c r="T4209" t="str">
        <v>13</v>
      </c>
    </row>
    <row r="4210" spans="1:20" ht="13.7" customHeight="1" x14ac:dyDescent="0.25">
      <c r="A4210" t="s">
        <v>26</v>
      </c>
      <c r="B4210" t="s">
        <v>27</v>
      </c>
      <c r="C4210" t="s">
        <v>35</v>
      </c>
      <c r="D4210">
        <v>98</v>
      </c>
      <c r="E4210" s="5">
        <v>43603</v>
      </c>
      <c r="F4210">
        <v>73052701</v>
      </c>
      <c r="G4210" t="s">
        <v>1071</v>
      </c>
      <c r="H4210" t="s">
        <v>1141</v>
      </c>
      <c r="I4210" t="s">
        <v>1142</v>
      </c>
      <c r="J4210">
        <v>1001</v>
      </c>
      <c r="K4210">
        <v>5001</v>
      </c>
      <c r="L4210" s="3">
        <v>1201436</v>
      </c>
      <c r="M4210" s="3">
        <v>45282</v>
      </c>
      <c r="N4210">
        <v>0</v>
      </c>
      <c r="O4210">
        <v>0</v>
      </c>
      <c r="P4210">
        <v>1246718</v>
      </c>
      <c r="Q4210" t="s">
        <v>30</v>
      </c>
      <c r="R4210" t="s">
        <v>261</v>
      </c>
      <c r="S4210" t="str">
        <v>#N/A</v>
      </c>
      <c r="T4210" t="str">
        <v>13</v>
      </c>
    </row>
    <row r="4211" spans="1:20" ht="13.7" customHeight="1" x14ac:dyDescent="0.25">
      <c r="A4211" t="s">
        <v>26</v>
      </c>
      <c r="B4211" t="s">
        <v>27</v>
      </c>
      <c r="C4211" t="s">
        <v>36</v>
      </c>
      <c r="D4211">
        <v>70</v>
      </c>
      <c r="E4211" s="5">
        <v>43617</v>
      </c>
      <c r="F4211">
        <v>73052701</v>
      </c>
      <c r="G4211" t="s">
        <v>1071</v>
      </c>
      <c r="H4211" t="s">
        <v>1141</v>
      </c>
      <c r="I4211" t="s">
        <v>1142</v>
      </c>
      <c r="J4211">
        <v>1001</v>
      </c>
      <c r="K4211">
        <v>5001</v>
      </c>
      <c r="L4211" s="3">
        <v>1246718</v>
      </c>
      <c r="M4211" s="3">
        <v>45282</v>
      </c>
      <c r="N4211">
        <v>0</v>
      </c>
      <c r="O4211">
        <v>0</v>
      </c>
      <c r="P4211">
        <v>1292000</v>
      </c>
      <c r="Q4211" t="s">
        <v>30</v>
      </c>
      <c r="R4211" t="s">
        <v>264</v>
      </c>
      <c r="S4211" t="str">
        <v>#N/A</v>
      </c>
      <c r="T4211" t="str">
        <v>13</v>
      </c>
    </row>
    <row r="4212" spans="1:20" ht="13.7" customHeight="1" x14ac:dyDescent="0.25">
      <c r="A4212" t="s">
        <v>26</v>
      </c>
      <c r="B4212" t="s">
        <v>27</v>
      </c>
      <c r="C4212" t="s">
        <v>36</v>
      </c>
      <c r="D4212">
        <v>71</v>
      </c>
      <c r="E4212" s="5">
        <v>43631</v>
      </c>
      <c r="F4212">
        <v>73052701</v>
      </c>
      <c r="G4212" t="s">
        <v>1071</v>
      </c>
      <c r="H4212" t="s">
        <v>1141</v>
      </c>
      <c r="I4212" t="s">
        <v>1142</v>
      </c>
      <c r="J4212">
        <v>1001</v>
      </c>
      <c r="K4212">
        <v>5001</v>
      </c>
      <c r="L4212" s="3">
        <v>1292000</v>
      </c>
      <c r="M4212" s="3">
        <v>45282</v>
      </c>
      <c r="N4212">
        <v>0</v>
      </c>
      <c r="O4212">
        <v>0</v>
      </c>
      <c r="P4212">
        <v>1337282</v>
      </c>
      <c r="Q4212" t="s">
        <v>30</v>
      </c>
      <c r="R4212" t="s">
        <v>270</v>
      </c>
      <c r="S4212" t="str">
        <v>#N/A</v>
      </c>
      <c r="T4212" t="str">
        <v>13</v>
      </c>
    </row>
    <row r="4213" spans="1:20" ht="13.7" customHeight="1" x14ac:dyDescent="0.25">
      <c r="A4213" t="s">
        <v>26</v>
      </c>
      <c r="B4213" t="s">
        <v>27</v>
      </c>
      <c r="C4213" t="s">
        <v>36</v>
      </c>
      <c r="D4213">
        <v>73</v>
      </c>
      <c r="E4213" s="5">
        <v>43642</v>
      </c>
      <c r="F4213">
        <v>73052701</v>
      </c>
      <c r="G4213" t="s">
        <v>1071</v>
      </c>
      <c r="H4213" t="s">
        <v>1141</v>
      </c>
      <c r="I4213" t="s">
        <v>1142</v>
      </c>
      <c r="J4213">
        <v>1001</v>
      </c>
      <c r="K4213">
        <v>5001</v>
      </c>
      <c r="L4213" s="3">
        <v>1337282</v>
      </c>
      <c r="M4213" s="3">
        <v>45282</v>
      </c>
      <c r="N4213">
        <v>0</v>
      </c>
      <c r="O4213">
        <v>0</v>
      </c>
      <c r="P4213">
        <v>1382564</v>
      </c>
      <c r="Q4213" t="s">
        <v>30</v>
      </c>
      <c r="R4213" t="s">
        <v>274</v>
      </c>
      <c r="S4213" t="str">
        <v>#N/A</v>
      </c>
      <c r="T4213" t="str">
        <v>13</v>
      </c>
    </row>
    <row r="4214" spans="1:20" ht="13.7" customHeight="1" x14ac:dyDescent="0.25">
      <c r="A4214" t="s">
        <v>26</v>
      </c>
      <c r="B4214" t="s">
        <v>27</v>
      </c>
      <c r="C4214" t="s">
        <v>37</v>
      </c>
      <c r="D4214">
        <v>66</v>
      </c>
      <c r="E4214" s="5">
        <v>43659</v>
      </c>
      <c r="F4214">
        <v>73052701</v>
      </c>
      <c r="G4214" t="s">
        <v>1071</v>
      </c>
      <c r="H4214" t="s">
        <v>1141</v>
      </c>
      <c r="I4214" t="s">
        <v>1142</v>
      </c>
      <c r="J4214">
        <v>1001</v>
      </c>
      <c r="K4214">
        <v>5001</v>
      </c>
      <c r="L4214" s="3">
        <v>1382564</v>
      </c>
      <c r="M4214" s="3">
        <v>45282</v>
      </c>
      <c r="N4214">
        <v>0</v>
      </c>
      <c r="O4214">
        <v>0</v>
      </c>
      <c r="P4214">
        <v>1427846</v>
      </c>
      <c r="Q4214" t="s">
        <v>30</v>
      </c>
      <c r="R4214" t="s">
        <v>279</v>
      </c>
      <c r="S4214" t="str">
        <v>#N/A</v>
      </c>
      <c r="T4214" t="str">
        <v>13</v>
      </c>
    </row>
    <row r="4215" spans="1:20" ht="13.7" customHeight="1" x14ac:dyDescent="0.25">
      <c r="A4215" t="s">
        <v>26</v>
      </c>
      <c r="B4215" t="s">
        <v>27</v>
      </c>
      <c r="C4215" t="s">
        <v>37</v>
      </c>
      <c r="D4215">
        <v>67</v>
      </c>
      <c r="E4215" s="5">
        <v>43673</v>
      </c>
      <c r="F4215">
        <v>73052701</v>
      </c>
      <c r="G4215" t="s">
        <v>1071</v>
      </c>
      <c r="H4215" t="s">
        <v>1141</v>
      </c>
      <c r="I4215" t="s">
        <v>1142</v>
      </c>
      <c r="J4215">
        <v>1001</v>
      </c>
      <c r="K4215">
        <v>5001</v>
      </c>
      <c r="L4215" s="3">
        <v>1427846</v>
      </c>
      <c r="M4215" s="3">
        <v>45282</v>
      </c>
      <c r="N4215">
        <v>0</v>
      </c>
      <c r="O4215">
        <v>0</v>
      </c>
      <c r="P4215">
        <v>1473128</v>
      </c>
      <c r="Q4215" t="s">
        <v>30</v>
      </c>
      <c r="R4215" t="s">
        <v>282</v>
      </c>
      <c r="S4215" t="str">
        <v>#N/A</v>
      </c>
      <c r="T4215" t="str">
        <v>13</v>
      </c>
    </row>
    <row r="4216" spans="1:20" ht="13.7" customHeight="1" x14ac:dyDescent="0.25">
      <c r="A4216" t="s">
        <v>26</v>
      </c>
      <c r="B4216" t="s">
        <v>27</v>
      </c>
      <c r="C4216" t="s">
        <v>38</v>
      </c>
      <c r="D4216">
        <v>56</v>
      </c>
      <c r="E4216" s="5">
        <v>43687</v>
      </c>
      <c r="F4216">
        <v>73052701</v>
      </c>
      <c r="G4216" t="s">
        <v>1071</v>
      </c>
      <c r="H4216" t="s">
        <v>1141</v>
      </c>
      <c r="I4216" t="s">
        <v>1142</v>
      </c>
      <c r="J4216">
        <v>1001</v>
      </c>
      <c r="K4216">
        <v>5001</v>
      </c>
      <c r="L4216" s="3">
        <v>1473128</v>
      </c>
      <c r="M4216" s="3">
        <v>45282</v>
      </c>
      <c r="N4216">
        <v>0</v>
      </c>
      <c r="O4216">
        <v>0</v>
      </c>
      <c r="P4216">
        <v>1518410</v>
      </c>
      <c r="Q4216" t="s">
        <v>30</v>
      </c>
      <c r="R4216" t="s">
        <v>284</v>
      </c>
      <c r="S4216" t="str">
        <v>#N/A</v>
      </c>
      <c r="T4216" t="str">
        <v>13</v>
      </c>
    </row>
    <row r="4217" spans="1:20" ht="13.7" customHeight="1" x14ac:dyDescent="0.25">
      <c r="A4217" t="s">
        <v>26</v>
      </c>
      <c r="B4217" t="s">
        <v>27</v>
      </c>
      <c r="C4217" t="s">
        <v>38</v>
      </c>
      <c r="D4217">
        <v>57</v>
      </c>
      <c r="E4217" s="5">
        <v>43701</v>
      </c>
      <c r="F4217">
        <v>73052701</v>
      </c>
      <c r="G4217" t="s">
        <v>1071</v>
      </c>
      <c r="H4217" t="s">
        <v>1141</v>
      </c>
      <c r="I4217" t="s">
        <v>1142</v>
      </c>
      <c r="J4217">
        <v>1001</v>
      </c>
      <c r="K4217">
        <v>5001</v>
      </c>
      <c r="L4217" s="3">
        <v>1518410</v>
      </c>
      <c r="M4217" s="3">
        <v>45282</v>
      </c>
      <c r="N4217">
        <v>0</v>
      </c>
      <c r="O4217">
        <v>0</v>
      </c>
      <c r="P4217">
        <v>1563692</v>
      </c>
      <c r="Q4217" t="s">
        <v>30</v>
      </c>
      <c r="R4217" t="s">
        <v>287</v>
      </c>
      <c r="S4217" t="str">
        <v>#N/A</v>
      </c>
      <c r="T4217" t="str">
        <v>13</v>
      </c>
    </row>
    <row r="4218" spans="1:20" ht="13.7" customHeight="1" x14ac:dyDescent="0.25">
      <c r="A4218" t="s">
        <v>26</v>
      </c>
      <c r="B4218" t="s">
        <v>27</v>
      </c>
      <c r="C4218" t="s">
        <v>39</v>
      </c>
      <c r="D4218">
        <v>68</v>
      </c>
      <c r="E4218" s="5">
        <v>43715</v>
      </c>
      <c r="F4218">
        <v>73052701</v>
      </c>
      <c r="G4218" t="s">
        <v>1071</v>
      </c>
      <c r="H4218" t="s">
        <v>1141</v>
      </c>
      <c r="I4218" t="s">
        <v>1142</v>
      </c>
      <c r="J4218">
        <v>1001</v>
      </c>
      <c r="K4218">
        <v>5001</v>
      </c>
      <c r="L4218" s="3">
        <v>1563692</v>
      </c>
      <c r="M4218" s="3">
        <v>45282</v>
      </c>
      <c r="N4218">
        <v>0</v>
      </c>
      <c r="O4218">
        <v>0</v>
      </c>
      <c r="P4218">
        <v>1608974</v>
      </c>
      <c r="Q4218" t="s">
        <v>30</v>
      </c>
      <c r="R4218" t="s">
        <v>288</v>
      </c>
      <c r="S4218" t="str">
        <v>#N/A</v>
      </c>
      <c r="T4218" t="str">
        <v>13</v>
      </c>
    </row>
    <row r="4219" spans="1:20" ht="13.7" customHeight="1" x14ac:dyDescent="0.25">
      <c r="A4219" t="s">
        <v>26</v>
      </c>
      <c r="B4219" t="s">
        <v>27</v>
      </c>
      <c r="C4219" t="s">
        <v>39</v>
      </c>
      <c r="D4219">
        <v>69</v>
      </c>
      <c r="E4219" s="5">
        <v>43729</v>
      </c>
      <c r="F4219">
        <v>73052701</v>
      </c>
      <c r="G4219" t="s">
        <v>1071</v>
      </c>
      <c r="H4219" t="s">
        <v>1141</v>
      </c>
      <c r="I4219" t="s">
        <v>1142</v>
      </c>
      <c r="J4219">
        <v>1001</v>
      </c>
      <c r="K4219">
        <v>5001</v>
      </c>
      <c r="L4219" s="3">
        <v>1608974</v>
      </c>
      <c r="M4219" s="3">
        <v>45282</v>
      </c>
      <c r="N4219">
        <v>0</v>
      </c>
      <c r="O4219">
        <v>0</v>
      </c>
      <c r="P4219">
        <v>1654256</v>
      </c>
      <c r="Q4219" t="s">
        <v>30</v>
      </c>
      <c r="R4219" t="s">
        <v>291</v>
      </c>
      <c r="S4219" t="str">
        <v>#N/A</v>
      </c>
      <c r="T4219" t="str">
        <v>13</v>
      </c>
    </row>
    <row r="4220" spans="1:20" ht="13.7" customHeight="1" x14ac:dyDescent="0.25">
      <c r="A4220" t="s">
        <v>26</v>
      </c>
      <c r="B4220" t="s">
        <v>27</v>
      </c>
      <c r="C4220" t="s">
        <v>40</v>
      </c>
      <c r="D4220">
        <v>61</v>
      </c>
      <c r="E4220" s="5">
        <v>43743</v>
      </c>
      <c r="F4220">
        <v>73052701</v>
      </c>
      <c r="G4220" t="s">
        <v>1071</v>
      </c>
      <c r="H4220" t="s">
        <v>1141</v>
      </c>
      <c r="I4220" t="s">
        <v>1142</v>
      </c>
      <c r="J4220">
        <v>1001</v>
      </c>
      <c r="K4220">
        <v>5001</v>
      </c>
      <c r="L4220" s="3">
        <v>1654256</v>
      </c>
      <c r="M4220" s="3">
        <v>45282</v>
      </c>
      <c r="N4220">
        <v>0</v>
      </c>
      <c r="O4220">
        <v>0</v>
      </c>
      <c r="P4220">
        <v>1699538</v>
      </c>
      <c r="Q4220" t="s">
        <v>30</v>
      </c>
      <c r="R4220" t="s">
        <v>293</v>
      </c>
      <c r="S4220" t="str">
        <v>#N/A</v>
      </c>
      <c r="T4220" t="str">
        <v>13</v>
      </c>
    </row>
    <row r="4221" spans="1:20" ht="13.7" customHeight="1" x14ac:dyDescent="0.25">
      <c r="A4221" t="s">
        <v>26</v>
      </c>
      <c r="B4221" t="s">
        <v>27</v>
      </c>
      <c r="C4221" t="s">
        <v>40</v>
      </c>
      <c r="D4221">
        <v>62</v>
      </c>
      <c r="E4221" s="5">
        <v>43757</v>
      </c>
      <c r="F4221">
        <v>73052701</v>
      </c>
      <c r="G4221" t="s">
        <v>1071</v>
      </c>
      <c r="H4221" t="s">
        <v>1141</v>
      </c>
      <c r="I4221" t="s">
        <v>1142</v>
      </c>
      <c r="J4221">
        <v>1001</v>
      </c>
      <c r="K4221">
        <v>5001</v>
      </c>
      <c r="L4221" s="3">
        <v>1699538</v>
      </c>
      <c r="M4221" s="3">
        <v>45282</v>
      </c>
      <c r="N4221">
        <v>0</v>
      </c>
      <c r="O4221">
        <v>0</v>
      </c>
      <c r="P4221">
        <v>1744820</v>
      </c>
      <c r="Q4221" t="s">
        <v>30</v>
      </c>
      <c r="R4221" t="s">
        <v>299</v>
      </c>
      <c r="S4221" t="str">
        <v>#N/A</v>
      </c>
      <c r="T4221" t="str">
        <v>13</v>
      </c>
    </row>
    <row r="4222" spans="1:20" ht="13.7" customHeight="1" x14ac:dyDescent="0.25">
      <c r="A4222" t="s">
        <v>26</v>
      </c>
      <c r="B4222" t="s">
        <v>27</v>
      </c>
      <c r="C4222" t="s">
        <v>41</v>
      </c>
      <c r="D4222">
        <v>76</v>
      </c>
      <c r="E4222" s="5">
        <v>43771</v>
      </c>
      <c r="F4222">
        <v>73052701</v>
      </c>
      <c r="G4222" t="s">
        <v>1071</v>
      </c>
      <c r="H4222" t="s">
        <v>1141</v>
      </c>
      <c r="I4222" t="s">
        <v>1142</v>
      </c>
      <c r="J4222">
        <v>1001</v>
      </c>
      <c r="K4222">
        <v>5001</v>
      </c>
      <c r="L4222" s="3">
        <v>1744820</v>
      </c>
      <c r="M4222" s="3">
        <v>45282</v>
      </c>
      <c r="N4222">
        <v>0</v>
      </c>
      <c r="O4222">
        <v>0</v>
      </c>
      <c r="P4222">
        <v>1790102</v>
      </c>
      <c r="Q4222" t="s">
        <v>30</v>
      </c>
      <c r="R4222" t="s">
        <v>301</v>
      </c>
      <c r="S4222" t="str">
        <v>#N/A</v>
      </c>
      <c r="T4222" t="str">
        <v>13</v>
      </c>
    </row>
    <row r="4223" spans="1:20" ht="13.7" customHeight="1" x14ac:dyDescent="0.25">
      <c r="A4223" t="s">
        <v>26</v>
      </c>
      <c r="B4223" t="s">
        <v>27</v>
      </c>
      <c r="C4223" t="s">
        <v>41</v>
      </c>
      <c r="D4223">
        <v>77</v>
      </c>
      <c r="E4223" s="5">
        <v>43785</v>
      </c>
      <c r="F4223">
        <v>73052701</v>
      </c>
      <c r="G4223" t="s">
        <v>1071</v>
      </c>
      <c r="H4223" t="s">
        <v>1141</v>
      </c>
      <c r="I4223" t="s">
        <v>1142</v>
      </c>
      <c r="J4223">
        <v>1001</v>
      </c>
      <c r="K4223">
        <v>5001</v>
      </c>
      <c r="L4223" s="3">
        <v>1790102</v>
      </c>
      <c r="M4223" s="3">
        <v>45282</v>
      </c>
      <c r="N4223">
        <v>0</v>
      </c>
      <c r="O4223">
        <v>0</v>
      </c>
      <c r="P4223">
        <v>1835384</v>
      </c>
      <c r="Q4223" t="s">
        <v>30</v>
      </c>
      <c r="R4223" t="s">
        <v>305</v>
      </c>
      <c r="S4223" t="str">
        <v>#N/A</v>
      </c>
      <c r="T4223" t="str">
        <v>13</v>
      </c>
    </row>
    <row r="4224" spans="1:20" ht="13.7" customHeight="1" x14ac:dyDescent="0.25">
      <c r="A4224" t="s">
        <v>26</v>
      </c>
      <c r="B4224" t="s">
        <v>27</v>
      </c>
      <c r="C4224" t="s">
        <v>41</v>
      </c>
      <c r="D4224">
        <v>78</v>
      </c>
      <c r="E4224" s="5">
        <v>43799</v>
      </c>
      <c r="F4224">
        <v>73052701</v>
      </c>
      <c r="G4224" t="s">
        <v>1071</v>
      </c>
      <c r="H4224" t="s">
        <v>1141</v>
      </c>
      <c r="I4224" t="s">
        <v>1142</v>
      </c>
      <c r="J4224">
        <v>1001</v>
      </c>
      <c r="K4224">
        <v>5001</v>
      </c>
      <c r="L4224" s="3">
        <v>1835384</v>
      </c>
      <c r="M4224" s="3">
        <v>45282</v>
      </c>
      <c r="N4224">
        <v>0</v>
      </c>
      <c r="O4224">
        <v>0</v>
      </c>
      <c r="P4224">
        <v>1880666</v>
      </c>
      <c r="Q4224" t="s">
        <v>30</v>
      </c>
      <c r="R4224" t="s">
        <v>309</v>
      </c>
      <c r="S4224" t="str">
        <v>#N/A</v>
      </c>
      <c r="T4224" t="str">
        <v>13</v>
      </c>
    </row>
    <row r="4225" spans="1:20" ht="13.7" customHeight="1" x14ac:dyDescent="0.25">
      <c r="A4225" t="s">
        <v>26</v>
      </c>
      <c r="B4225" t="s">
        <v>27</v>
      </c>
      <c r="C4225" t="s">
        <v>180</v>
      </c>
      <c r="D4225">
        <v>1</v>
      </c>
      <c r="E4225" s="5">
        <v>43813</v>
      </c>
      <c r="F4225">
        <v>73052701</v>
      </c>
      <c r="G4225" t="s">
        <v>1071</v>
      </c>
      <c r="H4225" t="s">
        <v>1141</v>
      </c>
      <c r="I4225" t="s">
        <v>1142</v>
      </c>
      <c r="J4225">
        <v>1001</v>
      </c>
      <c r="K4225">
        <v>5001</v>
      </c>
      <c r="L4225" s="3">
        <v>1880666</v>
      </c>
      <c r="M4225" s="3">
        <v>45282</v>
      </c>
      <c r="N4225">
        <v>0</v>
      </c>
      <c r="O4225">
        <v>0</v>
      </c>
      <c r="P4225">
        <v>1925948</v>
      </c>
      <c r="Q4225" t="s">
        <v>30</v>
      </c>
      <c r="R4225" t="s">
        <v>316</v>
      </c>
      <c r="S4225" t="str">
        <v>#N/A</v>
      </c>
      <c r="T4225" t="str">
        <v>13</v>
      </c>
    </row>
    <row r="4226" spans="1:20" ht="13.7" customHeight="1" x14ac:dyDescent="0.25">
      <c r="A4226" t="s">
        <v>26</v>
      </c>
      <c r="B4226" t="s">
        <v>27</v>
      </c>
      <c r="C4226" t="s">
        <v>180</v>
      </c>
      <c r="D4226">
        <v>90</v>
      </c>
      <c r="E4226" s="5">
        <v>43819</v>
      </c>
      <c r="F4226">
        <v>73052701</v>
      </c>
      <c r="G4226" t="s">
        <v>1071</v>
      </c>
      <c r="H4226" t="s">
        <v>1141</v>
      </c>
      <c r="I4226" t="s">
        <v>1142</v>
      </c>
      <c r="J4226" t="e">
        <v>#N/A</v>
      </c>
      <c r="K4226" t="e">
        <v>#N/A</v>
      </c>
      <c r="L4226" s="3">
        <v>1925948</v>
      </c>
      <c r="M4226" s="3">
        <v>22641</v>
      </c>
      <c r="N4226">
        <v>0</v>
      </c>
      <c r="O4226">
        <v>0</v>
      </c>
      <c r="P4226">
        <v>1948589</v>
      </c>
      <c r="Q4226" t="s">
        <v>30</v>
      </c>
      <c r="R4226" t="s">
        <v>1503</v>
      </c>
      <c r="S4226" t="str">
        <v>#N/A</v>
      </c>
      <c r="T4226" t="str">
        <v>13</v>
      </c>
    </row>
    <row r="4227" spans="1:20" ht="13.7" customHeight="1" x14ac:dyDescent="0.25">
      <c r="E4227" s="5">
        <v>43465</v>
      </c>
      <c r="F4227">
        <v>73052701</v>
      </c>
      <c r="G4227" t="s">
        <v>1071</v>
      </c>
      <c r="H4227" t="s">
        <v>1149</v>
      </c>
      <c r="I4227" t="s">
        <v>1150</v>
      </c>
      <c r="J4227">
        <v>0</v>
      </c>
      <c r="K4227">
        <v>0</v>
      </c>
      <c r="L4227" s="3">
        <v>1017364</v>
      </c>
      <c r="M4227" s="3">
        <v>0</v>
      </c>
      <c r="N4227">
        <v>0</v>
      </c>
      <c r="O4227">
        <v>0</v>
      </c>
      <c r="P4227">
        <v>1017364</v>
      </c>
      <c r="R4227" t="s">
        <v>1100</v>
      </c>
      <c r="S4227" t="str">
        <v>#N/A</v>
      </c>
      <c r="T4227" t="str">
        <v>13</v>
      </c>
    </row>
    <row r="4228" spans="1:20" ht="13.7" customHeight="1" x14ac:dyDescent="0.25">
      <c r="A4228" t="s">
        <v>26</v>
      </c>
      <c r="B4228" t="s">
        <v>27</v>
      </c>
      <c r="C4228" t="s">
        <v>28</v>
      </c>
      <c r="D4228">
        <v>77</v>
      </c>
      <c r="E4228" s="5">
        <v>43491</v>
      </c>
      <c r="F4228">
        <v>73052701</v>
      </c>
      <c r="G4228" t="s">
        <v>1071</v>
      </c>
      <c r="H4228" t="s">
        <v>1149</v>
      </c>
      <c r="I4228" t="s">
        <v>1150</v>
      </c>
      <c r="J4228">
        <v>1001</v>
      </c>
      <c r="K4228">
        <v>5001</v>
      </c>
      <c r="L4228" s="3">
        <v>1017364</v>
      </c>
      <c r="M4228" s="3">
        <v>45282</v>
      </c>
      <c r="N4228">
        <v>0</v>
      </c>
      <c r="O4228">
        <v>0</v>
      </c>
      <c r="P4228">
        <v>1062646</v>
      </c>
      <c r="Q4228" t="s">
        <v>30</v>
      </c>
      <c r="R4228" t="s">
        <v>202</v>
      </c>
      <c r="S4228" t="str">
        <v>#N/A</v>
      </c>
      <c r="T4228" t="str">
        <v>13</v>
      </c>
    </row>
    <row r="4229" spans="1:20" ht="13.7" customHeight="1" x14ac:dyDescent="0.25">
      <c r="A4229" t="s">
        <v>26</v>
      </c>
      <c r="B4229" t="s">
        <v>27</v>
      </c>
      <c r="C4229" t="s">
        <v>32</v>
      </c>
      <c r="D4229">
        <v>60</v>
      </c>
      <c r="E4229" s="5">
        <v>43505</v>
      </c>
      <c r="F4229">
        <v>73052701</v>
      </c>
      <c r="G4229" t="s">
        <v>1071</v>
      </c>
      <c r="H4229" t="s">
        <v>1149</v>
      </c>
      <c r="I4229" t="s">
        <v>1150</v>
      </c>
      <c r="J4229">
        <v>1001</v>
      </c>
      <c r="K4229">
        <v>5001</v>
      </c>
      <c r="L4229" s="3">
        <v>1062646</v>
      </c>
      <c r="M4229" s="3">
        <v>45282</v>
      </c>
      <c r="N4229">
        <v>0</v>
      </c>
      <c r="O4229">
        <v>0</v>
      </c>
      <c r="P4229">
        <v>1107928</v>
      </c>
      <c r="Q4229" t="s">
        <v>30</v>
      </c>
      <c r="R4229" t="s">
        <v>215</v>
      </c>
      <c r="S4229" t="str">
        <v>#N/A</v>
      </c>
      <c r="T4229" t="str">
        <v>13</v>
      </c>
    </row>
    <row r="4230" spans="1:20" ht="13.7" customHeight="1" x14ac:dyDescent="0.25">
      <c r="A4230" t="s">
        <v>26</v>
      </c>
      <c r="B4230" t="s">
        <v>27</v>
      </c>
      <c r="C4230" t="s">
        <v>32</v>
      </c>
      <c r="D4230">
        <v>61</v>
      </c>
      <c r="E4230" s="5">
        <v>43519</v>
      </c>
      <c r="F4230">
        <v>73052701</v>
      </c>
      <c r="G4230" t="s">
        <v>1071</v>
      </c>
      <c r="H4230" t="s">
        <v>1149</v>
      </c>
      <c r="I4230" t="s">
        <v>1150</v>
      </c>
      <c r="J4230">
        <v>1001</v>
      </c>
      <c r="K4230">
        <v>5001</v>
      </c>
      <c r="L4230" s="3">
        <v>1107928</v>
      </c>
      <c r="M4230" s="3">
        <v>45282</v>
      </c>
      <c r="N4230">
        <v>0</v>
      </c>
      <c r="O4230">
        <v>0</v>
      </c>
      <c r="P4230">
        <v>1153210</v>
      </c>
      <c r="Q4230" t="s">
        <v>30</v>
      </c>
      <c r="R4230" t="s">
        <v>226</v>
      </c>
      <c r="S4230" t="str">
        <v>#N/A</v>
      </c>
      <c r="T4230" t="str">
        <v>13</v>
      </c>
    </row>
    <row r="4231" spans="1:20" ht="13.7" customHeight="1" x14ac:dyDescent="0.25">
      <c r="A4231" t="s">
        <v>26</v>
      </c>
      <c r="B4231" t="s">
        <v>27</v>
      </c>
      <c r="C4231" t="s">
        <v>91</v>
      </c>
      <c r="D4231">
        <v>79</v>
      </c>
      <c r="E4231" s="5">
        <v>43533</v>
      </c>
      <c r="F4231">
        <v>73052701</v>
      </c>
      <c r="G4231" t="s">
        <v>1071</v>
      </c>
      <c r="H4231" t="s">
        <v>1149</v>
      </c>
      <c r="I4231" t="s">
        <v>1150</v>
      </c>
      <c r="J4231">
        <v>1001</v>
      </c>
      <c r="K4231">
        <v>5001</v>
      </c>
      <c r="L4231" s="3">
        <v>1153210</v>
      </c>
      <c r="M4231" s="3">
        <v>45282</v>
      </c>
      <c r="N4231">
        <v>0</v>
      </c>
      <c r="O4231">
        <v>0</v>
      </c>
      <c r="P4231">
        <v>1198492</v>
      </c>
      <c r="Q4231" t="s">
        <v>30</v>
      </c>
      <c r="R4231" t="s">
        <v>236</v>
      </c>
      <c r="S4231" t="str">
        <v>#N/A</v>
      </c>
      <c r="T4231" t="str">
        <v>13</v>
      </c>
    </row>
    <row r="4232" spans="1:20" ht="13.7" customHeight="1" x14ac:dyDescent="0.25">
      <c r="A4232" t="s">
        <v>26</v>
      </c>
      <c r="B4232" t="s">
        <v>27</v>
      </c>
      <c r="C4232" t="s">
        <v>91</v>
      </c>
      <c r="D4232">
        <v>80</v>
      </c>
      <c r="E4232" s="5">
        <v>43547</v>
      </c>
      <c r="F4232">
        <v>73052701</v>
      </c>
      <c r="G4232" t="s">
        <v>1071</v>
      </c>
      <c r="H4232" t="s">
        <v>1149</v>
      </c>
      <c r="I4232" t="s">
        <v>1150</v>
      </c>
      <c r="J4232">
        <v>1001</v>
      </c>
      <c r="K4232">
        <v>5001</v>
      </c>
      <c r="L4232" s="3">
        <v>1198492</v>
      </c>
      <c r="M4232" s="3">
        <v>45282</v>
      </c>
      <c r="N4232">
        <v>0</v>
      </c>
      <c r="O4232">
        <v>0</v>
      </c>
      <c r="P4232">
        <v>1243774</v>
      </c>
      <c r="Q4232" t="s">
        <v>30</v>
      </c>
      <c r="R4232" t="s">
        <v>244</v>
      </c>
      <c r="S4232" t="str">
        <v>#N/A</v>
      </c>
      <c r="T4232" t="str">
        <v>13</v>
      </c>
    </row>
    <row r="4233" spans="1:20" ht="13.7" customHeight="1" x14ac:dyDescent="0.25">
      <c r="A4233" t="s">
        <v>26</v>
      </c>
      <c r="B4233" t="s">
        <v>27</v>
      </c>
      <c r="C4233" t="s">
        <v>34</v>
      </c>
      <c r="D4233">
        <v>71</v>
      </c>
      <c r="E4233" s="5">
        <v>43561</v>
      </c>
      <c r="F4233">
        <v>73052701</v>
      </c>
      <c r="G4233" t="s">
        <v>1071</v>
      </c>
      <c r="H4233" t="s">
        <v>1149</v>
      </c>
      <c r="I4233" t="s">
        <v>1150</v>
      </c>
      <c r="J4233">
        <v>1001</v>
      </c>
      <c r="K4233">
        <v>5001</v>
      </c>
      <c r="L4233" s="3">
        <v>1243774</v>
      </c>
      <c r="M4233" s="3">
        <v>45282</v>
      </c>
      <c r="N4233">
        <v>0</v>
      </c>
      <c r="O4233">
        <v>0</v>
      </c>
      <c r="P4233">
        <v>1289056</v>
      </c>
      <c r="Q4233" t="s">
        <v>30</v>
      </c>
      <c r="R4233" t="s">
        <v>244</v>
      </c>
      <c r="S4233" t="str">
        <v>#N/A</v>
      </c>
      <c r="T4233" t="str">
        <v>13</v>
      </c>
    </row>
    <row r="4234" spans="1:20" ht="13.7" customHeight="1" x14ac:dyDescent="0.25">
      <c r="A4234" t="s">
        <v>26</v>
      </c>
      <c r="B4234" t="s">
        <v>27</v>
      </c>
      <c r="C4234" t="s">
        <v>34</v>
      </c>
      <c r="D4234">
        <v>72</v>
      </c>
      <c r="E4234" s="5">
        <v>43575</v>
      </c>
      <c r="F4234">
        <v>73052701</v>
      </c>
      <c r="G4234" t="s">
        <v>1071</v>
      </c>
      <c r="H4234" t="s">
        <v>1149</v>
      </c>
      <c r="I4234" t="s">
        <v>1150</v>
      </c>
      <c r="J4234">
        <v>1001</v>
      </c>
      <c r="K4234">
        <v>5001</v>
      </c>
      <c r="L4234" s="3">
        <v>1289056</v>
      </c>
      <c r="M4234" s="3">
        <v>45282</v>
      </c>
      <c r="N4234">
        <v>0</v>
      </c>
      <c r="O4234">
        <v>0</v>
      </c>
      <c r="P4234">
        <v>1334338</v>
      </c>
      <c r="Q4234" t="s">
        <v>30</v>
      </c>
      <c r="R4234" t="s">
        <v>254</v>
      </c>
      <c r="S4234" t="str">
        <v>#N/A</v>
      </c>
      <c r="T4234" t="str">
        <v>13</v>
      </c>
    </row>
    <row r="4235" spans="1:20" ht="13.7" customHeight="1" x14ac:dyDescent="0.25">
      <c r="A4235" t="s">
        <v>26</v>
      </c>
      <c r="B4235" t="s">
        <v>27</v>
      </c>
      <c r="C4235" t="s">
        <v>35</v>
      </c>
      <c r="D4235">
        <v>97</v>
      </c>
      <c r="E4235" s="5">
        <v>43589</v>
      </c>
      <c r="F4235">
        <v>73052701</v>
      </c>
      <c r="G4235" t="s">
        <v>1071</v>
      </c>
      <c r="H4235" t="s">
        <v>1149</v>
      </c>
      <c r="I4235" t="s">
        <v>1150</v>
      </c>
      <c r="J4235">
        <v>1001</v>
      </c>
      <c r="K4235">
        <v>5001</v>
      </c>
      <c r="L4235" s="3">
        <v>1334338</v>
      </c>
      <c r="M4235" s="3">
        <v>45282</v>
      </c>
      <c r="N4235">
        <v>0</v>
      </c>
      <c r="O4235">
        <v>0</v>
      </c>
      <c r="P4235">
        <v>1379620</v>
      </c>
      <c r="Q4235" t="s">
        <v>30</v>
      </c>
      <c r="R4235" t="s">
        <v>256</v>
      </c>
      <c r="S4235" t="str">
        <v>#N/A</v>
      </c>
      <c r="T4235" t="str">
        <v>13</v>
      </c>
    </row>
    <row r="4236" spans="1:20" ht="13.7" customHeight="1" x14ac:dyDescent="0.25">
      <c r="A4236" t="s">
        <v>26</v>
      </c>
      <c r="B4236" t="s">
        <v>27</v>
      </c>
      <c r="C4236" t="s">
        <v>35</v>
      </c>
      <c r="D4236">
        <v>98</v>
      </c>
      <c r="E4236" s="5">
        <v>43603</v>
      </c>
      <c r="F4236">
        <v>73052701</v>
      </c>
      <c r="G4236" t="s">
        <v>1071</v>
      </c>
      <c r="H4236" t="s">
        <v>1149</v>
      </c>
      <c r="I4236" t="s">
        <v>1150</v>
      </c>
      <c r="J4236">
        <v>1001</v>
      </c>
      <c r="K4236">
        <v>5001</v>
      </c>
      <c r="L4236" s="3">
        <v>1379620</v>
      </c>
      <c r="M4236" s="3">
        <v>45282</v>
      </c>
      <c r="N4236">
        <v>0</v>
      </c>
      <c r="O4236">
        <v>0</v>
      </c>
      <c r="P4236">
        <v>1424902</v>
      </c>
      <c r="Q4236" t="s">
        <v>30</v>
      </c>
      <c r="R4236" t="s">
        <v>261</v>
      </c>
      <c r="S4236" t="str">
        <v>#N/A</v>
      </c>
      <c r="T4236" t="str">
        <v>13</v>
      </c>
    </row>
    <row r="4237" spans="1:20" ht="13.7" customHeight="1" x14ac:dyDescent="0.25">
      <c r="A4237" t="s">
        <v>26</v>
      </c>
      <c r="B4237" t="s">
        <v>27</v>
      </c>
      <c r="C4237" t="s">
        <v>36</v>
      </c>
      <c r="D4237">
        <v>70</v>
      </c>
      <c r="E4237" s="5">
        <v>43617</v>
      </c>
      <c r="F4237">
        <v>73052701</v>
      </c>
      <c r="G4237" t="s">
        <v>1071</v>
      </c>
      <c r="H4237" t="s">
        <v>1149</v>
      </c>
      <c r="I4237" t="s">
        <v>1150</v>
      </c>
      <c r="J4237">
        <v>1001</v>
      </c>
      <c r="K4237">
        <v>5001</v>
      </c>
      <c r="L4237" s="3">
        <v>1424902</v>
      </c>
      <c r="M4237" s="3">
        <v>45282</v>
      </c>
      <c r="N4237">
        <v>0</v>
      </c>
      <c r="O4237">
        <v>0</v>
      </c>
      <c r="P4237">
        <v>1470184</v>
      </c>
      <c r="Q4237" t="s">
        <v>30</v>
      </c>
      <c r="R4237" t="s">
        <v>264</v>
      </c>
      <c r="S4237" t="str">
        <v>#N/A</v>
      </c>
      <c r="T4237" t="str">
        <v>13</v>
      </c>
    </row>
    <row r="4238" spans="1:20" ht="13.7" customHeight="1" x14ac:dyDescent="0.25">
      <c r="A4238" t="s">
        <v>26</v>
      </c>
      <c r="B4238" t="s">
        <v>27</v>
      </c>
      <c r="C4238" t="s">
        <v>36</v>
      </c>
      <c r="D4238">
        <v>71</v>
      </c>
      <c r="E4238" s="5">
        <v>43631</v>
      </c>
      <c r="F4238">
        <v>73052701</v>
      </c>
      <c r="G4238" t="s">
        <v>1071</v>
      </c>
      <c r="H4238" t="s">
        <v>1149</v>
      </c>
      <c r="I4238" t="s">
        <v>1150</v>
      </c>
      <c r="J4238">
        <v>1001</v>
      </c>
      <c r="K4238">
        <v>5001</v>
      </c>
      <c r="L4238" s="3">
        <v>1470184</v>
      </c>
      <c r="M4238" s="3">
        <v>45282</v>
      </c>
      <c r="N4238">
        <v>0</v>
      </c>
      <c r="O4238">
        <v>0</v>
      </c>
      <c r="P4238">
        <v>1515466</v>
      </c>
      <c r="Q4238" t="s">
        <v>30</v>
      </c>
      <c r="R4238" t="s">
        <v>270</v>
      </c>
      <c r="S4238" t="str">
        <v>#N/A</v>
      </c>
      <c r="T4238" t="str">
        <v>13</v>
      </c>
    </row>
    <row r="4239" spans="1:20" ht="13.7" customHeight="1" x14ac:dyDescent="0.25">
      <c r="A4239" t="s">
        <v>26</v>
      </c>
      <c r="B4239" t="s">
        <v>27</v>
      </c>
      <c r="C4239" t="s">
        <v>36</v>
      </c>
      <c r="D4239">
        <v>73</v>
      </c>
      <c r="E4239" s="5">
        <v>43642</v>
      </c>
      <c r="F4239">
        <v>73052701</v>
      </c>
      <c r="G4239" t="s">
        <v>1071</v>
      </c>
      <c r="H4239" t="s">
        <v>1149</v>
      </c>
      <c r="I4239" t="s">
        <v>1150</v>
      </c>
      <c r="J4239">
        <v>1001</v>
      </c>
      <c r="K4239">
        <v>5001</v>
      </c>
      <c r="L4239" s="3">
        <v>1515466</v>
      </c>
      <c r="M4239" s="3">
        <v>45282</v>
      </c>
      <c r="N4239">
        <v>0</v>
      </c>
      <c r="O4239">
        <v>0</v>
      </c>
      <c r="P4239">
        <v>1560748</v>
      </c>
      <c r="Q4239" t="s">
        <v>30</v>
      </c>
      <c r="R4239" t="s">
        <v>274</v>
      </c>
      <c r="S4239" t="str">
        <v>#N/A</v>
      </c>
      <c r="T4239" t="str">
        <v>13</v>
      </c>
    </row>
    <row r="4240" spans="1:20" ht="13.7" customHeight="1" x14ac:dyDescent="0.25">
      <c r="A4240" t="s">
        <v>26</v>
      </c>
      <c r="B4240" t="s">
        <v>27</v>
      </c>
      <c r="C4240" t="s">
        <v>37</v>
      </c>
      <c r="D4240">
        <v>66</v>
      </c>
      <c r="E4240" s="5">
        <v>43659</v>
      </c>
      <c r="F4240">
        <v>73052701</v>
      </c>
      <c r="G4240" t="s">
        <v>1071</v>
      </c>
      <c r="H4240" t="s">
        <v>1149</v>
      </c>
      <c r="I4240" t="s">
        <v>1150</v>
      </c>
      <c r="J4240">
        <v>1001</v>
      </c>
      <c r="K4240">
        <v>5001</v>
      </c>
      <c r="L4240" s="3">
        <v>1560748</v>
      </c>
      <c r="M4240" s="3">
        <v>45282</v>
      </c>
      <c r="N4240">
        <v>0</v>
      </c>
      <c r="O4240">
        <v>0</v>
      </c>
      <c r="P4240">
        <v>1606030</v>
      </c>
      <c r="Q4240" t="s">
        <v>30</v>
      </c>
      <c r="R4240" t="s">
        <v>279</v>
      </c>
      <c r="S4240" t="str">
        <v>#N/A</v>
      </c>
      <c r="T4240" t="str">
        <v>13</v>
      </c>
    </row>
    <row r="4241" spans="1:20" ht="13.7" customHeight="1" x14ac:dyDescent="0.25">
      <c r="A4241" t="s">
        <v>26</v>
      </c>
      <c r="B4241" t="s">
        <v>27</v>
      </c>
      <c r="C4241" t="s">
        <v>37</v>
      </c>
      <c r="D4241">
        <v>67</v>
      </c>
      <c r="E4241" s="5">
        <v>43673</v>
      </c>
      <c r="F4241">
        <v>73052701</v>
      </c>
      <c r="G4241" t="s">
        <v>1071</v>
      </c>
      <c r="H4241" t="s">
        <v>1149</v>
      </c>
      <c r="I4241" t="s">
        <v>1150</v>
      </c>
      <c r="J4241">
        <v>1001</v>
      </c>
      <c r="K4241">
        <v>5001</v>
      </c>
      <c r="L4241" s="3">
        <v>1606030</v>
      </c>
      <c r="M4241" s="3">
        <v>45282</v>
      </c>
      <c r="N4241">
        <v>0</v>
      </c>
      <c r="O4241">
        <v>0</v>
      </c>
      <c r="P4241">
        <v>1651312</v>
      </c>
      <c r="Q4241" t="s">
        <v>30</v>
      </c>
      <c r="R4241" t="s">
        <v>282</v>
      </c>
      <c r="S4241" t="str">
        <v>#N/A</v>
      </c>
      <c r="T4241" t="str">
        <v>13</v>
      </c>
    </row>
    <row r="4242" spans="1:20" ht="13.7" customHeight="1" x14ac:dyDescent="0.25">
      <c r="A4242" t="s">
        <v>26</v>
      </c>
      <c r="B4242" t="s">
        <v>27</v>
      </c>
      <c r="C4242" t="s">
        <v>38</v>
      </c>
      <c r="D4242">
        <v>56</v>
      </c>
      <c r="E4242" s="5">
        <v>43687</v>
      </c>
      <c r="F4242">
        <v>73052701</v>
      </c>
      <c r="G4242" t="s">
        <v>1071</v>
      </c>
      <c r="H4242" t="s">
        <v>1149</v>
      </c>
      <c r="I4242" t="s">
        <v>1150</v>
      </c>
      <c r="J4242">
        <v>1001</v>
      </c>
      <c r="K4242">
        <v>5001</v>
      </c>
      <c r="L4242" s="3">
        <v>1651312</v>
      </c>
      <c r="M4242" s="3">
        <v>45282</v>
      </c>
      <c r="N4242">
        <v>0</v>
      </c>
      <c r="O4242">
        <v>0</v>
      </c>
      <c r="P4242">
        <v>1696594</v>
      </c>
      <c r="Q4242" t="s">
        <v>30</v>
      </c>
      <c r="R4242" t="s">
        <v>284</v>
      </c>
      <c r="S4242" t="str">
        <v>#N/A</v>
      </c>
      <c r="T4242" t="str">
        <v>13</v>
      </c>
    </row>
    <row r="4243" spans="1:20" ht="13.7" customHeight="1" x14ac:dyDescent="0.25">
      <c r="A4243" t="s">
        <v>26</v>
      </c>
      <c r="B4243" t="s">
        <v>27</v>
      </c>
      <c r="C4243" t="s">
        <v>38</v>
      </c>
      <c r="D4243">
        <v>57</v>
      </c>
      <c r="E4243" s="5">
        <v>43701</v>
      </c>
      <c r="F4243">
        <v>73052701</v>
      </c>
      <c r="G4243" t="s">
        <v>1071</v>
      </c>
      <c r="H4243" t="s">
        <v>1149</v>
      </c>
      <c r="I4243" t="s">
        <v>1150</v>
      </c>
      <c r="J4243">
        <v>1001</v>
      </c>
      <c r="K4243">
        <v>5001</v>
      </c>
      <c r="L4243" s="3">
        <v>1696594</v>
      </c>
      <c r="M4243" s="3">
        <v>45282</v>
      </c>
      <c r="N4243">
        <v>0</v>
      </c>
      <c r="O4243">
        <v>0</v>
      </c>
      <c r="P4243">
        <v>1741876</v>
      </c>
      <c r="Q4243" t="s">
        <v>30</v>
      </c>
      <c r="R4243" t="s">
        <v>287</v>
      </c>
      <c r="S4243" t="str">
        <v>#N/A</v>
      </c>
      <c r="T4243" t="str">
        <v>13</v>
      </c>
    </row>
    <row r="4244" spans="1:20" ht="13.7" customHeight="1" x14ac:dyDescent="0.25">
      <c r="A4244" t="s">
        <v>26</v>
      </c>
      <c r="B4244" t="s">
        <v>27</v>
      </c>
      <c r="C4244" t="s">
        <v>39</v>
      </c>
      <c r="D4244">
        <v>68</v>
      </c>
      <c r="E4244" s="5">
        <v>43715</v>
      </c>
      <c r="F4244">
        <v>73052701</v>
      </c>
      <c r="G4244" t="s">
        <v>1071</v>
      </c>
      <c r="H4244" t="s">
        <v>1149</v>
      </c>
      <c r="I4244" t="s">
        <v>1150</v>
      </c>
      <c r="J4244">
        <v>1001</v>
      </c>
      <c r="K4244">
        <v>5001</v>
      </c>
      <c r="L4244" s="3">
        <v>1741876</v>
      </c>
      <c r="M4244" s="3">
        <v>45282</v>
      </c>
      <c r="N4244">
        <v>0</v>
      </c>
      <c r="O4244">
        <v>0</v>
      </c>
      <c r="P4244">
        <v>1787158</v>
      </c>
      <c r="Q4244" t="s">
        <v>30</v>
      </c>
      <c r="R4244" t="s">
        <v>288</v>
      </c>
      <c r="S4244" t="str">
        <v>#N/A</v>
      </c>
      <c r="T4244" t="str">
        <v>13</v>
      </c>
    </row>
    <row r="4245" spans="1:20" ht="13.7" customHeight="1" x14ac:dyDescent="0.25">
      <c r="A4245" t="s">
        <v>26</v>
      </c>
      <c r="B4245" t="s">
        <v>27</v>
      </c>
      <c r="C4245" t="s">
        <v>39</v>
      </c>
      <c r="D4245">
        <v>69</v>
      </c>
      <c r="E4245" s="5">
        <v>43729</v>
      </c>
      <c r="F4245">
        <v>73052701</v>
      </c>
      <c r="G4245" t="s">
        <v>1071</v>
      </c>
      <c r="H4245" t="s">
        <v>1149</v>
      </c>
      <c r="I4245" t="s">
        <v>1150</v>
      </c>
      <c r="J4245">
        <v>1001</v>
      </c>
      <c r="K4245">
        <v>5001</v>
      </c>
      <c r="L4245" s="3">
        <v>1787158</v>
      </c>
      <c r="M4245" s="3">
        <v>45282</v>
      </c>
      <c r="N4245">
        <v>0</v>
      </c>
      <c r="O4245">
        <v>0</v>
      </c>
      <c r="P4245">
        <v>1832440</v>
      </c>
      <c r="Q4245" t="s">
        <v>30</v>
      </c>
      <c r="R4245" t="s">
        <v>291</v>
      </c>
      <c r="S4245" t="str">
        <v>#N/A</v>
      </c>
      <c r="T4245" t="str">
        <v>13</v>
      </c>
    </row>
    <row r="4246" spans="1:20" ht="13.7" customHeight="1" x14ac:dyDescent="0.25">
      <c r="A4246" t="s">
        <v>26</v>
      </c>
      <c r="B4246" t="s">
        <v>27</v>
      </c>
      <c r="C4246" t="s">
        <v>40</v>
      </c>
      <c r="D4246">
        <v>61</v>
      </c>
      <c r="E4246" s="5">
        <v>43743</v>
      </c>
      <c r="F4246">
        <v>73052701</v>
      </c>
      <c r="G4246" t="s">
        <v>1071</v>
      </c>
      <c r="H4246" t="s">
        <v>1149</v>
      </c>
      <c r="I4246" t="s">
        <v>1150</v>
      </c>
      <c r="J4246">
        <v>1001</v>
      </c>
      <c r="K4246">
        <v>5001</v>
      </c>
      <c r="L4246" s="3">
        <v>1832440</v>
      </c>
      <c r="M4246" s="3">
        <v>45282</v>
      </c>
      <c r="N4246">
        <v>0</v>
      </c>
      <c r="O4246">
        <v>0</v>
      </c>
      <c r="P4246">
        <v>1877722</v>
      </c>
      <c r="Q4246" t="s">
        <v>30</v>
      </c>
      <c r="R4246" t="s">
        <v>293</v>
      </c>
      <c r="S4246" t="str">
        <v>#N/A</v>
      </c>
      <c r="T4246" t="str">
        <v>13</v>
      </c>
    </row>
    <row r="4247" spans="1:20" ht="13.7" customHeight="1" x14ac:dyDescent="0.25">
      <c r="A4247" t="s">
        <v>26</v>
      </c>
      <c r="B4247" t="s">
        <v>27</v>
      </c>
      <c r="C4247" t="s">
        <v>40</v>
      </c>
      <c r="D4247">
        <v>62</v>
      </c>
      <c r="E4247" s="5">
        <v>43757</v>
      </c>
      <c r="F4247">
        <v>73052701</v>
      </c>
      <c r="G4247" t="s">
        <v>1071</v>
      </c>
      <c r="H4247" t="s">
        <v>1149</v>
      </c>
      <c r="I4247" t="s">
        <v>1150</v>
      </c>
      <c r="J4247">
        <v>1001</v>
      </c>
      <c r="K4247">
        <v>5001</v>
      </c>
      <c r="L4247" s="3">
        <v>1877722</v>
      </c>
      <c r="M4247" s="3">
        <v>45282</v>
      </c>
      <c r="N4247">
        <v>0</v>
      </c>
      <c r="O4247">
        <v>0</v>
      </c>
      <c r="P4247">
        <v>1923004</v>
      </c>
      <c r="Q4247" t="s">
        <v>30</v>
      </c>
      <c r="R4247" t="s">
        <v>299</v>
      </c>
      <c r="S4247" t="str">
        <v>#N/A</v>
      </c>
      <c r="T4247" t="str">
        <v>13</v>
      </c>
    </row>
    <row r="4248" spans="1:20" ht="13.7" customHeight="1" x14ac:dyDescent="0.25">
      <c r="A4248" t="s">
        <v>26</v>
      </c>
      <c r="B4248" t="s">
        <v>27</v>
      </c>
      <c r="C4248" t="s">
        <v>41</v>
      </c>
      <c r="D4248">
        <v>76</v>
      </c>
      <c r="E4248" s="5">
        <v>43771</v>
      </c>
      <c r="F4248">
        <v>73052701</v>
      </c>
      <c r="G4248" t="s">
        <v>1071</v>
      </c>
      <c r="H4248" t="s">
        <v>1149</v>
      </c>
      <c r="I4248" t="s">
        <v>1150</v>
      </c>
      <c r="J4248">
        <v>1001</v>
      </c>
      <c r="K4248">
        <v>5001</v>
      </c>
      <c r="L4248" s="3">
        <v>1923004</v>
      </c>
      <c r="M4248" s="3">
        <v>45282</v>
      </c>
      <c r="N4248">
        <v>0</v>
      </c>
      <c r="O4248">
        <v>0</v>
      </c>
      <c r="P4248">
        <v>1968286</v>
      </c>
      <c r="Q4248" t="s">
        <v>30</v>
      </c>
      <c r="R4248" t="s">
        <v>301</v>
      </c>
      <c r="S4248" t="str">
        <v>#N/A</v>
      </c>
      <c r="T4248" t="str">
        <v>13</v>
      </c>
    </row>
    <row r="4249" spans="1:20" ht="13.7" customHeight="1" x14ac:dyDescent="0.25">
      <c r="A4249" t="s">
        <v>26</v>
      </c>
      <c r="B4249" t="s">
        <v>27</v>
      </c>
      <c r="C4249" t="s">
        <v>41</v>
      </c>
      <c r="D4249">
        <v>77</v>
      </c>
      <c r="E4249" s="5">
        <v>43785</v>
      </c>
      <c r="F4249">
        <v>73052701</v>
      </c>
      <c r="G4249" t="s">
        <v>1071</v>
      </c>
      <c r="H4249" t="s">
        <v>1149</v>
      </c>
      <c r="I4249" t="s">
        <v>1150</v>
      </c>
      <c r="J4249">
        <v>1001</v>
      </c>
      <c r="K4249">
        <v>5001</v>
      </c>
      <c r="L4249" s="3">
        <v>1968286</v>
      </c>
      <c r="M4249" s="3">
        <v>45282</v>
      </c>
      <c r="N4249">
        <v>0</v>
      </c>
      <c r="O4249">
        <v>0</v>
      </c>
      <c r="P4249">
        <v>2013568</v>
      </c>
      <c r="Q4249" t="s">
        <v>30</v>
      </c>
      <c r="R4249" t="s">
        <v>305</v>
      </c>
      <c r="S4249" t="str">
        <v>#N/A</v>
      </c>
      <c r="T4249" t="str">
        <v>13</v>
      </c>
    </row>
    <row r="4250" spans="1:20" ht="13.7" customHeight="1" x14ac:dyDescent="0.25">
      <c r="A4250" t="s">
        <v>26</v>
      </c>
      <c r="B4250" t="s">
        <v>27</v>
      </c>
      <c r="C4250" t="s">
        <v>41</v>
      </c>
      <c r="D4250">
        <v>78</v>
      </c>
      <c r="E4250" s="5">
        <v>43799</v>
      </c>
      <c r="F4250">
        <v>73052701</v>
      </c>
      <c r="G4250" t="s">
        <v>1071</v>
      </c>
      <c r="H4250" t="s">
        <v>1149</v>
      </c>
      <c r="I4250" t="s">
        <v>1150</v>
      </c>
      <c r="J4250">
        <v>1001</v>
      </c>
      <c r="K4250">
        <v>5001</v>
      </c>
      <c r="L4250" s="3">
        <v>2013568</v>
      </c>
      <c r="M4250" s="3">
        <v>45282</v>
      </c>
      <c r="N4250">
        <v>0</v>
      </c>
      <c r="O4250">
        <v>0</v>
      </c>
      <c r="P4250">
        <v>2058850</v>
      </c>
      <c r="Q4250" t="s">
        <v>30</v>
      </c>
      <c r="R4250" t="s">
        <v>309</v>
      </c>
      <c r="S4250" t="str">
        <v>#N/A</v>
      </c>
      <c r="T4250" t="str">
        <v>13</v>
      </c>
    </row>
    <row r="4251" spans="1:20" ht="13.7" customHeight="1" x14ac:dyDescent="0.25">
      <c r="A4251" t="s">
        <v>26</v>
      </c>
      <c r="B4251" t="s">
        <v>27</v>
      </c>
      <c r="C4251" t="s">
        <v>180</v>
      </c>
      <c r="D4251">
        <v>1</v>
      </c>
      <c r="E4251" s="5">
        <v>43813</v>
      </c>
      <c r="F4251">
        <v>73052701</v>
      </c>
      <c r="G4251" t="s">
        <v>1071</v>
      </c>
      <c r="H4251" t="s">
        <v>1149</v>
      </c>
      <c r="I4251" t="s">
        <v>1150</v>
      </c>
      <c r="J4251">
        <v>1001</v>
      </c>
      <c r="K4251">
        <v>5001</v>
      </c>
      <c r="L4251" s="3">
        <v>2058850</v>
      </c>
      <c r="M4251" s="3">
        <v>45282</v>
      </c>
      <c r="N4251">
        <v>0</v>
      </c>
      <c r="O4251">
        <v>0</v>
      </c>
      <c r="P4251">
        <v>2104132</v>
      </c>
      <c r="Q4251" t="s">
        <v>30</v>
      </c>
      <c r="R4251" t="s">
        <v>316</v>
      </c>
      <c r="S4251" t="str">
        <v>#N/A</v>
      </c>
      <c r="T4251" t="str">
        <v>13</v>
      </c>
    </row>
    <row r="4252" spans="1:20" ht="13.7" customHeight="1" x14ac:dyDescent="0.25">
      <c r="A4252" t="s">
        <v>26</v>
      </c>
      <c r="B4252" t="s">
        <v>27</v>
      </c>
      <c r="C4252" t="s">
        <v>180</v>
      </c>
      <c r="D4252">
        <v>90</v>
      </c>
      <c r="E4252" s="5">
        <v>43819</v>
      </c>
      <c r="F4252">
        <v>73052701</v>
      </c>
      <c r="G4252" t="s">
        <v>1071</v>
      </c>
      <c r="H4252" t="s">
        <v>1149</v>
      </c>
      <c r="I4252" t="s">
        <v>1150</v>
      </c>
      <c r="J4252" t="e">
        <v>#N/A</v>
      </c>
      <c r="K4252" t="e">
        <v>#N/A</v>
      </c>
      <c r="L4252" s="3">
        <v>2104132</v>
      </c>
      <c r="M4252" s="3">
        <v>22641</v>
      </c>
      <c r="N4252">
        <v>0</v>
      </c>
      <c r="O4252">
        <v>0</v>
      </c>
      <c r="P4252">
        <v>2126773</v>
      </c>
      <c r="Q4252" t="s">
        <v>30</v>
      </c>
      <c r="R4252" t="s">
        <v>1503</v>
      </c>
      <c r="S4252" t="str">
        <v>#N/A</v>
      </c>
      <c r="T4252" t="str">
        <v>13</v>
      </c>
    </row>
    <row r="4253" spans="1:20" ht="13.7" customHeight="1" x14ac:dyDescent="0.25">
      <c r="E4253" s="5">
        <v>43465</v>
      </c>
      <c r="F4253">
        <v>73052701</v>
      </c>
      <c r="G4253" t="s">
        <v>1071</v>
      </c>
      <c r="H4253" t="s">
        <v>1169</v>
      </c>
      <c r="I4253" t="s">
        <v>1170</v>
      </c>
      <c r="J4253">
        <v>0</v>
      </c>
      <c r="K4253">
        <v>0</v>
      </c>
      <c r="L4253" s="3">
        <v>1427498</v>
      </c>
      <c r="M4253" s="3">
        <v>0</v>
      </c>
      <c r="N4253">
        <v>0</v>
      </c>
      <c r="O4253">
        <v>0</v>
      </c>
      <c r="P4253">
        <v>1427498</v>
      </c>
      <c r="R4253" t="s">
        <v>1100</v>
      </c>
      <c r="S4253" t="str">
        <v>#N/A</v>
      </c>
      <c r="T4253" t="str">
        <v>13</v>
      </c>
    </row>
    <row r="4254" spans="1:20" ht="13.7" customHeight="1" x14ac:dyDescent="0.25">
      <c r="A4254" t="s">
        <v>26</v>
      </c>
      <c r="B4254" t="s">
        <v>27</v>
      </c>
      <c r="C4254" t="s">
        <v>28</v>
      </c>
      <c r="D4254">
        <v>77</v>
      </c>
      <c r="E4254" s="5">
        <v>43491</v>
      </c>
      <c r="F4254">
        <v>73052701</v>
      </c>
      <c r="G4254" t="s">
        <v>1071</v>
      </c>
      <c r="H4254" t="s">
        <v>1169</v>
      </c>
      <c r="I4254" t="s">
        <v>1170</v>
      </c>
      <c r="J4254">
        <v>1001</v>
      </c>
      <c r="K4254">
        <v>5001</v>
      </c>
      <c r="L4254" s="3">
        <v>1427498</v>
      </c>
      <c r="M4254" s="3">
        <v>45282</v>
      </c>
      <c r="N4254">
        <v>0</v>
      </c>
      <c r="O4254">
        <v>0</v>
      </c>
      <c r="P4254">
        <v>1472780</v>
      </c>
      <c r="Q4254" t="s">
        <v>30</v>
      </c>
      <c r="R4254" t="s">
        <v>202</v>
      </c>
      <c r="S4254" t="str">
        <v>#N/A</v>
      </c>
      <c r="T4254" t="str">
        <v>13</v>
      </c>
    </row>
    <row r="4255" spans="1:20" ht="13.7" customHeight="1" x14ac:dyDescent="0.25">
      <c r="A4255" t="s">
        <v>26</v>
      </c>
      <c r="B4255" t="s">
        <v>27</v>
      </c>
      <c r="C4255" t="s">
        <v>32</v>
      </c>
      <c r="D4255">
        <v>60</v>
      </c>
      <c r="E4255" s="5">
        <v>43505</v>
      </c>
      <c r="F4255">
        <v>73052701</v>
      </c>
      <c r="G4255" t="s">
        <v>1071</v>
      </c>
      <c r="H4255" t="s">
        <v>1169</v>
      </c>
      <c r="I4255" t="s">
        <v>1170</v>
      </c>
      <c r="J4255">
        <v>1001</v>
      </c>
      <c r="K4255">
        <v>5001</v>
      </c>
      <c r="L4255" s="3">
        <v>1472780</v>
      </c>
      <c r="M4255" s="3">
        <v>45282</v>
      </c>
      <c r="N4255">
        <v>0</v>
      </c>
      <c r="O4255">
        <v>0</v>
      </c>
      <c r="P4255">
        <v>1518062</v>
      </c>
      <c r="Q4255" t="s">
        <v>30</v>
      </c>
      <c r="R4255" t="s">
        <v>215</v>
      </c>
      <c r="S4255" t="str">
        <v>#N/A</v>
      </c>
      <c r="T4255" t="str">
        <v>13</v>
      </c>
    </row>
    <row r="4256" spans="1:20" ht="13.7" customHeight="1" x14ac:dyDescent="0.25">
      <c r="A4256" t="s">
        <v>26</v>
      </c>
      <c r="B4256" t="s">
        <v>27</v>
      </c>
      <c r="C4256" t="s">
        <v>32</v>
      </c>
      <c r="D4256">
        <v>61</v>
      </c>
      <c r="E4256" s="5">
        <v>43519</v>
      </c>
      <c r="F4256">
        <v>73052701</v>
      </c>
      <c r="G4256" t="s">
        <v>1071</v>
      </c>
      <c r="H4256" t="s">
        <v>1169</v>
      </c>
      <c r="I4256" t="s">
        <v>1170</v>
      </c>
      <c r="J4256">
        <v>1001</v>
      </c>
      <c r="K4256">
        <v>5001</v>
      </c>
      <c r="L4256" s="3">
        <v>1518062</v>
      </c>
      <c r="M4256" s="3">
        <v>45282</v>
      </c>
      <c r="N4256">
        <v>0</v>
      </c>
      <c r="O4256">
        <v>0</v>
      </c>
      <c r="P4256">
        <v>1563344</v>
      </c>
      <c r="Q4256" t="s">
        <v>30</v>
      </c>
      <c r="R4256" t="s">
        <v>226</v>
      </c>
      <c r="S4256" t="str">
        <v>#N/A</v>
      </c>
      <c r="T4256" t="str">
        <v>13</v>
      </c>
    </row>
    <row r="4257" spans="1:20" ht="13.7" customHeight="1" x14ac:dyDescent="0.25">
      <c r="A4257" t="s">
        <v>26</v>
      </c>
      <c r="B4257" t="s">
        <v>27</v>
      </c>
      <c r="C4257" t="s">
        <v>91</v>
      </c>
      <c r="D4257">
        <v>79</v>
      </c>
      <c r="E4257" s="5">
        <v>43533</v>
      </c>
      <c r="F4257">
        <v>73052701</v>
      </c>
      <c r="G4257" t="s">
        <v>1071</v>
      </c>
      <c r="H4257" t="s">
        <v>1169</v>
      </c>
      <c r="I4257" t="s">
        <v>1170</v>
      </c>
      <c r="J4257">
        <v>1001</v>
      </c>
      <c r="K4257">
        <v>5001</v>
      </c>
      <c r="L4257" s="3">
        <v>1563344</v>
      </c>
      <c r="M4257" s="3">
        <v>45282</v>
      </c>
      <c r="N4257">
        <v>0</v>
      </c>
      <c r="O4257">
        <v>0</v>
      </c>
      <c r="P4257">
        <v>1608626</v>
      </c>
      <c r="Q4257" t="s">
        <v>30</v>
      </c>
      <c r="R4257" t="s">
        <v>236</v>
      </c>
      <c r="S4257" t="str">
        <v>#N/A</v>
      </c>
      <c r="T4257" t="str">
        <v>13</v>
      </c>
    </row>
    <row r="4258" spans="1:20" ht="13.7" customHeight="1" x14ac:dyDescent="0.25">
      <c r="A4258" t="s">
        <v>26</v>
      </c>
      <c r="B4258" t="s">
        <v>27</v>
      </c>
      <c r="C4258" t="s">
        <v>91</v>
      </c>
      <c r="D4258">
        <v>80</v>
      </c>
      <c r="E4258" s="5">
        <v>43547</v>
      </c>
      <c r="F4258">
        <v>73052701</v>
      </c>
      <c r="G4258" t="s">
        <v>1071</v>
      </c>
      <c r="H4258" t="s">
        <v>1169</v>
      </c>
      <c r="I4258" t="s">
        <v>1170</v>
      </c>
      <c r="J4258">
        <v>1001</v>
      </c>
      <c r="K4258">
        <v>5001</v>
      </c>
      <c r="L4258" s="3">
        <v>1608626</v>
      </c>
      <c r="M4258" s="3">
        <v>45282</v>
      </c>
      <c r="N4258">
        <v>0</v>
      </c>
      <c r="O4258">
        <v>0</v>
      </c>
      <c r="P4258">
        <v>1653908</v>
      </c>
      <c r="Q4258" t="s">
        <v>30</v>
      </c>
      <c r="R4258" t="s">
        <v>244</v>
      </c>
      <c r="S4258" t="str">
        <v>#N/A</v>
      </c>
      <c r="T4258" t="str">
        <v>13</v>
      </c>
    </row>
    <row r="4259" spans="1:20" ht="13.7" customHeight="1" x14ac:dyDescent="0.25">
      <c r="A4259" t="s">
        <v>26</v>
      </c>
      <c r="B4259" t="s">
        <v>27</v>
      </c>
      <c r="C4259" t="s">
        <v>34</v>
      </c>
      <c r="D4259">
        <v>71</v>
      </c>
      <c r="E4259" s="5">
        <v>43561</v>
      </c>
      <c r="F4259">
        <v>73052701</v>
      </c>
      <c r="G4259" t="s">
        <v>1071</v>
      </c>
      <c r="H4259" t="s">
        <v>1169</v>
      </c>
      <c r="I4259" t="s">
        <v>1170</v>
      </c>
      <c r="J4259">
        <v>1001</v>
      </c>
      <c r="K4259">
        <v>5001</v>
      </c>
      <c r="L4259" s="3">
        <v>1653908</v>
      </c>
      <c r="M4259" s="3">
        <v>45282</v>
      </c>
      <c r="N4259">
        <v>0</v>
      </c>
      <c r="O4259">
        <v>0</v>
      </c>
      <c r="P4259">
        <v>1699190</v>
      </c>
      <c r="Q4259" t="s">
        <v>30</v>
      </c>
      <c r="R4259" t="s">
        <v>244</v>
      </c>
      <c r="S4259" t="str">
        <v>#N/A</v>
      </c>
      <c r="T4259" t="str">
        <v>13</v>
      </c>
    </row>
    <row r="4260" spans="1:20" ht="13.7" customHeight="1" x14ac:dyDescent="0.25">
      <c r="A4260" t="s">
        <v>26</v>
      </c>
      <c r="B4260" t="s">
        <v>27</v>
      </c>
      <c r="C4260" t="s">
        <v>34</v>
      </c>
      <c r="D4260">
        <v>72</v>
      </c>
      <c r="E4260" s="5">
        <v>43575</v>
      </c>
      <c r="F4260">
        <v>73052701</v>
      </c>
      <c r="G4260" t="s">
        <v>1071</v>
      </c>
      <c r="H4260" t="s">
        <v>1169</v>
      </c>
      <c r="I4260" t="s">
        <v>1170</v>
      </c>
      <c r="J4260">
        <v>1001</v>
      </c>
      <c r="K4260">
        <v>5001</v>
      </c>
      <c r="L4260" s="3">
        <v>1699190</v>
      </c>
      <c r="M4260" s="3">
        <v>45282</v>
      </c>
      <c r="N4260">
        <v>0</v>
      </c>
      <c r="O4260">
        <v>0</v>
      </c>
      <c r="P4260">
        <v>1744472</v>
      </c>
      <c r="Q4260" t="s">
        <v>30</v>
      </c>
      <c r="R4260" t="s">
        <v>254</v>
      </c>
      <c r="S4260" t="str">
        <v>#N/A</v>
      </c>
      <c r="T4260" t="str">
        <v>13</v>
      </c>
    </row>
    <row r="4261" spans="1:20" ht="13.7" customHeight="1" x14ac:dyDescent="0.25">
      <c r="A4261" t="s">
        <v>26</v>
      </c>
      <c r="B4261" t="s">
        <v>27</v>
      </c>
      <c r="C4261" t="s">
        <v>35</v>
      </c>
      <c r="D4261">
        <v>97</v>
      </c>
      <c r="E4261" s="5">
        <v>43589</v>
      </c>
      <c r="F4261">
        <v>73052701</v>
      </c>
      <c r="G4261" t="s">
        <v>1071</v>
      </c>
      <c r="H4261" t="s">
        <v>1169</v>
      </c>
      <c r="I4261" t="s">
        <v>1170</v>
      </c>
      <c r="J4261">
        <v>1001</v>
      </c>
      <c r="K4261">
        <v>5001</v>
      </c>
      <c r="L4261" s="3">
        <v>1744472</v>
      </c>
      <c r="M4261" s="3">
        <v>45282</v>
      </c>
      <c r="N4261">
        <v>0</v>
      </c>
      <c r="O4261">
        <v>0</v>
      </c>
      <c r="P4261">
        <v>1789754</v>
      </c>
      <c r="Q4261" t="s">
        <v>30</v>
      </c>
      <c r="R4261" t="s">
        <v>256</v>
      </c>
      <c r="S4261" t="str">
        <v>#N/A</v>
      </c>
      <c r="T4261" t="str">
        <v>13</v>
      </c>
    </row>
    <row r="4262" spans="1:20" ht="13.7" customHeight="1" x14ac:dyDescent="0.25">
      <c r="A4262" t="s">
        <v>26</v>
      </c>
      <c r="B4262" t="s">
        <v>27</v>
      </c>
      <c r="C4262" t="s">
        <v>35</v>
      </c>
      <c r="D4262">
        <v>98</v>
      </c>
      <c r="E4262" s="5">
        <v>43603</v>
      </c>
      <c r="F4262">
        <v>73052701</v>
      </c>
      <c r="G4262" t="s">
        <v>1071</v>
      </c>
      <c r="H4262" t="s">
        <v>1169</v>
      </c>
      <c r="I4262" t="s">
        <v>1170</v>
      </c>
      <c r="J4262">
        <v>1001</v>
      </c>
      <c r="K4262">
        <v>5001</v>
      </c>
      <c r="L4262" s="3">
        <v>1789754</v>
      </c>
      <c r="M4262" s="3">
        <v>45282</v>
      </c>
      <c r="N4262">
        <v>0</v>
      </c>
      <c r="O4262">
        <v>0</v>
      </c>
      <c r="P4262">
        <v>1835036</v>
      </c>
      <c r="Q4262" t="s">
        <v>30</v>
      </c>
      <c r="R4262" t="s">
        <v>261</v>
      </c>
      <c r="S4262" t="str">
        <v>#N/A</v>
      </c>
      <c r="T4262" t="str">
        <v>13</v>
      </c>
    </row>
    <row r="4263" spans="1:20" ht="13.7" customHeight="1" x14ac:dyDescent="0.25">
      <c r="A4263" t="s">
        <v>26</v>
      </c>
      <c r="B4263" t="s">
        <v>27</v>
      </c>
      <c r="C4263" t="s">
        <v>36</v>
      </c>
      <c r="D4263">
        <v>70</v>
      </c>
      <c r="E4263" s="5">
        <v>43617</v>
      </c>
      <c r="F4263">
        <v>73052701</v>
      </c>
      <c r="G4263" t="s">
        <v>1071</v>
      </c>
      <c r="H4263" t="s">
        <v>1169</v>
      </c>
      <c r="I4263" t="s">
        <v>1170</v>
      </c>
      <c r="J4263">
        <v>1001</v>
      </c>
      <c r="K4263">
        <v>5001</v>
      </c>
      <c r="L4263" s="3">
        <v>1835036</v>
      </c>
      <c r="M4263" s="3">
        <v>45282</v>
      </c>
      <c r="N4263">
        <v>0</v>
      </c>
      <c r="O4263">
        <v>0</v>
      </c>
      <c r="P4263">
        <v>1880318</v>
      </c>
      <c r="Q4263" t="s">
        <v>30</v>
      </c>
      <c r="R4263" t="s">
        <v>264</v>
      </c>
      <c r="S4263" t="str">
        <v>#N/A</v>
      </c>
      <c r="T4263" t="str">
        <v>13</v>
      </c>
    </row>
    <row r="4264" spans="1:20" ht="13.7" customHeight="1" x14ac:dyDescent="0.25">
      <c r="A4264" t="s">
        <v>26</v>
      </c>
      <c r="B4264" t="s">
        <v>27</v>
      </c>
      <c r="C4264" t="s">
        <v>36</v>
      </c>
      <c r="D4264">
        <v>71</v>
      </c>
      <c r="E4264" s="5">
        <v>43631</v>
      </c>
      <c r="F4264">
        <v>73052701</v>
      </c>
      <c r="G4264" t="s">
        <v>1071</v>
      </c>
      <c r="H4264" t="s">
        <v>1169</v>
      </c>
      <c r="I4264" t="s">
        <v>1170</v>
      </c>
      <c r="J4264">
        <v>1001</v>
      </c>
      <c r="K4264">
        <v>5001</v>
      </c>
      <c r="L4264" s="3">
        <v>1880318</v>
      </c>
      <c r="M4264" s="3">
        <v>45282</v>
      </c>
      <c r="N4264">
        <v>0</v>
      </c>
      <c r="O4264">
        <v>0</v>
      </c>
      <c r="P4264">
        <v>1925600</v>
      </c>
      <c r="Q4264" t="s">
        <v>30</v>
      </c>
      <c r="R4264" t="s">
        <v>270</v>
      </c>
      <c r="S4264" t="str">
        <v>#N/A</v>
      </c>
      <c r="T4264" t="str">
        <v>13</v>
      </c>
    </row>
    <row r="4265" spans="1:20" ht="13.7" customHeight="1" x14ac:dyDescent="0.25">
      <c r="A4265" t="s">
        <v>26</v>
      </c>
      <c r="B4265" t="s">
        <v>27</v>
      </c>
      <c r="C4265" t="s">
        <v>36</v>
      </c>
      <c r="D4265">
        <v>73</v>
      </c>
      <c r="E4265" s="5">
        <v>43642</v>
      </c>
      <c r="F4265">
        <v>73052701</v>
      </c>
      <c r="G4265" t="s">
        <v>1071</v>
      </c>
      <c r="H4265" t="s">
        <v>1169</v>
      </c>
      <c r="I4265" t="s">
        <v>1170</v>
      </c>
      <c r="J4265">
        <v>1001</v>
      </c>
      <c r="K4265">
        <v>5001</v>
      </c>
      <c r="L4265" s="3">
        <v>1925600</v>
      </c>
      <c r="M4265" s="3">
        <v>45282</v>
      </c>
      <c r="N4265">
        <v>0</v>
      </c>
      <c r="O4265">
        <v>0</v>
      </c>
      <c r="P4265">
        <v>1970882</v>
      </c>
      <c r="Q4265" t="s">
        <v>30</v>
      </c>
      <c r="R4265" t="s">
        <v>274</v>
      </c>
      <c r="S4265" t="str">
        <v>#N/A</v>
      </c>
      <c r="T4265" t="str">
        <v>13</v>
      </c>
    </row>
    <row r="4266" spans="1:20" ht="13.7" customHeight="1" x14ac:dyDescent="0.25">
      <c r="A4266" t="s">
        <v>26</v>
      </c>
      <c r="B4266" t="s">
        <v>27</v>
      </c>
      <c r="C4266" t="s">
        <v>37</v>
      </c>
      <c r="D4266">
        <v>66</v>
      </c>
      <c r="E4266" s="5">
        <v>43659</v>
      </c>
      <c r="F4266">
        <v>73052701</v>
      </c>
      <c r="G4266" t="s">
        <v>1071</v>
      </c>
      <c r="H4266" t="s">
        <v>1169</v>
      </c>
      <c r="I4266" t="s">
        <v>1170</v>
      </c>
      <c r="J4266">
        <v>1001</v>
      </c>
      <c r="K4266">
        <v>5001</v>
      </c>
      <c r="L4266" s="3">
        <v>1970882</v>
      </c>
      <c r="M4266" s="3">
        <v>45282</v>
      </c>
      <c r="N4266">
        <v>0</v>
      </c>
      <c r="O4266">
        <v>0</v>
      </c>
      <c r="P4266">
        <v>2016164</v>
      </c>
      <c r="Q4266" t="s">
        <v>30</v>
      </c>
      <c r="R4266" t="s">
        <v>279</v>
      </c>
      <c r="S4266" t="str">
        <v>#N/A</v>
      </c>
      <c r="T4266" t="str">
        <v>13</v>
      </c>
    </row>
    <row r="4267" spans="1:20" ht="13.7" customHeight="1" x14ac:dyDescent="0.25">
      <c r="A4267" t="s">
        <v>26</v>
      </c>
      <c r="B4267" t="s">
        <v>27</v>
      </c>
      <c r="C4267" t="s">
        <v>37</v>
      </c>
      <c r="D4267">
        <v>67</v>
      </c>
      <c r="E4267" s="5">
        <v>43673</v>
      </c>
      <c r="F4267">
        <v>73052701</v>
      </c>
      <c r="G4267" t="s">
        <v>1071</v>
      </c>
      <c r="H4267" t="s">
        <v>1169</v>
      </c>
      <c r="I4267" t="s">
        <v>1170</v>
      </c>
      <c r="J4267">
        <v>1001</v>
      </c>
      <c r="K4267">
        <v>5001</v>
      </c>
      <c r="L4267" s="3">
        <v>2016164</v>
      </c>
      <c r="M4267" s="3">
        <v>45282</v>
      </c>
      <c r="N4267">
        <v>0</v>
      </c>
      <c r="O4267">
        <v>0</v>
      </c>
      <c r="P4267">
        <v>2061446</v>
      </c>
      <c r="Q4267" t="s">
        <v>30</v>
      </c>
      <c r="R4267" t="s">
        <v>282</v>
      </c>
      <c r="S4267" t="str">
        <v>#N/A</v>
      </c>
      <c r="T4267" t="str">
        <v>13</v>
      </c>
    </row>
    <row r="4268" spans="1:20" ht="13.7" customHeight="1" x14ac:dyDescent="0.25">
      <c r="A4268" t="s">
        <v>26</v>
      </c>
      <c r="B4268" t="s">
        <v>27</v>
      </c>
      <c r="C4268" t="s">
        <v>38</v>
      </c>
      <c r="D4268">
        <v>56</v>
      </c>
      <c r="E4268" s="5">
        <v>43687</v>
      </c>
      <c r="F4268">
        <v>73052701</v>
      </c>
      <c r="G4268" t="s">
        <v>1071</v>
      </c>
      <c r="H4268" t="s">
        <v>1169</v>
      </c>
      <c r="I4268" t="s">
        <v>1170</v>
      </c>
      <c r="J4268">
        <v>1001</v>
      </c>
      <c r="K4268">
        <v>5001</v>
      </c>
      <c r="L4268" s="3">
        <v>2061446</v>
      </c>
      <c r="M4268" s="3">
        <v>45282</v>
      </c>
      <c r="N4268">
        <v>0</v>
      </c>
      <c r="O4268">
        <v>0</v>
      </c>
      <c r="P4268">
        <v>2106728</v>
      </c>
      <c r="Q4268" t="s">
        <v>30</v>
      </c>
      <c r="R4268" t="s">
        <v>284</v>
      </c>
      <c r="S4268" t="str">
        <v>#N/A</v>
      </c>
      <c r="T4268" t="str">
        <v>13</v>
      </c>
    </row>
    <row r="4269" spans="1:20" ht="13.7" customHeight="1" x14ac:dyDescent="0.25">
      <c r="A4269" t="s">
        <v>26</v>
      </c>
      <c r="B4269" t="s">
        <v>27</v>
      </c>
      <c r="C4269" t="s">
        <v>39</v>
      </c>
      <c r="D4269">
        <v>68</v>
      </c>
      <c r="E4269" s="5">
        <v>43715</v>
      </c>
      <c r="F4269">
        <v>73052701</v>
      </c>
      <c r="G4269" t="s">
        <v>1071</v>
      </c>
      <c r="H4269" t="s">
        <v>1169</v>
      </c>
      <c r="I4269" t="s">
        <v>1170</v>
      </c>
      <c r="J4269">
        <v>1001</v>
      </c>
      <c r="K4269">
        <v>5001</v>
      </c>
      <c r="L4269" s="3">
        <v>2106728</v>
      </c>
      <c r="M4269" s="3">
        <v>45282</v>
      </c>
      <c r="N4269">
        <v>0</v>
      </c>
      <c r="O4269">
        <v>0</v>
      </c>
      <c r="P4269">
        <v>2152010</v>
      </c>
      <c r="Q4269" t="s">
        <v>30</v>
      </c>
      <c r="R4269" t="s">
        <v>288</v>
      </c>
      <c r="S4269" t="str">
        <v>#N/A</v>
      </c>
      <c r="T4269" t="str">
        <v>13</v>
      </c>
    </row>
    <row r="4270" spans="1:20" ht="13.7" customHeight="1" x14ac:dyDescent="0.25">
      <c r="A4270" t="s">
        <v>26</v>
      </c>
      <c r="B4270" t="s">
        <v>27</v>
      </c>
      <c r="C4270" t="s">
        <v>39</v>
      </c>
      <c r="D4270">
        <v>69</v>
      </c>
      <c r="E4270" s="5">
        <v>43729</v>
      </c>
      <c r="F4270">
        <v>73052701</v>
      </c>
      <c r="G4270" t="s">
        <v>1071</v>
      </c>
      <c r="H4270" t="s">
        <v>1169</v>
      </c>
      <c r="I4270" t="s">
        <v>1170</v>
      </c>
      <c r="J4270">
        <v>1001</v>
      </c>
      <c r="K4270">
        <v>5001</v>
      </c>
      <c r="L4270" s="3">
        <v>2152010</v>
      </c>
      <c r="M4270" s="3">
        <v>45282</v>
      </c>
      <c r="N4270">
        <v>0</v>
      </c>
      <c r="O4270">
        <v>0</v>
      </c>
      <c r="P4270">
        <v>2197292</v>
      </c>
      <c r="Q4270" t="s">
        <v>30</v>
      </c>
      <c r="R4270" t="s">
        <v>291</v>
      </c>
      <c r="S4270" t="str">
        <v>#N/A</v>
      </c>
      <c r="T4270" t="str">
        <v>13</v>
      </c>
    </row>
    <row r="4271" spans="1:20" ht="13.7" customHeight="1" x14ac:dyDescent="0.25">
      <c r="A4271" t="s">
        <v>26</v>
      </c>
      <c r="B4271" t="s">
        <v>27</v>
      </c>
      <c r="C4271" t="s">
        <v>40</v>
      </c>
      <c r="D4271">
        <v>61</v>
      </c>
      <c r="E4271" s="5">
        <v>43743</v>
      </c>
      <c r="F4271">
        <v>73052701</v>
      </c>
      <c r="G4271" t="s">
        <v>1071</v>
      </c>
      <c r="H4271" t="s">
        <v>1169</v>
      </c>
      <c r="I4271" t="s">
        <v>1170</v>
      </c>
      <c r="J4271">
        <v>1001</v>
      </c>
      <c r="K4271">
        <v>5001</v>
      </c>
      <c r="L4271" s="3">
        <v>2197292</v>
      </c>
      <c r="M4271" s="3">
        <v>45282</v>
      </c>
      <c r="N4271">
        <v>0</v>
      </c>
      <c r="O4271">
        <v>0</v>
      </c>
      <c r="P4271">
        <v>2242574</v>
      </c>
      <c r="Q4271" t="s">
        <v>30</v>
      </c>
      <c r="R4271" t="s">
        <v>293</v>
      </c>
      <c r="S4271" t="str">
        <v>#N/A</v>
      </c>
      <c r="T4271" t="str">
        <v>13</v>
      </c>
    </row>
    <row r="4272" spans="1:20" ht="13.7" customHeight="1" x14ac:dyDescent="0.25">
      <c r="A4272" t="s">
        <v>26</v>
      </c>
      <c r="B4272" t="s">
        <v>27</v>
      </c>
      <c r="C4272" t="s">
        <v>40</v>
      </c>
      <c r="D4272">
        <v>62</v>
      </c>
      <c r="E4272" s="5">
        <v>43757</v>
      </c>
      <c r="F4272">
        <v>73052701</v>
      </c>
      <c r="G4272" t="s">
        <v>1071</v>
      </c>
      <c r="H4272" t="s">
        <v>1169</v>
      </c>
      <c r="I4272" t="s">
        <v>1170</v>
      </c>
      <c r="J4272">
        <v>1001</v>
      </c>
      <c r="K4272">
        <v>5001</v>
      </c>
      <c r="L4272" s="3">
        <v>2242574</v>
      </c>
      <c r="M4272" s="3">
        <v>45282</v>
      </c>
      <c r="N4272">
        <v>0</v>
      </c>
      <c r="O4272">
        <v>0</v>
      </c>
      <c r="P4272">
        <v>2287856</v>
      </c>
      <c r="Q4272" t="s">
        <v>30</v>
      </c>
      <c r="R4272" t="s">
        <v>299</v>
      </c>
      <c r="S4272" t="str">
        <v>#N/A</v>
      </c>
      <c r="T4272" t="str">
        <v>13</v>
      </c>
    </row>
    <row r="4273" spans="1:20" ht="13.7" customHeight="1" x14ac:dyDescent="0.25">
      <c r="A4273" t="s">
        <v>26</v>
      </c>
      <c r="B4273" t="s">
        <v>27</v>
      </c>
      <c r="C4273" t="s">
        <v>41</v>
      </c>
      <c r="D4273">
        <v>76</v>
      </c>
      <c r="E4273" s="5">
        <v>43771</v>
      </c>
      <c r="F4273">
        <v>73052701</v>
      </c>
      <c r="G4273" t="s">
        <v>1071</v>
      </c>
      <c r="H4273" t="s">
        <v>1169</v>
      </c>
      <c r="I4273" t="s">
        <v>1170</v>
      </c>
      <c r="J4273">
        <v>1001</v>
      </c>
      <c r="K4273">
        <v>5001</v>
      </c>
      <c r="L4273" s="3">
        <v>2287856</v>
      </c>
      <c r="M4273" s="3">
        <v>45282</v>
      </c>
      <c r="N4273">
        <v>0</v>
      </c>
      <c r="O4273">
        <v>0</v>
      </c>
      <c r="P4273">
        <v>2333138</v>
      </c>
      <c r="Q4273" t="s">
        <v>30</v>
      </c>
      <c r="R4273" t="s">
        <v>301</v>
      </c>
      <c r="S4273" t="str">
        <v>#N/A</v>
      </c>
      <c r="T4273" t="str">
        <v>13</v>
      </c>
    </row>
    <row r="4274" spans="1:20" ht="13.7" customHeight="1" x14ac:dyDescent="0.25">
      <c r="A4274" t="s">
        <v>26</v>
      </c>
      <c r="B4274" t="s">
        <v>27</v>
      </c>
      <c r="C4274" t="s">
        <v>41</v>
      </c>
      <c r="D4274">
        <v>77</v>
      </c>
      <c r="E4274" s="5">
        <v>43785</v>
      </c>
      <c r="F4274">
        <v>73052701</v>
      </c>
      <c r="G4274" t="s">
        <v>1071</v>
      </c>
      <c r="H4274" t="s">
        <v>1169</v>
      </c>
      <c r="I4274" t="s">
        <v>1170</v>
      </c>
      <c r="J4274">
        <v>1001</v>
      </c>
      <c r="K4274">
        <v>5001</v>
      </c>
      <c r="L4274" s="3">
        <v>2333138</v>
      </c>
      <c r="M4274" s="3">
        <v>45282</v>
      </c>
      <c r="N4274">
        <v>0</v>
      </c>
      <c r="O4274">
        <v>0</v>
      </c>
      <c r="P4274">
        <v>2378420</v>
      </c>
      <c r="Q4274" t="s">
        <v>30</v>
      </c>
      <c r="R4274" t="s">
        <v>305</v>
      </c>
      <c r="S4274" t="str">
        <v>#N/A</v>
      </c>
      <c r="T4274" t="str">
        <v>13</v>
      </c>
    </row>
    <row r="4275" spans="1:20" ht="13.7" customHeight="1" x14ac:dyDescent="0.25">
      <c r="A4275" t="s">
        <v>26</v>
      </c>
      <c r="B4275" t="s">
        <v>27</v>
      </c>
      <c r="C4275" t="s">
        <v>41</v>
      </c>
      <c r="D4275">
        <v>78</v>
      </c>
      <c r="E4275" s="5">
        <v>43799</v>
      </c>
      <c r="F4275">
        <v>73052701</v>
      </c>
      <c r="G4275" t="s">
        <v>1071</v>
      </c>
      <c r="H4275" t="s">
        <v>1169</v>
      </c>
      <c r="I4275" t="s">
        <v>1170</v>
      </c>
      <c r="J4275">
        <v>1001</v>
      </c>
      <c r="K4275">
        <v>5001</v>
      </c>
      <c r="L4275" s="3">
        <v>2378420</v>
      </c>
      <c r="M4275" s="3">
        <v>45282</v>
      </c>
      <c r="N4275">
        <v>0</v>
      </c>
      <c r="O4275">
        <v>0</v>
      </c>
      <c r="P4275">
        <v>2423702</v>
      </c>
      <c r="Q4275" t="s">
        <v>30</v>
      </c>
      <c r="R4275" t="s">
        <v>309</v>
      </c>
      <c r="S4275" t="str">
        <v>#N/A</v>
      </c>
      <c r="T4275" t="str">
        <v>13</v>
      </c>
    </row>
    <row r="4276" spans="1:20" ht="13.7" customHeight="1" x14ac:dyDescent="0.25">
      <c r="A4276" t="s">
        <v>26</v>
      </c>
      <c r="B4276" t="s">
        <v>27</v>
      </c>
      <c r="C4276" t="s">
        <v>180</v>
      </c>
      <c r="D4276">
        <v>1</v>
      </c>
      <c r="E4276" s="5">
        <v>43813</v>
      </c>
      <c r="F4276">
        <v>73052701</v>
      </c>
      <c r="G4276" t="s">
        <v>1071</v>
      </c>
      <c r="H4276" t="s">
        <v>1169</v>
      </c>
      <c r="I4276" t="s">
        <v>1170</v>
      </c>
      <c r="J4276">
        <v>1001</v>
      </c>
      <c r="K4276">
        <v>5001</v>
      </c>
      <c r="L4276" s="3">
        <v>2423702</v>
      </c>
      <c r="M4276" s="3">
        <v>45282</v>
      </c>
      <c r="N4276">
        <v>0</v>
      </c>
      <c r="O4276">
        <v>0</v>
      </c>
      <c r="P4276">
        <v>2468984</v>
      </c>
      <c r="Q4276" t="s">
        <v>30</v>
      </c>
      <c r="R4276" t="s">
        <v>316</v>
      </c>
      <c r="S4276" t="str">
        <v>#N/A</v>
      </c>
      <c r="T4276" t="str">
        <v>13</v>
      </c>
    </row>
    <row r="4277" spans="1:20" ht="13.7" customHeight="1" x14ac:dyDescent="0.25">
      <c r="A4277" t="s">
        <v>26</v>
      </c>
      <c r="B4277" t="s">
        <v>27</v>
      </c>
      <c r="C4277" t="s">
        <v>180</v>
      </c>
      <c r="D4277">
        <v>90</v>
      </c>
      <c r="E4277" s="5">
        <v>43819</v>
      </c>
      <c r="F4277">
        <v>73052701</v>
      </c>
      <c r="G4277" t="s">
        <v>1071</v>
      </c>
      <c r="H4277" t="s">
        <v>1169</v>
      </c>
      <c r="I4277" t="s">
        <v>1170</v>
      </c>
      <c r="J4277" t="e">
        <v>#N/A</v>
      </c>
      <c r="K4277" t="e">
        <v>#N/A</v>
      </c>
      <c r="L4277" s="3">
        <v>2468984</v>
      </c>
      <c r="M4277" s="3">
        <v>22641</v>
      </c>
      <c r="N4277">
        <v>0</v>
      </c>
      <c r="O4277">
        <v>0</v>
      </c>
      <c r="P4277">
        <v>2491625</v>
      </c>
      <c r="Q4277" t="s">
        <v>30</v>
      </c>
      <c r="R4277" t="s">
        <v>1503</v>
      </c>
      <c r="S4277" t="str">
        <v>#N/A</v>
      </c>
      <c r="T4277" t="str">
        <v>13</v>
      </c>
    </row>
    <row r="4278" spans="1:20" ht="13.7" customHeight="1" x14ac:dyDescent="0.25">
      <c r="E4278" s="5">
        <v>43465</v>
      </c>
      <c r="F4278">
        <v>73052701</v>
      </c>
      <c r="G4278" t="s">
        <v>1071</v>
      </c>
      <c r="H4278" t="s">
        <v>1153</v>
      </c>
      <c r="I4278" t="s">
        <v>1154</v>
      </c>
      <c r="J4278">
        <v>0</v>
      </c>
      <c r="K4278">
        <v>0</v>
      </c>
      <c r="L4278" s="3">
        <v>987963</v>
      </c>
      <c r="M4278" s="3">
        <v>0</v>
      </c>
      <c r="N4278">
        <v>0</v>
      </c>
      <c r="O4278">
        <v>0</v>
      </c>
      <c r="P4278">
        <v>987963</v>
      </c>
      <c r="R4278" t="s">
        <v>1100</v>
      </c>
      <c r="S4278" t="str">
        <v>#N/A</v>
      </c>
      <c r="T4278" t="str">
        <v>#N/A</v>
      </c>
    </row>
    <row r="4279" spans="1:20" ht="13.7" customHeight="1" x14ac:dyDescent="0.25">
      <c r="A4279" t="s">
        <v>26</v>
      </c>
      <c r="B4279" t="s">
        <v>27</v>
      </c>
      <c r="C4279" t="s">
        <v>28</v>
      </c>
      <c r="D4279">
        <v>77</v>
      </c>
      <c r="E4279" s="5">
        <v>43491</v>
      </c>
      <c r="F4279">
        <v>73052701</v>
      </c>
      <c r="G4279" t="s">
        <v>1071</v>
      </c>
      <c r="H4279" t="s">
        <v>1153</v>
      </c>
      <c r="I4279" t="s">
        <v>1154</v>
      </c>
      <c r="J4279">
        <v>1001</v>
      </c>
      <c r="K4279">
        <v>5001</v>
      </c>
      <c r="L4279" s="3">
        <v>987963</v>
      </c>
      <c r="M4279" s="3">
        <v>45282</v>
      </c>
      <c r="N4279">
        <v>0</v>
      </c>
      <c r="O4279">
        <v>0</v>
      </c>
      <c r="P4279">
        <v>1033245</v>
      </c>
      <c r="Q4279" t="s">
        <v>30</v>
      </c>
      <c r="R4279" t="s">
        <v>202</v>
      </c>
      <c r="S4279" t="str">
        <v>#N/A</v>
      </c>
      <c r="T4279" t="str">
        <v>#N/A</v>
      </c>
    </row>
    <row r="4280" spans="1:20" ht="13.7" customHeight="1" x14ac:dyDescent="0.25">
      <c r="A4280" t="s">
        <v>26</v>
      </c>
      <c r="B4280" t="s">
        <v>27</v>
      </c>
      <c r="C4280" t="s">
        <v>32</v>
      </c>
      <c r="D4280">
        <v>60</v>
      </c>
      <c r="E4280" s="5">
        <v>43505</v>
      </c>
      <c r="F4280">
        <v>73052701</v>
      </c>
      <c r="G4280" t="s">
        <v>1071</v>
      </c>
      <c r="H4280" t="s">
        <v>1153</v>
      </c>
      <c r="I4280" t="s">
        <v>1154</v>
      </c>
      <c r="J4280">
        <v>1001</v>
      </c>
      <c r="K4280">
        <v>5001</v>
      </c>
      <c r="L4280" s="3">
        <v>1033245</v>
      </c>
      <c r="M4280" s="3">
        <v>45282</v>
      </c>
      <c r="N4280">
        <v>0</v>
      </c>
      <c r="O4280">
        <v>0</v>
      </c>
      <c r="P4280">
        <v>1078527</v>
      </c>
      <c r="Q4280" t="s">
        <v>30</v>
      </c>
      <c r="R4280" t="s">
        <v>215</v>
      </c>
      <c r="S4280" t="str">
        <v>#N/A</v>
      </c>
      <c r="T4280" t="str">
        <v>#N/A</v>
      </c>
    </row>
    <row r="4281" spans="1:20" ht="13.7" customHeight="1" x14ac:dyDescent="0.25">
      <c r="A4281" t="s">
        <v>26</v>
      </c>
      <c r="B4281" t="s">
        <v>27</v>
      </c>
      <c r="C4281" t="s">
        <v>32</v>
      </c>
      <c r="D4281">
        <v>61</v>
      </c>
      <c r="E4281" s="5">
        <v>43519</v>
      </c>
      <c r="F4281">
        <v>73052701</v>
      </c>
      <c r="G4281" t="s">
        <v>1071</v>
      </c>
      <c r="H4281" t="s">
        <v>1153</v>
      </c>
      <c r="I4281" t="s">
        <v>1154</v>
      </c>
      <c r="J4281">
        <v>1001</v>
      </c>
      <c r="K4281">
        <v>5001</v>
      </c>
      <c r="L4281" s="3">
        <v>1078527</v>
      </c>
      <c r="M4281" s="3">
        <v>45282</v>
      </c>
      <c r="N4281">
        <v>0</v>
      </c>
      <c r="O4281">
        <v>0</v>
      </c>
      <c r="P4281">
        <v>1123809</v>
      </c>
      <c r="Q4281" t="s">
        <v>30</v>
      </c>
      <c r="R4281" t="s">
        <v>226</v>
      </c>
      <c r="S4281" t="str">
        <v>#N/A</v>
      </c>
      <c r="T4281" t="str">
        <v>#N/A</v>
      </c>
    </row>
    <row r="4282" spans="1:20" ht="13.7" customHeight="1" x14ac:dyDescent="0.25">
      <c r="A4282" t="s">
        <v>26</v>
      </c>
      <c r="B4282" t="s">
        <v>27</v>
      </c>
      <c r="C4282" t="s">
        <v>91</v>
      </c>
      <c r="D4282">
        <v>79</v>
      </c>
      <c r="E4282" s="5">
        <v>43533</v>
      </c>
      <c r="F4282">
        <v>73052701</v>
      </c>
      <c r="G4282" t="s">
        <v>1071</v>
      </c>
      <c r="H4282" t="s">
        <v>1153</v>
      </c>
      <c r="I4282" t="s">
        <v>1154</v>
      </c>
      <c r="J4282">
        <v>1001</v>
      </c>
      <c r="K4282">
        <v>5001</v>
      </c>
      <c r="L4282" s="3">
        <v>1123809</v>
      </c>
      <c r="M4282" s="3">
        <v>45282</v>
      </c>
      <c r="N4282">
        <v>0</v>
      </c>
      <c r="O4282">
        <v>0</v>
      </c>
      <c r="P4282">
        <v>1169091</v>
      </c>
      <c r="Q4282" t="s">
        <v>30</v>
      </c>
      <c r="R4282" t="s">
        <v>236</v>
      </c>
      <c r="S4282" t="str">
        <v>#N/A</v>
      </c>
      <c r="T4282" t="str">
        <v>#N/A</v>
      </c>
    </row>
    <row r="4283" spans="1:20" ht="13.7" customHeight="1" x14ac:dyDescent="0.25">
      <c r="A4283" t="s">
        <v>26</v>
      </c>
      <c r="B4283" t="s">
        <v>27</v>
      </c>
      <c r="C4283" t="s">
        <v>91</v>
      </c>
      <c r="D4283">
        <v>80</v>
      </c>
      <c r="E4283" s="5">
        <v>43547</v>
      </c>
      <c r="F4283">
        <v>73052701</v>
      </c>
      <c r="G4283" t="s">
        <v>1071</v>
      </c>
      <c r="H4283" t="s">
        <v>1153</v>
      </c>
      <c r="I4283" t="s">
        <v>1154</v>
      </c>
      <c r="J4283">
        <v>1001</v>
      </c>
      <c r="K4283">
        <v>5001</v>
      </c>
      <c r="L4283" s="3">
        <v>1169091</v>
      </c>
      <c r="M4283" s="3">
        <v>45282</v>
      </c>
      <c r="N4283">
        <v>0</v>
      </c>
      <c r="O4283">
        <v>0</v>
      </c>
      <c r="P4283">
        <v>1214373</v>
      </c>
      <c r="Q4283" t="s">
        <v>30</v>
      </c>
      <c r="R4283" t="s">
        <v>244</v>
      </c>
      <c r="S4283" t="str">
        <v>#N/A</v>
      </c>
      <c r="T4283" t="str">
        <v>#N/A</v>
      </c>
    </row>
    <row r="4284" spans="1:20" ht="13.7" customHeight="1" x14ac:dyDescent="0.25">
      <c r="A4284" t="s">
        <v>26</v>
      </c>
      <c r="B4284" t="s">
        <v>27</v>
      </c>
      <c r="C4284" t="s">
        <v>34</v>
      </c>
      <c r="D4284">
        <v>71</v>
      </c>
      <c r="E4284" s="5">
        <v>43561</v>
      </c>
      <c r="F4284">
        <v>73052701</v>
      </c>
      <c r="G4284" t="s">
        <v>1071</v>
      </c>
      <c r="H4284" t="s">
        <v>1153</v>
      </c>
      <c r="I4284" t="s">
        <v>1154</v>
      </c>
      <c r="J4284">
        <v>1001</v>
      </c>
      <c r="K4284">
        <v>5001</v>
      </c>
      <c r="L4284" s="3">
        <v>1214373</v>
      </c>
      <c r="M4284" s="3">
        <v>45282</v>
      </c>
      <c r="N4284">
        <v>0</v>
      </c>
      <c r="O4284">
        <v>0</v>
      </c>
      <c r="P4284">
        <v>1259655</v>
      </c>
      <c r="Q4284" t="s">
        <v>30</v>
      </c>
      <c r="R4284" t="s">
        <v>244</v>
      </c>
      <c r="S4284" t="str">
        <v>#N/A</v>
      </c>
      <c r="T4284" t="str">
        <v>#N/A</v>
      </c>
    </row>
    <row r="4285" spans="1:20" ht="13.7" customHeight="1" x14ac:dyDescent="0.25">
      <c r="A4285" t="s">
        <v>26</v>
      </c>
      <c r="B4285" t="s">
        <v>27</v>
      </c>
      <c r="C4285" t="s">
        <v>34</v>
      </c>
      <c r="D4285">
        <v>72</v>
      </c>
      <c r="E4285" s="5">
        <v>43575</v>
      </c>
      <c r="F4285">
        <v>73052701</v>
      </c>
      <c r="G4285" t="s">
        <v>1071</v>
      </c>
      <c r="H4285" t="s">
        <v>1153</v>
      </c>
      <c r="I4285" t="s">
        <v>1154</v>
      </c>
      <c r="J4285">
        <v>1001</v>
      </c>
      <c r="K4285">
        <v>5001</v>
      </c>
      <c r="L4285" s="3">
        <v>1259655</v>
      </c>
      <c r="M4285" s="3">
        <v>25875</v>
      </c>
      <c r="N4285">
        <v>0</v>
      </c>
      <c r="O4285">
        <v>0</v>
      </c>
      <c r="P4285">
        <v>1285530</v>
      </c>
      <c r="Q4285" t="s">
        <v>30</v>
      </c>
      <c r="R4285" t="s">
        <v>254</v>
      </c>
      <c r="S4285" t="str">
        <v>#N/A</v>
      </c>
      <c r="T4285" t="str">
        <v>#N/A</v>
      </c>
    </row>
    <row r="4286" spans="1:20" ht="13.7" customHeight="1" x14ac:dyDescent="0.25">
      <c r="A4286" t="s">
        <v>26</v>
      </c>
      <c r="B4286" t="s">
        <v>27</v>
      </c>
      <c r="C4286" t="s">
        <v>35</v>
      </c>
      <c r="D4286">
        <v>97</v>
      </c>
      <c r="E4286" s="5">
        <v>43589</v>
      </c>
      <c r="F4286">
        <v>73052701</v>
      </c>
      <c r="G4286" t="s">
        <v>1071</v>
      </c>
      <c r="H4286" t="s">
        <v>1153</v>
      </c>
      <c r="I4286" t="s">
        <v>1154</v>
      </c>
      <c r="J4286">
        <v>1001</v>
      </c>
      <c r="K4286">
        <v>5001</v>
      </c>
      <c r="L4286" s="3">
        <v>1285530</v>
      </c>
      <c r="M4286" s="3">
        <v>42047</v>
      </c>
      <c r="N4286">
        <v>0</v>
      </c>
      <c r="O4286">
        <v>0</v>
      </c>
      <c r="P4286">
        <v>1327577</v>
      </c>
      <c r="Q4286" t="s">
        <v>30</v>
      </c>
      <c r="R4286" t="s">
        <v>256</v>
      </c>
      <c r="S4286" t="str">
        <v>#N/A</v>
      </c>
      <c r="T4286" t="str">
        <v>#N/A</v>
      </c>
    </row>
    <row r="4287" spans="1:20" ht="13.7" customHeight="1" x14ac:dyDescent="0.25">
      <c r="A4287" t="s">
        <v>26</v>
      </c>
      <c r="B4287" t="s">
        <v>27</v>
      </c>
      <c r="C4287" t="s">
        <v>35</v>
      </c>
      <c r="D4287">
        <v>98</v>
      </c>
      <c r="E4287" s="5">
        <v>43603</v>
      </c>
      <c r="F4287">
        <v>73052701</v>
      </c>
      <c r="G4287" t="s">
        <v>1071</v>
      </c>
      <c r="H4287" t="s">
        <v>1153</v>
      </c>
      <c r="I4287" t="s">
        <v>1154</v>
      </c>
      <c r="J4287">
        <v>1001</v>
      </c>
      <c r="K4287">
        <v>5001</v>
      </c>
      <c r="L4287" s="3">
        <v>1327577</v>
      </c>
      <c r="M4287" s="3">
        <v>45282</v>
      </c>
      <c r="N4287">
        <v>0</v>
      </c>
      <c r="O4287">
        <v>0</v>
      </c>
      <c r="P4287">
        <v>1372859</v>
      </c>
      <c r="Q4287" t="s">
        <v>30</v>
      </c>
      <c r="R4287" t="s">
        <v>261</v>
      </c>
      <c r="S4287" t="str">
        <v>#N/A</v>
      </c>
      <c r="T4287" t="str">
        <v>#N/A</v>
      </c>
    </row>
    <row r="4288" spans="1:20" ht="13.7" customHeight="1" x14ac:dyDescent="0.25">
      <c r="A4288" t="s">
        <v>26</v>
      </c>
      <c r="B4288" t="s">
        <v>27</v>
      </c>
      <c r="C4288" t="s">
        <v>36</v>
      </c>
      <c r="D4288">
        <v>70</v>
      </c>
      <c r="E4288" s="5">
        <v>43617</v>
      </c>
      <c r="F4288">
        <v>73052701</v>
      </c>
      <c r="G4288" t="s">
        <v>1071</v>
      </c>
      <c r="H4288" t="s">
        <v>1153</v>
      </c>
      <c r="I4288" t="s">
        <v>1154</v>
      </c>
      <c r="J4288">
        <v>1001</v>
      </c>
      <c r="K4288">
        <v>5001</v>
      </c>
      <c r="L4288" s="3">
        <v>1372859</v>
      </c>
      <c r="M4288" s="3">
        <v>45282</v>
      </c>
      <c r="N4288">
        <v>0</v>
      </c>
      <c r="O4288">
        <v>0</v>
      </c>
      <c r="P4288">
        <v>1418141</v>
      </c>
      <c r="Q4288" t="s">
        <v>30</v>
      </c>
      <c r="R4288" t="s">
        <v>264</v>
      </c>
      <c r="S4288" t="str">
        <v>#N/A</v>
      </c>
      <c r="T4288" t="str">
        <v>#N/A</v>
      </c>
    </row>
    <row r="4289" spans="1:20" ht="13.7" customHeight="1" x14ac:dyDescent="0.25">
      <c r="A4289" t="s">
        <v>26</v>
      </c>
      <c r="B4289" t="s">
        <v>27</v>
      </c>
      <c r="C4289" t="s">
        <v>36</v>
      </c>
      <c r="D4289">
        <v>71</v>
      </c>
      <c r="E4289" s="5">
        <v>43631</v>
      </c>
      <c r="F4289">
        <v>73052701</v>
      </c>
      <c r="G4289" t="s">
        <v>1071</v>
      </c>
      <c r="H4289" t="s">
        <v>1153</v>
      </c>
      <c r="I4289" t="s">
        <v>1154</v>
      </c>
      <c r="J4289">
        <v>1001</v>
      </c>
      <c r="K4289">
        <v>5001</v>
      </c>
      <c r="L4289" s="3">
        <v>1418141</v>
      </c>
      <c r="M4289" s="3">
        <v>45282</v>
      </c>
      <c r="N4289">
        <v>0</v>
      </c>
      <c r="O4289">
        <v>0</v>
      </c>
      <c r="P4289">
        <v>1463423</v>
      </c>
      <c r="Q4289" t="s">
        <v>30</v>
      </c>
      <c r="R4289" t="s">
        <v>270</v>
      </c>
      <c r="S4289" t="str">
        <v>#N/A</v>
      </c>
      <c r="T4289" t="str">
        <v>#N/A</v>
      </c>
    </row>
    <row r="4290" spans="1:20" ht="13.7" customHeight="1" x14ac:dyDescent="0.25">
      <c r="A4290" t="s">
        <v>26</v>
      </c>
      <c r="B4290" t="s">
        <v>27</v>
      </c>
      <c r="C4290" t="s">
        <v>36</v>
      </c>
      <c r="D4290">
        <v>73</v>
      </c>
      <c r="E4290" s="5">
        <v>43642</v>
      </c>
      <c r="F4290">
        <v>73052701</v>
      </c>
      <c r="G4290" t="s">
        <v>1071</v>
      </c>
      <c r="H4290" t="s">
        <v>1153</v>
      </c>
      <c r="I4290" t="s">
        <v>1154</v>
      </c>
      <c r="J4290">
        <v>1001</v>
      </c>
      <c r="K4290">
        <v>5001</v>
      </c>
      <c r="L4290" s="3">
        <v>1463423</v>
      </c>
      <c r="M4290" s="3">
        <v>45282</v>
      </c>
      <c r="N4290">
        <v>0</v>
      </c>
      <c r="O4290">
        <v>0</v>
      </c>
      <c r="P4290">
        <v>1508705</v>
      </c>
      <c r="Q4290" t="s">
        <v>30</v>
      </c>
      <c r="R4290" t="s">
        <v>274</v>
      </c>
      <c r="S4290" t="str">
        <v>#N/A</v>
      </c>
      <c r="T4290" t="str">
        <v>#N/A</v>
      </c>
    </row>
    <row r="4291" spans="1:20" ht="13.7" customHeight="1" x14ac:dyDescent="0.25">
      <c r="A4291" t="s">
        <v>26</v>
      </c>
      <c r="B4291" t="s">
        <v>27</v>
      </c>
      <c r="C4291" t="s">
        <v>37</v>
      </c>
      <c r="D4291">
        <v>66</v>
      </c>
      <c r="E4291" s="5">
        <v>43659</v>
      </c>
      <c r="F4291">
        <v>73052701</v>
      </c>
      <c r="G4291" t="s">
        <v>1071</v>
      </c>
      <c r="H4291" t="s">
        <v>1153</v>
      </c>
      <c r="I4291" t="s">
        <v>1154</v>
      </c>
      <c r="J4291">
        <v>1001</v>
      </c>
      <c r="K4291">
        <v>5001</v>
      </c>
      <c r="L4291" s="3">
        <v>1508705</v>
      </c>
      <c r="M4291" s="3">
        <v>45282</v>
      </c>
      <c r="N4291">
        <v>0</v>
      </c>
      <c r="O4291">
        <v>0</v>
      </c>
      <c r="P4291">
        <v>1553987</v>
      </c>
      <c r="Q4291" t="s">
        <v>30</v>
      </c>
      <c r="R4291" t="s">
        <v>279</v>
      </c>
      <c r="S4291" t="str">
        <v>#N/A</v>
      </c>
      <c r="T4291" t="str">
        <v>#N/A</v>
      </c>
    </row>
    <row r="4292" spans="1:20" ht="13.7" customHeight="1" x14ac:dyDescent="0.25">
      <c r="A4292" t="s">
        <v>26</v>
      </c>
      <c r="B4292" t="s">
        <v>27</v>
      </c>
      <c r="C4292" t="s">
        <v>37</v>
      </c>
      <c r="D4292">
        <v>67</v>
      </c>
      <c r="E4292" s="5">
        <v>43673</v>
      </c>
      <c r="F4292">
        <v>73052701</v>
      </c>
      <c r="G4292" t="s">
        <v>1071</v>
      </c>
      <c r="H4292" t="s">
        <v>1153</v>
      </c>
      <c r="I4292" t="s">
        <v>1154</v>
      </c>
      <c r="J4292">
        <v>1001</v>
      </c>
      <c r="K4292">
        <v>5001</v>
      </c>
      <c r="L4292" s="3">
        <v>1553987</v>
      </c>
      <c r="M4292" s="3">
        <v>45282</v>
      </c>
      <c r="N4292">
        <v>0</v>
      </c>
      <c r="O4292">
        <v>0</v>
      </c>
      <c r="P4292">
        <v>1599269</v>
      </c>
      <c r="Q4292" t="s">
        <v>30</v>
      </c>
      <c r="R4292" t="s">
        <v>282</v>
      </c>
      <c r="S4292" t="str">
        <v>#N/A</v>
      </c>
      <c r="T4292" t="str">
        <v>#N/A</v>
      </c>
    </row>
    <row r="4293" spans="1:20" ht="13.7" customHeight="1" x14ac:dyDescent="0.25">
      <c r="A4293" t="s">
        <v>26</v>
      </c>
      <c r="B4293" t="s">
        <v>27</v>
      </c>
      <c r="C4293" t="s">
        <v>38</v>
      </c>
      <c r="D4293">
        <v>56</v>
      </c>
      <c r="E4293" s="5">
        <v>43687</v>
      </c>
      <c r="F4293">
        <v>73052701</v>
      </c>
      <c r="G4293" t="s">
        <v>1071</v>
      </c>
      <c r="H4293" t="s">
        <v>1153</v>
      </c>
      <c r="I4293" t="s">
        <v>1154</v>
      </c>
      <c r="J4293">
        <v>1001</v>
      </c>
      <c r="K4293">
        <v>5001</v>
      </c>
      <c r="L4293" s="3">
        <v>1599269</v>
      </c>
      <c r="M4293" s="3">
        <v>45282</v>
      </c>
      <c r="N4293">
        <v>0</v>
      </c>
      <c r="O4293">
        <v>0</v>
      </c>
      <c r="P4293">
        <v>1644551</v>
      </c>
      <c r="Q4293" t="s">
        <v>30</v>
      </c>
      <c r="R4293" t="s">
        <v>284</v>
      </c>
      <c r="S4293" t="str">
        <v>#N/A</v>
      </c>
      <c r="T4293" t="str">
        <v>#N/A</v>
      </c>
    </row>
    <row r="4294" spans="1:20" ht="13.7" customHeight="1" x14ac:dyDescent="0.25">
      <c r="A4294" t="s">
        <v>26</v>
      </c>
      <c r="B4294" t="s">
        <v>27</v>
      </c>
      <c r="C4294" t="s">
        <v>38</v>
      </c>
      <c r="D4294">
        <v>57</v>
      </c>
      <c r="E4294" s="5">
        <v>43701</v>
      </c>
      <c r="F4294">
        <v>73052701</v>
      </c>
      <c r="G4294" t="s">
        <v>1071</v>
      </c>
      <c r="H4294" t="s">
        <v>1153</v>
      </c>
      <c r="I4294" t="s">
        <v>1154</v>
      </c>
      <c r="J4294">
        <v>1001</v>
      </c>
      <c r="K4294">
        <v>5001</v>
      </c>
      <c r="L4294" s="3">
        <v>1644551</v>
      </c>
      <c r="M4294" s="3">
        <v>45282</v>
      </c>
      <c r="N4294">
        <v>0</v>
      </c>
      <c r="O4294">
        <v>0</v>
      </c>
      <c r="P4294">
        <v>1689833</v>
      </c>
      <c r="Q4294" t="s">
        <v>30</v>
      </c>
      <c r="R4294" t="s">
        <v>287</v>
      </c>
      <c r="S4294" t="str">
        <v>#N/A</v>
      </c>
      <c r="T4294" t="str">
        <v>#N/A</v>
      </c>
    </row>
    <row r="4295" spans="1:20" ht="13.7" customHeight="1" x14ac:dyDescent="0.25">
      <c r="A4295" t="s">
        <v>26</v>
      </c>
      <c r="B4295" t="s">
        <v>27</v>
      </c>
      <c r="C4295" t="s">
        <v>39</v>
      </c>
      <c r="D4295">
        <v>68</v>
      </c>
      <c r="E4295" s="5">
        <v>43715</v>
      </c>
      <c r="F4295">
        <v>73052701</v>
      </c>
      <c r="G4295" t="s">
        <v>1071</v>
      </c>
      <c r="H4295" t="s">
        <v>1153</v>
      </c>
      <c r="I4295" t="s">
        <v>1154</v>
      </c>
      <c r="J4295">
        <v>1001</v>
      </c>
      <c r="K4295">
        <v>5001</v>
      </c>
      <c r="L4295" s="3">
        <v>1689833</v>
      </c>
      <c r="M4295" s="3">
        <v>45282</v>
      </c>
      <c r="N4295">
        <v>0</v>
      </c>
      <c r="O4295">
        <v>0</v>
      </c>
      <c r="P4295">
        <v>1735115</v>
      </c>
      <c r="Q4295" t="s">
        <v>30</v>
      </c>
      <c r="R4295" t="s">
        <v>288</v>
      </c>
      <c r="S4295" t="str">
        <v>#N/A</v>
      </c>
      <c r="T4295" t="str">
        <v>#N/A</v>
      </c>
    </row>
    <row r="4296" spans="1:20" ht="13.7" customHeight="1" x14ac:dyDescent="0.25">
      <c r="A4296" t="s">
        <v>26</v>
      </c>
      <c r="B4296" t="s">
        <v>27</v>
      </c>
      <c r="C4296" t="s">
        <v>39</v>
      </c>
      <c r="D4296">
        <v>69</v>
      </c>
      <c r="E4296" s="5">
        <v>43729</v>
      </c>
      <c r="F4296">
        <v>73052701</v>
      </c>
      <c r="G4296" t="s">
        <v>1071</v>
      </c>
      <c r="H4296" t="s">
        <v>1153</v>
      </c>
      <c r="I4296" t="s">
        <v>1154</v>
      </c>
      <c r="J4296">
        <v>1001</v>
      </c>
      <c r="K4296">
        <v>5001</v>
      </c>
      <c r="L4296" s="3">
        <v>1735115</v>
      </c>
      <c r="M4296" s="3">
        <v>45282</v>
      </c>
      <c r="N4296">
        <v>0</v>
      </c>
      <c r="O4296">
        <v>0</v>
      </c>
      <c r="P4296">
        <v>1780397</v>
      </c>
      <c r="Q4296" t="s">
        <v>30</v>
      </c>
      <c r="R4296" t="s">
        <v>291</v>
      </c>
      <c r="S4296" t="str">
        <v>#N/A</v>
      </c>
      <c r="T4296" t="str">
        <v>#N/A</v>
      </c>
    </row>
    <row r="4297" spans="1:20" ht="13.7" customHeight="1" x14ac:dyDescent="0.25">
      <c r="A4297" t="s">
        <v>26</v>
      </c>
      <c r="B4297" t="s">
        <v>27</v>
      </c>
      <c r="C4297" t="s">
        <v>40</v>
      </c>
      <c r="D4297">
        <v>61</v>
      </c>
      <c r="E4297" s="5">
        <v>43743</v>
      </c>
      <c r="F4297">
        <v>73052701</v>
      </c>
      <c r="G4297" t="s">
        <v>1071</v>
      </c>
      <c r="H4297" t="s">
        <v>1153</v>
      </c>
      <c r="I4297" t="s">
        <v>1154</v>
      </c>
      <c r="J4297">
        <v>1001</v>
      </c>
      <c r="K4297">
        <v>5001</v>
      </c>
      <c r="L4297" s="3">
        <v>1780397</v>
      </c>
      <c r="M4297" s="3">
        <v>35578</v>
      </c>
      <c r="N4297">
        <v>0</v>
      </c>
      <c r="O4297">
        <v>0</v>
      </c>
      <c r="P4297">
        <v>1815975</v>
      </c>
      <c r="Q4297" t="s">
        <v>30</v>
      </c>
      <c r="R4297" t="s">
        <v>293</v>
      </c>
      <c r="S4297" t="str">
        <v>#N/A</v>
      </c>
      <c r="T4297" t="str">
        <v>#N/A</v>
      </c>
    </row>
    <row r="4298" spans="1:20" ht="13.7" customHeight="1" x14ac:dyDescent="0.25">
      <c r="A4298" t="s">
        <v>26</v>
      </c>
      <c r="B4298" t="s">
        <v>27</v>
      </c>
      <c r="C4298" t="s">
        <v>40</v>
      </c>
      <c r="D4298">
        <v>62</v>
      </c>
      <c r="E4298" s="5">
        <v>43757</v>
      </c>
      <c r="F4298">
        <v>73052701</v>
      </c>
      <c r="G4298" t="s">
        <v>1071</v>
      </c>
      <c r="H4298" t="s">
        <v>1153</v>
      </c>
      <c r="I4298" t="s">
        <v>1154</v>
      </c>
      <c r="J4298">
        <v>1001</v>
      </c>
      <c r="K4298">
        <v>5001</v>
      </c>
      <c r="L4298" s="3">
        <v>1815975</v>
      </c>
      <c r="M4298" s="3">
        <v>45282</v>
      </c>
      <c r="N4298">
        <v>0</v>
      </c>
      <c r="O4298">
        <v>0</v>
      </c>
      <c r="P4298">
        <v>1861257</v>
      </c>
      <c r="Q4298" t="s">
        <v>30</v>
      </c>
      <c r="R4298" t="s">
        <v>299</v>
      </c>
      <c r="S4298" t="str">
        <v>#N/A</v>
      </c>
      <c r="T4298" t="str">
        <v>#N/A</v>
      </c>
    </row>
    <row r="4299" spans="1:20" ht="13.7" customHeight="1" x14ac:dyDescent="0.25">
      <c r="A4299" t="s">
        <v>26</v>
      </c>
      <c r="B4299" t="s">
        <v>27</v>
      </c>
      <c r="C4299" t="s">
        <v>41</v>
      </c>
      <c r="D4299">
        <v>76</v>
      </c>
      <c r="E4299" s="5">
        <v>43771</v>
      </c>
      <c r="F4299">
        <v>73052701</v>
      </c>
      <c r="G4299" t="s">
        <v>1071</v>
      </c>
      <c r="H4299" t="s">
        <v>1153</v>
      </c>
      <c r="I4299" t="s">
        <v>1154</v>
      </c>
      <c r="J4299">
        <v>1001</v>
      </c>
      <c r="K4299">
        <v>5001</v>
      </c>
      <c r="L4299" s="3">
        <v>1861257</v>
      </c>
      <c r="M4299" s="3">
        <v>45282</v>
      </c>
      <c r="N4299">
        <v>0</v>
      </c>
      <c r="O4299">
        <v>0</v>
      </c>
      <c r="P4299">
        <v>1906539</v>
      </c>
      <c r="Q4299" t="s">
        <v>30</v>
      </c>
      <c r="R4299" t="s">
        <v>301</v>
      </c>
      <c r="S4299" t="str">
        <v>#N/A</v>
      </c>
      <c r="T4299" t="str">
        <v>#N/A</v>
      </c>
    </row>
    <row r="4300" spans="1:20" ht="13.7" customHeight="1" x14ac:dyDescent="0.25">
      <c r="A4300" t="s">
        <v>26</v>
      </c>
      <c r="B4300" t="s">
        <v>27</v>
      </c>
      <c r="C4300" t="s">
        <v>41</v>
      </c>
      <c r="D4300">
        <v>77</v>
      </c>
      <c r="E4300" s="5">
        <v>43785</v>
      </c>
      <c r="F4300">
        <v>73052701</v>
      </c>
      <c r="G4300" t="s">
        <v>1071</v>
      </c>
      <c r="H4300" t="s">
        <v>1153</v>
      </c>
      <c r="I4300" t="s">
        <v>1154</v>
      </c>
      <c r="J4300">
        <v>1001</v>
      </c>
      <c r="K4300">
        <v>5001</v>
      </c>
      <c r="L4300" s="3">
        <v>1906539</v>
      </c>
      <c r="M4300" s="3">
        <v>45282</v>
      </c>
      <c r="N4300">
        <v>0</v>
      </c>
      <c r="O4300">
        <v>0</v>
      </c>
      <c r="P4300">
        <v>1951821</v>
      </c>
      <c r="Q4300" t="s">
        <v>30</v>
      </c>
      <c r="R4300" t="s">
        <v>305</v>
      </c>
      <c r="S4300" t="str">
        <v>#N/A</v>
      </c>
      <c r="T4300" t="str">
        <v>#N/A</v>
      </c>
    </row>
    <row r="4301" spans="1:20" ht="13.7" customHeight="1" x14ac:dyDescent="0.25">
      <c r="A4301" t="s">
        <v>26</v>
      </c>
      <c r="B4301" t="s">
        <v>27</v>
      </c>
      <c r="C4301" t="s">
        <v>41</v>
      </c>
      <c r="D4301">
        <v>78</v>
      </c>
      <c r="E4301" s="5">
        <v>43799</v>
      </c>
      <c r="F4301">
        <v>73052701</v>
      </c>
      <c r="G4301" t="s">
        <v>1071</v>
      </c>
      <c r="H4301" t="s">
        <v>1153</v>
      </c>
      <c r="I4301" t="s">
        <v>1154</v>
      </c>
      <c r="J4301">
        <v>1001</v>
      </c>
      <c r="K4301">
        <v>5001</v>
      </c>
      <c r="L4301" s="3">
        <v>1951821</v>
      </c>
      <c r="M4301" s="3">
        <v>45282</v>
      </c>
      <c r="N4301">
        <v>0</v>
      </c>
      <c r="O4301">
        <v>0</v>
      </c>
      <c r="P4301">
        <v>1997103</v>
      </c>
      <c r="Q4301" t="s">
        <v>30</v>
      </c>
      <c r="R4301" t="s">
        <v>309</v>
      </c>
      <c r="S4301" t="str">
        <v>#N/A</v>
      </c>
      <c r="T4301" t="str">
        <v>#N/A</v>
      </c>
    </row>
    <row r="4302" spans="1:20" ht="13.7" customHeight="1" x14ac:dyDescent="0.25">
      <c r="A4302" t="s">
        <v>26</v>
      </c>
      <c r="B4302" t="s">
        <v>27</v>
      </c>
      <c r="C4302" t="s">
        <v>180</v>
      </c>
      <c r="D4302">
        <v>1</v>
      </c>
      <c r="E4302" s="5">
        <v>43813</v>
      </c>
      <c r="F4302">
        <v>73052701</v>
      </c>
      <c r="G4302" t="s">
        <v>1071</v>
      </c>
      <c r="H4302" t="s">
        <v>1153</v>
      </c>
      <c r="I4302" t="s">
        <v>1154</v>
      </c>
      <c r="J4302">
        <v>1001</v>
      </c>
      <c r="K4302">
        <v>5001</v>
      </c>
      <c r="L4302" s="3">
        <v>1997103</v>
      </c>
      <c r="M4302" s="3">
        <v>45282</v>
      </c>
      <c r="N4302">
        <v>0</v>
      </c>
      <c r="O4302">
        <v>0</v>
      </c>
      <c r="P4302">
        <v>2042385</v>
      </c>
      <c r="Q4302" t="s">
        <v>30</v>
      </c>
      <c r="R4302" t="s">
        <v>316</v>
      </c>
      <c r="S4302" t="str">
        <v>#N/A</v>
      </c>
      <c r="T4302" t="str">
        <v>#N/A</v>
      </c>
    </row>
    <row r="4303" spans="1:20" ht="13.7" customHeight="1" x14ac:dyDescent="0.25">
      <c r="A4303" t="s">
        <v>26</v>
      </c>
      <c r="B4303" t="s">
        <v>27</v>
      </c>
      <c r="C4303" t="s">
        <v>180</v>
      </c>
      <c r="D4303">
        <v>90</v>
      </c>
      <c r="E4303" s="5">
        <v>43819</v>
      </c>
      <c r="F4303">
        <v>73052701</v>
      </c>
      <c r="G4303" t="s">
        <v>1071</v>
      </c>
      <c r="H4303" t="s">
        <v>1153</v>
      </c>
      <c r="I4303" t="s">
        <v>1154</v>
      </c>
      <c r="J4303" t="e">
        <v>#N/A</v>
      </c>
      <c r="K4303" t="e">
        <v>#N/A</v>
      </c>
      <c r="L4303" s="3">
        <v>2042385</v>
      </c>
      <c r="M4303" s="3">
        <v>22641</v>
      </c>
      <c r="N4303">
        <v>0</v>
      </c>
      <c r="O4303">
        <v>0</v>
      </c>
      <c r="P4303">
        <v>2065026</v>
      </c>
      <c r="Q4303" t="s">
        <v>30</v>
      </c>
      <c r="R4303" t="s">
        <v>1503</v>
      </c>
      <c r="S4303" t="str">
        <v>#N/A</v>
      </c>
      <c r="T4303" t="str">
        <v>#N/A</v>
      </c>
    </row>
    <row r="4304" spans="1:20" ht="13.7" customHeight="1" x14ac:dyDescent="0.25">
      <c r="E4304" s="5">
        <v>43465</v>
      </c>
      <c r="F4304">
        <v>73053601</v>
      </c>
      <c r="G4304" t="s">
        <v>1072</v>
      </c>
      <c r="H4304" t="s">
        <v>1147</v>
      </c>
      <c r="I4304" t="s">
        <v>1148</v>
      </c>
      <c r="J4304">
        <v>0</v>
      </c>
      <c r="K4304">
        <v>0</v>
      </c>
      <c r="L4304" s="3">
        <v>0</v>
      </c>
      <c r="M4304" s="3">
        <v>0</v>
      </c>
      <c r="N4304">
        <v>0</v>
      </c>
      <c r="O4304">
        <v>0</v>
      </c>
      <c r="P4304">
        <v>0</v>
      </c>
      <c r="R4304" t="s">
        <v>1100</v>
      </c>
      <c r="S4304" t="str">
        <v>#N/A</v>
      </c>
      <c r="T4304" t="str">
        <v>#N/A</v>
      </c>
    </row>
    <row r="4305" spans="1:20" ht="13.7" customHeight="1" x14ac:dyDescent="0.25">
      <c r="A4305" t="s">
        <v>26</v>
      </c>
      <c r="B4305" t="s">
        <v>27</v>
      </c>
      <c r="C4305" t="s">
        <v>36</v>
      </c>
      <c r="D4305">
        <v>72</v>
      </c>
      <c r="E4305" s="5">
        <v>43638</v>
      </c>
      <c r="F4305">
        <v>73053601</v>
      </c>
      <c r="G4305" t="s">
        <v>1072</v>
      </c>
      <c r="H4305" t="s">
        <v>1147</v>
      </c>
      <c r="I4305" t="s">
        <v>1148</v>
      </c>
      <c r="J4305">
        <v>1001</v>
      </c>
      <c r="K4305">
        <v>5001</v>
      </c>
      <c r="L4305" s="3">
        <v>0</v>
      </c>
      <c r="M4305" s="3">
        <v>64376</v>
      </c>
      <c r="N4305">
        <v>0</v>
      </c>
      <c r="O4305">
        <v>0</v>
      </c>
      <c r="P4305">
        <v>64376</v>
      </c>
      <c r="Q4305" t="s">
        <v>30</v>
      </c>
      <c r="R4305" t="s">
        <v>273</v>
      </c>
      <c r="S4305" t="str">
        <v>#N/A</v>
      </c>
      <c r="T4305" t="str">
        <v>#N/A</v>
      </c>
    </row>
    <row r="4306" spans="1:20" ht="13.7" customHeight="1" x14ac:dyDescent="0.25">
      <c r="E4306" s="5">
        <v>43465</v>
      </c>
      <c r="F4306">
        <v>73053601</v>
      </c>
      <c r="G4306" t="s">
        <v>1072</v>
      </c>
      <c r="H4306" t="s">
        <v>1151</v>
      </c>
      <c r="I4306" t="s">
        <v>1152</v>
      </c>
      <c r="J4306">
        <v>0</v>
      </c>
      <c r="K4306">
        <v>0</v>
      </c>
      <c r="L4306" s="3">
        <v>0</v>
      </c>
      <c r="M4306" s="3">
        <v>0</v>
      </c>
      <c r="N4306">
        <v>0</v>
      </c>
      <c r="O4306">
        <v>0</v>
      </c>
      <c r="P4306">
        <v>0</v>
      </c>
      <c r="R4306" t="s">
        <v>1100</v>
      </c>
      <c r="S4306" t="str">
        <v>#N/A</v>
      </c>
      <c r="T4306" t="str">
        <v>#N/A</v>
      </c>
    </row>
    <row r="4307" spans="1:20" ht="13.7" customHeight="1" x14ac:dyDescent="0.25">
      <c r="A4307" t="s">
        <v>26</v>
      </c>
      <c r="B4307" t="s">
        <v>27</v>
      </c>
      <c r="C4307" t="s">
        <v>36</v>
      </c>
      <c r="D4307">
        <v>72</v>
      </c>
      <c r="E4307" s="5">
        <v>43638</v>
      </c>
      <c r="F4307">
        <v>73053601</v>
      </c>
      <c r="G4307" t="s">
        <v>1072</v>
      </c>
      <c r="H4307" t="s">
        <v>1151</v>
      </c>
      <c r="I4307" t="s">
        <v>1152</v>
      </c>
      <c r="J4307">
        <v>1001</v>
      </c>
      <c r="K4307">
        <v>5001</v>
      </c>
      <c r="L4307" s="3">
        <v>0</v>
      </c>
      <c r="M4307" s="3">
        <v>244689</v>
      </c>
      <c r="N4307">
        <v>0</v>
      </c>
      <c r="O4307">
        <v>0</v>
      </c>
      <c r="P4307">
        <v>244689</v>
      </c>
      <c r="Q4307" t="s">
        <v>30</v>
      </c>
      <c r="R4307" t="s">
        <v>273</v>
      </c>
      <c r="S4307" t="str">
        <v>#N/A</v>
      </c>
      <c r="T4307" t="str">
        <v>#N/A</v>
      </c>
    </row>
    <row r="4308" spans="1:20" ht="13.7" customHeight="1" x14ac:dyDescent="0.25">
      <c r="A4308" t="s">
        <v>26</v>
      </c>
      <c r="B4308" t="s">
        <v>27</v>
      </c>
      <c r="C4308" t="s">
        <v>180</v>
      </c>
      <c r="D4308">
        <v>91</v>
      </c>
      <c r="E4308" s="5">
        <v>43819</v>
      </c>
      <c r="F4308">
        <v>73053601</v>
      </c>
      <c r="G4308" t="s">
        <v>1072</v>
      </c>
      <c r="H4308" t="s">
        <v>1151</v>
      </c>
      <c r="I4308" t="s">
        <v>1152</v>
      </c>
      <c r="J4308" t="e">
        <v>#N/A</v>
      </c>
      <c r="K4308" t="e">
        <v>#N/A</v>
      </c>
      <c r="L4308" s="3">
        <v>244689</v>
      </c>
      <c r="M4308" s="3">
        <v>418780</v>
      </c>
      <c r="N4308">
        <v>0</v>
      </c>
      <c r="O4308">
        <v>0</v>
      </c>
      <c r="P4308">
        <v>663469</v>
      </c>
      <c r="Q4308" t="s">
        <v>30</v>
      </c>
      <c r="R4308" t="s">
        <v>1504</v>
      </c>
      <c r="S4308" t="str">
        <v>#N/A</v>
      </c>
      <c r="T4308" t="str">
        <v>#N/A</v>
      </c>
    </row>
    <row r="4309" spans="1:20" ht="13.7" customHeight="1" x14ac:dyDescent="0.25">
      <c r="E4309" s="5">
        <v>43465</v>
      </c>
      <c r="F4309">
        <v>73053601</v>
      </c>
      <c r="G4309" t="s">
        <v>1072</v>
      </c>
      <c r="H4309" t="s">
        <v>1521</v>
      </c>
      <c r="I4309" t="s">
        <v>1522</v>
      </c>
      <c r="J4309">
        <v>0</v>
      </c>
      <c r="K4309">
        <v>0</v>
      </c>
      <c r="L4309" s="3">
        <v>109934</v>
      </c>
      <c r="M4309" s="3">
        <v>0</v>
      </c>
      <c r="N4309">
        <v>0</v>
      </c>
      <c r="O4309">
        <v>0</v>
      </c>
      <c r="P4309">
        <v>109934</v>
      </c>
      <c r="R4309" t="s">
        <v>1100</v>
      </c>
      <c r="S4309" t="str">
        <v>#N/A</v>
      </c>
      <c r="T4309" t="str">
        <v>#N/A</v>
      </c>
    </row>
    <row r="4310" spans="1:20" ht="13.7" customHeight="1" x14ac:dyDescent="0.25">
      <c r="E4310" s="5">
        <v>43465</v>
      </c>
      <c r="F4310">
        <v>73053601</v>
      </c>
      <c r="G4310" t="s">
        <v>1072</v>
      </c>
      <c r="H4310" t="s">
        <v>1141</v>
      </c>
      <c r="I4310" t="s">
        <v>1142</v>
      </c>
      <c r="J4310">
        <v>0</v>
      </c>
      <c r="K4310">
        <v>0</v>
      </c>
      <c r="L4310" s="3">
        <v>564766</v>
      </c>
      <c r="M4310" s="3">
        <v>0</v>
      </c>
      <c r="N4310">
        <v>0</v>
      </c>
      <c r="O4310">
        <v>0</v>
      </c>
      <c r="P4310">
        <v>564766</v>
      </c>
      <c r="R4310" t="s">
        <v>1100</v>
      </c>
      <c r="S4310" t="str">
        <v>#N/A</v>
      </c>
      <c r="T4310" t="str">
        <v>13</v>
      </c>
    </row>
    <row r="4311" spans="1:20" ht="13.7" customHeight="1" x14ac:dyDescent="0.25">
      <c r="A4311" t="s">
        <v>26</v>
      </c>
      <c r="B4311" t="s">
        <v>27</v>
      </c>
      <c r="C4311" t="s">
        <v>36</v>
      </c>
      <c r="D4311">
        <v>72</v>
      </c>
      <c r="E4311" s="5">
        <v>43638</v>
      </c>
      <c r="F4311">
        <v>73053601</v>
      </c>
      <c r="G4311" t="s">
        <v>1072</v>
      </c>
      <c r="H4311" t="s">
        <v>1141</v>
      </c>
      <c r="I4311" t="s">
        <v>1142</v>
      </c>
      <c r="J4311">
        <v>1001</v>
      </c>
      <c r="K4311">
        <v>5001</v>
      </c>
      <c r="L4311" s="3">
        <v>564766</v>
      </c>
      <c r="M4311" s="3">
        <v>431563</v>
      </c>
      <c r="N4311">
        <v>0</v>
      </c>
      <c r="O4311">
        <v>0</v>
      </c>
      <c r="P4311">
        <v>996329</v>
      </c>
      <c r="Q4311" t="s">
        <v>30</v>
      </c>
      <c r="R4311" t="s">
        <v>273</v>
      </c>
      <c r="S4311" t="str">
        <v>#N/A</v>
      </c>
      <c r="T4311" t="str">
        <v>13</v>
      </c>
    </row>
    <row r="4312" spans="1:20" ht="13.7" customHeight="1" x14ac:dyDescent="0.25">
      <c r="E4312" s="5">
        <v>43465</v>
      </c>
      <c r="F4312">
        <v>73053601</v>
      </c>
      <c r="G4312" t="s">
        <v>1072</v>
      </c>
      <c r="H4312" t="s">
        <v>1143</v>
      </c>
      <c r="I4312" t="s">
        <v>1144</v>
      </c>
      <c r="J4312">
        <v>0</v>
      </c>
      <c r="K4312">
        <v>0</v>
      </c>
      <c r="L4312" s="3">
        <v>0</v>
      </c>
      <c r="M4312" s="3">
        <v>0</v>
      </c>
      <c r="N4312">
        <v>0</v>
      </c>
      <c r="O4312">
        <v>0</v>
      </c>
      <c r="P4312">
        <v>0</v>
      </c>
      <c r="R4312" t="s">
        <v>1100</v>
      </c>
      <c r="S4312" t="str">
        <v>#N/A</v>
      </c>
      <c r="T4312" t="str">
        <v>#N/A</v>
      </c>
    </row>
    <row r="4313" spans="1:20" ht="13.7" customHeight="1" x14ac:dyDescent="0.25">
      <c r="A4313" t="s">
        <v>26</v>
      </c>
      <c r="B4313" t="s">
        <v>27</v>
      </c>
      <c r="C4313" t="s">
        <v>180</v>
      </c>
      <c r="D4313">
        <v>91</v>
      </c>
      <c r="E4313" s="5">
        <v>43819</v>
      </c>
      <c r="F4313">
        <v>73053601</v>
      </c>
      <c r="G4313" t="s">
        <v>1072</v>
      </c>
      <c r="H4313" t="s">
        <v>1143</v>
      </c>
      <c r="I4313" t="s">
        <v>1144</v>
      </c>
      <c r="J4313" t="e">
        <v>#N/A</v>
      </c>
      <c r="K4313" t="e">
        <v>#N/A</v>
      </c>
      <c r="L4313" s="3">
        <v>0</v>
      </c>
      <c r="M4313" s="3">
        <v>452044</v>
      </c>
      <c r="N4313">
        <v>0</v>
      </c>
      <c r="O4313">
        <v>0</v>
      </c>
      <c r="P4313">
        <v>452044</v>
      </c>
      <c r="Q4313" t="s">
        <v>30</v>
      </c>
      <c r="R4313" t="s">
        <v>1504</v>
      </c>
      <c r="S4313" t="str">
        <v>#N/A</v>
      </c>
      <c r="T4313" t="str">
        <v>#N/A</v>
      </c>
    </row>
    <row r="4314" spans="1:20" ht="13.7" customHeight="1" x14ac:dyDescent="0.25">
      <c r="E4314" s="5">
        <v>43465</v>
      </c>
      <c r="F4314">
        <v>73053601</v>
      </c>
      <c r="G4314" t="s">
        <v>1072</v>
      </c>
      <c r="H4314" t="s">
        <v>1149</v>
      </c>
      <c r="I4314" t="s">
        <v>1150</v>
      </c>
      <c r="J4314">
        <v>0</v>
      </c>
      <c r="K4314">
        <v>0</v>
      </c>
      <c r="L4314" s="3">
        <v>720355</v>
      </c>
      <c r="M4314" s="3">
        <v>0</v>
      </c>
      <c r="N4314">
        <v>0</v>
      </c>
      <c r="O4314">
        <v>0</v>
      </c>
      <c r="P4314">
        <v>720355</v>
      </c>
      <c r="R4314" t="s">
        <v>1100</v>
      </c>
      <c r="S4314" t="str">
        <v>#N/A</v>
      </c>
      <c r="T4314" t="str">
        <v>13</v>
      </c>
    </row>
    <row r="4315" spans="1:20" ht="13.7" customHeight="1" x14ac:dyDescent="0.25">
      <c r="A4315" t="s">
        <v>26</v>
      </c>
      <c r="B4315" t="s">
        <v>27</v>
      </c>
      <c r="C4315" t="s">
        <v>36</v>
      </c>
      <c r="D4315">
        <v>72</v>
      </c>
      <c r="E4315" s="5">
        <v>43638</v>
      </c>
      <c r="F4315">
        <v>73053601</v>
      </c>
      <c r="G4315" t="s">
        <v>1072</v>
      </c>
      <c r="H4315" t="s">
        <v>1149</v>
      </c>
      <c r="I4315" t="s">
        <v>1150</v>
      </c>
      <c r="J4315">
        <v>1001</v>
      </c>
      <c r="K4315">
        <v>5001</v>
      </c>
      <c r="L4315" s="3">
        <v>720355</v>
      </c>
      <c r="M4315" s="3">
        <v>399660</v>
      </c>
      <c r="N4315">
        <v>0</v>
      </c>
      <c r="O4315">
        <v>0</v>
      </c>
      <c r="P4315">
        <v>1120015</v>
      </c>
      <c r="Q4315" t="s">
        <v>30</v>
      </c>
      <c r="R4315" t="s">
        <v>273</v>
      </c>
      <c r="S4315" t="str">
        <v>#N/A</v>
      </c>
      <c r="T4315" t="str">
        <v>13</v>
      </c>
    </row>
    <row r="4316" spans="1:20" ht="13.7" customHeight="1" x14ac:dyDescent="0.25">
      <c r="A4316" t="s">
        <v>26</v>
      </c>
      <c r="B4316" t="s">
        <v>27</v>
      </c>
      <c r="C4316" t="s">
        <v>180</v>
      </c>
      <c r="D4316">
        <v>91</v>
      </c>
      <c r="E4316" s="5">
        <v>43819</v>
      </c>
      <c r="F4316">
        <v>73053601</v>
      </c>
      <c r="G4316" t="s">
        <v>1072</v>
      </c>
      <c r="H4316" t="s">
        <v>1149</v>
      </c>
      <c r="I4316" t="s">
        <v>1150</v>
      </c>
      <c r="J4316" t="e">
        <v>#N/A</v>
      </c>
      <c r="K4316" t="e">
        <v>#N/A</v>
      </c>
      <c r="L4316" s="3">
        <v>1120015</v>
      </c>
      <c r="M4316" s="3">
        <v>409025</v>
      </c>
      <c r="N4316">
        <v>0</v>
      </c>
      <c r="O4316">
        <v>0</v>
      </c>
      <c r="P4316">
        <v>1529040</v>
      </c>
      <c r="Q4316" t="s">
        <v>30</v>
      </c>
      <c r="R4316" t="s">
        <v>1504</v>
      </c>
      <c r="S4316" t="str">
        <v>#N/A</v>
      </c>
      <c r="T4316" t="str">
        <v>13</v>
      </c>
    </row>
    <row r="4317" spans="1:20" ht="13.7" customHeight="1" x14ac:dyDescent="0.25">
      <c r="E4317" s="5">
        <v>43465</v>
      </c>
      <c r="F4317">
        <v>73053601</v>
      </c>
      <c r="G4317" t="s">
        <v>1072</v>
      </c>
      <c r="H4317" t="s">
        <v>1263</v>
      </c>
      <c r="I4317" t="s">
        <v>1264</v>
      </c>
      <c r="J4317">
        <v>0</v>
      </c>
      <c r="K4317">
        <v>0</v>
      </c>
      <c r="L4317" s="3">
        <v>0</v>
      </c>
      <c r="M4317" s="3">
        <v>0</v>
      </c>
      <c r="N4317">
        <v>0</v>
      </c>
      <c r="O4317">
        <v>0</v>
      </c>
      <c r="P4317">
        <v>0</v>
      </c>
      <c r="R4317" t="s">
        <v>1100</v>
      </c>
      <c r="S4317" t="str">
        <v>#N/A</v>
      </c>
      <c r="T4317" t="str">
        <v>#N/A</v>
      </c>
    </row>
    <row r="4318" spans="1:20" ht="13.7" customHeight="1" x14ac:dyDescent="0.25">
      <c r="A4318" t="s">
        <v>26</v>
      </c>
      <c r="B4318" t="s">
        <v>27</v>
      </c>
      <c r="C4318" t="s">
        <v>36</v>
      </c>
      <c r="D4318">
        <v>72</v>
      </c>
      <c r="E4318" s="5">
        <v>43638</v>
      </c>
      <c r="F4318">
        <v>73053601</v>
      </c>
      <c r="G4318" t="s">
        <v>1072</v>
      </c>
      <c r="H4318" t="s">
        <v>1263</v>
      </c>
      <c r="I4318" t="s">
        <v>1264</v>
      </c>
      <c r="J4318">
        <v>1001</v>
      </c>
      <c r="K4318">
        <v>5001</v>
      </c>
      <c r="L4318" s="3">
        <v>0</v>
      </c>
      <c r="M4318" s="3">
        <v>215781</v>
      </c>
      <c r="N4318">
        <v>0</v>
      </c>
      <c r="O4318">
        <v>0</v>
      </c>
      <c r="P4318">
        <v>215781</v>
      </c>
      <c r="Q4318" t="s">
        <v>30</v>
      </c>
      <c r="R4318" t="s">
        <v>273</v>
      </c>
      <c r="S4318" t="str">
        <v>#N/A</v>
      </c>
      <c r="T4318" t="str">
        <v>#N/A</v>
      </c>
    </row>
    <row r="4319" spans="1:20" ht="13.7" customHeight="1" x14ac:dyDescent="0.25">
      <c r="E4319" s="5">
        <v>43465</v>
      </c>
      <c r="F4319">
        <v>73053601</v>
      </c>
      <c r="G4319" t="s">
        <v>1072</v>
      </c>
      <c r="H4319" t="s">
        <v>1169</v>
      </c>
      <c r="I4319" t="s">
        <v>1170</v>
      </c>
      <c r="J4319">
        <v>0</v>
      </c>
      <c r="K4319">
        <v>0</v>
      </c>
      <c r="L4319" s="3">
        <v>977896</v>
      </c>
      <c r="M4319" s="3">
        <v>0</v>
      </c>
      <c r="N4319">
        <v>0</v>
      </c>
      <c r="O4319">
        <v>0</v>
      </c>
      <c r="P4319">
        <v>977896</v>
      </c>
      <c r="R4319" t="s">
        <v>1100</v>
      </c>
      <c r="S4319" t="str">
        <v>#N/A</v>
      </c>
      <c r="T4319" t="str">
        <v>13</v>
      </c>
    </row>
    <row r="4320" spans="1:20" ht="13.7" customHeight="1" x14ac:dyDescent="0.25">
      <c r="A4320" t="s">
        <v>26</v>
      </c>
      <c r="B4320" t="s">
        <v>27</v>
      </c>
      <c r="C4320" t="s">
        <v>36</v>
      </c>
      <c r="D4320">
        <v>72</v>
      </c>
      <c r="E4320" s="5">
        <v>43638</v>
      </c>
      <c r="F4320">
        <v>73053601</v>
      </c>
      <c r="G4320" t="s">
        <v>1072</v>
      </c>
      <c r="H4320" t="s">
        <v>1169</v>
      </c>
      <c r="I4320" t="s">
        <v>1170</v>
      </c>
      <c r="J4320">
        <v>1001</v>
      </c>
      <c r="K4320">
        <v>5001</v>
      </c>
      <c r="L4320" s="3">
        <v>977896</v>
      </c>
      <c r="M4320" s="3">
        <v>537721</v>
      </c>
      <c r="N4320">
        <v>0</v>
      </c>
      <c r="O4320">
        <v>0</v>
      </c>
      <c r="P4320">
        <v>1515617</v>
      </c>
      <c r="Q4320" t="s">
        <v>30</v>
      </c>
      <c r="R4320" t="s">
        <v>273</v>
      </c>
      <c r="S4320" t="str">
        <v>#N/A</v>
      </c>
      <c r="T4320" t="str">
        <v>13</v>
      </c>
    </row>
    <row r="4321" spans="1:20" ht="13.7" customHeight="1" x14ac:dyDescent="0.25">
      <c r="A4321" t="s">
        <v>26</v>
      </c>
      <c r="B4321" t="s">
        <v>27</v>
      </c>
      <c r="C4321" t="s">
        <v>180</v>
      </c>
      <c r="D4321">
        <v>91</v>
      </c>
      <c r="E4321" s="5">
        <v>43819</v>
      </c>
      <c r="F4321">
        <v>73053601</v>
      </c>
      <c r="G4321" t="s">
        <v>1072</v>
      </c>
      <c r="H4321" t="s">
        <v>1169</v>
      </c>
      <c r="I4321" t="s">
        <v>1170</v>
      </c>
      <c r="J4321" t="e">
        <v>#N/A</v>
      </c>
      <c r="K4321" t="e">
        <v>#N/A</v>
      </c>
      <c r="L4321" s="3">
        <v>1515617</v>
      </c>
      <c r="M4321" s="3">
        <v>557195</v>
      </c>
      <c r="N4321">
        <v>0</v>
      </c>
      <c r="O4321">
        <v>0</v>
      </c>
      <c r="P4321">
        <v>2072812</v>
      </c>
      <c r="Q4321" t="s">
        <v>30</v>
      </c>
      <c r="R4321" t="s">
        <v>1504</v>
      </c>
      <c r="S4321" t="str">
        <v>#N/A</v>
      </c>
      <c r="T4321" t="str">
        <v>13</v>
      </c>
    </row>
    <row r="4322" spans="1:20" ht="13.7" customHeight="1" x14ac:dyDescent="0.25">
      <c r="E4322" s="5">
        <v>43465</v>
      </c>
      <c r="F4322">
        <v>73053601</v>
      </c>
      <c r="G4322" t="s">
        <v>1072</v>
      </c>
      <c r="H4322" t="s">
        <v>1153</v>
      </c>
      <c r="I4322" t="s">
        <v>1154</v>
      </c>
      <c r="J4322">
        <v>0</v>
      </c>
      <c r="K4322">
        <v>0</v>
      </c>
      <c r="L4322" s="3">
        <v>867784</v>
      </c>
      <c r="M4322" s="3">
        <v>0</v>
      </c>
      <c r="N4322">
        <v>0</v>
      </c>
      <c r="O4322">
        <v>0</v>
      </c>
      <c r="P4322">
        <v>867784</v>
      </c>
      <c r="R4322" t="s">
        <v>1100</v>
      </c>
      <c r="S4322" t="str">
        <v>#N/A</v>
      </c>
      <c r="T4322" t="str">
        <v>#N/A</v>
      </c>
    </row>
    <row r="4323" spans="1:20" ht="13.7" customHeight="1" x14ac:dyDescent="0.25">
      <c r="A4323" t="s">
        <v>26</v>
      </c>
      <c r="B4323" t="s">
        <v>27</v>
      </c>
      <c r="C4323" t="s">
        <v>36</v>
      </c>
      <c r="D4323">
        <v>72</v>
      </c>
      <c r="E4323" s="5">
        <v>43638</v>
      </c>
      <c r="F4323">
        <v>73053601</v>
      </c>
      <c r="G4323" t="s">
        <v>1072</v>
      </c>
      <c r="H4323" t="s">
        <v>1153</v>
      </c>
      <c r="I4323" t="s">
        <v>1154</v>
      </c>
      <c r="J4323">
        <v>1001</v>
      </c>
      <c r="K4323">
        <v>5001</v>
      </c>
      <c r="L4323" s="3">
        <v>867784</v>
      </c>
      <c r="M4323" s="3">
        <v>488516</v>
      </c>
      <c r="N4323">
        <v>0</v>
      </c>
      <c r="O4323">
        <v>0</v>
      </c>
      <c r="P4323">
        <v>1356300</v>
      </c>
      <c r="Q4323" t="s">
        <v>30</v>
      </c>
      <c r="R4323" t="s">
        <v>273</v>
      </c>
      <c r="S4323" t="str">
        <v>#N/A</v>
      </c>
      <c r="T4323" t="str">
        <v>#N/A</v>
      </c>
    </row>
    <row r="4324" spans="1:20" ht="13.7" customHeight="1" x14ac:dyDescent="0.25">
      <c r="A4324" t="s">
        <v>26</v>
      </c>
      <c r="B4324" t="s">
        <v>27</v>
      </c>
      <c r="C4324" t="s">
        <v>180</v>
      </c>
      <c r="D4324">
        <v>91</v>
      </c>
      <c r="E4324" s="5">
        <v>43819</v>
      </c>
      <c r="F4324">
        <v>73053601</v>
      </c>
      <c r="G4324" t="s">
        <v>1072</v>
      </c>
      <c r="H4324" t="s">
        <v>1153</v>
      </c>
      <c r="I4324" t="s">
        <v>1154</v>
      </c>
      <c r="J4324" t="e">
        <v>#N/A</v>
      </c>
      <c r="K4324" t="e">
        <v>#N/A</v>
      </c>
      <c r="L4324" s="3">
        <v>1356300</v>
      </c>
      <c r="M4324" s="3">
        <v>503073</v>
      </c>
      <c r="N4324">
        <v>0</v>
      </c>
      <c r="O4324">
        <v>0</v>
      </c>
      <c r="P4324">
        <v>1859373</v>
      </c>
      <c r="Q4324" t="s">
        <v>30</v>
      </c>
      <c r="R4324" t="s">
        <v>1504</v>
      </c>
      <c r="S4324" t="str">
        <v>#N/A</v>
      </c>
      <c r="T4324" t="str">
        <v>#N/A</v>
      </c>
    </row>
    <row r="4325" spans="1:20" ht="13.7" customHeight="1" x14ac:dyDescent="0.25">
      <c r="E4325" s="5">
        <v>43465</v>
      </c>
      <c r="F4325">
        <v>73053901</v>
      </c>
      <c r="G4325" t="s">
        <v>1395</v>
      </c>
      <c r="H4325" t="s">
        <v>1141</v>
      </c>
      <c r="I4325" t="s">
        <v>1142</v>
      </c>
      <c r="J4325">
        <v>0</v>
      </c>
      <c r="K4325">
        <v>0</v>
      </c>
      <c r="L4325" s="3">
        <v>236014</v>
      </c>
      <c r="M4325" s="3">
        <v>0</v>
      </c>
      <c r="N4325">
        <v>0</v>
      </c>
      <c r="O4325">
        <v>0</v>
      </c>
      <c r="P4325">
        <v>236014</v>
      </c>
      <c r="R4325" t="s">
        <v>1100</v>
      </c>
      <c r="S4325" t="str">
        <v>#N/A</v>
      </c>
      <c r="T4325" t="str">
        <v>13</v>
      </c>
    </row>
    <row r="4326" spans="1:20" ht="13.7" customHeight="1" x14ac:dyDescent="0.25">
      <c r="E4326" s="5">
        <v>43465</v>
      </c>
      <c r="F4326">
        <v>73053901</v>
      </c>
      <c r="G4326" t="s">
        <v>1395</v>
      </c>
      <c r="H4326" t="s">
        <v>1149</v>
      </c>
      <c r="I4326" t="s">
        <v>1150</v>
      </c>
      <c r="J4326">
        <v>0</v>
      </c>
      <c r="K4326">
        <v>0</v>
      </c>
      <c r="L4326" s="3">
        <v>269041</v>
      </c>
      <c r="M4326" s="3">
        <v>0</v>
      </c>
      <c r="N4326">
        <v>0</v>
      </c>
      <c r="O4326">
        <v>0</v>
      </c>
      <c r="P4326">
        <v>269041</v>
      </c>
      <c r="R4326" t="s">
        <v>1100</v>
      </c>
      <c r="S4326" t="str">
        <v>#N/A</v>
      </c>
      <c r="T4326" t="str">
        <v>13</v>
      </c>
    </row>
    <row r="4327" spans="1:20" ht="13.7" customHeight="1" x14ac:dyDescent="0.25">
      <c r="E4327" s="5">
        <v>43465</v>
      </c>
      <c r="F4327">
        <v>73053901</v>
      </c>
      <c r="G4327" t="s">
        <v>1395</v>
      </c>
      <c r="H4327" t="s">
        <v>1169</v>
      </c>
      <c r="I4327" t="s">
        <v>1170</v>
      </c>
      <c r="J4327">
        <v>0</v>
      </c>
      <c r="K4327">
        <v>0</v>
      </c>
      <c r="L4327" s="3">
        <v>407883</v>
      </c>
      <c r="M4327" s="3">
        <v>0</v>
      </c>
      <c r="N4327">
        <v>0</v>
      </c>
      <c r="O4327">
        <v>0</v>
      </c>
      <c r="P4327">
        <v>407883</v>
      </c>
      <c r="R4327" t="s">
        <v>1100</v>
      </c>
      <c r="S4327" t="str">
        <v>#N/A</v>
      </c>
      <c r="T4327" t="str">
        <v>13</v>
      </c>
    </row>
    <row r="4328" spans="1:20" ht="13.7" customHeight="1" x14ac:dyDescent="0.25">
      <c r="E4328" s="5">
        <v>43465</v>
      </c>
      <c r="F4328">
        <v>73053901</v>
      </c>
      <c r="G4328" t="s">
        <v>1395</v>
      </c>
      <c r="H4328" t="s">
        <v>1153</v>
      </c>
      <c r="I4328" t="s">
        <v>1154</v>
      </c>
      <c r="J4328">
        <v>0</v>
      </c>
      <c r="K4328">
        <v>0</v>
      </c>
      <c r="L4328" s="3">
        <v>293946</v>
      </c>
      <c r="M4328" s="3">
        <v>0</v>
      </c>
      <c r="N4328">
        <v>0</v>
      </c>
      <c r="O4328">
        <v>0</v>
      </c>
      <c r="P4328">
        <v>293946</v>
      </c>
      <c r="R4328" t="s">
        <v>1100</v>
      </c>
      <c r="S4328" t="str">
        <v>#N/A</v>
      </c>
      <c r="T4328" t="str">
        <v>#N/A</v>
      </c>
    </row>
    <row r="4329" spans="1:20" ht="13.7" customHeight="1" x14ac:dyDescent="0.25">
      <c r="E4329" s="5">
        <v>43465</v>
      </c>
      <c r="F4329">
        <v>73054801</v>
      </c>
      <c r="G4329" t="s">
        <v>1396</v>
      </c>
      <c r="H4329" t="s">
        <v>1141</v>
      </c>
      <c r="I4329" t="s">
        <v>1142</v>
      </c>
      <c r="J4329">
        <v>0</v>
      </c>
      <c r="K4329">
        <v>0</v>
      </c>
      <c r="L4329" s="3">
        <v>116666</v>
      </c>
      <c r="M4329" s="3">
        <v>0</v>
      </c>
      <c r="N4329">
        <v>0</v>
      </c>
      <c r="O4329">
        <v>0</v>
      </c>
      <c r="P4329">
        <v>116666</v>
      </c>
      <c r="R4329" t="s">
        <v>1100</v>
      </c>
      <c r="S4329" t="str">
        <v>#N/A</v>
      </c>
      <c r="T4329" t="str">
        <v>13</v>
      </c>
    </row>
    <row r="4330" spans="1:20" ht="13.7" customHeight="1" x14ac:dyDescent="0.25">
      <c r="E4330" s="5">
        <v>43465</v>
      </c>
      <c r="F4330">
        <v>73054801</v>
      </c>
      <c r="G4330" t="s">
        <v>1396</v>
      </c>
      <c r="H4330" t="s">
        <v>1169</v>
      </c>
      <c r="I4330" t="s">
        <v>1170</v>
      </c>
      <c r="J4330">
        <v>0</v>
      </c>
      <c r="K4330">
        <v>0</v>
      </c>
      <c r="L4330" s="3">
        <v>1073450</v>
      </c>
      <c r="M4330" s="3">
        <v>0</v>
      </c>
      <c r="N4330">
        <v>0</v>
      </c>
      <c r="O4330">
        <v>0</v>
      </c>
      <c r="P4330">
        <v>1073450</v>
      </c>
      <c r="R4330" t="s">
        <v>1100</v>
      </c>
      <c r="S4330" t="str">
        <v>#N/A</v>
      </c>
      <c r="T4330" t="str">
        <v>13</v>
      </c>
    </row>
    <row r="4331" spans="1:20" ht="13.7" customHeight="1" x14ac:dyDescent="0.25">
      <c r="E4331" s="5">
        <v>43465</v>
      </c>
      <c r="F4331">
        <v>73054801</v>
      </c>
      <c r="G4331" t="s">
        <v>1396</v>
      </c>
      <c r="H4331" t="s">
        <v>1153</v>
      </c>
      <c r="I4331" t="s">
        <v>1154</v>
      </c>
      <c r="J4331">
        <v>0</v>
      </c>
      <c r="K4331">
        <v>0</v>
      </c>
      <c r="L4331" s="3">
        <v>1184544</v>
      </c>
      <c r="M4331" s="3">
        <v>0</v>
      </c>
      <c r="N4331">
        <v>0</v>
      </c>
      <c r="O4331">
        <v>0</v>
      </c>
      <c r="P4331">
        <v>1184544</v>
      </c>
      <c r="R4331" t="s">
        <v>1100</v>
      </c>
      <c r="S4331" t="str">
        <v>#N/A</v>
      </c>
      <c r="T4331" t="str">
        <v>#N/A</v>
      </c>
    </row>
    <row r="4332" spans="1:20" ht="13.7" customHeight="1" x14ac:dyDescent="0.25">
      <c r="E4332" s="5">
        <v>43465</v>
      </c>
      <c r="F4332">
        <v>73055101</v>
      </c>
      <c r="G4332" t="s">
        <v>1073</v>
      </c>
      <c r="H4332" t="s">
        <v>1203</v>
      </c>
      <c r="I4332" t="s">
        <v>1204</v>
      </c>
      <c r="J4332">
        <v>0</v>
      </c>
      <c r="K4332">
        <v>0</v>
      </c>
      <c r="L4332" s="3">
        <v>432102</v>
      </c>
      <c r="M4332" s="3">
        <v>0</v>
      </c>
      <c r="N4332">
        <v>0</v>
      </c>
      <c r="O4332">
        <v>0</v>
      </c>
      <c r="P4332">
        <v>432102</v>
      </c>
      <c r="R4332" t="s">
        <v>1100</v>
      </c>
      <c r="S4332" t="str">
        <v>#N/A</v>
      </c>
      <c r="T4332" t="str">
        <v>13</v>
      </c>
    </row>
    <row r="4333" spans="1:20" ht="13.7" customHeight="1" x14ac:dyDescent="0.25">
      <c r="A4333" t="s">
        <v>26</v>
      </c>
      <c r="B4333" t="s">
        <v>27</v>
      </c>
      <c r="C4333" t="s">
        <v>28</v>
      </c>
      <c r="D4333">
        <v>37</v>
      </c>
      <c r="E4333" s="5">
        <v>43480</v>
      </c>
      <c r="F4333">
        <v>73055101</v>
      </c>
      <c r="G4333" t="s">
        <v>1073</v>
      </c>
      <c r="H4333" t="s">
        <v>1203</v>
      </c>
      <c r="I4333" t="s">
        <v>1204</v>
      </c>
      <c r="J4333">
        <v>1001</v>
      </c>
      <c r="K4333">
        <v>5001</v>
      </c>
      <c r="L4333" s="3">
        <v>432102</v>
      </c>
      <c r="M4333" s="3">
        <v>168824</v>
      </c>
      <c r="N4333">
        <v>0</v>
      </c>
      <c r="O4333">
        <v>0</v>
      </c>
      <c r="P4333">
        <v>600926</v>
      </c>
      <c r="Q4333" t="s">
        <v>30</v>
      </c>
      <c r="R4333" t="s">
        <v>534</v>
      </c>
      <c r="S4333" t="str">
        <v>#N/A</v>
      </c>
      <c r="T4333" t="str">
        <v>13</v>
      </c>
    </row>
    <row r="4334" spans="1:20" ht="13.7" customHeight="1" x14ac:dyDescent="0.25">
      <c r="E4334" s="5">
        <v>43465</v>
      </c>
      <c r="F4334">
        <v>73055101</v>
      </c>
      <c r="G4334" t="s">
        <v>1073</v>
      </c>
      <c r="H4334" t="s">
        <v>1205</v>
      </c>
      <c r="I4334" t="s">
        <v>1206</v>
      </c>
      <c r="J4334">
        <v>0</v>
      </c>
      <c r="K4334">
        <v>0</v>
      </c>
      <c r="L4334" s="3">
        <v>31085</v>
      </c>
      <c r="M4334" s="3">
        <v>0</v>
      </c>
      <c r="N4334">
        <v>0</v>
      </c>
      <c r="O4334">
        <v>0</v>
      </c>
      <c r="P4334">
        <v>31085</v>
      </c>
      <c r="R4334" t="s">
        <v>1100</v>
      </c>
      <c r="S4334" t="str">
        <v>#N/A</v>
      </c>
      <c r="T4334" t="str">
        <v>#N/A</v>
      </c>
    </row>
    <row r="4335" spans="1:20" ht="13.7" customHeight="1" x14ac:dyDescent="0.25">
      <c r="E4335" s="5">
        <v>43465</v>
      </c>
      <c r="F4335">
        <v>73055101</v>
      </c>
      <c r="G4335" t="s">
        <v>1073</v>
      </c>
      <c r="H4335" t="s">
        <v>1757</v>
      </c>
      <c r="I4335" t="s">
        <v>1758</v>
      </c>
      <c r="J4335">
        <v>0</v>
      </c>
      <c r="K4335">
        <v>0</v>
      </c>
      <c r="L4335" s="3">
        <v>4800</v>
      </c>
      <c r="M4335" s="3">
        <v>0</v>
      </c>
      <c r="N4335">
        <v>0</v>
      </c>
      <c r="O4335">
        <v>0</v>
      </c>
      <c r="P4335">
        <v>4800</v>
      </c>
      <c r="R4335" t="s">
        <v>1100</v>
      </c>
      <c r="S4335" t="str">
        <v>#N/A</v>
      </c>
      <c r="T4335" t="str">
        <v>#N/A</v>
      </c>
    </row>
    <row r="4336" spans="1:20" ht="13.7" customHeight="1" x14ac:dyDescent="0.25">
      <c r="E4336" s="5">
        <v>43465</v>
      </c>
      <c r="F4336">
        <v>73055101</v>
      </c>
      <c r="G4336" t="s">
        <v>1073</v>
      </c>
      <c r="H4336" t="s">
        <v>1391</v>
      </c>
      <c r="I4336" t="s">
        <v>1392</v>
      </c>
      <c r="J4336">
        <v>0</v>
      </c>
      <c r="K4336">
        <v>0</v>
      </c>
      <c r="L4336" s="3">
        <v>0</v>
      </c>
      <c r="M4336" s="3">
        <v>0</v>
      </c>
      <c r="N4336">
        <v>0</v>
      </c>
      <c r="O4336">
        <v>0</v>
      </c>
      <c r="P4336">
        <v>0</v>
      </c>
      <c r="R4336" t="s">
        <v>1100</v>
      </c>
      <c r="S4336" t="str">
        <v>#N/A</v>
      </c>
      <c r="T4336" t="str">
        <v>#N/A</v>
      </c>
    </row>
    <row r="4337" spans="1:20" ht="13.7" customHeight="1" x14ac:dyDescent="0.25">
      <c r="A4337" t="s">
        <v>26</v>
      </c>
      <c r="B4337" t="s">
        <v>27</v>
      </c>
      <c r="C4337" t="s">
        <v>28</v>
      </c>
      <c r="D4337">
        <v>44</v>
      </c>
      <c r="E4337" s="5">
        <v>43483</v>
      </c>
      <c r="F4337">
        <v>73055101</v>
      </c>
      <c r="G4337" t="s">
        <v>1073</v>
      </c>
      <c r="H4337" t="s">
        <v>1391</v>
      </c>
      <c r="I4337" t="s">
        <v>1392</v>
      </c>
      <c r="J4337">
        <v>1001</v>
      </c>
      <c r="K4337">
        <v>5001</v>
      </c>
      <c r="L4337" s="3">
        <v>0</v>
      </c>
      <c r="M4337" s="3">
        <v>7000</v>
      </c>
      <c r="N4337">
        <v>0</v>
      </c>
      <c r="O4337">
        <v>0</v>
      </c>
      <c r="P4337">
        <v>7000</v>
      </c>
      <c r="Q4337" t="s">
        <v>30</v>
      </c>
      <c r="R4337" t="s">
        <v>60</v>
      </c>
      <c r="S4337" t="str">
        <v>#N/A</v>
      </c>
      <c r="T4337" t="str">
        <v>#N/A</v>
      </c>
    </row>
    <row r="4338" spans="1:20" ht="13.7" customHeight="1" x14ac:dyDescent="0.25">
      <c r="E4338" s="5">
        <v>43465</v>
      </c>
      <c r="F4338">
        <v>73055101</v>
      </c>
      <c r="G4338" t="s">
        <v>1073</v>
      </c>
      <c r="H4338" t="s">
        <v>1561</v>
      </c>
      <c r="I4338" t="s">
        <v>1562</v>
      </c>
      <c r="J4338">
        <v>0</v>
      </c>
      <c r="K4338">
        <v>0</v>
      </c>
      <c r="L4338" s="3">
        <v>0</v>
      </c>
      <c r="M4338" s="3">
        <v>0</v>
      </c>
      <c r="N4338">
        <v>0</v>
      </c>
      <c r="O4338">
        <v>0</v>
      </c>
      <c r="P4338">
        <v>0</v>
      </c>
      <c r="R4338" t="s">
        <v>1100</v>
      </c>
      <c r="S4338" t="str">
        <v>#N/A</v>
      </c>
      <c r="T4338" t="str">
        <v>#N/A</v>
      </c>
    </row>
    <row r="4339" spans="1:20" ht="13.7" customHeight="1" x14ac:dyDescent="0.25">
      <c r="A4339" t="s">
        <v>26</v>
      </c>
      <c r="B4339" t="s">
        <v>27</v>
      </c>
      <c r="C4339" t="s">
        <v>180</v>
      </c>
      <c r="D4339">
        <v>35</v>
      </c>
      <c r="E4339" s="5">
        <v>43813</v>
      </c>
      <c r="F4339">
        <v>73055101</v>
      </c>
      <c r="G4339" t="s">
        <v>1073</v>
      </c>
      <c r="H4339" t="s">
        <v>1561</v>
      </c>
      <c r="I4339" t="s">
        <v>1562</v>
      </c>
      <c r="J4339">
        <v>1001</v>
      </c>
      <c r="K4339">
        <v>5001</v>
      </c>
      <c r="L4339" s="3">
        <v>0</v>
      </c>
      <c r="M4339" s="3">
        <v>500000</v>
      </c>
      <c r="N4339">
        <v>0</v>
      </c>
      <c r="O4339">
        <v>0</v>
      </c>
      <c r="P4339">
        <v>500000</v>
      </c>
      <c r="Q4339" t="s">
        <v>30</v>
      </c>
      <c r="R4339" t="s">
        <v>537</v>
      </c>
      <c r="S4339" t="str">
        <v>#N/A</v>
      </c>
      <c r="T4339" t="str">
        <v>#N/A</v>
      </c>
    </row>
    <row r="4340" spans="1:20" ht="13.7" customHeight="1" x14ac:dyDescent="0.25">
      <c r="E4340" s="5">
        <v>43465</v>
      </c>
      <c r="F4340">
        <v>73055101</v>
      </c>
      <c r="G4340" t="s">
        <v>1073</v>
      </c>
      <c r="H4340" t="s">
        <v>1382</v>
      </c>
      <c r="I4340" t="s">
        <v>1383</v>
      </c>
      <c r="J4340">
        <v>0</v>
      </c>
      <c r="K4340">
        <v>0</v>
      </c>
      <c r="L4340" s="3">
        <v>3319</v>
      </c>
      <c r="M4340" s="3">
        <v>0</v>
      </c>
      <c r="N4340">
        <v>0</v>
      </c>
      <c r="O4340">
        <v>0</v>
      </c>
      <c r="P4340">
        <v>3319</v>
      </c>
      <c r="R4340" t="s">
        <v>1100</v>
      </c>
      <c r="S4340" t="str">
        <v>#N/A</v>
      </c>
      <c r="T4340" t="str">
        <v>#N/A</v>
      </c>
    </row>
    <row r="4341" spans="1:20" ht="13.7" customHeight="1" x14ac:dyDescent="0.25">
      <c r="E4341" s="5">
        <v>43465</v>
      </c>
      <c r="F4341">
        <v>73055101</v>
      </c>
      <c r="G4341" t="s">
        <v>1073</v>
      </c>
      <c r="H4341" t="s">
        <v>1407</v>
      </c>
      <c r="I4341" t="s">
        <v>1408</v>
      </c>
      <c r="J4341">
        <v>0</v>
      </c>
      <c r="K4341">
        <v>0</v>
      </c>
      <c r="L4341" s="3">
        <v>0</v>
      </c>
      <c r="M4341" s="3">
        <v>0</v>
      </c>
      <c r="N4341">
        <v>0</v>
      </c>
      <c r="O4341">
        <v>0</v>
      </c>
      <c r="P4341">
        <v>0</v>
      </c>
      <c r="R4341" t="s">
        <v>1100</v>
      </c>
      <c r="S4341" t="str">
        <v>#N/A</v>
      </c>
      <c r="T4341" t="str">
        <v>#N/A</v>
      </c>
    </row>
    <row r="4342" spans="1:20" ht="13.7" customHeight="1" x14ac:dyDescent="0.25">
      <c r="A4342" t="s">
        <v>26</v>
      </c>
      <c r="B4342" t="s">
        <v>27</v>
      </c>
      <c r="C4342" t="s">
        <v>39</v>
      </c>
      <c r="D4342">
        <v>43</v>
      </c>
      <c r="E4342" s="5">
        <v>43729</v>
      </c>
      <c r="F4342">
        <v>73055101</v>
      </c>
      <c r="G4342" t="s">
        <v>1073</v>
      </c>
      <c r="H4342" t="s">
        <v>1407</v>
      </c>
      <c r="I4342" t="s">
        <v>1408</v>
      </c>
      <c r="J4342">
        <v>1001</v>
      </c>
      <c r="K4342">
        <v>5001</v>
      </c>
      <c r="L4342" s="3">
        <v>0</v>
      </c>
      <c r="M4342" s="3">
        <v>67143</v>
      </c>
      <c r="N4342">
        <v>0</v>
      </c>
      <c r="O4342">
        <v>0</v>
      </c>
      <c r="P4342">
        <v>67143</v>
      </c>
      <c r="Q4342" t="s">
        <v>30</v>
      </c>
      <c r="R4342" t="s">
        <v>537</v>
      </c>
      <c r="S4342" t="str">
        <v>#N/A</v>
      </c>
      <c r="T4342" t="str">
        <v>#N/A</v>
      </c>
    </row>
    <row r="4343" spans="1:20" ht="13.7" customHeight="1" x14ac:dyDescent="0.25">
      <c r="E4343" s="5">
        <v>43465</v>
      </c>
      <c r="F4343">
        <v>73055101</v>
      </c>
      <c r="G4343" t="s">
        <v>1073</v>
      </c>
      <c r="H4343" t="s">
        <v>1401</v>
      </c>
      <c r="I4343" t="s">
        <v>1402</v>
      </c>
      <c r="J4343">
        <v>0</v>
      </c>
      <c r="K4343">
        <v>0</v>
      </c>
      <c r="L4343" s="3">
        <v>0</v>
      </c>
      <c r="M4343" s="3">
        <v>0</v>
      </c>
      <c r="N4343">
        <v>0</v>
      </c>
      <c r="O4343">
        <v>0</v>
      </c>
      <c r="P4343">
        <v>0</v>
      </c>
      <c r="R4343" t="s">
        <v>1100</v>
      </c>
      <c r="S4343" t="str">
        <v>#N/A</v>
      </c>
      <c r="T4343" t="str">
        <v>#N/A</v>
      </c>
    </row>
    <row r="4344" spans="1:20" ht="13.7" customHeight="1" x14ac:dyDescent="0.25">
      <c r="A4344" t="s">
        <v>26</v>
      </c>
      <c r="B4344" t="s">
        <v>27</v>
      </c>
      <c r="C4344" t="s">
        <v>39</v>
      </c>
      <c r="D4344">
        <v>27</v>
      </c>
      <c r="E4344" s="5">
        <v>43721</v>
      </c>
      <c r="F4344">
        <v>73055101</v>
      </c>
      <c r="G4344" t="s">
        <v>1073</v>
      </c>
      <c r="H4344" t="s">
        <v>1401</v>
      </c>
      <c r="I4344" t="s">
        <v>1402</v>
      </c>
      <c r="J4344">
        <v>1001</v>
      </c>
      <c r="K4344">
        <v>5001</v>
      </c>
      <c r="L4344" s="3">
        <v>0</v>
      </c>
      <c r="M4344" s="3">
        <v>25168</v>
      </c>
      <c r="N4344">
        <v>0</v>
      </c>
      <c r="O4344">
        <v>0</v>
      </c>
      <c r="P4344">
        <v>25168</v>
      </c>
      <c r="Q4344" t="s">
        <v>30</v>
      </c>
      <c r="R4344" t="s">
        <v>537</v>
      </c>
      <c r="S4344" t="str">
        <v>#N/A</v>
      </c>
      <c r="T4344" t="str">
        <v>#N/A</v>
      </c>
    </row>
    <row r="4345" spans="1:20" ht="13.7" customHeight="1" x14ac:dyDescent="0.25">
      <c r="E4345" s="5">
        <v>43465</v>
      </c>
      <c r="F4345">
        <v>73055101</v>
      </c>
      <c r="G4345" t="s">
        <v>1073</v>
      </c>
      <c r="H4345" t="s">
        <v>1577</v>
      </c>
      <c r="I4345" t="s">
        <v>1578</v>
      </c>
      <c r="J4345">
        <v>0</v>
      </c>
      <c r="K4345">
        <v>0</v>
      </c>
      <c r="L4345" s="3">
        <v>0</v>
      </c>
      <c r="M4345" s="3">
        <v>0</v>
      </c>
      <c r="N4345">
        <v>0</v>
      </c>
      <c r="O4345">
        <v>0</v>
      </c>
      <c r="P4345">
        <v>0</v>
      </c>
      <c r="R4345" t="s">
        <v>1100</v>
      </c>
      <c r="S4345" t="str">
        <v>#N/A</v>
      </c>
      <c r="T4345" t="str">
        <v>#N/A</v>
      </c>
    </row>
    <row r="4346" spans="1:20" ht="13.7" customHeight="1" x14ac:dyDescent="0.25">
      <c r="A4346" t="s">
        <v>26</v>
      </c>
      <c r="B4346" t="s">
        <v>27</v>
      </c>
      <c r="C4346" t="s">
        <v>180</v>
      </c>
      <c r="D4346">
        <v>28</v>
      </c>
      <c r="E4346" s="5">
        <v>43800</v>
      </c>
      <c r="F4346">
        <v>73055101</v>
      </c>
      <c r="G4346" t="s">
        <v>1073</v>
      </c>
      <c r="H4346" t="s">
        <v>1577</v>
      </c>
      <c r="I4346" t="s">
        <v>1578</v>
      </c>
      <c r="J4346">
        <v>1001</v>
      </c>
      <c r="K4346">
        <v>5001</v>
      </c>
      <c r="L4346" s="3">
        <v>0</v>
      </c>
      <c r="M4346" s="3">
        <v>75588</v>
      </c>
      <c r="N4346">
        <v>0</v>
      </c>
      <c r="O4346">
        <v>0</v>
      </c>
      <c r="P4346">
        <v>75588</v>
      </c>
      <c r="Q4346" t="s">
        <v>30</v>
      </c>
      <c r="R4346" t="s">
        <v>537</v>
      </c>
      <c r="S4346" t="str">
        <v>#N/A</v>
      </c>
      <c r="T4346" t="str">
        <v>#N/A</v>
      </c>
    </row>
    <row r="4347" spans="1:20" ht="13.7" customHeight="1" x14ac:dyDescent="0.25">
      <c r="E4347" s="5">
        <v>43465</v>
      </c>
      <c r="F4347">
        <v>73055101</v>
      </c>
      <c r="G4347" t="s">
        <v>1073</v>
      </c>
      <c r="H4347" t="s">
        <v>1211</v>
      </c>
      <c r="I4347" t="s">
        <v>1212</v>
      </c>
      <c r="J4347">
        <v>0</v>
      </c>
      <c r="K4347">
        <v>0</v>
      </c>
      <c r="L4347" s="3">
        <v>607425</v>
      </c>
      <c r="M4347" s="3">
        <v>0</v>
      </c>
      <c r="N4347">
        <v>0</v>
      </c>
      <c r="O4347">
        <v>0</v>
      </c>
      <c r="P4347">
        <v>607425</v>
      </c>
      <c r="R4347" t="s">
        <v>1100</v>
      </c>
      <c r="S4347" t="str">
        <v>#N/A</v>
      </c>
      <c r="T4347" t="str">
        <v>#N/A</v>
      </c>
    </row>
    <row r="4348" spans="1:20" ht="13.7" customHeight="1" x14ac:dyDescent="0.25">
      <c r="A4348" t="s">
        <v>26</v>
      </c>
      <c r="B4348" t="s">
        <v>27</v>
      </c>
      <c r="C4348" t="s">
        <v>28</v>
      </c>
      <c r="D4348">
        <v>66</v>
      </c>
      <c r="E4348" s="5">
        <v>43491</v>
      </c>
      <c r="F4348">
        <v>73055101</v>
      </c>
      <c r="G4348" t="s">
        <v>1073</v>
      </c>
      <c r="H4348" t="s">
        <v>1211</v>
      </c>
      <c r="I4348" t="s">
        <v>1212</v>
      </c>
      <c r="J4348">
        <v>1001</v>
      </c>
      <c r="K4348">
        <v>5001</v>
      </c>
      <c r="L4348" s="3">
        <v>607425</v>
      </c>
      <c r="M4348" s="3">
        <v>225419</v>
      </c>
      <c r="N4348">
        <v>0</v>
      </c>
      <c r="O4348">
        <v>0</v>
      </c>
      <c r="P4348">
        <v>832844</v>
      </c>
      <c r="Q4348" t="s">
        <v>30</v>
      </c>
      <c r="R4348" t="s">
        <v>537</v>
      </c>
      <c r="S4348" t="str">
        <v>#N/A</v>
      </c>
      <c r="T4348" t="str">
        <v>#N/A</v>
      </c>
    </row>
    <row r="4349" spans="1:20" ht="13.7" customHeight="1" x14ac:dyDescent="0.25">
      <c r="E4349" s="5">
        <v>43465</v>
      </c>
      <c r="F4349">
        <v>73055101</v>
      </c>
      <c r="G4349" t="s">
        <v>1073</v>
      </c>
      <c r="H4349" t="s">
        <v>1397</v>
      </c>
      <c r="I4349" t="s">
        <v>1398</v>
      </c>
      <c r="J4349">
        <v>0</v>
      </c>
      <c r="K4349">
        <v>0</v>
      </c>
      <c r="L4349" s="3">
        <v>0</v>
      </c>
      <c r="M4349" s="3">
        <v>0</v>
      </c>
      <c r="N4349">
        <v>0</v>
      </c>
      <c r="O4349">
        <v>0</v>
      </c>
      <c r="P4349">
        <v>0</v>
      </c>
      <c r="R4349" t="s">
        <v>1100</v>
      </c>
      <c r="S4349" t="str">
        <v>#N/A</v>
      </c>
      <c r="T4349" t="str">
        <v>#N/A</v>
      </c>
    </row>
    <row r="4350" spans="1:20" ht="13.7" customHeight="1" x14ac:dyDescent="0.25">
      <c r="A4350" t="s">
        <v>26</v>
      </c>
      <c r="B4350" t="s">
        <v>27</v>
      </c>
      <c r="C4350" t="s">
        <v>36</v>
      </c>
      <c r="D4350">
        <v>47</v>
      </c>
      <c r="E4350" s="5">
        <v>43637</v>
      </c>
      <c r="F4350">
        <v>73055101</v>
      </c>
      <c r="G4350" t="s">
        <v>1073</v>
      </c>
      <c r="H4350" t="s">
        <v>1397</v>
      </c>
      <c r="I4350" t="s">
        <v>1398</v>
      </c>
      <c r="J4350">
        <v>1001</v>
      </c>
      <c r="K4350">
        <v>5001</v>
      </c>
      <c r="L4350" s="3">
        <v>0</v>
      </c>
      <c r="M4350" s="3">
        <v>72268</v>
      </c>
      <c r="N4350">
        <v>0</v>
      </c>
      <c r="O4350">
        <v>0</v>
      </c>
      <c r="P4350">
        <v>72268</v>
      </c>
      <c r="Q4350" t="s">
        <v>30</v>
      </c>
      <c r="R4350" t="s">
        <v>272</v>
      </c>
      <c r="S4350" t="str">
        <v>#N/A</v>
      </c>
      <c r="T4350" t="str">
        <v>#N/A</v>
      </c>
    </row>
    <row r="4351" spans="1:20" ht="13.7" customHeight="1" x14ac:dyDescent="0.25">
      <c r="A4351" t="s">
        <v>26</v>
      </c>
      <c r="B4351" t="s">
        <v>27</v>
      </c>
      <c r="C4351" t="s">
        <v>36</v>
      </c>
      <c r="D4351">
        <v>48</v>
      </c>
      <c r="E4351" s="5">
        <v>43637</v>
      </c>
      <c r="F4351">
        <v>73055101</v>
      </c>
      <c r="G4351" t="s">
        <v>1073</v>
      </c>
      <c r="H4351" t="s">
        <v>1397</v>
      </c>
      <c r="I4351" t="s">
        <v>1398</v>
      </c>
      <c r="J4351">
        <v>1001</v>
      </c>
      <c r="K4351">
        <v>5001</v>
      </c>
      <c r="L4351" s="3">
        <v>72268</v>
      </c>
      <c r="M4351" s="3">
        <v>207563</v>
      </c>
      <c r="N4351">
        <v>0</v>
      </c>
      <c r="O4351">
        <v>0</v>
      </c>
      <c r="P4351">
        <v>279831</v>
      </c>
      <c r="Q4351" t="s">
        <v>30</v>
      </c>
      <c r="R4351" t="s">
        <v>272</v>
      </c>
      <c r="S4351" t="str">
        <v>#N/A</v>
      </c>
      <c r="T4351" t="str">
        <v>#N/A</v>
      </c>
    </row>
    <row r="4352" spans="1:20" ht="13.7" customHeight="1" x14ac:dyDescent="0.25">
      <c r="E4352" s="5">
        <v>43465</v>
      </c>
      <c r="F4352">
        <v>73055101</v>
      </c>
      <c r="G4352" t="s">
        <v>1073</v>
      </c>
      <c r="H4352" t="s">
        <v>1405</v>
      </c>
      <c r="I4352" t="s">
        <v>1406</v>
      </c>
      <c r="J4352">
        <v>0</v>
      </c>
      <c r="K4352">
        <v>0</v>
      </c>
      <c r="L4352" s="3">
        <v>0</v>
      </c>
      <c r="M4352" s="3">
        <v>0</v>
      </c>
      <c r="N4352">
        <v>0</v>
      </c>
      <c r="O4352">
        <v>0</v>
      </c>
      <c r="P4352">
        <v>0</v>
      </c>
      <c r="R4352" t="s">
        <v>1100</v>
      </c>
      <c r="S4352" t="str">
        <v>#N/A</v>
      </c>
      <c r="T4352" t="str">
        <v>#N/A</v>
      </c>
    </row>
    <row r="4353" spans="1:20" ht="13.7" customHeight="1" x14ac:dyDescent="0.25">
      <c r="A4353" t="s">
        <v>26</v>
      </c>
      <c r="B4353" t="s">
        <v>27</v>
      </c>
      <c r="C4353" t="s">
        <v>39</v>
      </c>
      <c r="D4353">
        <v>35</v>
      </c>
      <c r="E4353" s="5">
        <v>43723</v>
      </c>
      <c r="F4353">
        <v>73055101</v>
      </c>
      <c r="G4353" t="s">
        <v>1073</v>
      </c>
      <c r="H4353" t="s">
        <v>1405</v>
      </c>
      <c r="I4353" t="s">
        <v>1406</v>
      </c>
      <c r="J4353">
        <v>1001</v>
      </c>
      <c r="K4353">
        <v>5001</v>
      </c>
      <c r="L4353" s="3">
        <v>0</v>
      </c>
      <c r="M4353" s="3">
        <v>45328</v>
      </c>
      <c r="N4353">
        <v>0</v>
      </c>
      <c r="O4353">
        <v>0</v>
      </c>
      <c r="P4353">
        <v>45328</v>
      </c>
      <c r="Q4353" t="s">
        <v>30</v>
      </c>
      <c r="R4353" t="s">
        <v>537</v>
      </c>
      <c r="S4353" t="str">
        <v>#N/A</v>
      </c>
      <c r="T4353" t="str">
        <v>#N/A</v>
      </c>
    </row>
    <row r="4354" spans="1:20" ht="13.7" customHeight="1" x14ac:dyDescent="0.25">
      <c r="E4354" s="5">
        <v>43465</v>
      </c>
      <c r="F4354">
        <v>73055101</v>
      </c>
      <c r="G4354" t="s">
        <v>1073</v>
      </c>
      <c r="H4354" t="s">
        <v>1409</v>
      </c>
      <c r="I4354" t="s">
        <v>1410</v>
      </c>
      <c r="J4354">
        <v>0</v>
      </c>
      <c r="K4354">
        <v>0</v>
      </c>
      <c r="L4354" s="3">
        <v>257202</v>
      </c>
      <c r="M4354" s="3">
        <v>0</v>
      </c>
      <c r="N4354">
        <v>0</v>
      </c>
      <c r="O4354">
        <v>0</v>
      </c>
      <c r="P4354">
        <v>257202</v>
      </c>
      <c r="R4354" t="s">
        <v>1100</v>
      </c>
      <c r="S4354" t="str">
        <v>#N/A</v>
      </c>
      <c r="T4354" t="str">
        <v>#N/A</v>
      </c>
    </row>
    <row r="4355" spans="1:20" ht="13.7" customHeight="1" x14ac:dyDescent="0.25">
      <c r="A4355" t="s">
        <v>26</v>
      </c>
      <c r="B4355" t="s">
        <v>27</v>
      </c>
      <c r="C4355" t="s">
        <v>41</v>
      </c>
      <c r="D4355">
        <v>42</v>
      </c>
      <c r="E4355" s="5">
        <v>43785</v>
      </c>
      <c r="F4355">
        <v>73055101</v>
      </c>
      <c r="G4355" t="s">
        <v>1073</v>
      </c>
      <c r="H4355" t="s">
        <v>1409</v>
      </c>
      <c r="I4355" t="s">
        <v>1410</v>
      </c>
      <c r="J4355">
        <v>1001</v>
      </c>
      <c r="K4355">
        <v>5001</v>
      </c>
      <c r="L4355" s="3">
        <v>257202</v>
      </c>
      <c r="M4355" s="3">
        <v>8404</v>
      </c>
      <c r="N4355">
        <v>0</v>
      </c>
      <c r="O4355">
        <v>0</v>
      </c>
      <c r="P4355">
        <v>265606</v>
      </c>
      <c r="Q4355" t="s">
        <v>30</v>
      </c>
      <c r="R4355" t="s">
        <v>537</v>
      </c>
      <c r="S4355" t="str">
        <v>#N/A</v>
      </c>
      <c r="T4355" t="str">
        <v>#N/A</v>
      </c>
    </row>
    <row r="4356" spans="1:20" ht="13.7" customHeight="1" x14ac:dyDescent="0.25">
      <c r="E4356" s="5">
        <v>43465</v>
      </c>
      <c r="F4356">
        <v>73055101</v>
      </c>
      <c r="G4356" t="s">
        <v>1073</v>
      </c>
      <c r="H4356" t="s">
        <v>1399</v>
      </c>
      <c r="I4356" t="s">
        <v>1400</v>
      </c>
      <c r="J4356">
        <v>0</v>
      </c>
      <c r="K4356">
        <v>0</v>
      </c>
      <c r="L4356" s="3">
        <v>47400</v>
      </c>
      <c r="M4356" s="3">
        <v>0</v>
      </c>
      <c r="N4356">
        <v>0</v>
      </c>
      <c r="O4356">
        <v>0</v>
      </c>
      <c r="P4356">
        <v>47400</v>
      </c>
      <c r="R4356" t="s">
        <v>1100</v>
      </c>
      <c r="S4356" t="str">
        <v>#N/A</v>
      </c>
      <c r="T4356" t="str">
        <v>#N/A</v>
      </c>
    </row>
    <row r="4357" spans="1:20" ht="13.7" customHeight="1" x14ac:dyDescent="0.25">
      <c r="A4357" t="s">
        <v>26</v>
      </c>
      <c r="B4357" t="s">
        <v>27</v>
      </c>
      <c r="C4357" t="s">
        <v>37</v>
      </c>
      <c r="D4357">
        <v>36</v>
      </c>
      <c r="E4357" s="5">
        <v>43659</v>
      </c>
      <c r="F4357">
        <v>73055101</v>
      </c>
      <c r="G4357" t="s">
        <v>1073</v>
      </c>
      <c r="H4357" t="s">
        <v>1399</v>
      </c>
      <c r="I4357" t="s">
        <v>1400</v>
      </c>
      <c r="J4357">
        <v>1001</v>
      </c>
      <c r="K4357">
        <v>5001</v>
      </c>
      <c r="L4357" s="3">
        <v>47400</v>
      </c>
      <c r="M4357" s="3">
        <v>44454</v>
      </c>
      <c r="N4357">
        <v>0</v>
      </c>
      <c r="O4357">
        <v>0</v>
      </c>
      <c r="P4357">
        <v>91854</v>
      </c>
      <c r="Q4357" t="s">
        <v>30</v>
      </c>
      <c r="R4357" t="s">
        <v>537</v>
      </c>
      <c r="S4357" t="str">
        <v>#N/A</v>
      </c>
      <c r="T4357" t="str">
        <v>#N/A</v>
      </c>
    </row>
    <row r="4358" spans="1:20" ht="13.7" customHeight="1" x14ac:dyDescent="0.25">
      <c r="E4358" s="5">
        <v>43465</v>
      </c>
      <c r="F4358">
        <v>73055101</v>
      </c>
      <c r="G4358" t="s">
        <v>1073</v>
      </c>
      <c r="H4358" t="s">
        <v>1609</v>
      </c>
      <c r="I4358" t="s">
        <v>1610</v>
      </c>
      <c r="J4358">
        <v>0</v>
      </c>
      <c r="K4358">
        <v>0</v>
      </c>
      <c r="L4358" s="3">
        <v>53782</v>
      </c>
      <c r="M4358" s="3">
        <v>0</v>
      </c>
      <c r="N4358">
        <v>0</v>
      </c>
      <c r="O4358">
        <v>0</v>
      </c>
      <c r="P4358">
        <v>53782</v>
      </c>
      <c r="R4358" t="s">
        <v>1100</v>
      </c>
      <c r="S4358" t="str">
        <v>#N/A</v>
      </c>
      <c r="T4358" t="str">
        <v>#N/A</v>
      </c>
    </row>
    <row r="4359" spans="1:20" ht="13.7" customHeight="1" x14ac:dyDescent="0.25">
      <c r="E4359" s="5">
        <v>43465</v>
      </c>
      <c r="F4359">
        <v>73055101</v>
      </c>
      <c r="G4359" t="s">
        <v>1073</v>
      </c>
      <c r="H4359" t="s">
        <v>1611</v>
      </c>
      <c r="I4359" t="s">
        <v>1612</v>
      </c>
      <c r="J4359">
        <v>0</v>
      </c>
      <c r="K4359">
        <v>0</v>
      </c>
      <c r="L4359" s="3">
        <v>444115</v>
      </c>
      <c r="M4359" s="3">
        <v>0</v>
      </c>
      <c r="N4359">
        <v>0</v>
      </c>
      <c r="O4359">
        <v>0</v>
      </c>
      <c r="P4359">
        <v>444115</v>
      </c>
      <c r="R4359" t="s">
        <v>1100</v>
      </c>
      <c r="S4359" t="str">
        <v>#N/A</v>
      </c>
      <c r="T4359" t="str">
        <v>#N/A</v>
      </c>
    </row>
    <row r="4360" spans="1:20" ht="13.7" customHeight="1" x14ac:dyDescent="0.25">
      <c r="E4360" s="5">
        <v>43465</v>
      </c>
      <c r="F4360">
        <v>73055101</v>
      </c>
      <c r="G4360" t="s">
        <v>1073</v>
      </c>
      <c r="H4360" t="s">
        <v>1403</v>
      </c>
      <c r="I4360" t="s">
        <v>1404</v>
      </c>
      <c r="J4360">
        <v>0</v>
      </c>
      <c r="K4360">
        <v>0</v>
      </c>
      <c r="L4360" s="3">
        <v>0</v>
      </c>
      <c r="M4360" s="3">
        <v>0</v>
      </c>
      <c r="N4360">
        <v>0</v>
      </c>
      <c r="O4360">
        <v>0</v>
      </c>
      <c r="P4360">
        <v>0</v>
      </c>
      <c r="R4360" t="s">
        <v>1100</v>
      </c>
      <c r="S4360" t="str">
        <v>#N/A</v>
      </c>
      <c r="T4360" t="str">
        <v>#N/A</v>
      </c>
    </row>
    <row r="4361" spans="1:20" ht="13.7" customHeight="1" x14ac:dyDescent="0.25">
      <c r="A4361" t="s">
        <v>26</v>
      </c>
      <c r="B4361" t="s">
        <v>27</v>
      </c>
      <c r="C4361" t="s">
        <v>39</v>
      </c>
      <c r="D4361">
        <v>28</v>
      </c>
      <c r="E4361" s="5">
        <v>43721</v>
      </c>
      <c r="F4361">
        <v>73055101</v>
      </c>
      <c r="G4361" t="s">
        <v>1073</v>
      </c>
      <c r="H4361" t="s">
        <v>1403</v>
      </c>
      <c r="I4361" t="s">
        <v>1404</v>
      </c>
      <c r="J4361">
        <v>1001</v>
      </c>
      <c r="K4361">
        <v>5001</v>
      </c>
      <c r="L4361" s="3">
        <v>0</v>
      </c>
      <c r="M4361" s="3">
        <v>42832</v>
      </c>
      <c r="N4361">
        <v>0</v>
      </c>
      <c r="O4361">
        <v>0</v>
      </c>
      <c r="P4361">
        <v>42832</v>
      </c>
      <c r="Q4361" t="s">
        <v>30</v>
      </c>
      <c r="R4361" t="s">
        <v>537</v>
      </c>
      <c r="S4361" t="str">
        <v>#N/A</v>
      </c>
      <c r="T4361" t="str">
        <v>#N/A</v>
      </c>
    </row>
    <row r="4362" spans="1:20" ht="13.7" customHeight="1" x14ac:dyDescent="0.25">
      <c r="A4362" t="s">
        <v>26</v>
      </c>
      <c r="B4362" t="s">
        <v>27</v>
      </c>
      <c r="C4362" t="s">
        <v>41</v>
      </c>
      <c r="D4362">
        <v>1</v>
      </c>
      <c r="E4362" s="5">
        <v>43769</v>
      </c>
      <c r="F4362">
        <v>73055101</v>
      </c>
      <c r="G4362" t="s">
        <v>1073</v>
      </c>
      <c r="H4362" t="s">
        <v>1403</v>
      </c>
      <c r="I4362" t="s">
        <v>1404</v>
      </c>
      <c r="J4362">
        <v>1001</v>
      </c>
      <c r="K4362">
        <v>5001</v>
      </c>
      <c r="L4362" s="3">
        <v>42832</v>
      </c>
      <c r="M4362" s="3">
        <v>67143</v>
      </c>
      <c r="N4362">
        <v>0</v>
      </c>
      <c r="O4362">
        <v>0</v>
      </c>
      <c r="P4362">
        <v>109975</v>
      </c>
      <c r="Q4362" t="s">
        <v>30</v>
      </c>
      <c r="R4362" t="s">
        <v>537</v>
      </c>
      <c r="S4362" t="str">
        <v>#N/A</v>
      </c>
      <c r="T4362" t="str">
        <v>#N/A</v>
      </c>
    </row>
    <row r="4363" spans="1:20" ht="13.7" customHeight="1" x14ac:dyDescent="0.25">
      <c r="E4363" s="5">
        <v>43465</v>
      </c>
      <c r="F4363">
        <v>73055101</v>
      </c>
      <c r="G4363" t="s">
        <v>1073</v>
      </c>
      <c r="H4363" t="s">
        <v>1617</v>
      </c>
      <c r="I4363" t="s">
        <v>1618</v>
      </c>
      <c r="J4363">
        <v>0</v>
      </c>
      <c r="K4363">
        <v>0</v>
      </c>
      <c r="L4363" s="3">
        <v>94958</v>
      </c>
      <c r="M4363" s="3">
        <v>0</v>
      </c>
      <c r="N4363">
        <v>0</v>
      </c>
      <c r="O4363">
        <v>0</v>
      </c>
      <c r="P4363">
        <v>94958</v>
      </c>
      <c r="R4363" t="s">
        <v>1100</v>
      </c>
      <c r="S4363" t="str">
        <v>#N/A</v>
      </c>
      <c r="T4363" t="str">
        <v>#N/A</v>
      </c>
    </row>
    <row r="4364" spans="1:20" ht="13.7" customHeight="1" x14ac:dyDescent="0.25">
      <c r="E4364" s="5">
        <v>43465</v>
      </c>
      <c r="F4364">
        <v>73055101</v>
      </c>
      <c r="G4364" t="s">
        <v>1073</v>
      </c>
      <c r="H4364" t="s">
        <v>1393</v>
      </c>
      <c r="I4364" t="s">
        <v>1394</v>
      </c>
      <c r="J4364">
        <v>0</v>
      </c>
      <c r="K4364">
        <v>0</v>
      </c>
      <c r="L4364" s="3">
        <v>0</v>
      </c>
      <c r="M4364" s="3">
        <v>0</v>
      </c>
      <c r="N4364">
        <v>0</v>
      </c>
      <c r="O4364">
        <v>0</v>
      </c>
      <c r="P4364">
        <v>0</v>
      </c>
      <c r="R4364" t="s">
        <v>1100</v>
      </c>
      <c r="S4364" t="str">
        <v>#N/A</v>
      </c>
      <c r="T4364" t="str">
        <v>#N/A</v>
      </c>
    </row>
    <row r="4365" spans="1:20" ht="13.7" customHeight="1" x14ac:dyDescent="0.25">
      <c r="A4365" t="s">
        <v>26</v>
      </c>
      <c r="B4365" t="s">
        <v>27</v>
      </c>
      <c r="C4365" t="s">
        <v>36</v>
      </c>
      <c r="D4365">
        <v>33</v>
      </c>
      <c r="E4365" s="5">
        <v>43631</v>
      </c>
      <c r="F4365">
        <v>73055101</v>
      </c>
      <c r="G4365" t="s">
        <v>1073</v>
      </c>
      <c r="H4365" t="s">
        <v>1393</v>
      </c>
      <c r="I4365" t="s">
        <v>1394</v>
      </c>
      <c r="J4365">
        <v>1001</v>
      </c>
      <c r="K4365">
        <v>5001</v>
      </c>
      <c r="L4365" s="3">
        <v>0</v>
      </c>
      <c r="M4365" s="3">
        <v>169243</v>
      </c>
      <c r="N4365">
        <v>0</v>
      </c>
      <c r="O4365">
        <v>0</v>
      </c>
      <c r="P4365">
        <v>169243</v>
      </c>
      <c r="Q4365" t="s">
        <v>30</v>
      </c>
      <c r="R4365" t="s">
        <v>548</v>
      </c>
      <c r="S4365" t="str">
        <v>#N/A</v>
      </c>
      <c r="T4365" t="str">
        <v>#N/A</v>
      </c>
    </row>
    <row r="4366" spans="1:20" ht="13.7" customHeight="1" x14ac:dyDescent="0.25">
      <c r="E4366" s="5">
        <v>43465</v>
      </c>
      <c r="F4366">
        <v>73055101</v>
      </c>
      <c r="G4366" t="s">
        <v>1073</v>
      </c>
      <c r="H4366" t="s">
        <v>1235</v>
      </c>
      <c r="I4366" t="s">
        <v>1236</v>
      </c>
      <c r="J4366">
        <v>0</v>
      </c>
      <c r="K4366">
        <v>0</v>
      </c>
      <c r="L4366" s="3">
        <v>0</v>
      </c>
      <c r="M4366" s="3">
        <v>0</v>
      </c>
      <c r="N4366">
        <v>0</v>
      </c>
      <c r="O4366">
        <v>0</v>
      </c>
      <c r="P4366">
        <v>0</v>
      </c>
      <c r="R4366" t="s">
        <v>1100</v>
      </c>
      <c r="S4366" t="str">
        <v>#N/A</v>
      </c>
      <c r="T4366" t="str">
        <v>#N/A</v>
      </c>
    </row>
    <row r="4367" spans="1:20" ht="13.7" customHeight="1" x14ac:dyDescent="0.25">
      <c r="A4367" t="s">
        <v>26</v>
      </c>
      <c r="B4367" t="s">
        <v>27</v>
      </c>
      <c r="C4367" t="s">
        <v>34</v>
      </c>
      <c r="D4367">
        <v>26</v>
      </c>
      <c r="E4367" s="5">
        <v>43567</v>
      </c>
      <c r="F4367">
        <v>73055101</v>
      </c>
      <c r="G4367" t="s">
        <v>1073</v>
      </c>
      <c r="H4367" t="s">
        <v>1235</v>
      </c>
      <c r="I4367" t="s">
        <v>1236</v>
      </c>
      <c r="J4367">
        <v>1001</v>
      </c>
      <c r="K4367">
        <v>5001</v>
      </c>
      <c r="L4367" s="3">
        <v>0</v>
      </c>
      <c r="M4367" s="3">
        <v>12605</v>
      </c>
      <c r="N4367">
        <v>0</v>
      </c>
      <c r="O4367">
        <v>0</v>
      </c>
      <c r="P4367">
        <v>12605</v>
      </c>
      <c r="Q4367" t="s">
        <v>30</v>
      </c>
      <c r="R4367" t="s">
        <v>121</v>
      </c>
      <c r="S4367" t="str">
        <v>#N/A</v>
      </c>
      <c r="T4367" t="str">
        <v>#N/A</v>
      </c>
    </row>
    <row r="4368" spans="1:20" ht="13.7" customHeight="1" x14ac:dyDescent="0.25">
      <c r="E4368" s="5">
        <v>43465</v>
      </c>
      <c r="F4368">
        <v>73055101</v>
      </c>
      <c r="G4368" t="s">
        <v>1073</v>
      </c>
      <c r="H4368" t="s">
        <v>1645</v>
      </c>
      <c r="I4368" t="s">
        <v>1646</v>
      </c>
      <c r="J4368">
        <v>0</v>
      </c>
      <c r="K4368">
        <v>0</v>
      </c>
      <c r="L4368" s="3">
        <v>135210</v>
      </c>
      <c r="M4368" s="3">
        <v>0</v>
      </c>
      <c r="N4368">
        <v>0</v>
      </c>
      <c r="O4368">
        <v>0</v>
      </c>
      <c r="P4368">
        <v>135210</v>
      </c>
      <c r="R4368" t="s">
        <v>1100</v>
      </c>
      <c r="S4368" t="str">
        <v>#N/A</v>
      </c>
      <c r="T4368" t="str">
        <v>#N/A</v>
      </c>
    </row>
    <row r="4369" spans="1:20" ht="13.7" customHeight="1" x14ac:dyDescent="0.25">
      <c r="E4369" s="5">
        <v>43465</v>
      </c>
      <c r="F4369">
        <v>73056801</v>
      </c>
      <c r="G4369" t="s">
        <v>1415</v>
      </c>
      <c r="H4369" t="s">
        <v>1191</v>
      </c>
      <c r="I4369" t="s">
        <v>1192</v>
      </c>
      <c r="J4369">
        <v>0</v>
      </c>
      <c r="K4369">
        <v>0</v>
      </c>
      <c r="L4369" s="3">
        <v>479600</v>
      </c>
      <c r="M4369" s="3">
        <v>0</v>
      </c>
      <c r="N4369">
        <v>0</v>
      </c>
      <c r="O4369">
        <v>0</v>
      </c>
      <c r="P4369">
        <v>479600</v>
      </c>
      <c r="R4369" t="s">
        <v>1100</v>
      </c>
      <c r="S4369" t="str">
        <v>#N/A</v>
      </c>
      <c r="T4369" t="str">
        <v>31</v>
      </c>
    </row>
    <row r="4370" spans="1:20" ht="13.7" customHeight="1" x14ac:dyDescent="0.25">
      <c r="E4370" s="5">
        <v>43465</v>
      </c>
      <c r="F4370">
        <v>73056901</v>
      </c>
      <c r="G4370" t="s">
        <v>690</v>
      </c>
      <c r="H4370" t="s">
        <v>1187</v>
      </c>
      <c r="I4370" t="s">
        <v>1188</v>
      </c>
      <c r="J4370">
        <v>0</v>
      </c>
      <c r="K4370">
        <v>0</v>
      </c>
      <c r="L4370" s="3">
        <v>61314</v>
      </c>
      <c r="M4370" s="3">
        <v>0</v>
      </c>
      <c r="N4370">
        <v>0</v>
      </c>
      <c r="O4370">
        <v>0</v>
      </c>
      <c r="P4370">
        <v>61314</v>
      </c>
      <c r="R4370" t="s">
        <v>1100</v>
      </c>
      <c r="S4370" t="str">
        <v>#N/A</v>
      </c>
      <c r="T4370" t="str">
        <v>31</v>
      </c>
    </row>
    <row r="4371" spans="1:20" ht="13.7" customHeight="1" x14ac:dyDescent="0.25">
      <c r="E4371" s="5">
        <v>43465</v>
      </c>
      <c r="F4371">
        <v>73056901</v>
      </c>
      <c r="G4371" t="s">
        <v>690</v>
      </c>
      <c r="H4371" t="s">
        <v>1533</v>
      </c>
      <c r="I4371" t="s">
        <v>1534</v>
      </c>
      <c r="J4371">
        <v>0</v>
      </c>
      <c r="K4371">
        <v>0</v>
      </c>
      <c r="L4371" s="3">
        <v>23610</v>
      </c>
      <c r="M4371" s="3">
        <v>0</v>
      </c>
      <c r="N4371">
        <v>0</v>
      </c>
      <c r="O4371">
        <v>0</v>
      </c>
      <c r="P4371">
        <v>23610</v>
      </c>
      <c r="R4371" t="s">
        <v>1100</v>
      </c>
      <c r="S4371" t="str">
        <v>#N/A</v>
      </c>
      <c r="T4371" t="str">
        <v>31</v>
      </c>
    </row>
    <row r="4372" spans="1:20" ht="13.7" customHeight="1" x14ac:dyDescent="0.25">
      <c r="E4372" s="5">
        <v>43465</v>
      </c>
      <c r="F4372">
        <v>73057001</v>
      </c>
      <c r="G4372" t="s">
        <v>691</v>
      </c>
      <c r="H4372" t="s">
        <v>1189</v>
      </c>
      <c r="I4372" t="s">
        <v>1190</v>
      </c>
      <c r="J4372">
        <v>0</v>
      </c>
      <c r="K4372">
        <v>0</v>
      </c>
      <c r="L4372" s="3">
        <v>547028</v>
      </c>
      <c r="M4372" s="3">
        <v>0</v>
      </c>
      <c r="N4372">
        <v>0</v>
      </c>
      <c r="O4372">
        <v>0</v>
      </c>
      <c r="P4372">
        <v>547028</v>
      </c>
      <c r="R4372" t="s">
        <v>1100</v>
      </c>
      <c r="S4372" t="str">
        <v>#N/A</v>
      </c>
      <c r="T4372" t="str">
        <v>#N/A</v>
      </c>
    </row>
    <row r="4373" spans="1:20" ht="13.7" customHeight="1" x14ac:dyDescent="0.25">
      <c r="E4373" s="5">
        <v>43465</v>
      </c>
      <c r="F4373">
        <v>73057001</v>
      </c>
      <c r="G4373" t="s">
        <v>691</v>
      </c>
      <c r="H4373" t="s">
        <v>1535</v>
      </c>
      <c r="I4373" t="s">
        <v>1536</v>
      </c>
      <c r="J4373">
        <v>0</v>
      </c>
      <c r="K4373">
        <v>0</v>
      </c>
      <c r="L4373" s="3">
        <v>528761</v>
      </c>
      <c r="M4373" s="3">
        <v>0</v>
      </c>
      <c r="N4373">
        <v>0</v>
      </c>
      <c r="O4373">
        <v>0</v>
      </c>
      <c r="P4373">
        <v>528761</v>
      </c>
      <c r="R4373" t="s">
        <v>1100</v>
      </c>
      <c r="S4373" t="str">
        <v>#N/A</v>
      </c>
      <c r="T4373" t="str">
        <v>#N/A</v>
      </c>
    </row>
    <row r="4374" spans="1:20" ht="13.7" customHeight="1" x14ac:dyDescent="0.25">
      <c r="E4374" s="5">
        <v>43465</v>
      </c>
      <c r="F4374">
        <v>73057001</v>
      </c>
      <c r="G4374" t="s">
        <v>691</v>
      </c>
      <c r="H4374" t="s">
        <v>1537</v>
      </c>
      <c r="I4374" t="s">
        <v>1538</v>
      </c>
      <c r="J4374">
        <v>0</v>
      </c>
      <c r="K4374">
        <v>0</v>
      </c>
      <c r="L4374" s="3">
        <v>622775</v>
      </c>
      <c r="M4374" s="3">
        <v>0</v>
      </c>
      <c r="N4374">
        <v>0</v>
      </c>
      <c r="O4374">
        <v>0</v>
      </c>
      <c r="P4374">
        <v>622775</v>
      </c>
      <c r="R4374" t="s">
        <v>1100</v>
      </c>
      <c r="S4374" t="str">
        <v>#N/A</v>
      </c>
      <c r="T4374" t="str">
        <v>31</v>
      </c>
    </row>
    <row r="4375" spans="1:20" ht="13.7" customHeight="1" x14ac:dyDescent="0.25">
      <c r="E4375" s="5">
        <v>43465</v>
      </c>
      <c r="F4375">
        <v>73057001</v>
      </c>
      <c r="G4375" t="s">
        <v>691</v>
      </c>
      <c r="H4375" t="s">
        <v>1539</v>
      </c>
      <c r="I4375" t="s">
        <v>1540</v>
      </c>
      <c r="J4375">
        <v>0</v>
      </c>
      <c r="K4375">
        <v>0</v>
      </c>
      <c r="L4375" s="3">
        <v>755143</v>
      </c>
      <c r="M4375" s="3">
        <v>0</v>
      </c>
      <c r="N4375">
        <v>0</v>
      </c>
      <c r="O4375">
        <v>0</v>
      </c>
      <c r="P4375">
        <v>755143</v>
      </c>
      <c r="R4375" t="s">
        <v>1100</v>
      </c>
      <c r="S4375" t="str">
        <v>#N/A</v>
      </c>
      <c r="T4375" t="str">
        <v>31</v>
      </c>
    </row>
    <row r="4376" spans="1:20" ht="13.7" customHeight="1" x14ac:dyDescent="0.25">
      <c r="E4376" s="5">
        <v>43465</v>
      </c>
      <c r="F4376">
        <v>73057201</v>
      </c>
      <c r="G4376" t="s">
        <v>1416</v>
      </c>
      <c r="H4376" t="s">
        <v>1193</v>
      </c>
      <c r="I4376" t="s">
        <v>1194</v>
      </c>
      <c r="J4376">
        <v>0</v>
      </c>
      <c r="K4376">
        <v>0</v>
      </c>
      <c r="L4376" s="3">
        <v>786300</v>
      </c>
      <c r="M4376" s="3">
        <v>0</v>
      </c>
      <c r="N4376">
        <v>0</v>
      </c>
      <c r="O4376">
        <v>0</v>
      </c>
      <c r="P4376">
        <v>786300</v>
      </c>
      <c r="R4376" t="s">
        <v>1100</v>
      </c>
      <c r="S4376" t="str">
        <v>#N/A</v>
      </c>
      <c r="T4376" t="str">
        <v>31</v>
      </c>
    </row>
    <row r="4377" spans="1:20" ht="13.7" customHeight="1" x14ac:dyDescent="0.25">
      <c r="E4377" s="5">
        <v>43465</v>
      </c>
      <c r="F4377">
        <v>73058401</v>
      </c>
      <c r="G4377" t="s">
        <v>1074</v>
      </c>
      <c r="H4377" t="s">
        <v>1417</v>
      </c>
      <c r="I4377" t="s">
        <v>1418</v>
      </c>
      <c r="J4377">
        <v>0</v>
      </c>
      <c r="K4377">
        <v>0</v>
      </c>
      <c r="L4377" s="3">
        <v>3000</v>
      </c>
      <c r="M4377" s="3">
        <v>0</v>
      </c>
      <c r="N4377">
        <v>0</v>
      </c>
      <c r="O4377">
        <v>0</v>
      </c>
      <c r="P4377">
        <v>3000</v>
      </c>
      <c r="R4377" t="s">
        <v>1100</v>
      </c>
      <c r="S4377" t="str">
        <v>#N/A</v>
      </c>
      <c r="T4377" t="str">
        <v>#N/A</v>
      </c>
    </row>
    <row r="4378" spans="1:20" ht="13.7" customHeight="1" x14ac:dyDescent="0.25">
      <c r="E4378" s="5">
        <v>43465</v>
      </c>
      <c r="F4378">
        <v>73058401</v>
      </c>
      <c r="G4378" t="s">
        <v>1074</v>
      </c>
      <c r="H4378" t="s">
        <v>1219</v>
      </c>
      <c r="I4378" t="s">
        <v>1220</v>
      </c>
      <c r="J4378">
        <v>0</v>
      </c>
      <c r="K4378">
        <v>0</v>
      </c>
      <c r="L4378" s="3">
        <v>0</v>
      </c>
      <c r="M4378" s="3">
        <v>0</v>
      </c>
      <c r="N4378">
        <v>0</v>
      </c>
      <c r="O4378">
        <v>0</v>
      </c>
      <c r="P4378">
        <v>0</v>
      </c>
      <c r="R4378" t="s">
        <v>1100</v>
      </c>
      <c r="S4378" t="str">
        <v>#N/A</v>
      </c>
      <c r="T4378" t="str">
        <v>#N/A</v>
      </c>
    </row>
    <row r="4379" spans="1:20" ht="13.7" customHeight="1" x14ac:dyDescent="0.25">
      <c r="A4379" t="s">
        <v>26</v>
      </c>
      <c r="B4379" t="s">
        <v>27</v>
      </c>
      <c r="C4379" t="s">
        <v>36</v>
      </c>
      <c r="D4379">
        <v>57</v>
      </c>
      <c r="E4379" s="5">
        <v>43642</v>
      </c>
      <c r="F4379">
        <v>73058401</v>
      </c>
      <c r="G4379" t="s">
        <v>1074</v>
      </c>
      <c r="H4379" t="s">
        <v>1219</v>
      </c>
      <c r="I4379" t="s">
        <v>1220</v>
      </c>
      <c r="J4379">
        <v>1001</v>
      </c>
      <c r="K4379">
        <v>5001</v>
      </c>
      <c r="L4379" s="3">
        <v>0</v>
      </c>
      <c r="M4379" s="3">
        <v>3381</v>
      </c>
      <c r="N4379">
        <v>0</v>
      </c>
      <c r="O4379">
        <v>0</v>
      </c>
      <c r="P4379">
        <v>3381</v>
      </c>
      <c r="Q4379" t="s">
        <v>30</v>
      </c>
      <c r="R4379" t="s">
        <v>46</v>
      </c>
      <c r="S4379" t="str">
        <v>#N/A</v>
      </c>
      <c r="T4379" t="str">
        <v>#N/A</v>
      </c>
    </row>
    <row r="4380" spans="1:20" ht="13.7" customHeight="1" x14ac:dyDescent="0.25">
      <c r="E4380" s="5">
        <v>43465</v>
      </c>
      <c r="F4380">
        <v>73058401</v>
      </c>
      <c r="G4380" t="s">
        <v>1074</v>
      </c>
      <c r="H4380" t="s">
        <v>1529</v>
      </c>
      <c r="I4380" t="s">
        <v>1530</v>
      </c>
      <c r="J4380">
        <v>0</v>
      </c>
      <c r="K4380">
        <v>0</v>
      </c>
      <c r="L4380" s="3">
        <v>750000</v>
      </c>
      <c r="M4380" s="3">
        <v>0</v>
      </c>
      <c r="N4380">
        <v>0</v>
      </c>
      <c r="O4380">
        <v>0</v>
      </c>
      <c r="P4380">
        <v>750000</v>
      </c>
      <c r="R4380" t="s">
        <v>1100</v>
      </c>
      <c r="S4380" t="str">
        <v>#N/A</v>
      </c>
      <c r="T4380" t="str">
        <v>#N/A</v>
      </c>
    </row>
    <row r="4381" spans="1:20" ht="13.7" customHeight="1" x14ac:dyDescent="0.25">
      <c r="E4381" s="5">
        <v>43465</v>
      </c>
      <c r="F4381">
        <v>73058401</v>
      </c>
      <c r="G4381" t="s">
        <v>1074</v>
      </c>
      <c r="H4381" t="s">
        <v>1423</v>
      </c>
      <c r="I4381" t="s">
        <v>1424</v>
      </c>
      <c r="J4381">
        <v>0</v>
      </c>
      <c r="K4381">
        <v>0</v>
      </c>
      <c r="L4381" s="3">
        <v>0</v>
      </c>
      <c r="M4381" s="3">
        <v>0</v>
      </c>
      <c r="N4381">
        <v>0</v>
      </c>
      <c r="O4381">
        <v>0</v>
      </c>
      <c r="P4381">
        <v>0</v>
      </c>
      <c r="R4381" t="s">
        <v>1100</v>
      </c>
      <c r="S4381" t="str">
        <v>#N/A</v>
      </c>
      <c r="T4381" t="str">
        <v>#N/A</v>
      </c>
    </row>
    <row r="4382" spans="1:20" ht="13.7" customHeight="1" x14ac:dyDescent="0.25">
      <c r="A4382" t="s">
        <v>26</v>
      </c>
      <c r="B4382" t="s">
        <v>27</v>
      </c>
      <c r="C4382" t="s">
        <v>40</v>
      </c>
      <c r="D4382">
        <v>14</v>
      </c>
      <c r="E4382" s="5">
        <v>43746</v>
      </c>
      <c r="F4382">
        <v>73058401</v>
      </c>
      <c r="G4382" t="s">
        <v>1074</v>
      </c>
      <c r="H4382" t="s">
        <v>1423</v>
      </c>
      <c r="I4382" t="s">
        <v>1424</v>
      </c>
      <c r="J4382">
        <v>1001</v>
      </c>
      <c r="K4382">
        <v>5001</v>
      </c>
      <c r="L4382" s="3">
        <v>0</v>
      </c>
      <c r="M4382" s="3">
        <v>6000</v>
      </c>
      <c r="N4382">
        <v>0</v>
      </c>
      <c r="O4382">
        <v>0</v>
      </c>
      <c r="P4382">
        <v>6000</v>
      </c>
      <c r="Q4382" t="s">
        <v>30</v>
      </c>
      <c r="R4382" t="s">
        <v>164</v>
      </c>
      <c r="S4382" t="str">
        <v>#N/A</v>
      </c>
      <c r="T4382" t="str">
        <v>#N/A</v>
      </c>
    </row>
    <row r="4383" spans="1:20" ht="13.7" customHeight="1" x14ac:dyDescent="0.25">
      <c r="E4383" s="5">
        <v>43465</v>
      </c>
      <c r="F4383">
        <v>73058401</v>
      </c>
      <c r="G4383" t="s">
        <v>1074</v>
      </c>
      <c r="H4383" t="s">
        <v>1411</v>
      </c>
      <c r="I4383" t="s">
        <v>1412</v>
      </c>
      <c r="J4383">
        <v>0</v>
      </c>
      <c r="K4383">
        <v>0</v>
      </c>
      <c r="L4383" s="3">
        <v>0</v>
      </c>
      <c r="M4383" s="3">
        <v>0</v>
      </c>
      <c r="N4383">
        <v>0</v>
      </c>
      <c r="O4383">
        <v>0</v>
      </c>
      <c r="P4383">
        <v>0</v>
      </c>
      <c r="R4383" t="s">
        <v>1100</v>
      </c>
      <c r="S4383" t="str">
        <v>#N/A</v>
      </c>
      <c r="T4383" t="str">
        <v>#N/A</v>
      </c>
    </row>
    <row r="4384" spans="1:20" ht="13.7" customHeight="1" x14ac:dyDescent="0.25">
      <c r="A4384" t="s">
        <v>26</v>
      </c>
      <c r="B4384" t="s">
        <v>27</v>
      </c>
      <c r="C4384" t="s">
        <v>41</v>
      </c>
      <c r="D4384">
        <v>18</v>
      </c>
      <c r="E4384" s="5">
        <v>43779</v>
      </c>
      <c r="F4384">
        <v>73058401</v>
      </c>
      <c r="G4384" t="s">
        <v>1074</v>
      </c>
      <c r="H4384" t="s">
        <v>1411</v>
      </c>
      <c r="I4384" t="s">
        <v>1412</v>
      </c>
      <c r="J4384">
        <v>1001</v>
      </c>
      <c r="K4384">
        <v>5001</v>
      </c>
      <c r="L4384" s="3">
        <v>0</v>
      </c>
      <c r="M4384" s="3">
        <v>22592</v>
      </c>
      <c r="N4384">
        <v>0</v>
      </c>
      <c r="O4384">
        <v>0</v>
      </c>
      <c r="P4384">
        <v>22592</v>
      </c>
      <c r="Q4384" t="s">
        <v>30</v>
      </c>
      <c r="R4384" t="s">
        <v>46</v>
      </c>
      <c r="S4384" t="str">
        <v>#N/A</v>
      </c>
      <c r="T4384" t="str">
        <v>#N/A</v>
      </c>
    </row>
    <row r="4385" spans="1:20" ht="13.7" customHeight="1" x14ac:dyDescent="0.25">
      <c r="E4385" s="5">
        <v>43465</v>
      </c>
      <c r="F4385">
        <v>73058401</v>
      </c>
      <c r="G4385" t="s">
        <v>1074</v>
      </c>
      <c r="H4385" t="s">
        <v>1233</v>
      </c>
      <c r="I4385" t="s">
        <v>1234</v>
      </c>
      <c r="J4385">
        <v>0</v>
      </c>
      <c r="K4385">
        <v>0</v>
      </c>
      <c r="L4385" s="3">
        <v>0</v>
      </c>
      <c r="M4385" s="3">
        <v>0</v>
      </c>
      <c r="N4385">
        <v>0</v>
      </c>
      <c r="O4385">
        <v>0</v>
      </c>
      <c r="P4385">
        <v>0</v>
      </c>
      <c r="R4385" t="s">
        <v>1100</v>
      </c>
      <c r="S4385" t="str">
        <v>#N/A</v>
      </c>
      <c r="T4385" t="str">
        <v>#N/A</v>
      </c>
    </row>
    <row r="4386" spans="1:20" ht="13.7" customHeight="1" x14ac:dyDescent="0.25">
      <c r="A4386" t="s">
        <v>26</v>
      </c>
      <c r="B4386" t="s">
        <v>27</v>
      </c>
      <c r="C4386" t="s">
        <v>35</v>
      </c>
      <c r="D4386">
        <v>72</v>
      </c>
      <c r="E4386" s="5">
        <v>43606</v>
      </c>
      <c r="F4386">
        <v>73058401</v>
      </c>
      <c r="G4386" t="s">
        <v>1074</v>
      </c>
      <c r="H4386" t="s">
        <v>1233</v>
      </c>
      <c r="I4386" t="s">
        <v>1234</v>
      </c>
      <c r="J4386">
        <v>1001</v>
      </c>
      <c r="K4386">
        <v>5001</v>
      </c>
      <c r="L4386" s="3">
        <v>0</v>
      </c>
      <c r="M4386" s="3">
        <v>13782</v>
      </c>
      <c r="N4386">
        <v>0</v>
      </c>
      <c r="O4386">
        <v>0</v>
      </c>
      <c r="P4386">
        <v>13782</v>
      </c>
      <c r="Q4386" t="s">
        <v>30</v>
      </c>
      <c r="R4386" t="s">
        <v>545</v>
      </c>
      <c r="S4386" t="str">
        <v>#N/A</v>
      </c>
      <c r="T4386" t="str">
        <v>#N/A</v>
      </c>
    </row>
    <row r="4387" spans="1:20" ht="13.7" customHeight="1" x14ac:dyDescent="0.25">
      <c r="A4387" t="s">
        <v>26</v>
      </c>
      <c r="B4387" t="s">
        <v>27</v>
      </c>
      <c r="C4387" t="s">
        <v>35</v>
      </c>
      <c r="D4387">
        <v>73</v>
      </c>
      <c r="E4387" s="5">
        <v>43606</v>
      </c>
      <c r="F4387">
        <v>73058401</v>
      </c>
      <c r="G4387" t="s">
        <v>1074</v>
      </c>
      <c r="H4387" t="s">
        <v>1233</v>
      </c>
      <c r="I4387" t="s">
        <v>1234</v>
      </c>
      <c r="J4387">
        <v>1001</v>
      </c>
      <c r="K4387">
        <v>5001</v>
      </c>
      <c r="L4387" s="3">
        <v>13782</v>
      </c>
      <c r="M4387" s="3">
        <v>28656</v>
      </c>
      <c r="N4387">
        <v>0</v>
      </c>
      <c r="O4387">
        <v>0</v>
      </c>
      <c r="P4387">
        <v>42438</v>
      </c>
      <c r="Q4387" t="s">
        <v>30</v>
      </c>
      <c r="R4387" t="s">
        <v>545</v>
      </c>
      <c r="S4387" t="str">
        <v>#N/A</v>
      </c>
      <c r="T4387" t="str">
        <v>#N/A</v>
      </c>
    </row>
    <row r="4388" spans="1:20" ht="13.7" customHeight="1" x14ac:dyDescent="0.25">
      <c r="E4388" s="5">
        <v>43465</v>
      </c>
      <c r="F4388">
        <v>73058401</v>
      </c>
      <c r="G4388" t="s">
        <v>1074</v>
      </c>
      <c r="H4388" t="s">
        <v>1413</v>
      </c>
      <c r="I4388" t="s">
        <v>1414</v>
      </c>
      <c r="J4388">
        <v>0</v>
      </c>
      <c r="K4388">
        <v>0</v>
      </c>
      <c r="L4388" s="3">
        <v>0</v>
      </c>
      <c r="M4388" s="3">
        <v>0</v>
      </c>
      <c r="N4388">
        <v>0</v>
      </c>
      <c r="O4388">
        <v>0</v>
      </c>
      <c r="P4388">
        <v>0</v>
      </c>
      <c r="R4388" t="s">
        <v>1100</v>
      </c>
      <c r="S4388" t="str">
        <v>#N/A</v>
      </c>
      <c r="T4388" t="str">
        <v>#N/A</v>
      </c>
    </row>
    <row r="4389" spans="1:20" ht="13.7" customHeight="1" x14ac:dyDescent="0.25">
      <c r="A4389" t="s">
        <v>26</v>
      </c>
      <c r="B4389" t="s">
        <v>27</v>
      </c>
      <c r="C4389" t="s">
        <v>32</v>
      </c>
      <c r="D4389">
        <v>38</v>
      </c>
      <c r="E4389" s="5">
        <v>43515</v>
      </c>
      <c r="F4389">
        <v>73058401</v>
      </c>
      <c r="G4389" t="s">
        <v>1074</v>
      </c>
      <c r="H4389" t="s">
        <v>1413</v>
      </c>
      <c r="I4389" t="s">
        <v>1414</v>
      </c>
      <c r="J4389">
        <v>1001</v>
      </c>
      <c r="K4389">
        <v>5001</v>
      </c>
      <c r="L4389" s="3">
        <v>0</v>
      </c>
      <c r="M4389" s="3">
        <v>12600</v>
      </c>
      <c r="N4389">
        <v>0</v>
      </c>
      <c r="O4389">
        <v>0</v>
      </c>
      <c r="P4389">
        <v>12600</v>
      </c>
      <c r="Q4389" t="s">
        <v>30</v>
      </c>
      <c r="R4389" t="s">
        <v>83</v>
      </c>
      <c r="S4389" t="str">
        <v>#N/A</v>
      </c>
      <c r="T4389" t="str">
        <v>#N/A</v>
      </c>
    </row>
    <row r="4390" spans="1:20" ht="13.7" customHeight="1" x14ac:dyDescent="0.25">
      <c r="A4390" t="s">
        <v>26</v>
      </c>
      <c r="B4390" t="s">
        <v>27</v>
      </c>
      <c r="C4390" t="s">
        <v>40</v>
      </c>
      <c r="D4390">
        <v>26</v>
      </c>
      <c r="E4390" s="5">
        <v>43753</v>
      </c>
      <c r="F4390">
        <v>73058401</v>
      </c>
      <c r="G4390" t="s">
        <v>1074</v>
      </c>
      <c r="H4390" t="s">
        <v>1413</v>
      </c>
      <c r="I4390" t="s">
        <v>1414</v>
      </c>
      <c r="J4390">
        <v>1001</v>
      </c>
      <c r="K4390">
        <v>5001</v>
      </c>
      <c r="L4390" s="3">
        <v>12600</v>
      </c>
      <c r="M4390" s="3">
        <v>25850</v>
      </c>
      <c r="N4390">
        <v>0</v>
      </c>
      <c r="O4390">
        <v>0</v>
      </c>
      <c r="P4390">
        <v>38450</v>
      </c>
      <c r="Q4390" t="s">
        <v>30</v>
      </c>
      <c r="R4390" t="s">
        <v>164</v>
      </c>
      <c r="S4390" t="str">
        <v>#N/A</v>
      </c>
      <c r="T4390" t="str">
        <v>#N/A</v>
      </c>
    </row>
    <row r="4391" spans="1:20" ht="13.7" customHeight="1" x14ac:dyDescent="0.25">
      <c r="E4391" s="5">
        <v>43465</v>
      </c>
      <c r="F4391">
        <v>73058401</v>
      </c>
      <c r="G4391" t="s">
        <v>1074</v>
      </c>
      <c r="H4391" t="s">
        <v>1587</v>
      </c>
      <c r="I4391" t="s">
        <v>1588</v>
      </c>
      <c r="J4391">
        <v>0</v>
      </c>
      <c r="K4391">
        <v>0</v>
      </c>
      <c r="L4391" s="3">
        <v>0</v>
      </c>
      <c r="M4391" s="3">
        <v>0</v>
      </c>
      <c r="N4391">
        <v>0</v>
      </c>
      <c r="O4391">
        <v>0</v>
      </c>
      <c r="P4391">
        <v>0</v>
      </c>
      <c r="R4391" t="s">
        <v>1100</v>
      </c>
      <c r="S4391" t="str">
        <v>#N/A</v>
      </c>
      <c r="T4391" t="str">
        <v>#N/A</v>
      </c>
    </row>
    <row r="4392" spans="1:20" ht="13.7" customHeight="1" x14ac:dyDescent="0.25">
      <c r="A4392" t="s">
        <v>26</v>
      </c>
      <c r="B4392" t="s">
        <v>27</v>
      </c>
      <c r="C4392" t="s">
        <v>180</v>
      </c>
      <c r="D4392">
        <v>84</v>
      </c>
      <c r="E4392" s="5">
        <v>43827</v>
      </c>
      <c r="F4392">
        <v>73058401</v>
      </c>
      <c r="G4392" t="s">
        <v>1074</v>
      </c>
      <c r="H4392" t="s">
        <v>1587</v>
      </c>
      <c r="I4392" t="s">
        <v>1588</v>
      </c>
      <c r="J4392">
        <v>1001</v>
      </c>
      <c r="K4392">
        <v>5001</v>
      </c>
      <c r="L4392" s="3">
        <v>0</v>
      </c>
      <c r="M4392" s="3">
        <v>17059</v>
      </c>
      <c r="N4392">
        <v>0</v>
      </c>
      <c r="O4392">
        <v>0</v>
      </c>
      <c r="P4392">
        <v>17059</v>
      </c>
      <c r="Q4392" t="s">
        <v>30</v>
      </c>
      <c r="R4392" t="s">
        <v>83</v>
      </c>
      <c r="S4392" t="str">
        <v>#N/A</v>
      </c>
      <c r="T4392" t="str">
        <v>#N/A</v>
      </c>
    </row>
    <row r="4393" spans="1:20" ht="13.7" customHeight="1" x14ac:dyDescent="0.25">
      <c r="E4393" s="5">
        <v>43465</v>
      </c>
      <c r="F4393">
        <v>73058401</v>
      </c>
      <c r="G4393" t="s">
        <v>1074</v>
      </c>
      <c r="H4393" t="s">
        <v>1593</v>
      </c>
      <c r="I4393" t="s">
        <v>1594</v>
      </c>
      <c r="J4393">
        <v>0</v>
      </c>
      <c r="K4393">
        <v>0</v>
      </c>
      <c r="L4393" s="3">
        <v>0</v>
      </c>
      <c r="M4393" s="3">
        <v>0</v>
      </c>
      <c r="N4393">
        <v>0</v>
      </c>
      <c r="O4393">
        <v>0</v>
      </c>
      <c r="P4393">
        <v>0</v>
      </c>
      <c r="R4393" t="s">
        <v>1100</v>
      </c>
      <c r="S4393" t="str">
        <v>#N/A</v>
      </c>
      <c r="T4393" t="str">
        <v>#N/A</v>
      </c>
    </row>
    <row r="4394" spans="1:20" ht="13.7" customHeight="1" x14ac:dyDescent="0.25">
      <c r="A4394" t="s">
        <v>26</v>
      </c>
      <c r="B4394" t="s">
        <v>27</v>
      </c>
      <c r="C4394" t="s">
        <v>28</v>
      </c>
      <c r="D4394">
        <v>18</v>
      </c>
      <c r="E4394" s="5">
        <v>43474</v>
      </c>
      <c r="F4394">
        <v>73058401</v>
      </c>
      <c r="G4394" t="s">
        <v>1074</v>
      </c>
      <c r="H4394" t="s">
        <v>1593</v>
      </c>
      <c r="I4394" t="s">
        <v>1594</v>
      </c>
      <c r="J4394">
        <v>1001</v>
      </c>
      <c r="K4394">
        <v>5001</v>
      </c>
      <c r="L4394" s="3">
        <v>0</v>
      </c>
      <c r="M4394" s="3">
        <v>22536</v>
      </c>
      <c r="N4394">
        <v>0</v>
      </c>
      <c r="O4394">
        <v>0</v>
      </c>
      <c r="P4394">
        <v>22536</v>
      </c>
      <c r="Q4394" t="s">
        <v>30</v>
      </c>
      <c r="R4394" t="s">
        <v>46</v>
      </c>
      <c r="S4394" t="str">
        <v>#N/A</v>
      </c>
      <c r="T4394" t="str">
        <v>#N/A</v>
      </c>
    </row>
    <row r="4395" spans="1:20" ht="13.7" customHeight="1" x14ac:dyDescent="0.25">
      <c r="A4395" t="s">
        <v>26</v>
      </c>
      <c r="B4395" t="s">
        <v>27</v>
      </c>
      <c r="C4395" t="s">
        <v>180</v>
      </c>
      <c r="D4395">
        <v>5</v>
      </c>
      <c r="E4395" s="5">
        <v>43804</v>
      </c>
      <c r="F4395">
        <v>73058401</v>
      </c>
      <c r="G4395" t="s">
        <v>1074</v>
      </c>
      <c r="H4395" t="s">
        <v>1593</v>
      </c>
      <c r="I4395" t="s">
        <v>1594</v>
      </c>
      <c r="J4395">
        <v>1001</v>
      </c>
      <c r="K4395">
        <v>5001</v>
      </c>
      <c r="L4395" s="3">
        <v>22536</v>
      </c>
      <c r="M4395" s="3">
        <v>88400</v>
      </c>
      <c r="N4395">
        <v>0</v>
      </c>
      <c r="O4395">
        <v>0</v>
      </c>
      <c r="P4395">
        <v>110936</v>
      </c>
      <c r="Q4395" t="s">
        <v>30</v>
      </c>
      <c r="R4395" t="s">
        <v>545</v>
      </c>
      <c r="S4395" t="str">
        <v>#N/A</v>
      </c>
      <c r="T4395" t="str">
        <v>#N/A</v>
      </c>
    </row>
    <row r="4396" spans="1:20" ht="13.7" customHeight="1" x14ac:dyDescent="0.25">
      <c r="A4396" t="s">
        <v>26</v>
      </c>
      <c r="B4396" t="s">
        <v>27</v>
      </c>
      <c r="C4396" t="s">
        <v>180</v>
      </c>
      <c r="D4396">
        <v>63</v>
      </c>
      <c r="E4396" s="5">
        <v>43823</v>
      </c>
      <c r="F4396">
        <v>73058401</v>
      </c>
      <c r="G4396" t="s">
        <v>1074</v>
      </c>
      <c r="H4396" t="s">
        <v>1593</v>
      </c>
      <c r="I4396" t="s">
        <v>1594</v>
      </c>
      <c r="J4396">
        <v>1001</v>
      </c>
      <c r="K4396">
        <v>5001</v>
      </c>
      <c r="L4396" s="3">
        <v>110936</v>
      </c>
      <c r="M4396" s="3">
        <v>15800</v>
      </c>
      <c r="N4396">
        <v>0</v>
      </c>
      <c r="O4396">
        <v>0</v>
      </c>
      <c r="P4396">
        <v>126736</v>
      </c>
      <c r="Q4396" t="s">
        <v>30</v>
      </c>
      <c r="R4396" t="s">
        <v>545</v>
      </c>
      <c r="S4396" t="str">
        <v>#N/A</v>
      </c>
      <c r="T4396" t="str">
        <v>#N/A</v>
      </c>
    </row>
    <row r="4397" spans="1:20" ht="13.7" customHeight="1" x14ac:dyDescent="0.25">
      <c r="E4397" s="5">
        <v>43465</v>
      </c>
      <c r="F4397">
        <v>73058401</v>
      </c>
      <c r="G4397" t="s">
        <v>1074</v>
      </c>
      <c r="H4397" t="s">
        <v>1419</v>
      </c>
      <c r="I4397" t="s">
        <v>1420</v>
      </c>
      <c r="J4397">
        <v>0</v>
      </c>
      <c r="K4397">
        <v>0</v>
      </c>
      <c r="L4397" s="3">
        <v>0</v>
      </c>
      <c r="M4397" s="3">
        <v>0</v>
      </c>
      <c r="N4397">
        <v>0</v>
      </c>
      <c r="O4397">
        <v>0</v>
      </c>
      <c r="P4397">
        <v>0</v>
      </c>
      <c r="R4397" t="s">
        <v>1100</v>
      </c>
      <c r="S4397" t="str">
        <v>#N/A</v>
      </c>
      <c r="T4397" t="str">
        <v>#N/A</v>
      </c>
    </row>
    <row r="4398" spans="1:20" ht="13.7" customHeight="1" x14ac:dyDescent="0.25">
      <c r="A4398" t="s">
        <v>26</v>
      </c>
      <c r="B4398" t="s">
        <v>27</v>
      </c>
      <c r="C4398" t="s">
        <v>37</v>
      </c>
      <c r="D4398">
        <v>23</v>
      </c>
      <c r="E4398" s="5">
        <v>43653</v>
      </c>
      <c r="F4398">
        <v>73058401</v>
      </c>
      <c r="G4398" t="s">
        <v>1074</v>
      </c>
      <c r="H4398" t="s">
        <v>1419</v>
      </c>
      <c r="I4398" t="s">
        <v>1420</v>
      </c>
      <c r="J4398">
        <v>1001</v>
      </c>
      <c r="K4398">
        <v>5001</v>
      </c>
      <c r="L4398" s="3">
        <v>0</v>
      </c>
      <c r="M4398" s="3">
        <v>9364</v>
      </c>
      <c r="N4398">
        <v>0</v>
      </c>
      <c r="O4398">
        <v>0</v>
      </c>
      <c r="P4398">
        <v>9364</v>
      </c>
      <c r="Q4398" t="s">
        <v>30</v>
      </c>
      <c r="R4398" t="s">
        <v>552</v>
      </c>
      <c r="S4398" t="str">
        <v>#N/A</v>
      </c>
      <c r="T4398" t="str">
        <v>#N/A</v>
      </c>
    </row>
    <row r="4399" spans="1:20" ht="13.7" customHeight="1" x14ac:dyDescent="0.25">
      <c r="E4399" s="5">
        <v>43465</v>
      </c>
      <c r="F4399">
        <v>73058401</v>
      </c>
      <c r="G4399" t="s">
        <v>1074</v>
      </c>
      <c r="H4399" t="s">
        <v>1421</v>
      </c>
      <c r="I4399" t="s">
        <v>1422</v>
      </c>
      <c r="J4399">
        <v>0</v>
      </c>
      <c r="K4399">
        <v>0</v>
      </c>
      <c r="L4399" s="3">
        <v>57500</v>
      </c>
      <c r="M4399" s="3">
        <v>0</v>
      </c>
      <c r="N4399">
        <v>0</v>
      </c>
      <c r="O4399">
        <v>0</v>
      </c>
      <c r="P4399">
        <v>57500</v>
      </c>
      <c r="R4399" t="s">
        <v>1100</v>
      </c>
      <c r="S4399" t="str">
        <v>#N/A</v>
      </c>
      <c r="T4399" t="str">
        <v>#N/A</v>
      </c>
    </row>
    <row r="4400" spans="1:20" ht="13.7" customHeight="1" x14ac:dyDescent="0.25">
      <c r="A4400" t="s">
        <v>26</v>
      </c>
      <c r="B4400" t="s">
        <v>27</v>
      </c>
      <c r="C4400" t="s">
        <v>37</v>
      </c>
      <c r="D4400">
        <v>32</v>
      </c>
      <c r="E4400" s="5">
        <v>43658</v>
      </c>
      <c r="F4400">
        <v>73058401</v>
      </c>
      <c r="G4400" t="s">
        <v>1074</v>
      </c>
      <c r="H4400" t="s">
        <v>1421</v>
      </c>
      <c r="I4400" t="s">
        <v>1422</v>
      </c>
      <c r="J4400">
        <v>1001</v>
      </c>
      <c r="K4400">
        <v>5001</v>
      </c>
      <c r="L4400" s="3">
        <v>57500</v>
      </c>
      <c r="M4400" s="3">
        <v>66000</v>
      </c>
      <c r="N4400">
        <v>0</v>
      </c>
      <c r="O4400">
        <v>0</v>
      </c>
      <c r="P4400">
        <v>123500</v>
      </c>
      <c r="Q4400" t="s">
        <v>30</v>
      </c>
      <c r="R4400" t="s">
        <v>154</v>
      </c>
      <c r="S4400" t="str">
        <v>#N/A</v>
      </c>
      <c r="T4400" t="str">
        <v>#N/A</v>
      </c>
    </row>
    <row r="4401" spans="1:20" ht="13.7" customHeight="1" x14ac:dyDescent="0.25">
      <c r="E4401" s="5">
        <v>43465</v>
      </c>
      <c r="F4401">
        <v>73058401</v>
      </c>
      <c r="G4401" t="s">
        <v>1074</v>
      </c>
      <c r="H4401" t="s">
        <v>1759</v>
      </c>
      <c r="I4401" t="s">
        <v>1760</v>
      </c>
      <c r="J4401">
        <v>0</v>
      </c>
      <c r="K4401">
        <v>0</v>
      </c>
      <c r="L4401" s="3">
        <v>0</v>
      </c>
      <c r="M4401" s="3">
        <v>0</v>
      </c>
      <c r="N4401">
        <v>0</v>
      </c>
      <c r="O4401">
        <v>0</v>
      </c>
      <c r="P4401">
        <v>0</v>
      </c>
      <c r="R4401" t="s">
        <v>1100</v>
      </c>
      <c r="S4401" t="str">
        <v>#N/A</v>
      </c>
      <c r="T4401" t="str">
        <v>#N/A</v>
      </c>
    </row>
    <row r="4402" spans="1:20" ht="13.7" customHeight="1" x14ac:dyDescent="0.25">
      <c r="A4402" t="s">
        <v>26</v>
      </c>
      <c r="B4402" t="s">
        <v>27</v>
      </c>
      <c r="C4402" t="s">
        <v>180</v>
      </c>
      <c r="D4402">
        <v>14</v>
      </c>
      <c r="E4402" s="5">
        <v>43812</v>
      </c>
      <c r="F4402">
        <v>73058401</v>
      </c>
      <c r="G4402" t="s">
        <v>1074</v>
      </c>
      <c r="H4402" t="s">
        <v>1759</v>
      </c>
      <c r="I4402" t="s">
        <v>1760</v>
      </c>
      <c r="J4402">
        <v>1001</v>
      </c>
      <c r="K4402">
        <v>5001</v>
      </c>
      <c r="L4402" s="3">
        <v>0</v>
      </c>
      <c r="M4402" s="3">
        <v>19200</v>
      </c>
      <c r="N4402">
        <v>0</v>
      </c>
      <c r="O4402">
        <v>0</v>
      </c>
      <c r="P4402">
        <v>19200</v>
      </c>
      <c r="Q4402" t="s">
        <v>30</v>
      </c>
      <c r="R4402" t="s">
        <v>545</v>
      </c>
      <c r="S4402" t="str">
        <v>#N/A</v>
      </c>
      <c r="T4402" t="str">
        <v>#N/A</v>
      </c>
    </row>
    <row r="4403" spans="1:20" ht="13.7" customHeight="1" x14ac:dyDescent="0.25">
      <c r="E4403" s="5">
        <v>43465</v>
      </c>
      <c r="F4403">
        <v>73159501</v>
      </c>
      <c r="G4403" t="s">
        <v>1075</v>
      </c>
      <c r="H4403" t="s">
        <v>1098</v>
      </c>
      <c r="I4403" t="s">
        <v>1099</v>
      </c>
      <c r="J4403">
        <v>0</v>
      </c>
      <c r="K4403">
        <v>0</v>
      </c>
      <c r="L4403" s="3">
        <v>31574.67</v>
      </c>
      <c r="M4403" s="3">
        <v>0</v>
      </c>
      <c r="N4403">
        <v>0</v>
      </c>
      <c r="O4403">
        <v>0</v>
      </c>
      <c r="P4403">
        <v>31574.67</v>
      </c>
      <c r="R4403" t="s">
        <v>1100</v>
      </c>
      <c r="S4403" t="str">
        <v>#N/A</v>
      </c>
      <c r="T4403" t="str">
        <v>31</v>
      </c>
    </row>
    <row r="4404" spans="1:20" ht="13.7" customHeight="1" x14ac:dyDescent="0.25">
      <c r="A4404" t="s">
        <v>26</v>
      </c>
      <c r="B4404" t="s">
        <v>27</v>
      </c>
      <c r="C4404" t="s">
        <v>28</v>
      </c>
      <c r="D4404">
        <v>72</v>
      </c>
      <c r="E4404" s="5">
        <v>43493</v>
      </c>
      <c r="F4404">
        <v>73159501</v>
      </c>
      <c r="G4404" t="s">
        <v>1075</v>
      </c>
      <c r="H4404" t="s">
        <v>1098</v>
      </c>
      <c r="I4404" t="s">
        <v>1099</v>
      </c>
      <c r="J4404">
        <v>1001</v>
      </c>
      <c r="K4404">
        <v>5058</v>
      </c>
      <c r="L4404" s="3">
        <v>31574.67</v>
      </c>
      <c r="M4404" s="3">
        <v>3416.07</v>
      </c>
      <c r="N4404">
        <v>0</v>
      </c>
      <c r="O4404">
        <v>0</v>
      </c>
      <c r="P4404">
        <v>34990.74</v>
      </c>
      <c r="Q4404" t="s">
        <v>30</v>
      </c>
      <c r="R4404" t="s">
        <v>31</v>
      </c>
      <c r="S4404" t="str">
        <v>#N/A</v>
      </c>
      <c r="T4404" t="str">
        <v>31</v>
      </c>
    </row>
    <row r="4405" spans="1:20" ht="13.7" customHeight="1" x14ac:dyDescent="0.25">
      <c r="A4405" t="s">
        <v>26</v>
      </c>
      <c r="B4405" t="s">
        <v>27</v>
      </c>
      <c r="C4405" t="s">
        <v>32</v>
      </c>
      <c r="D4405">
        <v>44</v>
      </c>
      <c r="E4405" s="5">
        <v>43519</v>
      </c>
      <c r="F4405">
        <v>73159501</v>
      </c>
      <c r="G4405" t="s">
        <v>1075</v>
      </c>
      <c r="H4405" t="s">
        <v>1098</v>
      </c>
      <c r="I4405" t="s">
        <v>1099</v>
      </c>
      <c r="J4405">
        <v>1001</v>
      </c>
      <c r="K4405">
        <v>5058</v>
      </c>
      <c r="L4405" s="3">
        <v>34990.74</v>
      </c>
      <c r="M4405" s="3">
        <v>2665</v>
      </c>
      <c r="N4405">
        <v>0</v>
      </c>
      <c r="O4405">
        <v>0</v>
      </c>
      <c r="P4405">
        <v>37655.74</v>
      </c>
      <c r="Q4405" t="s">
        <v>30</v>
      </c>
      <c r="R4405" t="s">
        <v>33</v>
      </c>
      <c r="S4405" t="str">
        <v>#N/A</v>
      </c>
      <c r="T4405" t="str">
        <v>31</v>
      </c>
    </row>
    <row r="4406" spans="1:20" ht="13.7" customHeight="1" x14ac:dyDescent="0.25">
      <c r="A4406" t="s">
        <v>26</v>
      </c>
      <c r="B4406" t="s">
        <v>27</v>
      </c>
      <c r="C4406" t="s">
        <v>34</v>
      </c>
      <c r="D4406">
        <v>52</v>
      </c>
      <c r="E4406" s="5">
        <v>43578</v>
      </c>
      <c r="F4406">
        <v>73159501</v>
      </c>
      <c r="G4406" t="s">
        <v>1075</v>
      </c>
      <c r="H4406" t="s">
        <v>1098</v>
      </c>
      <c r="I4406" t="s">
        <v>1099</v>
      </c>
      <c r="J4406">
        <v>1001</v>
      </c>
      <c r="K4406">
        <v>5058</v>
      </c>
      <c r="L4406" s="3">
        <v>37655.74</v>
      </c>
      <c r="M4406" s="3">
        <v>3330</v>
      </c>
      <c r="N4406">
        <v>0</v>
      </c>
      <c r="O4406">
        <v>0</v>
      </c>
      <c r="P4406">
        <v>40985.74</v>
      </c>
      <c r="Q4406" t="s">
        <v>30</v>
      </c>
      <c r="R4406" t="s">
        <v>31</v>
      </c>
      <c r="S4406" t="str">
        <v>#N/A</v>
      </c>
      <c r="T4406" t="str">
        <v>31</v>
      </c>
    </row>
    <row r="4407" spans="1:20" ht="13.7" customHeight="1" x14ac:dyDescent="0.25">
      <c r="A4407" t="s">
        <v>26</v>
      </c>
      <c r="B4407" t="s">
        <v>27</v>
      </c>
      <c r="C4407" t="s">
        <v>35</v>
      </c>
      <c r="D4407">
        <v>68</v>
      </c>
      <c r="E4407" s="5">
        <v>43606</v>
      </c>
      <c r="F4407">
        <v>73159501</v>
      </c>
      <c r="G4407" t="s">
        <v>1075</v>
      </c>
      <c r="H4407" t="s">
        <v>1098</v>
      </c>
      <c r="I4407" t="s">
        <v>1099</v>
      </c>
      <c r="J4407">
        <v>1001</v>
      </c>
      <c r="K4407">
        <v>5058</v>
      </c>
      <c r="L4407" s="3">
        <v>40985.74</v>
      </c>
      <c r="M4407" s="3">
        <v>3150</v>
      </c>
      <c r="N4407">
        <v>0</v>
      </c>
      <c r="O4407">
        <v>0</v>
      </c>
      <c r="P4407">
        <v>44135.74</v>
      </c>
      <c r="Q4407" t="s">
        <v>30</v>
      </c>
      <c r="R4407" t="s">
        <v>31</v>
      </c>
      <c r="S4407" t="str">
        <v>#N/A</v>
      </c>
      <c r="T4407" t="str">
        <v>31</v>
      </c>
    </row>
    <row r="4408" spans="1:20" ht="13.7" customHeight="1" x14ac:dyDescent="0.25">
      <c r="A4408" t="s">
        <v>26</v>
      </c>
      <c r="B4408" t="s">
        <v>27</v>
      </c>
      <c r="C4408" t="s">
        <v>36</v>
      </c>
      <c r="D4408">
        <v>42</v>
      </c>
      <c r="E4408" s="5">
        <v>43636</v>
      </c>
      <c r="F4408">
        <v>73159501</v>
      </c>
      <c r="G4408" t="s">
        <v>1075</v>
      </c>
      <c r="H4408" t="s">
        <v>1098</v>
      </c>
      <c r="I4408" t="s">
        <v>1099</v>
      </c>
      <c r="J4408">
        <v>1001</v>
      </c>
      <c r="K4408">
        <v>5058</v>
      </c>
      <c r="L4408" s="3">
        <v>44135.74</v>
      </c>
      <c r="M4408" s="3">
        <v>2132</v>
      </c>
      <c r="N4408">
        <v>0</v>
      </c>
      <c r="O4408">
        <v>0</v>
      </c>
      <c r="P4408">
        <v>46267.74</v>
      </c>
      <c r="Q4408" t="s">
        <v>30</v>
      </c>
      <c r="R4408" t="s">
        <v>31</v>
      </c>
      <c r="S4408" t="str">
        <v>#N/A</v>
      </c>
      <c r="T4408" t="str">
        <v>31</v>
      </c>
    </row>
    <row r="4409" spans="1:20" ht="13.7" customHeight="1" x14ac:dyDescent="0.25">
      <c r="A4409" t="s">
        <v>26</v>
      </c>
      <c r="B4409" t="s">
        <v>27</v>
      </c>
      <c r="C4409" t="s">
        <v>37</v>
      </c>
      <c r="D4409">
        <v>56</v>
      </c>
      <c r="E4409" s="5">
        <v>43672</v>
      </c>
      <c r="F4409">
        <v>73159501</v>
      </c>
      <c r="G4409" t="s">
        <v>1075</v>
      </c>
      <c r="H4409" t="s">
        <v>1098</v>
      </c>
      <c r="I4409" t="s">
        <v>1099</v>
      </c>
      <c r="J4409">
        <v>1001</v>
      </c>
      <c r="K4409">
        <v>5058</v>
      </c>
      <c r="L4409" s="3">
        <v>46267.74</v>
      </c>
      <c r="M4409" s="3">
        <v>3861</v>
      </c>
      <c r="N4409">
        <v>0</v>
      </c>
      <c r="O4409">
        <v>0</v>
      </c>
      <c r="P4409">
        <v>50128.74</v>
      </c>
      <c r="Q4409" t="s">
        <v>30</v>
      </c>
      <c r="R4409" t="s">
        <v>31</v>
      </c>
      <c r="S4409" t="str">
        <v>#N/A</v>
      </c>
      <c r="T4409" t="str">
        <v>31</v>
      </c>
    </row>
    <row r="4410" spans="1:20" ht="13.7" customHeight="1" x14ac:dyDescent="0.25">
      <c r="A4410" t="s">
        <v>26</v>
      </c>
      <c r="B4410" t="s">
        <v>27</v>
      </c>
      <c r="C4410" t="s">
        <v>38</v>
      </c>
      <c r="D4410">
        <v>49</v>
      </c>
      <c r="E4410" s="5">
        <v>43704</v>
      </c>
      <c r="F4410">
        <v>73159501</v>
      </c>
      <c r="G4410" t="s">
        <v>1075</v>
      </c>
      <c r="H4410" t="s">
        <v>1098</v>
      </c>
      <c r="I4410" t="s">
        <v>1099</v>
      </c>
      <c r="J4410">
        <v>1001</v>
      </c>
      <c r="K4410">
        <v>5058</v>
      </c>
      <c r="L4410" s="3">
        <v>50128.74</v>
      </c>
      <c r="M4410" s="3">
        <v>2731</v>
      </c>
      <c r="N4410">
        <v>0</v>
      </c>
      <c r="O4410">
        <v>0</v>
      </c>
      <c r="P4410">
        <v>52859.74</v>
      </c>
      <c r="Q4410" t="s">
        <v>30</v>
      </c>
      <c r="R4410" t="s">
        <v>31</v>
      </c>
      <c r="S4410" t="str">
        <v>#N/A</v>
      </c>
      <c r="T4410" t="str">
        <v>31</v>
      </c>
    </row>
    <row r="4411" spans="1:20" ht="13.7" customHeight="1" x14ac:dyDescent="0.25">
      <c r="A4411" t="s">
        <v>26</v>
      </c>
      <c r="B4411" t="s">
        <v>27</v>
      </c>
      <c r="C4411" t="s">
        <v>39</v>
      </c>
      <c r="D4411">
        <v>59</v>
      </c>
      <c r="E4411" s="5">
        <v>43736</v>
      </c>
      <c r="F4411">
        <v>73159501</v>
      </c>
      <c r="G4411" t="s">
        <v>1075</v>
      </c>
      <c r="H4411" t="s">
        <v>1098</v>
      </c>
      <c r="I4411" t="s">
        <v>1099</v>
      </c>
      <c r="J4411">
        <v>1001</v>
      </c>
      <c r="K4411">
        <v>5058</v>
      </c>
      <c r="L4411" s="3">
        <v>52859.74</v>
      </c>
      <c r="M4411" s="3">
        <v>3128</v>
      </c>
      <c r="N4411">
        <v>0</v>
      </c>
      <c r="O4411">
        <v>0</v>
      </c>
      <c r="P4411">
        <v>55987.74</v>
      </c>
      <c r="Q4411" t="s">
        <v>30</v>
      </c>
      <c r="R4411" t="s">
        <v>31</v>
      </c>
      <c r="S4411" t="str">
        <v>#N/A</v>
      </c>
      <c r="T4411" t="str">
        <v>31</v>
      </c>
    </row>
    <row r="4412" spans="1:20" ht="13.7" customHeight="1" x14ac:dyDescent="0.25">
      <c r="A4412" t="s">
        <v>26</v>
      </c>
      <c r="B4412" t="s">
        <v>27</v>
      </c>
      <c r="C4412" t="s">
        <v>40</v>
      </c>
      <c r="D4412">
        <v>31</v>
      </c>
      <c r="E4412" s="5">
        <v>43756</v>
      </c>
      <c r="F4412">
        <v>73159501</v>
      </c>
      <c r="G4412" t="s">
        <v>1075</v>
      </c>
      <c r="H4412" t="s">
        <v>1098</v>
      </c>
      <c r="I4412" t="s">
        <v>1099</v>
      </c>
      <c r="J4412">
        <v>1001</v>
      </c>
      <c r="K4412">
        <v>5058</v>
      </c>
      <c r="L4412" s="3">
        <v>55987.74</v>
      </c>
      <c r="M4412" s="3">
        <v>2607</v>
      </c>
      <c r="N4412">
        <v>0</v>
      </c>
      <c r="O4412">
        <v>0</v>
      </c>
      <c r="P4412">
        <v>58594.74</v>
      </c>
      <c r="Q4412" t="s">
        <v>30</v>
      </c>
      <c r="R4412" t="s">
        <v>31</v>
      </c>
      <c r="S4412" t="str">
        <v>#N/A</v>
      </c>
      <c r="T4412" t="str">
        <v>31</v>
      </c>
    </row>
    <row r="4413" spans="1:20" ht="13.7" customHeight="1" x14ac:dyDescent="0.25">
      <c r="A4413" t="s">
        <v>26</v>
      </c>
      <c r="B4413" t="s">
        <v>27</v>
      </c>
      <c r="C4413" t="s">
        <v>41</v>
      </c>
      <c r="D4413">
        <v>46</v>
      </c>
      <c r="E4413" s="5">
        <v>43787</v>
      </c>
      <c r="F4413">
        <v>73159501</v>
      </c>
      <c r="G4413" t="s">
        <v>1075</v>
      </c>
      <c r="H4413" t="s">
        <v>1098</v>
      </c>
      <c r="I4413" t="s">
        <v>1099</v>
      </c>
      <c r="J4413">
        <v>1001</v>
      </c>
      <c r="K4413">
        <v>5058</v>
      </c>
      <c r="L4413" s="3">
        <v>58594.74</v>
      </c>
      <c r="M4413" s="3">
        <v>2183</v>
      </c>
      <c r="N4413">
        <v>0</v>
      </c>
      <c r="O4413">
        <v>0</v>
      </c>
      <c r="P4413">
        <v>60777.74</v>
      </c>
      <c r="Q4413" t="s">
        <v>30</v>
      </c>
      <c r="R4413" t="s">
        <v>42</v>
      </c>
      <c r="S4413" t="str">
        <v>#N/A</v>
      </c>
      <c r="T4413" t="str">
        <v>31</v>
      </c>
    </row>
    <row r="4414" spans="1:20" ht="13.7" customHeight="1" x14ac:dyDescent="0.25">
      <c r="E4414" s="5">
        <v>43465</v>
      </c>
      <c r="F4414">
        <v>73159502</v>
      </c>
      <c r="G4414" t="s">
        <v>1076</v>
      </c>
      <c r="H4414" t="s">
        <v>1167</v>
      </c>
      <c r="I4414" t="s">
        <v>1168</v>
      </c>
      <c r="J4414">
        <v>0</v>
      </c>
      <c r="K4414">
        <v>0</v>
      </c>
      <c r="L4414" s="3">
        <v>4044</v>
      </c>
      <c r="M4414" s="3">
        <v>0</v>
      </c>
      <c r="N4414">
        <v>0</v>
      </c>
      <c r="O4414">
        <v>0</v>
      </c>
      <c r="P4414">
        <v>4044</v>
      </c>
      <c r="R4414" t="s">
        <v>1100</v>
      </c>
      <c r="S4414" t="str">
        <v>#N/A</v>
      </c>
      <c r="T4414" t="str">
        <v>31</v>
      </c>
    </row>
    <row r="4415" spans="1:20" ht="13.7" customHeight="1" x14ac:dyDescent="0.25">
      <c r="A4415" t="s">
        <v>26</v>
      </c>
      <c r="B4415" t="s">
        <v>27</v>
      </c>
      <c r="C4415" t="s">
        <v>32</v>
      </c>
      <c r="D4415">
        <v>50</v>
      </c>
      <c r="E4415" s="5">
        <v>43521</v>
      </c>
      <c r="F4415">
        <v>73159502</v>
      </c>
      <c r="G4415" t="s">
        <v>1076</v>
      </c>
      <c r="H4415" t="s">
        <v>1167</v>
      </c>
      <c r="I4415" t="s">
        <v>1168</v>
      </c>
      <c r="J4415">
        <v>1001</v>
      </c>
      <c r="K4415">
        <v>5058</v>
      </c>
      <c r="L4415" s="3">
        <v>4044</v>
      </c>
      <c r="M4415" s="3">
        <v>424</v>
      </c>
      <c r="N4415">
        <v>0</v>
      </c>
      <c r="O4415">
        <v>0</v>
      </c>
      <c r="P4415">
        <v>4468</v>
      </c>
      <c r="Q4415" t="s">
        <v>30</v>
      </c>
      <c r="R4415" t="s">
        <v>204</v>
      </c>
      <c r="S4415" t="str">
        <v>#N/A</v>
      </c>
      <c r="T4415" t="str">
        <v>31</v>
      </c>
    </row>
    <row r="4416" spans="1:20" ht="13.7" customHeight="1" x14ac:dyDescent="0.25">
      <c r="A4416" t="s">
        <v>26</v>
      </c>
      <c r="B4416" t="s">
        <v>27</v>
      </c>
      <c r="C4416" t="s">
        <v>34</v>
      </c>
      <c r="D4416">
        <v>58</v>
      </c>
      <c r="E4416" s="5">
        <v>43581</v>
      </c>
      <c r="F4416">
        <v>73159502</v>
      </c>
      <c r="G4416" t="s">
        <v>1076</v>
      </c>
      <c r="H4416" t="s">
        <v>1167</v>
      </c>
      <c r="I4416" t="s">
        <v>1168</v>
      </c>
      <c r="J4416">
        <v>1001</v>
      </c>
      <c r="K4416">
        <v>5058</v>
      </c>
      <c r="L4416" s="3">
        <v>4468</v>
      </c>
      <c r="M4416" s="3">
        <v>624</v>
      </c>
      <c r="N4416">
        <v>0</v>
      </c>
      <c r="O4416">
        <v>0</v>
      </c>
      <c r="P4416">
        <v>5092</v>
      </c>
      <c r="Q4416" t="s">
        <v>30</v>
      </c>
      <c r="R4416" t="s">
        <v>204</v>
      </c>
      <c r="S4416" t="str">
        <v>#N/A</v>
      </c>
      <c r="T4416" t="str">
        <v>31</v>
      </c>
    </row>
    <row r="4417" spans="1:20" ht="13.7" customHeight="1" x14ac:dyDescent="0.25">
      <c r="A4417" t="s">
        <v>26</v>
      </c>
      <c r="B4417" t="s">
        <v>27</v>
      </c>
      <c r="C4417" t="s">
        <v>35</v>
      </c>
      <c r="D4417">
        <v>87</v>
      </c>
      <c r="E4417" s="5">
        <v>43612</v>
      </c>
      <c r="F4417">
        <v>73159502</v>
      </c>
      <c r="G4417" t="s">
        <v>1076</v>
      </c>
      <c r="H4417" t="s">
        <v>1167</v>
      </c>
      <c r="I4417" t="s">
        <v>1168</v>
      </c>
      <c r="J4417">
        <v>1001</v>
      </c>
      <c r="K4417">
        <v>5058</v>
      </c>
      <c r="L4417" s="3">
        <v>5092</v>
      </c>
      <c r="M4417" s="3">
        <v>224</v>
      </c>
      <c r="N4417">
        <v>0</v>
      </c>
      <c r="O4417">
        <v>0</v>
      </c>
      <c r="P4417">
        <v>5316</v>
      </c>
      <c r="Q4417" t="s">
        <v>30</v>
      </c>
      <c r="R4417" t="s">
        <v>204</v>
      </c>
      <c r="S4417" t="str">
        <v>#N/A</v>
      </c>
      <c r="T4417" t="str">
        <v>31</v>
      </c>
    </row>
    <row r="4418" spans="1:20" ht="13.7" customHeight="1" x14ac:dyDescent="0.25">
      <c r="A4418" t="s">
        <v>26</v>
      </c>
      <c r="B4418" t="s">
        <v>27</v>
      </c>
      <c r="C4418" t="s">
        <v>36</v>
      </c>
      <c r="D4418">
        <v>59</v>
      </c>
      <c r="E4418" s="5">
        <v>43642</v>
      </c>
      <c r="F4418">
        <v>73159502</v>
      </c>
      <c r="G4418" t="s">
        <v>1076</v>
      </c>
      <c r="H4418" t="s">
        <v>1167</v>
      </c>
      <c r="I4418" t="s">
        <v>1168</v>
      </c>
      <c r="J4418">
        <v>1001</v>
      </c>
      <c r="K4418">
        <v>5058</v>
      </c>
      <c r="L4418" s="3">
        <v>5316</v>
      </c>
      <c r="M4418" s="3">
        <v>224</v>
      </c>
      <c r="N4418">
        <v>0</v>
      </c>
      <c r="O4418">
        <v>0</v>
      </c>
      <c r="P4418">
        <v>5540</v>
      </c>
      <c r="Q4418" t="s">
        <v>30</v>
      </c>
      <c r="R4418" t="s">
        <v>204</v>
      </c>
      <c r="S4418" t="str">
        <v>#N/A</v>
      </c>
      <c r="T4418" t="str">
        <v>31</v>
      </c>
    </row>
    <row r="4419" spans="1:20" ht="13.7" customHeight="1" x14ac:dyDescent="0.25">
      <c r="A4419" t="s">
        <v>26</v>
      </c>
      <c r="B4419" t="s">
        <v>27</v>
      </c>
      <c r="C4419" t="s">
        <v>38</v>
      </c>
      <c r="D4419">
        <v>1</v>
      </c>
      <c r="E4419" s="5">
        <v>43679</v>
      </c>
      <c r="F4419">
        <v>73159502</v>
      </c>
      <c r="G4419" t="s">
        <v>1076</v>
      </c>
      <c r="H4419" t="s">
        <v>1167</v>
      </c>
      <c r="I4419" t="s">
        <v>1168</v>
      </c>
      <c r="J4419">
        <v>1001</v>
      </c>
      <c r="K4419">
        <v>5058</v>
      </c>
      <c r="L4419" s="3">
        <v>5540</v>
      </c>
      <c r="M4419" s="3">
        <v>224</v>
      </c>
      <c r="N4419">
        <v>0</v>
      </c>
      <c r="O4419">
        <v>0</v>
      </c>
      <c r="P4419">
        <v>5764</v>
      </c>
      <c r="Q4419" t="s">
        <v>30</v>
      </c>
      <c r="R4419" t="s">
        <v>204</v>
      </c>
      <c r="S4419" t="str">
        <v>#N/A</v>
      </c>
      <c r="T4419" t="str">
        <v>31</v>
      </c>
    </row>
    <row r="4420" spans="1:20" ht="13.7" customHeight="1" x14ac:dyDescent="0.25">
      <c r="A4420" t="s">
        <v>26</v>
      </c>
      <c r="B4420" t="s">
        <v>27</v>
      </c>
      <c r="C4420" t="s">
        <v>39</v>
      </c>
      <c r="D4420">
        <v>65</v>
      </c>
      <c r="E4420" s="5">
        <v>43738</v>
      </c>
      <c r="F4420">
        <v>73159502</v>
      </c>
      <c r="G4420" t="s">
        <v>1076</v>
      </c>
      <c r="H4420" t="s">
        <v>1167</v>
      </c>
      <c r="I4420" t="s">
        <v>1168</v>
      </c>
      <c r="J4420">
        <v>1001</v>
      </c>
      <c r="K4420">
        <v>5058</v>
      </c>
      <c r="L4420" s="3">
        <v>5764</v>
      </c>
      <c r="M4420" s="3">
        <v>224</v>
      </c>
      <c r="N4420">
        <v>0</v>
      </c>
      <c r="O4420">
        <v>0</v>
      </c>
      <c r="P4420">
        <v>5988</v>
      </c>
      <c r="Q4420" t="s">
        <v>30</v>
      </c>
      <c r="R4420" t="s">
        <v>204</v>
      </c>
      <c r="S4420" t="str">
        <v>#N/A</v>
      </c>
      <c r="T4420" t="str">
        <v>31</v>
      </c>
    </row>
    <row r="4421" spans="1:20" ht="13.7" customHeight="1" x14ac:dyDescent="0.25">
      <c r="A4421" t="s">
        <v>26</v>
      </c>
      <c r="B4421" t="s">
        <v>27</v>
      </c>
      <c r="C4421" t="s">
        <v>41</v>
      </c>
      <c r="D4421">
        <v>61</v>
      </c>
      <c r="E4421" s="5">
        <v>43794</v>
      </c>
      <c r="F4421">
        <v>73159502</v>
      </c>
      <c r="G4421" t="s">
        <v>1076</v>
      </c>
      <c r="H4421" t="s">
        <v>1167</v>
      </c>
      <c r="I4421" t="s">
        <v>1168</v>
      </c>
      <c r="J4421">
        <v>1001</v>
      </c>
      <c r="K4421">
        <v>5058</v>
      </c>
      <c r="L4421" s="3">
        <v>5988</v>
      </c>
      <c r="M4421" s="3">
        <v>224</v>
      </c>
      <c r="N4421">
        <v>0</v>
      </c>
      <c r="O4421">
        <v>0</v>
      </c>
      <c r="P4421">
        <v>6212</v>
      </c>
      <c r="Q4421" t="s">
        <v>30</v>
      </c>
      <c r="R4421" t="s">
        <v>204</v>
      </c>
      <c r="S4421" t="str">
        <v>#N/A</v>
      </c>
      <c r="T4421" t="str">
        <v>31</v>
      </c>
    </row>
    <row r="4422" spans="1:20" ht="13.7" customHeight="1" x14ac:dyDescent="0.25">
      <c r="E4422" s="5">
        <v>43465</v>
      </c>
      <c r="F4422">
        <v>73159502</v>
      </c>
      <c r="G4422" t="s">
        <v>1076</v>
      </c>
      <c r="H4422" t="s">
        <v>1098</v>
      </c>
      <c r="I4422" t="s">
        <v>1099</v>
      </c>
      <c r="J4422">
        <v>0</v>
      </c>
      <c r="K4422">
        <v>0</v>
      </c>
      <c r="L4422" s="3">
        <v>32520.35</v>
      </c>
      <c r="M4422" s="3">
        <v>0</v>
      </c>
      <c r="N4422">
        <v>0</v>
      </c>
      <c r="O4422">
        <v>0</v>
      </c>
      <c r="P4422">
        <v>32520.35</v>
      </c>
      <c r="R4422" t="s">
        <v>1100</v>
      </c>
      <c r="S4422" t="str">
        <v>#N/A</v>
      </c>
      <c r="T4422" t="str">
        <v>31</v>
      </c>
    </row>
    <row r="4423" spans="1:20" ht="13.7" customHeight="1" x14ac:dyDescent="0.25">
      <c r="A4423" t="s">
        <v>26</v>
      </c>
      <c r="B4423" t="s">
        <v>27</v>
      </c>
      <c r="C4423" t="s">
        <v>32</v>
      </c>
      <c r="D4423">
        <v>43</v>
      </c>
      <c r="E4423" s="5">
        <v>43519</v>
      </c>
      <c r="F4423">
        <v>73159502</v>
      </c>
      <c r="G4423" t="s">
        <v>1076</v>
      </c>
      <c r="H4423" t="s">
        <v>1098</v>
      </c>
      <c r="I4423" t="s">
        <v>1099</v>
      </c>
      <c r="J4423">
        <v>1001</v>
      </c>
      <c r="K4423">
        <v>5058</v>
      </c>
      <c r="L4423" s="3">
        <v>32520.35</v>
      </c>
      <c r="M4423" s="3">
        <v>6900</v>
      </c>
      <c r="N4423">
        <v>0</v>
      </c>
      <c r="O4423">
        <v>0</v>
      </c>
      <c r="P4423">
        <v>39420.35</v>
      </c>
      <c r="Q4423" t="s">
        <v>30</v>
      </c>
      <c r="R4423" t="s">
        <v>225</v>
      </c>
      <c r="S4423" t="str">
        <v>#N/A</v>
      </c>
      <c r="T4423" t="str">
        <v>31</v>
      </c>
    </row>
    <row r="4424" spans="1:20" ht="13.7" customHeight="1" x14ac:dyDescent="0.25">
      <c r="A4424" t="s">
        <v>26</v>
      </c>
      <c r="B4424" t="s">
        <v>27</v>
      </c>
      <c r="C4424" t="s">
        <v>91</v>
      </c>
      <c r="D4424">
        <v>78</v>
      </c>
      <c r="E4424" s="5">
        <v>43544</v>
      </c>
      <c r="F4424">
        <v>73159502</v>
      </c>
      <c r="G4424" t="s">
        <v>1076</v>
      </c>
      <c r="H4424" t="s">
        <v>1098</v>
      </c>
      <c r="I4424" t="s">
        <v>1099</v>
      </c>
      <c r="J4424">
        <v>1001</v>
      </c>
      <c r="K4424">
        <v>5058</v>
      </c>
      <c r="L4424" s="3">
        <v>39420.35</v>
      </c>
      <c r="M4424" s="3">
        <v>6900</v>
      </c>
      <c r="N4424">
        <v>0</v>
      </c>
      <c r="O4424">
        <v>0</v>
      </c>
      <c r="P4424">
        <v>46320.35</v>
      </c>
      <c r="Q4424" t="s">
        <v>30</v>
      </c>
      <c r="R4424" t="s">
        <v>225</v>
      </c>
      <c r="S4424" t="str">
        <v>#N/A</v>
      </c>
      <c r="T4424" t="str">
        <v>31</v>
      </c>
    </row>
    <row r="4425" spans="1:20" ht="13.7" customHeight="1" x14ac:dyDescent="0.25">
      <c r="A4425" t="s">
        <v>26</v>
      </c>
      <c r="B4425" t="s">
        <v>27</v>
      </c>
      <c r="C4425" t="s">
        <v>34</v>
      </c>
      <c r="D4425">
        <v>51</v>
      </c>
      <c r="E4425" s="5">
        <v>43578</v>
      </c>
      <c r="F4425">
        <v>73159502</v>
      </c>
      <c r="G4425" t="s">
        <v>1076</v>
      </c>
      <c r="H4425" t="s">
        <v>1098</v>
      </c>
      <c r="I4425" t="s">
        <v>1099</v>
      </c>
      <c r="J4425">
        <v>1001</v>
      </c>
      <c r="K4425">
        <v>5058</v>
      </c>
      <c r="L4425" s="3">
        <v>46320.35</v>
      </c>
      <c r="M4425" s="3">
        <v>6900</v>
      </c>
      <c r="N4425">
        <v>0</v>
      </c>
      <c r="O4425">
        <v>0</v>
      </c>
      <c r="P4425">
        <v>53220.35</v>
      </c>
      <c r="Q4425" t="s">
        <v>30</v>
      </c>
      <c r="R4425" t="s">
        <v>225</v>
      </c>
      <c r="S4425" t="str">
        <v>#N/A</v>
      </c>
      <c r="T4425" t="str">
        <v>31</v>
      </c>
    </row>
    <row r="4426" spans="1:20" ht="13.7" customHeight="1" x14ac:dyDescent="0.25">
      <c r="A4426" t="s">
        <v>26</v>
      </c>
      <c r="B4426" t="s">
        <v>27</v>
      </c>
      <c r="C4426" t="s">
        <v>35</v>
      </c>
      <c r="D4426">
        <v>69</v>
      </c>
      <c r="E4426" s="5">
        <v>43606</v>
      </c>
      <c r="F4426">
        <v>73159502</v>
      </c>
      <c r="G4426" t="s">
        <v>1076</v>
      </c>
      <c r="H4426" t="s">
        <v>1098</v>
      </c>
      <c r="I4426" t="s">
        <v>1099</v>
      </c>
      <c r="J4426">
        <v>1001</v>
      </c>
      <c r="K4426">
        <v>5058</v>
      </c>
      <c r="L4426" s="3">
        <v>53220.35</v>
      </c>
      <c r="M4426" s="3">
        <v>6900</v>
      </c>
      <c r="N4426">
        <v>0</v>
      </c>
      <c r="O4426">
        <v>0</v>
      </c>
      <c r="P4426">
        <v>60120.35</v>
      </c>
      <c r="Q4426" t="s">
        <v>30</v>
      </c>
      <c r="R4426" t="s">
        <v>225</v>
      </c>
      <c r="S4426" t="str">
        <v>#N/A</v>
      </c>
      <c r="T4426" t="str">
        <v>31</v>
      </c>
    </row>
    <row r="4427" spans="1:20" ht="13.7" customHeight="1" x14ac:dyDescent="0.25">
      <c r="A4427" t="s">
        <v>26</v>
      </c>
      <c r="B4427" t="s">
        <v>27</v>
      </c>
      <c r="C4427" t="s">
        <v>36</v>
      </c>
      <c r="D4427">
        <v>58</v>
      </c>
      <c r="E4427" s="5">
        <v>43642</v>
      </c>
      <c r="F4427">
        <v>73159502</v>
      </c>
      <c r="G4427" t="s">
        <v>1076</v>
      </c>
      <c r="H4427" t="s">
        <v>1098</v>
      </c>
      <c r="I4427" t="s">
        <v>1099</v>
      </c>
      <c r="J4427">
        <v>1001</v>
      </c>
      <c r="K4427">
        <v>5058</v>
      </c>
      <c r="L4427" s="3">
        <v>60120.35</v>
      </c>
      <c r="M4427" s="3">
        <v>6900</v>
      </c>
      <c r="N4427">
        <v>0</v>
      </c>
      <c r="O4427">
        <v>0</v>
      </c>
      <c r="P4427">
        <v>67020.350000000006</v>
      </c>
      <c r="Q4427" t="s">
        <v>30</v>
      </c>
      <c r="R4427" t="s">
        <v>225</v>
      </c>
      <c r="S4427" t="str">
        <v>#N/A</v>
      </c>
      <c r="T4427" t="str">
        <v>31</v>
      </c>
    </row>
    <row r="4428" spans="1:20" ht="13.7" customHeight="1" x14ac:dyDescent="0.25">
      <c r="A4428" t="s">
        <v>26</v>
      </c>
      <c r="B4428" t="s">
        <v>27</v>
      </c>
      <c r="C4428" t="s">
        <v>37</v>
      </c>
      <c r="D4428">
        <v>55</v>
      </c>
      <c r="E4428" s="5">
        <v>43672</v>
      </c>
      <c r="F4428">
        <v>73159502</v>
      </c>
      <c r="G4428" t="s">
        <v>1076</v>
      </c>
      <c r="H4428" t="s">
        <v>1098</v>
      </c>
      <c r="I4428" t="s">
        <v>1099</v>
      </c>
      <c r="J4428">
        <v>1001</v>
      </c>
      <c r="K4428">
        <v>5058</v>
      </c>
      <c r="L4428" s="3">
        <v>67020.350000000006</v>
      </c>
      <c r="M4428" s="3">
        <v>6900</v>
      </c>
      <c r="N4428">
        <v>0</v>
      </c>
      <c r="O4428">
        <v>0</v>
      </c>
      <c r="P4428">
        <v>73920.350000000006</v>
      </c>
      <c r="Q4428" t="s">
        <v>30</v>
      </c>
      <c r="R4428" t="s">
        <v>225</v>
      </c>
      <c r="S4428" t="str">
        <v>#N/A</v>
      </c>
      <c r="T4428" t="str">
        <v>31</v>
      </c>
    </row>
    <row r="4429" spans="1:20" ht="13.7" customHeight="1" x14ac:dyDescent="0.25">
      <c r="A4429" t="s">
        <v>26</v>
      </c>
      <c r="B4429" t="s">
        <v>27</v>
      </c>
      <c r="C4429" t="s">
        <v>38</v>
      </c>
      <c r="D4429">
        <v>50</v>
      </c>
      <c r="E4429" s="5">
        <v>43704</v>
      </c>
      <c r="F4429">
        <v>73159502</v>
      </c>
      <c r="G4429" t="s">
        <v>1076</v>
      </c>
      <c r="H4429" t="s">
        <v>1098</v>
      </c>
      <c r="I4429" t="s">
        <v>1099</v>
      </c>
      <c r="J4429">
        <v>1001</v>
      </c>
      <c r="K4429">
        <v>5058</v>
      </c>
      <c r="L4429" s="3">
        <v>73920.350000000006</v>
      </c>
      <c r="M4429" s="3">
        <v>6900</v>
      </c>
      <c r="N4429">
        <v>0</v>
      </c>
      <c r="O4429">
        <v>0</v>
      </c>
      <c r="P4429">
        <v>80820.350000000006</v>
      </c>
      <c r="Q4429" t="s">
        <v>30</v>
      </c>
      <c r="R4429" t="s">
        <v>225</v>
      </c>
      <c r="S4429" t="str">
        <v>#N/A</v>
      </c>
      <c r="T4429" t="str">
        <v>31</v>
      </c>
    </row>
    <row r="4430" spans="1:20" ht="13.7" customHeight="1" x14ac:dyDescent="0.25">
      <c r="A4430" t="s">
        <v>26</v>
      </c>
      <c r="B4430" t="s">
        <v>27</v>
      </c>
      <c r="C4430" t="s">
        <v>39</v>
      </c>
      <c r="D4430">
        <v>60</v>
      </c>
      <c r="E4430" s="5">
        <v>43736</v>
      </c>
      <c r="F4430">
        <v>73159502</v>
      </c>
      <c r="G4430" t="s">
        <v>1076</v>
      </c>
      <c r="H4430" t="s">
        <v>1098</v>
      </c>
      <c r="I4430" t="s">
        <v>1099</v>
      </c>
      <c r="J4430">
        <v>1001</v>
      </c>
      <c r="K4430">
        <v>5058</v>
      </c>
      <c r="L4430" s="3">
        <v>80820.350000000006</v>
      </c>
      <c r="M4430" s="3">
        <v>6900</v>
      </c>
      <c r="N4430">
        <v>0</v>
      </c>
      <c r="O4430">
        <v>0</v>
      </c>
      <c r="P4430">
        <v>87720.35</v>
      </c>
      <c r="Q4430" t="s">
        <v>30</v>
      </c>
      <c r="R4430" t="s">
        <v>225</v>
      </c>
      <c r="S4430" t="str">
        <v>#N/A</v>
      </c>
      <c r="T4430" t="str">
        <v>31</v>
      </c>
    </row>
    <row r="4431" spans="1:20" ht="13.7" customHeight="1" x14ac:dyDescent="0.25">
      <c r="A4431" t="s">
        <v>26</v>
      </c>
      <c r="B4431" t="s">
        <v>27</v>
      </c>
      <c r="C4431" t="s">
        <v>40</v>
      </c>
      <c r="D4431">
        <v>30</v>
      </c>
      <c r="E4431" s="5">
        <v>43756</v>
      </c>
      <c r="F4431">
        <v>73159502</v>
      </c>
      <c r="G4431" t="s">
        <v>1076</v>
      </c>
      <c r="H4431" t="s">
        <v>1098</v>
      </c>
      <c r="I4431" t="s">
        <v>1099</v>
      </c>
      <c r="J4431">
        <v>1001</v>
      </c>
      <c r="K4431">
        <v>5058</v>
      </c>
      <c r="L4431" s="3">
        <v>87720.35</v>
      </c>
      <c r="M4431" s="3">
        <v>6900</v>
      </c>
      <c r="N4431">
        <v>0</v>
      </c>
      <c r="O4431">
        <v>0</v>
      </c>
      <c r="P4431">
        <v>94620.35</v>
      </c>
      <c r="Q4431" t="s">
        <v>30</v>
      </c>
      <c r="R4431" t="s">
        <v>225</v>
      </c>
      <c r="S4431" t="str">
        <v>#N/A</v>
      </c>
      <c r="T4431" t="str">
        <v>31</v>
      </c>
    </row>
    <row r="4432" spans="1:20" ht="13.7" customHeight="1" x14ac:dyDescent="0.25">
      <c r="A4432" t="s">
        <v>26</v>
      </c>
      <c r="B4432" t="s">
        <v>27</v>
      </c>
      <c r="C4432" t="s">
        <v>41</v>
      </c>
      <c r="D4432">
        <v>62</v>
      </c>
      <c r="E4432" s="5">
        <v>43794</v>
      </c>
      <c r="F4432">
        <v>73159502</v>
      </c>
      <c r="G4432" t="s">
        <v>1076</v>
      </c>
      <c r="H4432" t="s">
        <v>1098</v>
      </c>
      <c r="I4432" t="s">
        <v>1099</v>
      </c>
      <c r="J4432">
        <v>1001</v>
      </c>
      <c r="K4432">
        <v>5058</v>
      </c>
      <c r="L4432" s="3">
        <v>94620.35</v>
      </c>
      <c r="M4432" s="3">
        <v>6900</v>
      </c>
      <c r="N4432">
        <v>0</v>
      </c>
      <c r="O4432">
        <v>0</v>
      </c>
      <c r="P4432">
        <v>101520.35</v>
      </c>
      <c r="Q4432" t="s">
        <v>30</v>
      </c>
      <c r="R4432" t="s">
        <v>225</v>
      </c>
      <c r="S4432" t="str">
        <v>#N/A</v>
      </c>
      <c r="T4432" t="str">
        <v>31</v>
      </c>
    </row>
    <row r="4433" spans="1:20" ht="13.7" customHeight="1" x14ac:dyDescent="0.25">
      <c r="E4433" s="5">
        <v>43465</v>
      </c>
      <c r="F4433">
        <v>73159503</v>
      </c>
      <c r="G4433" t="s">
        <v>1077</v>
      </c>
      <c r="H4433" t="s">
        <v>1098</v>
      </c>
      <c r="I4433" t="s">
        <v>1099</v>
      </c>
      <c r="J4433">
        <v>0</v>
      </c>
      <c r="K4433">
        <v>0</v>
      </c>
      <c r="L4433" s="3">
        <v>0</v>
      </c>
      <c r="M4433" s="3">
        <v>0</v>
      </c>
      <c r="N4433">
        <v>0</v>
      </c>
      <c r="O4433">
        <v>0</v>
      </c>
      <c r="P4433">
        <v>0</v>
      </c>
      <c r="R4433" t="s">
        <v>1100</v>
      </c>
      <c r="S4433" t="str">
        <v>#N/A</v>
      </c>
      <c r="T4433" t="str">
        <v>31</v>
      </c>
    </row>
    <row r="4434" spans="1:20" ht="13.7" customHeight="1" x14ac:dyDescent="0.25">
      <c r="A4434" t="s">
        <v>26</v>
      </c>
      <c r="B4434" t="s">
        <v>27</v>
      </c>
      <c r="C4434" t="s">
        <v>41</v>
      </c>
      <c r="D4434">
        <v>46</v>
      </c>
      <c r="E4434" s="5">
        <v>43787</v>
      </c>
      <c r="F4434">
        <v>73159503</v>
      </c>
      <c r="G4434" t="s">
        <v>1077</v>
      </c>
      <c r="H4434" t="s">
        <v>1098</v>
      </c>
      <c r="I4434" t="s">
        <v>1099</v>
      </c>
      <c r="J4434">
        <v>1001</v>
      </c>
      <c r="K4434">
        <v>5058</v>
      </c>
      <c r="L4434" s="3">
        <v>0</v>
      </c>
      <c r="M4434" s="3">
        <v>940</v>
      </c>
      <c r="N4434">
        <v>0</v>
      </c>
      <c r="O4434">
        <v>0</v>
      </c>
      <c r="P4434">
        <v>940</v>
      </c>
      <c r="Q4434" t="s">
        <v>30</v>
      </c>
      <c r="R4434" t="s">
        <v>42</v>
      </c>
      <c r="S4434" t="str">
        <v>#N/A</v>
      </c>
      <c r="T4434" t="str">
        <v>31</v>
      </c>
    </row>
    <row r="4435" spans="1:20" ht="13.7" customHeight="1" x14ac:dyDescent="0.25">
      <c r="E4435" s="5">
        <v>43465</v>
      </c>
      <c r="F4435">
        <v>73201005</v>
      </c>
      <c r="G4435" t="s">
        <v>1078</v>
      </c>
      <c r="H4435" t="s">
        <v>1119</v>
      </c>
      <c r="I4435" t="s">
        <v>1120</v>
      </c>
      <c r="J4435">
        <v>0</v>
      </c>
      <c r="K4435">
        <v>0</v>
      </c>
      <c r="L4435" s="3">
        <v>10270000</v>
      </c>
      <c r="M4435" s="3">
        <v>0</v>
      </c>
      <c r="N4435">
        <v>0</v>
      </c>
      <c r="O4435">
        <v>0</v>
      </c>
      <c r="P4435">
        <v>10270000</v>
      </c>
      <c r="R4435" t="s">
        <v>1100</v>
      </c>
      <c r="S4435" t="str">
        <v>#N/A</v>
      </c>
      <c r="T4435" t="str">
        <v>13</v>
      </c>
    </row>
    <row r="4436" spans="1:20" ht="13.7" customHeight="1" x14ac:dyDescent="0.25">
      <c r="A4436" t="s">
        <v>26</v>
      </c>
      <c r="B4436" t="s">
        <v>27</v>
      </c>
      <c r="C4436" t="s">
        <v>28</v>
      </c>
      <c r="D4436">
        <v>74</v>
      </c>
      <c r="E4436" s="5">
        <v>43493</v>
      </c>
      <c r="F4436">
        <v>73201005</v>
      </c>
      <c r="G4436" t="s">
        <v>1078</v>
      </c>
      <c r="H4436" t="s">
        <v>1119</v>
      </c>
      <c r="I4436" t="s">
        <v>1120</v>
      </c>
      <c r="J4436">
        <v>1001</v>
      </c>
      <c r="K4436">
        <v>5005</v>
      </c>
      <c r="L4436" s="3">
        <v>10270000</v>
      </c>
      <c r="M4436" s="3">
        <v>904680</v>
      </c>
      <c r="N4436">
        <v>0</v>
      </c>
      <c r="O4436">
        <v>0</v>
      </c>
      <c r="P4436">
        <v>11174680</v>
      </c>
      <c r="Q4436" t="s">
        <v>30</v>
      </c>
      <c r="R4436" t="s">
        <v>86</v>
      </c>
      <c r="S4436" t="str">
        <v>#N/A</v>
      </c>
      <c r="T4436" t="str">
        <v>13</v>
      </c>
    </row>
    <row r="4437" spans="1:20" ht="13.7" customHeight="1" x14ac:dyDescent="0.25">
      <c r="A4437" t="s">
        <v>26</v>
      </c>
      <c r="B4437" t="s">
        <v>27</v>
      </c>
      <c r="C4437" t="s">
        <v>32</v>
      </c>
      <c r="D4437">
        <v>51</v>
      </c>
      <c r="E4437" s="5">
        <v>43521</v>
      </c>
      <c r="F4437">
        <v>73201005</v>
      </c>
      <c r="G4437" t="s">
        <v>1078</v>
      </c>
      <c r="H4437" t="s">
        <v>1119</v>
      </c>
      <c r="I4437" t="s">
        <v>1120</v>
      </c>
      <c r="J4437">
        <v>1001</v>
      </c>
      <c r="K4437">
        <v>5005</v>
      </c>
      <c r="L4437" s="3">
        <v>11174680</v>
      </c>
      <c r="M4437" s="3">
        <v>840000</v>
      </c>
      <c r="N4437">
        <v>0</v>
      </c>
      <c r="O4437">
        <v>0</v>
      </c>
      <c r="P4437">
        <v>12014680</v>
      </c>
      <c r="Q4437" t="s">
        <v>30</v>
      </c>
      <c r="R4437" t="s">
        <v>86</v>
      </c>
      <c r="S4437" t="str">
        <v>#N/A</v>
      </c>
      <c r="T4437" t="str">
        <v>13</v>
      </c>
    </row>
    <row r="4438" spans="1:20" ht="13.7" customHeight="1" x14ac:dyDescent="0.25">
      <c r="A4438" t="s">
        <v>26</v>
      </c>
      <c r="B4438" t="s">
        <v>27</v>
      </c>
      <c r="C4438" t="s">
        <v>91</v>
      </c>
      <c r="D4438">
        <v>58</v>
      </c>
      <c r="E4438" s="5">
        <v>43550</v>
      </c>
      <c r="F4438">
        <v>73201005</v>
      </c>
      <c r="G4438" t="s">
        <v>1078</v>
      </c>
      <c r="H4438" t="s">
        <v>1119</v>
      </c>
      <c r="I4438" t="s">
        <v>1120</v>
      </c>
      <c r="J4438">
        <v>1001</v>
      </c>
      <c r="K4438">
        <v>5005</v>
      </c>
      <c r="L4438" s="3">
        <v>12014680</v>
      </c>
      <c r="M4438" s="3">
        <v>840000</v>
      </c>
      <c r="N4438">
        <v>0</v>
      </c>
      <c r="O4438">
        <v>0</v>
      </c>
      <c r="P4438">
        <v>12854680</v>
      </c>
      <c r="Q4438" t="s">
        <v>30</v>
      </c>
      <c r="R4438" t="s">
        <v>245</v>
      </c>
      <c r="S4438" t="str">
        <v>#N/A</v>
      </c>
      <c r="T4438" t="str">
        <v>13</v>
      </c>
    </row>
    <row r="4439" spans="1:20" ht="13.7" customHeight="1" x14ac:dyDescent="0.25">
      <c r="A4439" t="s">
        <v>26</v>
      </c>
      <c r="B4439" t="s">
        <v>27</v>
      </c>
      <c r="C4439" t="s">
        <v>34</v>
      </c>
      <c r="D4439">
        <v>53</v>
      </c>
      <c r="E4439" s="5">
        <v>43578</v>
      </c>
      <c r="F4439">
        <v>73201005</v>
      </c>
      <c r="G4439" t="s">
        <v>1078</v>
      </c>
      <c r="H4439" t="s">
        <v>1119</v>
      </c>
      <c r="I4439" t="s">
        <v>1120</v>
      </c>
      <c r="J4439">
        <v>1001</v>
      </c>
      <c r="K4439">
        <v>5005</v>
      </c>
      <c r="L4439" s="3">
        <v>12854680</v>
      </c>
      <c r="M4439" s="3">
        <v>873600</v>
      </c>
      <c r="N4439">
        <v>0</v>
      </c>
      <c r="O4439">
        <v>0</v>
      </c>
      <c r="P4439">
        <v>13728280</v>
      </c>
      <c r="Q4439" t="s">
        <v>30</v>
      </c>
      <c r="R4439" t="s">
        <v>86</v>
      </c>
      <c r="S4439" t="str">
        <v>#N/A</v>
      </c>
      <c r="T4439" t="str">
        <v>13</v>
      </c>
    </row>
    <row r="4440" spans="1:20" ht="13.7" customHeight="1" x14ac:dyDescent="0.25">
      <c r="A4440" t="s">
        <v>26</v>
      </c>
      <c r="B4440" t="s">
        <v>27</v>
      </c>
      <c r="C4440" t="s">
        <v>35</v>
      </c>
      <c r="D4440">
        <v>5</v>
      </c>
      <c r="E4440" s="5">
        <v>43612</v>
      </c>
      <c r="F4440">
        <v>73201005</v>
      </c>
      <c r="G4440" t="s">
        <v>1078</v>
      </c>
      <c r="H4440" t="s">
        <v>1119</v>
      </c>
      <c r="I4440" t="s">
        <v>1120</v>
      </c>
      <c r="J4440">
        <v>1001</v>
      </c>
      <c r="K4440">
        <v>5005</v>
      </c>
      <c r="L4440" s="3">
        <v>13728280</v>
      </c>
      <c r="M4440" s="3">
        <v>840000</v>
      </c>
      <c r="N4440">
        <v>0</v>
      </c>
      <c r="O4440">
        <v>0</v>
      </c>
      <c r="P4440">
        <v>14568280</v>
      </c>
      <c r="Q4440" t="s">
        <v>30</v>
      </c>
      <c r="R4440" t="s">
        <v>86</v>
      </c>
      <c r="S4440" t="str">
        <v>#N/A</v>
      </c>
      <c r="T4440" t="str">
        <v>13</v>
      </c>
    </row>
    <row r="4441" spans="1:20" ht="13.7" customHeight="1" x14ac:dyDescent="0.25">
      <c r="A4441" t="s">
        <v>26</v>
      </c>
      <c r="B4441" t="s">
        <v>27</v>
      </c>
      <c r="C4441" t="s">
        <v>36</v>
      </c>
      <c r="D4441">
        <v>55</v>
      </c>
      <c r="E4441" s="5">
        <v>43642</v>
      </c>
      <c r="F4441">
        <v>73201005</v>
      </c>
      <c r="G4441" t="s">
        <v>1078</v>
      </c>
      <c r="H4441" t="s">
        <v>1119</v>
      </c>
      <c r="I4441" t="s">
        <v>1120</v>
      </c>
      <c r="J4441">
        <v>1001</v>
      </c>
      <c r="K4441">
        <v>5005</v>
      </c>
      <c r="L4441" s="3">
        <v>14568280</v>
      </c>
      <c r="M4441" s="3">
        <v>840000</v>
      </c>
      <c r="N4441">
        <v>0</v>
      </c>
      <c r="O4441">
        <v>0</v>
      </c>
      <c r="P4441">
        <v>15408280</v>
      </c>
      <c r="Q4441" t="s">
        <v>30</v>
      </c>
      <c r="R4441" t="s">
        <v>86</v>
      </c>
      <c r="S4441" t="str">
        <v>#N/A</v>
      </c>
      <c r="T4441" t="str">
        <v>13</v>
      </c>
    </row>
    <row r="4442" spans="1:20" ht="13.7" customHeight="1" x14ac:dyDescent="0.25">
      <c r="A4442" t="s">
        <v>26</v>
      </c>
      <c r="B4442" t="s">
        <v>27</v>
      </c>
      <c r="C4442" t="s">
        <v>37</v>
      </c>
      <c r="D4442">
        <v>50</v>
      </c>
      <c r="E4442" s="5">
        <v>43668</v>
      </c>
      <c r="F4442">
        <v>73201005</v>
      </c>
      <c r="G4442" t="s">
        <v>1078</v>
      </c>
      <c r="H4442" t="s">
        <v>1119</v>
      </c>
      <c r="I4442" t="s">
        <v>1120</v>
      </c>
      <c r="J4442">
        <v>1001</v>
      </c>
      <c r="K4442">
        <v>5005</v>
      </c>
      <c r="L4442" s="3">
        <v>15408280</v>
      </c>
      <c r="M4442" s="3">
        <v>840000</v>
      </c>
      <c r="N4442">
        <v>0</v>
      </c>
      <c r="O4442">
        <v>0</v>
      </c>
      <c r="P4442">
        <v>16248280</v>
      </c>
      <c r="Q4442" t="s">
        <v>30</v>
      </c>
      <c r="R4442" t="s">
        <v>86</v>
      </c>
      <c r="S4442" t="str">
        <v>#N/A</v>
      </c>
      <c r="T4442" t="str">
        <v>13</v>
      </c>
    </row>
    <row r="4443" spans="1:20" ht="13.7" customHeight="1" x14ac:dyDescent="0.25">
      <c r="A4443" t="s">
        <v>26</v>
      </c>
      <c r="B4443" t="s">
        <v>27</v>
      </c>
      <c r="C4443" t="s">
        <v>38</v>
      </c>
      <c r="D4443">
        <v>48</v>
      </c>
      <c r="E4443" s="5">
        <v>43704</v>
      </c>
      <c r="F4443">
        <v>73201005</v>
      </c>
      <c r="G4443" t="s">
        <v>1078</v>
      </c>
      <c r="H4443" t="s">
        <v>1119</v>
      </c>
      <c r="I4443" t="s">
        <v>1120</v>
      </c>
      <c r="J4443">
        <v>1001</v>
      </c>
      <c r="K4443">
        <v>5005</v>
      </c>
      <c r="L4443" s="3">
        <v>16248280</v>
      </c>
      <c r="M4443" s="3">
        <v>840000</v>
      </c>
      <c r="N4443">
        <v>0</v>
      </c>
      <c r="O4443">
        <v>0</v>
      </c>
      <c r="P4443">
        <v>17088280</v>
      </c>
      <c r="Q4443" t="s">
        <v>30</v>
      </c>
      <c r="R4443" t="s">
        <v>86</v>
      </c>
      <c r="S4443" t="str">
        <v>#N/A</v>
      </c>
      <c r="T4443" t="str">
        <v>13</v>
      </c>
    </row>
    <row r="4444" spans="1:20" ht="13.7" customHeight="1" x14ac:dyDescent="0.25">
      <c r="A4444" t="s">
        <v>26</v>
      </c>
      <c r="B4444" t="s">
        <v>27</v>
      </c>
      <c r="C4444" t="s">
        <v>39</v>
      </c>
      <c r="D4444">
        <v>58</v>
      </c>
      <c r="E4444" s="5">
        <v>43736</v>
      </c>
      <c r="F4444">
        <v>73201005</v>
      </c>
      <c r="G4444" t="s">
        <v>1078</v>
      </c>
      <c r="H4444" t="s">
        <v>1119</v>
      </c>
      <c r="I4444" t="s">
        <v>1120</v>
      </c>
      <c r="J4444">
        <v>1001</v>
      </c>
      <c r="K4444">
        <v>5005</v>
      </c>
      <c r="L4444" s="3">
        <v>17088280</v>
      </c>
      <c r="M4444" s="3">
        <v>840000</v>
      </c>
      <c r="N4444">
        <v>0</v>
      </c>
      <c r="O4444">
        <v>0</v>
      </c>
      <c r="P4444">
        <v>17928280</v>
      </c>
      <c r="Q4444" t="s">
        <v>30</v>
      </c>
      <c r="R4444" t="s">
        <v>86</v>
      </c>
      <c r="S4444" t="str">
        <v>#N/A</v>
      </c>
      <c r="T4444" t="str">
        <v>13</v>
      </c>
    </row>
    <row r="4445" spans="1:20" ht="13.7" customHeight="1" x14ac:dyDescent="0.25">
      <c r="A4445" t="s">
        <v>26</v>
      </c>
      <c r="B4445" t="s">
        <v>27</v>
      </c>
      <c r="C4445" t="s">
        <v>40</v>
      </c>
      <c r="D4445">
        <v>43</v>
      </c>
      <c r="E4445" s="5">
        <v>43759</v>
      </c>
      <c r="F4445">
        <v>73201005</v>
      </c>
      <c r="G4445" t="s">
        <v>1078</v>
      </c>
      <c r="H4445" t="s">
        <v>1119</v>
      </c>
      <c r="I4445" t="s">
        <v>1120</v>
      </c>
      <c r="J4445">
        <v>1001</v>
      </c>
      <c r="K4445">
        <v>5005</v>
      </c>
      <c r="L4445" s="3">
        <v>17928280</v>
      </c>
      <c r="M4445" s="3">
        <v>840000</v>
      </c>
      <c r="N4445">
        <v>0</v>
      </c>
      <c r="O4445">
        <v>0</v>
      </c>
      <c r="P4445">
        <v>18768280</v>
      </c>
      <c r="Q4445" t="s">
        <v>30</v>
      </c>
      <c r="R4445" t="s">
        <v>86</v>
      </c>
      <c r="S4445" t="str">
        <v>#N/A</v>
      </c>
      <c r="T4445" t="str">
        <v>13</v>
      </c>
    </row>
    <row r="4446" spans="1:20" ht="13.7" customHeight="1" x14ac:dyDescent="0.25">
      <c r="A4446" t="s">
        <v>26</v>
      </c>
      <c r="B4446" t="s">
        <v>27</v>
      </c>
      <c r="C4446" t="s">
        <v>41</v>
      </c>
      <c r="D4446">
        <v>56</v>
      </c>
      <c r="E4446" s="5">
        <v>43792</v>
      </c>
      <c r="F4446">
        <v>73201005</v>
      </c>
      <c r="G4446" t="s">
        <v>1078</v>
      </c>
      <c r="H4446" t="s">
        <v>1119</v>
      </c>
      <c r="I4446" t="s">
        <v>1120</v>
      </c>
      <c r="J4446">
        <v>1001</v>
      </c>
      <c r="K4446">
        <v>5005</v>
      </c>
      <c r="L4446" s="3">
        <v>18768280</v>
      </c>
      <c r="M4446" s="3">
        <v>840000</v>
      </c>
      <c r="N4446">
        <v>0</v>
      </c>
      <c r="O4446">
        <v>0</v>
      </c>
      <c r="P4446">
        <v>19608280</v>
      </c>
      <c r="Q4446" t="s">
        <v>30</v>
      </c>
      <c r="R4446" t="s">
        <v>86</v>
      </c>
      <c r="S4446" t="str">
        <v>#N/A</v>
      </c>
      <c r="T4446" t="str">
        <v>13</v>
      </c>
    </row>
    <row r="4447" spans="1:20" ht="13.7" customHeight="1" x14ac:dyDescent="0.25">
      <c r="A4447" t="s">
        <v>26</v>
      </c>
      <c r="B4447" t="s">
        <v>27</v>
      </c>
      <c r="C4447" t="s">
        <v>180</v>
      </c>
      <c r="D4447">
        <v>88</v>
      </c>
      <c r="E4447" s="5">
        <v>43829</v>
      </c>
      <c r="F4447">
        <v>73201005</v>
      </c>
      <c r="G4447" t="s">
        <v>1078</v>
      </c>
      <c r="H4447" t="s">
        <v>1119</v>
      </c>
      <c r="I4447" t="s">
        <v>1120</v>
      </c>
      <c r="J4447">
        <v>1001</v>
      </c>
      <c r="K4447">
        <v>5005</v>
      </c>
      <c r="L4447" s="3">
        <v>19608280</v>
      </c>
      <c r="M4447" s="3">
        <v>840000</v>
      </c>
      <c r="N4447">
        <v>0</v>
      </c>
      <c r="O4447">
        <v>0</v>
      </c>
      <c r="P4447">
        <v>20448280</v>
      </c>
      <c r="Q4447" t="s">
        <v>30</v>
      </c>
      <c r="R4447" t="s">
        <v>647</v>
      </c>
      <c r="S4447" t="str">
        <v>#N/A</v>
      </c>
      <c r="T4447" t="str">
        <v>13</v>
      </c>
    </row>
    <row r="4448" spans="1:20" ht="13.7" customHeight="1" x14ac:dyDescent="0.25">
      <c r="E4448" s="5">
        <v>43465</v>
      </c>
      <c r="F4448">
        <v>73201005</v>
      </c>
      <c r="G4448" t="s">
        <v>1078</v>
      </c>
      <c r="H4448" t="s">
        <v>1425</v>
      </c>
      <c r="I4448" t="s">
        <v>1426</v>
      </c>
      <c r="J4448">
        <v>0</v>
      </c>
      <c r="K4448">
        <v>0</v>
      </c>
      <c r="L4448" s="3">
        <v>0</v>
      </c>
      <c r="M4448" s="3">
        <v>0</v>
      </c>
      <c r="N4448">
        <v>0</v>
      </c>
      <c r="O4448">
        <v>0</v>
      </c>
      <c r="P4448">
        <v>0</v>
      </c>
      <c r="R4448" t="s">
        <v>1100</v>
      </c>
      <c r="S4448" t="str">
        <v>#N/A</v>
      </c>
      <c r="T4448" t="str">
        <v>#N/A</v>
      </c>
    </row>
    <row r="4449" spans="1:20" ht="13.7" customHeight="1" x14ac:dyDescent="0.25">
      <c r="A4449" t="s">
        <v>26</v>
      </c>
      <c r="B4449" t="s">
        <v>27</v>
      </c>
      <c r="C4449" t="s">
        <v>39</v>
      </c>
      <c r="D4449">
        <v>1</v>
      </c>
      <c r="E4449" s="5">
        <v>43708</v>
      </c>
      <c r="F4449">
        <v>73201005</v>
      </c>
      <c r="G4449" t="s">
        <v>1078</v>
      </c>
      <c r="H4449" t="s">
        <v>1425</v>
      </c>
      <c r="I4449" t="s">
        <v>1426</v>
      </c>
      <c r="J4449">
        <v>1001</v>
      </c>
      <c r="K4449">
        <v>5005</v>
      </c>
      <c r="L4449" s="3">
        <v>0</v>
      </c>
      <c r="M4449" s="3">
        <v>1729721</v>
      </c>
      <c r="N4449">
        <v>0</v>
      </c>
      <c r="O4449">
        <v>0</v>
      </c>
      <c r="P4449">
        <v>1729721</v>
      </c>
      <c r="Q4449" t="s">
        <v>30</v>
      </c>
      <c r="R4449" t="s">
        <v>562</v>
      </c>
      <c r="S4449" t="str">
        <v>#N/A</v>
      </c>
      <c r="T4449" t="str">
        <v>#N/A</v>
      </c>
    </row>
    <row r="4450" spans="1:20" ht="13.7" customHeight="1" x14ac:dyDescent="0.25">
      <c r="A4450" t="s">
        <v>26</v>
      </c>
      <c r="B4450" t="s">
        <v>27</v>
      </c>
      <c r="C4450" t="s">
        <v>39</v>
      </c>
      <c r="D4450">
        <v>44</v>
      </c>
      <c r="E4450" s="5">
        <v>43729</v>
      </c>
      <c r="F4450">
        <v>73201005</v>
      </c>
      <c r="G4450" t="s">
        <v>1078</v>
      </c>
      <c r="H4450" t="s">
        <v>1425</v>
      </c>
      <c r="I4450" t="s">
        <v>1426</v>
      </c>
      <c r="J4450">
        <v>1001</v>
      </c>
      <c r="K4450">
        <v>5005</v>
      </c>
      <c r="L4450" s="3">
        <v>1729721</v>
      </c>
      <c r="M4450" s="3">
        <v>153385</v>
      </c>
      <c r="N4450">
        <v>0</v>
      </c>
      <c r="O4450">
        <v>0</v>
      </c>
      <c r="P4450">
        <v>1883106</v>
      </c>
      <c r="Q4450" t="s">
        <v>30</v>
      </c>
      <c r="R4450" t="s">
        <v>567</v>
      </c>
      <c r="S4450" t="str">
        <v>#N/A</v>
      </c>
      <c r="T4450" t="str">
        <v>#N/A</v>
      </c>
    </row>
    <row r="4451" spans="1:20" ht="13.7" customHeight="1" x14ac:dyDescent="0.25">
      <c r="E4451" s="5">
        <v>43465</v>
      </c>
      <c r="F4451">
        <v>73350501</v>
      </c>
      <c r="G4451" t="s">
        <v>1079</v>
      </c>
      <c r="H4451">
        <v>890399003</v>
      </c>
      <c r="I4451" t="s">
        <v>1819</v>
      </c>
      <c r="J4451">
        <v>0</v>
      </c>
      <c r="K4451">
        <v>0</v>
      </c>
      <c r="L4451" s="3">
        <v>923195</v>
      </c>
      <c r="M4451" s="3">
        <v>0</v>
      </c>
      <c r="N4451">
        <v>0</v>
      </c>
      <c r="O4451">
        <v>0</v>
      </c>
      <c r="P4451">
        <v>923195</v>
      </c>
      <c r="R4451" t="s">
        <v>1100</v>
      </c>
      <c r="S4451">
        <v>31</v>
      </c>
      <c r="T4451" t="str">
        <v>#N/A</v>
      </c>
    </row>
    <row r="4452" spans="1:20" ht="13.7" customHeight="1" x14ac:dyDescent="0.25">
      <c r="A4452" t="s">
        <v>26</v>
      </c>
      <c r="B4452" t="s">
        <v>27</v>
      </c>
      <c r="C4452" t="s">
        <v>28</v>
      </c>
      <c r="D4452">
        <v>72</v>
      </c>
      <c r="E4452" s="5">
        <v>43493</v>
      </c>
      <c r="F4452">
        <v>73350501</v>
      </c>
      <c r="G4452" t="s">
        <v>1079</v>
      </c>
      <c r="H4452">
        <v>890399003</v>
      </c>
      <c r="I4452" t="s">
        <v>1819</v>
      </c>
      <c r="J4452">
        <v>1001</v>
      </c>
      <c r="K4452">
        <v>5004</v>
      </c>
      <c r="L4452" s="3">
        <v>923195</v>
      </c>
      <c r="M4452" s="3">
        <v>53284</v>
      </c>
      <c r="N4452">
        <v>0</v>
      </c>
      <c r="O4452">
        <v>0</v>
      </c>
      <c r="P4452">
        <v>976479</v>
      </c>
      <c r="Q4452" t="s">
        <v>30</v>
      </c>
      <c r="R4452" t="s">
        <v>31</v>
      </c>
      <c r="S4452">
        <v>31</v>
      </c>
      <c r="T4452" t="str">
        <v>#N/A</v>
      </c>
    </row>
    <row r="4453" spans="1:20" ht="13.7" customHeight="1" x14ac:dyDescent="0.25">
      <c r="A4453" t="s">
        <v>26</v>
      </c>
      <c r="B4453" t="s">
        <v>27</v>
      </c>
      <c r="C4453" t="s">
        <v>32</v>
      </c>
      <c r="D4453">
        <v>44</v>
      </c>
      <c r="E4453" s="5">
        <v>43519</v>
      </c>
      <c r="F4453">
        <v>73350501</v>
      </c>
      <c r="G4453" t="s">
        <v>1079</v>
      </c>
      <c r="H4453">
        <v>890399003</v>
      </c>
      <c r="I4453" t="s">
        <v>1819</v>
      </c>
      <c r="J4453">
        <v>1001</v>
      </c>
      <c r="K4453">
        <v>5004</v>
      </c>
      <c r="L4453" s="3">
        <v>976479</v>
      </c>
      <c r="M4453" s="3">
        <v>54910</v>
      </c>
      <c r="N4453">
        <v>0</v>
      </c>
      <c r="O4453">
        <v>0</v>
      </c>
      <c r="P4453">
        <v>1031389</v>
      </c>
      <c r="Q4453" t="s">
        <v>30</v>
      </c>
      <c r="R4453" t="s">
        <v>33</v>
      </c>
      <c r="S4453">
        <v>31</v>
      </c>
      <c r="T4453" t="str">
        <v>#N/A</v>
      </c>
    </row>
    <row r="4454" spans="1:20" ht="13.7" customHeight="1" x14ac:dyDescent="0.25">
      <c r="A4454" t="s">
        <v>26</v>
      </c>
      <c r="B4454" t="s">
        <v>27</v>
      </c>
      <c r="C4454" t="s">
        <v>34</v>
      </c>
      <c r="D4454">
        <v>52</v>
      </c>
      <c r="E4454" s="5">
        <v>43578</v>
      </c>
      <c r="F4454">
        <v>73350501</v>
      </c>
      <c r="G4454" t="s">
        <v>1079</v>
      </c>
      <c r="H4454">
        <v>890399003</v>
      </c>
      <c r="I4454" t="s">
        <v>1819</v>
      </c>
      <c r="J4454">
        <v>1001</v>
      </c>
      <c r="K4454">
        <v>5004</v>
      </c>
      <c r="L4454" s="3">
        <v>1031389</v>
      </c>
      <c r="M4454" s="3">
        <v>53767</v>
      </c>
      <c r="N4454">
        <v>0</v>
      </c>
      <c r="O4454">
        <v>0</v>
      </c>
      <c r="P4454">
        <v>1085156</v>
      </c>
      <c r="Q4454" t="s">
        <v>30</v>
      </c>
      <c r="R4454" t="s">
        <v>31</v>
      </c>
      <c r="S4454">
        <v>31</v>
      </c>
      <c r="T4454" t="str">
        <v>#N/A</v>
      </c>
    </row>
    <row r="4455" spans="1:20" ht="13.7" customHeight="1" x14ac:dyDescent="0.25">
      <c r="A4455" t="s">
        <v>26</v>
      </c>
      <c r="B4455" t="s">
        <v>27</v>
      </c>
      <c r="C4455" t="s">
        <v>35</v>
      </c>
      <c r="D4455">
        <v>68</v>
      </c>
      <c r="E4455" s="5">
        <v>43606</v>
      </c>
      <c r="F4455">
        <v>73350501</v>
      </c>
      <c r="G4455" t="s">
        <v>1079</v>
      </c>
      <c r="H4455">
        <v>890399003</v>
      </c>
      <c r="I4455" t="s">
        <v>1819</v>
      </c>
      <c r="J4455">
        <v>1001</v>
      </c>
      <c r="K4455">
        <v>5004</v>
      </c>
      <c r="L4455" s="3">
        <v>1085156</v>
      </c>
      <c r="M4455" s="3">
        <v>55836</v>
      </c>
      <c r="N4455">
        <v>0</v>
      </c>
      <c r="O4455">
        <v>0</v>
      </c>
      <c r="P4455">
        <v>1140992</v>
      </c>
      <c r="Q4455" t="s">
        <v>30</v>
      </c>
      <c r="R4455" t="s">
        <v>31</v>
      </c>
      <c r="S4455">
        <v>31</v>
      </c>
      <c r="T4455" t="str">
        <v>#N/A</v>
      </c>
    </row>
    <row r="4456" spans="1:20" ht="13.7" customHeight="1" x14ac:dyDescent="0.25">
      <c r="A4456" t="s">
        <v>26</v>
      </c>
      <c r="B4456" t="s">
        <v>27</v>
      </c>
      <c r="C4456" t="s">
        <v>36</v>
      </c>
      <c r="D4456">
        <v>42</v>
      </c>
      <c r="E4456" s="5">
        <v>43636</v>
      </c>
      <c r="F4456">
        <v>73350501</v>
      </c>
      <c r="G4456" t="s">
        <v>1079</v>
      </c>
      <c r="H4456">
        <v>890399003</v>
      </c>
      <c r="I4456" t="s">
        <v>1819</v>
      </c>
      <c r="J4456">
        <v>1001</v>
      </c>
      <c r="K4456">
        <v>5004</v>
      </c>
      <c r="L4456" s="3">
        <v>1140992</v>
      </c>
      <c r="M4456" s="3">
        <v>56703</v>
      </c>
      <c r="N4456">
        <v>0</v>
      </c>
      <c r="O4456">
        <v>0</v>
      </c>
      <c r="P4456">
        <v>1197695</v>
      </c>
      <c r="Q4456" t="s">
        <v>30</v>
      </c>
      <c r="R4456" t="s">
        <v>31</v>
      </c>
      <c r="S4456">
        <v>31</v>
      </c>
      <c r="T4456" t="str">
        <v>#N/A</v>
      </c>
    </row>
    <row r="4457" spans="1:20" ht="13.7" customHeight="1" x14ac:dyDescent="0.25">
      <c r="A4457" t="s">
        <v>26</v>
      </c>
      <c r="B4457" t="s">
        <v>27</v>
      </c>
      <c r="C4457" t="s">
        <v>37</v>
      </c>
      <c r="D4457">
        <v>56</v>
      </c>
      <c r="E4457" s="5">
        <v>43672</v>
      </c>
      <c r="F4457">
        <v>73350501</v>
      </c>
      <c r="G4457" t="s">
        <v>1079</v>
      </c>
      <c r="H4457">
        <v>890399003</v>
      </c>
      <c r="I4457" t="s">
        <v>1819</v>
      </c>
      <c r="J4457">
        <v>1001</v>
      </c>
      <c r="K4457">
        <v>5004</v>
      </c>
      <c r="L4457" s="3">
        <v>1197695</v>
      </c>
      <c r="M4457" s="3">
        <v>57343</v>
      </c>
      <c r="N4457">
        <v>0</v>
      </c>
      <c r="O4457">
        <v>0</v>
      </c>
      <c r="P4457">
        <v>1255038</v>
      </c>
      <c r="Q4457" t="s">
        <v>30</v>
      </c>
      <c r="R4457" t="s">
        <v>31</v>
      </c>
      <c r="S4457">
        <v>31</v>
      </c>
      <c r="T4457" t="str">
        <v>#N/A</v>
      </c>
    </row>
    <row r="4458" spans="1:20" ht="13.7" customHeight="1" x14ac:dyDescent="0.25">
      <c r="A4458" t="s">
        <v>26</v>
      </c>
      <c r="B4458" t="s">
        <v>27</v>
      </c>
      <c r="C4458" t="s">
        <v>38</v>
      </c>
      <c r="D4458">
        <v>49</v>
      </c>
      <c r="E4458" s="5">
        <v>43704</v>
      </c>
      <c r="F4458">
        <v>73350501</v>
      </c>
      <c r="G4458" t="s">
        <v>1079</v>
      </c>
      <c r="H4458">
        <v>890399003</v>
      </c>
      <c r="I4458" t="s">
        <v>1819</v>
      </c>
      <c r="J4458">
        <v>1001</v>
      </c>
      <c r="K4458">
        <v>5004</v>
      </c>
      <c r="L4458" s="3">
        <v>1255038</v>
      </c>
      <c r="M4458" s="3">
        <v>55024</v>
      </c>
      <c r="N4458">
        <v>0</v>
      </c>
      <c r="O4458">
        <v>0</v>
      </c>
      <c r="P4458">
        <v>1310062</v>
      </c>
      <c r="Q4458" t="s">
        <v>30</v>
      </c>
      <c r="R4458" t="s">
        <v>31</v>
      </c>
      <c r="S4458">
        <v>31</v>
      </c>
      <c r="T4458" t="str">
        <v>#N/A</v>
      </c>
    </row>
    <row r="4459" spans="1:20" ht="13.7" customHeight="1" x14ac:dyDescent="0.25">
      <c r="A4459" t="s">
        <v>26</v>
      </c>
      <c r="B4459" t="s">
        <v>27</v>
      </c>
      <c r="C4459" t="s">
        <v>39</v>
      </c>
      <c r="D4459">
        <v>59</v>
      </c>
      <c r="E4459" s="5">
        <v>43736</v>
      </c>
      <c r="F4459">
        <v>73350501</v>
      </c>
      <c r="G4459" t="s">
        <v>1079</v>
      </c>
      <c r="H4459">
        <v>890399003</v>
      </c>
      <c r="I4459" t="s">
        <v>1819</v>
      </c>
      <c r="J4459">
        <v>1001</v>
      </c>
      <c r="K4459">
        <v>5004</v>
      </c>
      <c r="L4459" s="3">
        <v>1310062</v>
      </c>
      <c r="M4459" s="3">
        <v>56875</v>
      </c>
      <c r="N4459">
        <v>0</v>
      </c>
      <c r="O4459">
        <v>0</v>
      </c>
      <c r="P4459">
        <v>1366937</v>
      </c>
      <c r="Q4459" t="s">
        <v>30</v>
      </c>
      <c r="R4459" t="s">
        <v>31</v>
      </c>
      <c r="S4459">
        <v>31</v>
      </c>
      <c r="T4459" t="str">
        <v>#N/A</v>
      </c>
    </row>
    <row r="4460" spans="1:20" ht="13.7" customHeight="1" x14ac:dyDescent="0.25">
      <c r="A4460" t="s">
        <v>26</v>
      </c>
      <c r="B4460" t="s">
        <v>27</v>
      </c>
      <c r="C4460" t="s">
        <v>40</v>
      </c>
      <c r="D4460">
        <v>31</v>
      </c>
      <c r="E4460" s="5">
        <v>43756</v>
      </c>
      <c r="F4460">
        <v>73350501</v>
      </c>
      <c r="G4460" t="s">
        <v>1079</v>
      </c>
      <c r="H4460">
        <v>890399003</v>
      </c>
      <c r="I4460" t="s">
        <v>1819</v>
      </c>
      <c r="J4460">
        <v>1001</v>
      </c>
      <c r="K4460">
        <v>5004</v>
      </c>
      <c r="L4460" s="3">
        <v>1366937</v>
      </c>
      <c r="M4460" s="3">
        <v>56751</v>
      </c>
      <c r="N4460">
        <v>0</v>
      </c>
      <c r="O4460">
        <v>0</v>
      </c>
      <c r="P4460">
        <v>1423688</v>
      </c>
      <c r="Q4460" t="s">
        <v>30</v>
      </c>
      <c r="R4460" t="s">
        <v>31</v>
      </c>
      <c r="S4460">
        <v>31</v>
      </c>
      <c r="T4460" t="str">
        <v>#N/A</v>
      </c>
    </row>
    <row r="4461" spans="1:20" ht="13.7" customHeight="1" x14ac:dyDescent="0.25">
      <c r="A4461" t="s">
        <v>26</v>
      </c>
      <c r="B4461" t="s">
        <v>27</v>
      </c>
      <c r="C4461" t="s">
        <v>41</v>
      </c>
      <c r="D4461">
        <v>46</v>
      </c>
      <c r="E4461" s="5">
        <v>43787</v>
      </c>
      <c r="F4461">
        <v>73350501</v>
      </c>
      <c r="G4461" t="s">
        <v>1079</v>
      </c>
      <c r="H4461">
        <v>890399003</v>
      </c>
      <c r="I4461" t="s">
        <v>1819</v>
      </c>
      <c r="J4461">
        <v>1001</v>
      </c>
      <c r="K4461">
        <v>5004</v>
      </c>
      <c r="L4461" s="3">
        <v>1423688</v>
      </c>
      <c r="M4461" s="3">
        <v>56981</v>
      </c>
      <c r="N4461">
        <v>0</v>
      </c>
      <c r="O4461">
        <v>0</v>
      </c>
      <c r="P4461">
        <v>1480669</v>
      </c>
      <c r="Q4461" t="s">
        <v>30</v>
      </c>
      <c r="R4461" t="s">
        <v>42</v>
      </c>
      <c r="S4461">
        <v>31</v>
      </c>
      <c r="T4461" t="str">
        <v>#N/A</v>
      </c>
    </row>
    <row r="4462" spans="1:20" ht="13.7" customHeight="1" x14ac:dyDescent="0.25">
      <c r="E4462" s="5">
        <v>43465</v>
      </c>
      <c r="F4462">
        <v>73350502</v>
      </c>
      <c r="G4462" t="s">
        <v>1080</v>
      </c>
      <c r="H4462" t="s">
        <v>1237</v>
      </c>
      <c r="I4462" t="s">
        <v>1238</v>
      </c>
      <c r="J4462">
        <v>0</v>
      </c>
      <c r="K4462">
        <v>0</v>
      </c>
      <c r="L4462" s="3">
        <v>1211216</v>
      </c>
      <c r="M4462" s="3">
        <v>0</v>
      </c>
      <c r="N4462">
        <v>0</v>
      </c>
      <c r="O4462">
        <v>0</v>
      </c>
      <c r="P4462">
        <v>1211216</v>
      </c>
      <c r="R4462" t="s">
        <v>1100</v>
      </c>
      <c r="S4462" t="str">
        <v>#N/A</v>
      </c>
      <c r="T4462" t="str">
        <v>31</v>
      </c>
    </row>
    <row r="4463" spans="1:20" ht="13.7" customHeight="1" x14ac:dyDescent="0.25">
      <c r="A4463" t="s">
        <v>26</v>
      </c>
      <c r="B4463" t="s">
        <v>27</v>
      </c>
      <c r="C4463" t="s">
        <v>28</v>
      </c>
      <c r="D4463">
        <v>70</v>
      </c>
      <c r="E4463" s="5">
        <v>43493</v>
      </c>
      <c r="F4463">
        <v>73350502</v>
      </c>
      <c r="G4463" t="s">
        <v>1080</v>
      </c>
      <c r="H4463" t="s">
        <v>1237</v>
      </c>
      <c r="I4463" t="s">
        <v>1238</v>
      </c>
      <c r="J4463">
        <v>1001</v>
      </c>
      <c r="K4463">
        <v>5004</v>
      </c>
      <c r="L4463" s="3">
        <v>1211216</v>
      </c>
      <c r="M4463" s="3">
        <v>104391</v>
      </c>
      <c r="N4463">
        <v>0</v>
      </c>
      <c r="O4463">
        <v>0</v>
      </c>
      <c r="P4463">
        <v>1315607</v>
      </c>
      <c r="Q4463" t="s">
        <v>30</v>
      </c>
      <c r="R4463" t="s">
        <v>203</v>
      </c>
      <c r="S4463" t="str">
        <v>#N/A</v>
      </c>
      <c r="T4463" t="str">
        <v>31</v>
      </c>
    </row>
    <row r="4464" spans="1:20" ht="13.7" customHeight="1" x14ac:dyDescent="0.25">
      <c r="A4464" t="s">
        <v>26</v>
      </c>
      <c r="B4464" t="s">
        <v>27</v>
      </c>
      <c r="C4464" t="s">
        <v>32</v>
      </c>
      <c r="D4464">
        <v>46</v>
      </c>
      <c r="E4464" s="5">
        <v>43519</v>
      </c>
      <c r="F4464">
        <v>73350502</v>
      </c>
      <c r="G4464" t="s">
        <v>1080</v>
      </c>
      <c r="H4464" t="s">
        <v>1237</v>
      </c>
      <c r="I4464" t="s">
        <v>1238</v>
      </c>
      <c r="J4464">
        <v>1001</v>
      </c>
      <c r="K4464">
        <v>5004</v>
      </c>
      <c r="L4464" s="3">
        <v>1315607</v>
      </c>
      <c r="M4464" s="3">
        <v>104391</v>
      </c>
      <c r="N4464">
        <v>0</v>
      </c>
      <c r="O4464">
        <v>0</v>
      </c>
      <c r="P4464">
        <v>1419998</v>
      </c>
      <c r="Q4464" t="s">
        <v>30</v>
      </c>
      <c r="R4464" t="s">
        <v>203</v>
      </c>
      <c r="S4464" t="str">
        <v>#N/A</v>
      </c>
      <c r="T4464" t="str">
        <v>31</v>
      </c>
    </row>
    <row r="4465" spans="1:20" ht="13.7" customHeight="1" x14ac:dyDescent="0.25">
      <c r="A4465" t="s">
        <v>26</v>
      </c>
      <c r="B4465" t="s">
        <v>27</v>
      </c>
      <c r="C4465" t="s">
        <v>91</v>
      </c>
      <c r="D4465">
        <v>38</v>
      </c>
      <c r="E4465" s="5">
        <v>43565</v>
      </c>
      <c r="F4465">
        <v>73350502</v>
      </c>
      <c r="G4465" t="s">
        <v>1080</v>
      </c>
      <c r="H4465" t="s">
        <v>1237</v>
      </c>
      <c r="I4465" t="s">
        <v>1238</v>
      </c>
      <c r="J4465">
        <v>1001</v>
      </c>
      <c r="K4465">
        <v>5004</v>
      </c>
      <c r="L4465" s="3">
        <v>1419998</v>
      </c>
      <c r="M4465" s="3">
        <v>104391</v>
      </c>
      <c r="N4465">
        <v>0</v>
      </c>
      <c r="O4465">
        <v>0</v>
      </c>
      <c r="P4465">
        <v>1524389</v>
      </c>
      <c r="Q4465" t="s">
        <v>30</v>
      </c>
      <c r="R4465" t="s">
        <v>250</v>
      </c>
      <c r="S4465" t="str">
        <v>#N/A</v>
      </c>
      <c r="T4465" t="str">
        <v>31</v>
      </c>
    </row>
    <row r="4466" spans="1:20" ht="13.7" customHeight="1" x14ac:dyDescent="0.25">
      <c r="A4466" t="s">
        <v>26</v>
      </c>
      <c r="B4466" t="s">
        <v>27</v>
      </c>
      <c r="C4466" t="s">
        <v>34</v>
      </c>
      <c r="D4466">
        <v>33</v>
      </c>
      <c r="E4466" s="5">
        <v>43570</v>
      </c>
      <c r="F4466">
        <v>73350502</v>
      </c>
      <c r="G4466" t="s">
        <v>1080</v>
      </c>
      <c r="H4466" t="s">
        <v>1237</v>
      </c>
      <c r="I4466" t="s">
        <v>1238</v>
      </c>
      <c r="J4466">
        <v>1001</v>
      </c>
      <c r="K4466">
        <v>5004</v>
      </c>
      <c r="L4466" s="3">
        <v>1524389</v>
      </c>
      <c r="M4466" s="3">
        <v>104391</v>
      </c>
      <c r="N4466">
        <v>0</v>
      </c>
      <c r="O4466">
        <v>0</v>
      </c>
      <c r="P4466">
        <v>1628780</v>
      </c>
      <c r="Q4466" t="s">
        <v>30</v>
      </c>
      <c r="R4466" t="s">
        <v>203</v>
      </c>
      <c r="S4466" t="str">
        <v>#N/A</v>
      </c>
      <c r="T4466" t="str">
        <v>31</v>
      </c>
    </row>
    <row r="4467" spans="1:20" ht="13.7" customHeight="1" x14ac:dyDescent="0.25">
      <c r="A4467" t="s">
        <v>26</v>
      </c>
      <c r="B4467" t="s">
        <v>27</v>
      </c>
      <c r="C4467" t="s">
        <v>35</v>
      </c>
      <c r="D4467">
        <v>52</v>
      </c>
      <c r="E4467" s="5">
        <v>43601</v>
      </c>
      <c r="F4467">
        <v>73350502</v>
      </c>
      <c r="G4467" t="s">
        <v>1080</v>
      </c>
      <c r="H4467" t="s">
        <v>1237</v>
      </c>
      <c r="I4467" t="s">
        <v>1238</v>
      </c>
      <c r="J4467">
        <v>1001</v>
      </c>
      <c r="K4467">
        <v>5004</v>
      </c>
      <c r="L4467" s="3">
        <v>1628780</v>
      </c>
      <c r="M4467" s="3">
        <v>104391</v>
      </c>
      <c r="N4467">
        <v>0</v>
      </c>
      <c r="O4467">
        <v>0</v>
      </c>
      <c r="P4467">
        <v>1733171</v>
      </c>
      <c r="Q4467" t="s">
        <v>30</v>
      </c>
      <c r="R4467" t="s">
        <v>203</v>
      </c>
      <c r="S4467" t="str">
        <v>#N/A</v>
      </c>
      <c r="T4467" t="str">
        <v>31</v>
      </c>
    </row>
    <row r="4468" spans="1:20" ht="13.7" customHeight="1" x14ac:dyDescent="0.25">
      <c r="A4468" t="s">
        <v>26</v>
      </c>
      <c r="B4468" t="s">
        <v>27</v>
      </c>
      <c r="C4468" t="s">
        <v>36</v>
      </c>
      <c r="D4468">
        <v>41</v>
      </c>
      <c r="E4468" s="5">
        <v>43634</v>
      </c>
      <c r="F4468">
        <v>73350502</v>
      </c>
      <c r="G4468" t="s">
        <v>1080</v>
      </c>
      <c r="H4468" t="s">
        <v>1237</v>
      </c>
      <c r="I4468" t="s">
        <v>1238</v>
      </c>
      <c r="J4468">
        <v>1001</v>
      </c>
      <c r="K4468">
        <v>5004</v>
      </c>
      <c r="L4468" s="3">
        <v>1733171</v>
      </c>
      <c r="M4468" s="3">
        <v>104391</v>
      </c>
      <c r="N4468">
        <v>0</v>
      </c>
      <c r="O4468">
        <v>0</v>
      </c>
      <c r="P4468">
        <v>1837562</v>
      </c>
      <c r="Q4468" t="s">
        <v>30</v>
      </c>
      <c r="R4468" t="s">
        <v>203</v>
      </c>
      <c r="S4468" t="str">
        <v>#N/A</v>
      </c>
      <c r="T4468" t="str">
        <v>31</v>
      </c>
    </row>
    <row r="4469" spans="1:20" ht="13.7" customHeight="1" x14ac:dyDescent="0.25">
      <c r="A4469" t="s">
        <v>26</v>
      </c>
      <c r="B4469" t="s">
        <v>27</v>
      </c>
      <c r="C4469" t="s">
        <v>37</v>
      </c>
      <c r="D4469">
        <v>47</v>
      </c>
      <c r="E4469" s="5">
        <v>43664</v>
      </c>
      <c r="F4469">
        <v>73350502</v>
      </c>
      <c r="G4469" t="s">
        <v>1080</v>
      </c>
      <c r="H4469" t="s">
        <v>1237</v>
      </c>
      <c r="I4469" t="s">
        <v>1238</v>
      </c>
      <c r="J4469">
        <v>1001</v>
      </c>
      <c r="K4469">
        <v>5004</v>
      </c>
      <c r="L4469" s="3">
        <v>1837562</v>
      </c>
      <c r="M4469" s="3">
        <v>104391</v>
      </c>
      <c r="N4469">
        <v>0</v>
      </c>
      <c r="O4469">
        <v>0</v>
      </c>
      <c r="P4469">
        <v>1941953</v>
      </c>
      <c r="Q4469" t="s">
        <v>30</v>
      </c>
      <c r="R4469" t="s">
        <v>203</v>
      </c>
      <c r="S4469" t="str">
        <v>#N/A</v>
      </c>
      <c r="T4469" t="str">
        <v>31</v>
      </c>
    </row>
    <row r="4470" spans="1:20" ht="13.7" customHeight="1" x14ac:dyDescent="0.25">
      <c r="A4470" t="s">
        <v>26</v>
      </c>
      <c r="B4470" t="s">
        <v>27</v>
      </c>
      <c r="C4470" t="s">
        <v>38</v>
      </c>
      <c r="D4470">
        <v>31</v>
      </c>
      <c r="E4470" s="5">
        <v>43694</v>
      </c>
      <c r="F4470">
        <v>73350502</v>
      </c>
      <c r="G4470" t="s">
        <v>1080</v>
      </c>
      <c r="H4470" t="s">
        <v>1237</v>
      </c>
      <c r="I4470" t="s">
        <v>1238</v>
      </c>
      <c r="J4470">
        <v>1001</v>
      </c>
      <c r="K4470">
        <v>5004</v>
      </c>
      <c r="L4470" s="3">
        <v>1941953</v>
      </c>
      <c r="M4470" s="3">
        <v>104391</v>
      </c>
      <c r="N4470">
        <v>0</v>
      </c>
      <c r="O4470">
        <v>0</v>
      </c>
      <c r="P4470">
        <v>2046344</v>
      </c>
      <c r="Q4470" t="s">
        <v>30</v>
      </c>
      <c r="R4470" t="s">
        <v>203</v>
      </c>
      <c r="S4470" t="str">
        <v>#N/A</v>
      </c>
      <c r="T4470" t="str">
        <v>31</v>
      </c>
    </row>
    <row r="4471" spans="1:20" ht="13.7" customHeight="1" x14ac:dyDescent="0.25">
      <c r="A4471" t="s">
        <v>26</v>
      </c>
      <c r="B4471" t="s">
        <v>27</v>
      </c>
      <c r="C4471" t="s">
        <v>39</v>
      </c>
      <c r="D4471">
        <v>61</v>
      </c>
      <c r="E4471" s="5">
        <v>43736</v>
      </c>
      <c r="F4471">
        <v>73350502</v>
      </c>
      <c r="G4471" t="s">
        <v>1080</v>
      </c>
      <c r="H4471" t="s">
        <v>1237</v>
      </c>
      <c r="I4471" t="s">
        <v>1238</v>
      </c>
      <c r="J4471">
        <v>1001</v>
      </c>
      <c r="K4471">
        <v>5004</v>
      </c>
      <c r="L4471" s="3">
        <v>2046344</v>
      </c>
      <c r="M4471" s="3">
        <v>104391</v>
      </c>
      <c r="N4471">
        <v>0</v>
      </c>
      <c r="O4471">
        <v>0</v>
      </c>
      <c r="P4471">
        <v>2150735</v>
      </c>
      <c r="Q4471" t="s">
        <v>30</v>
      </c>
      <c r="R4471" t="s">
        <v>203</v>
      </c>
      <c r="S4471" t="str">
        <v>#N/A</v>
      </c>
      <c r="T4471" t="str">
        <v>31</v>
      </c>
    </row>
    <row r="4472" spans="1:20" ht="13.7" customHeight="1" x14ac:dyDescent="0.25">
      <c r="A4472" t="s">
        <v>26</v>
      </c>
      <c r="B4472" t="s">
        <v>27</v>
      </c>
      <c r="C4472" t="s">
        <v>40</v>
      </c>
      <c r="D4472">
        <v>32</v>
      </c>
      <c r="E4472" s="5">
        <v>43756</v>
      </c>
      <c r="F4472">
        <v>73350502</v>
      </c>
      <c r="G4472" t="s">
        <v>1080</v>
      </c>
      <c r="H4472" t="s">
        <v>1237</v>
      </c>
      <c r="I4472" t="s">
        <v>1238</v>
      </c>
      <c r="J4472">
        <v>1001</v>
      </c>
      <c r="K4472">
        <v>5004</v>
      </c>
      <c r="L4472" s="3">
        <v>2150735</v>
      </c>
      <c r="M4472" s="3">
        <v>104391</v>
      </c>
      <c r="N4472">
        <v>0</v>
      </c>
      <c r="O4472">
        <v>0</v>
      </c>
      <c r="P4472">
        <v>2255126</v>
      </c>
      <c r="Q4472" t="s">
        <v>30</v>
      </c>
      <c r="R4472" t="s">
        <v>203</v>
      </c>
      <c r="S4472" t="str">
        <v>#N/A</v>
      </c>
      <c r="T4472" t="str">
        <v>31</v>
      </c>
    </row>
    <row r="4473" spans="1:20" ht="13.7" customHeight="1" x14ac:dyDescent="0.25">
      <c r="A4473" t="s">
        <v>26</v>
      </c>
      <c r="B4473" t="s">
        <v>27</v>
      </c>
      <c r="C4473" t="s">
        <v>41</v>
      </c>
      <c r="D4473">
        <v>50</v>
      </c>
      <c r="E4473" s="5">
        <v>43758</v>
      </c>
      <c r="F4473">
        <v>73350502</v>
      </c>
      <c r="G4473" t="s">
        <v>1080</v>
      </c>
      <c r="H4473" t="s">
        <v>1237</v>
      </c>
      <c r="I4473" t="s">
        <v>1238</v>
      </c>
      <c r="J4473">
        <v>1001</v>
      </c>
      <c r="K4473">
        <v>5004</v>
      </c>
      <c r="L4473" s="3">
        <v>2255126</v>
      </c>
      <c r="M4473" s="3">
        <v>104391</v>
      </c>
      <c r="N4473">
        <v>0</v>
      </c>
      <c r="O4473">
        <v>0</v>
      </c>
      <c r="P4473">
        <v>2359517</v>
      </c>
      <c r="Q4473" t="s">
        <v>30</v>
      </c>
      <c r="R4473" t="s">
        <v>203</v>
      </c>
      <c r="S4473" t="str">
        <v>#N/A</v>
      </c>
      <c r="T4473" t="str">
        <v>31</v>
      </c>
    </row>
    <row r="4474" spans="1:20" ht="13.7" customHeight="1" x14ac:dyDescent="0.25">
      <c r="A4474" t="s">
        <v>26</v>
      </c>
      <c r="B4474" t="s">
        <v>27</v>
      </c>
      <c r="C4474" t="s">
        <v>180</v>
      </c>
      <c r="D4474">
        <v>48</v>
      </c>
      <c r="E4474" s="5">
        <v>43817</v>
      </c>
      <c r="F4474">
        <v>73350502</v>
      </c>
      <c r="G4474" t="s">
        <v>1080</v>
      </c>
      <c r="H4474" t="s">
        <v>1237</v>
      </c>
      <c r="I4474" t="s">
        <v>1238</v>
      </c>
      <c r="J4474">
        <v>1001</v>
      </c>
      <c r="K4474">
        <v>5004</v>
      </c>
      <c r="L4474" s="3">
        <v>2359517</v>
      </c>
      <c r="M4474" s="3">
        <v>104391</v>
      </c>
      <c r="N4474">
        <v>0</v>
      </c>
      <c r="O4474">
        <v>0</v>
      </c>
      <c r="P4474">
        <v>2463908</v>
      </c>
      <c r="Q4474" t="s">
        <v>30</v>
      </c>
      <c r="R4474" t="s">
        <v>203</v>
      </c>
      <c r="S4474" t="str">
        <v>#N/A</v>
      </c>
      <c r="T4474" t="str">
        <v>31</v>
      </c>
    </row>
    <row r="4475" spans="1:20" ht="13.7" customHeight="1" x14ac:dyDescent="0.25">
      <c r="E4475" s="5">
        <v>43465</v>
      </c>
      <c r="F4475">
        <v>73352501</v>
      </c>
      <c r="G4475" t="s">
        <v>1081</v>
      </c>
      <c r="H4475" t="s">
        <v>1098</v>
      </c>
      <c r="I4475" t="s">
        <v>1099</v>
      </c>
      <c r="J4475">
        <v>0</v>
      </c>
      <c r="K4475">
        <v>0</v>
      </c>
      <c r="L4475" s="3">
        <v>336725</v>
      </c>
      <c r="M4475" s="3">
        <v>0</v>
      </c>
      <c r="N4475">
        <v>0</v>
      </c>
      <c r="O4475">
        <v>0</v>
      </c>
      <c r="P4475">
        <v>336725</v>
      </c>
      <c r="R4475" t="s">
        <v>1100</v>
      </c>
      <c r="S4475" t="str">
        <v>#N/A</v>
      </c>
      <c r="T4475" t="str">
        <v>31</v>
      </c>
    </row>
    <row r="4476" spans="1:20" ht="13.7" customHeight="1" x14ac:dyDescent="0.25">
      <c r="A4476" t="s">
        <v>26</v>
      </c>
      <c r="B4476" t="s">
        <v>27</v>
      </c>
      <c r="C4476" t="s">
        <v>28</v>
      </c>
      <c r="D4476">
        <v>72</v>
      </c>
      <c r="E4476" s="5">
        <v>43493</v>
      </c>
      <c r="F4476">
        <v>73352501</v>
      </c>
      <c r="G4476" t="s">
        <v>1081</v>
      </c>
      <c r="H4476" t="s">
        <v>1098</v>
      </c>
      <c r="I4476" t="s">
        <v>1099</v>
      </c>
      <c r="J4476">
        <v>1001</v>
      </c>
      <c r="K4476">
        <v>5004</v>
      </c>
      <c r="L4476" s="3">
        <v>336725</v>
      </c>
      <c r="M4476" s="3">
        <v>19926</v>
      </c>
      <c r="N4476">
        <v>0</v>
      </c>
      <c r="O4476">
        <v>0</v>
      </c>
      <c r="P4476">
        <v>356651</v>
      </c>
      <c r="Q4476" t="s">
        <v>30</v>
      </c>
      <c r="R4476" t="s">
        <v>31</v>
      </c>
      <c r="S4476" t="str">
        <v>#N/A</v>
      </c>
      <c r="T4476" t="str">
        <v>31</v>
      </c>
    </row>
    <row r="4477" spans="1:20" ht="13.7" customHeight="1" x14ac:dyDescent="0.25">
      <c r="A4477" t="s">
        <v>26</v>
      </c>
      <c r="B4477" t="s">
        <v>27</v>
      </c>
      <c r="C4477" t="s">
        <v>32</v>
      </c>
      <c r="D4477">
        <v>44</v>
      </c>
      <c r="E4477" s="5">
        <v>43519</v>
      </c>
      <c r="F4477">
        <v>73352501</v>
      </c>
      <c r="G4477" t="s">
        <v>1081</v>
      </c>
      <c r="H4477" t="s">
        <v>1098</v>
      </c>
      <c r="I4477" t="s">
        <v>1099</v>
      </c>
      <c r="J4477">
        <v>1001</v>
      </c>
      <c r="K4477">
        <v>5004</v>
      </c>
      <c r="L4477" s="3">
        <v>356651</v>
      </c>
      <c r="M4477" s="3">
        <v>16743</v>
      </c>
      <c r="N4477">
        <v>0</v>
      </c>
      <c r="O4477">
        <v>0</v>
      </c>
      <c r="P4477">
        <v>373394</v>
      </c>
      <c r="Q4477" t="s">
        <v>30</v>
      </c>
      <c r="R4477" t="s">
        <v>33</v>
      </c>
      <c r="S4477" t="str">
        <v>#N/A</v>
      </c>
      <c r="T4477" t="str">
        <v>31</v>
      </c>
    </row>
    <row r="4478" spans="1:20" ht="13.7" customHeight="1" x14ac:dyDescent="0.25">
      <c r="A4478" t="s">
        <v>26</v>
      </c>
      <c r="B4478" t="s">
        <v>27</v>
      </c>
      <c r="C4478" t="s">
        <v>34</v>
      </c>
      <c r="D4478">
        <v>52</v>
      </c>
      <c r="E4478" s="5">
        <v>43578</v>
      </c>
      <c r="F4478">
        <v>73352501</v>
      </c>
      <c r="G4478" t="s">
        <v>1081</v>
      </c>
      <c r="H4478" t="s">
        <v>1098</v>
      </c>
      <c r="I4478" t="s">
        <v>1099</v>
      </c>
      <c r="J4478">
        <v>1001</v>
      </c>
      <c r="K4478">
        <v>5004</v>
      </c>
      <c r="L4478" s="3">
        <v>373394</v>
      </c>
      <c r="M4478" s="3">
        <v>16658</v>
      </c>
      <c r="N4478">
        <v>0</v>
      </c>
      <c r="O4478">
        <v>0</v>
      </c>
      <c r="P4478">
        <v>390052</v>
      </c>
      <c r="Q4478" t="s">
        <v>30</v>
      </c>
      <c r="R4478" t="s">
        <v>31</v>
      </c>
      <c r="S4478" t="str">
        <v>#N/A</v>
      </c>
      <c r="T4478" t="str">
        <v>31</v>
      </c>
    </row>
    <row r="4479" spans="1:20" ht="13.7" customHeight="1" x14ac:dyDescent="0.25">
      <c r="A4479" t="s">
        <v>26</v>
      </c>
      <c r="B4479" t="s">
        <v>27</v>
      </c>
      <c r="C4479" t="s">
        <v>35</v>
      </c>
      <c r="D4479">
        <v>68</v>
      </c>
      <c r="E4479" s="5">
        <v>43606</v>
      </c>
      <c r="F4479">
        <v>73352501</v>
      </c>
      <c r="G4479" t="s">
        <v>1081</v>
      </c>
      <c r="H4479" t="s">
        <v>1098</v>
      </c>
      <c r="I4479" t="s">
        <v>1099</v>
      </c>
      <c r="J4479">
        <v>1001</v>
      </c>
      <c r="K4479">
        <v>5004</v>
      </c>
      <c r="L4479" s="3">
        <v>390052</v>
      </c>
      <c r="M4479" s="3">
        <v>10122</v>
      </c>
      <c r="N4479">
        <v>0</v>
      </c>
      <c r="O4479">
        <v>0</v>
      </c>
      <c r="P4479">
        <v>400174</v>
      </c>
      <c r="Q4479" t="s">
        <v>30</v>
      </c>
      <c r="R4479" t="s">
        <v>31</v>
      </c>
      <c r="S4479" t="str">
        <v>#N/A</v>
      </c>
      <c r="T4479" t="str">
        <v>31</v>
      </c>
    </row>
    <row r="4480" spans="1:20" ht="13.7" customHeight="1" x14ac:dyDescent="0.25">
      <c r="A4480" t="s">
        <v>26</v>
      </c>
      <c r="B4480" t="s">
        <v>27</v>
      </c>
      <c r="C4480" t="s">
        <v>36</v>
      </c>
      <c r="D4480">
        <v>42</v>
      </c>
      <c r="E4480" s="5">
        <v>43636</v>
      </c>
      <c r="F4480">
        <v>73352501</v>
      </c>
      <c r="G4480" t="s">
        <v>1081</v>
      </c>
      <c r="H4480" t="s">
        <v>1098</v>
      </c>
      <c r="I4480" t="s">
        <v>1099</v>
      </c>
      <c r="J4480">
        <v>1001</v>
      </c>
      <c r="K4480">
        <v>5004</v>
      </c>
      <c r="L4480" s="3">
        <v>400174</v>
      </c>
      <c r="M4480" s="3">
        <v>27258</v>
      </c>
      <c r="N4480">
        <v>0</v>
      </c>
      <c r="O4480">
        <v>0</v>
      </c>
      <c r="P4480">
        <v>427432</v>
      </c>
      <c r="Q4480" t="s">
        <v>30</v>
      </c>
      <c r="R4480" t="s">
        <v>31</v>
      </c>
      <c r="S4480" t="str">
        <v>#N/A</v>
      </c>
      <c r="T4480" t="str">
        <v>31</v>
      </c>
    </row>
    <row r="4481" spans="1:20" ht="13.7" customHeight="1" x14ac:dyDescent="0.25">
      <c r="A4481" t="s">
        <v>26</v>
      </c>
      <c r="B4481" t="s">
        <v>27</v>
      </c>
      <c r="C4481" t="s">
        <v>37</v>
      </c>
      <c r="D4481">
        <v>56</v>
      </c>
      <c r="E4481" s="5">
        <v>43672</v>
      </c>
      <c r="F4481">
        <v>73352501</v>
      </c>
      <c r="G4481" t="s">
        <v>1081</v>
      </c>
      <c r="H4481" t="s">
        <v>1098</v>
      </c>
      <c r="I4481" t="s">
        <v>1099</v>
      </c>
      <c r="J4481">
        <v>1001</v>
      </c>
      <c r="K4481">
        <v>5004</v>
      </c>
      <c r="L4481" s="3">
        <v>427432</v>
      </c>
      <c r="M4481" s="3">
        <v>17179</v>
      </c>
      <c r="N4481">
        <v>0</v>
      </c>
      <c r="O4481">
        <v>0</v>
      </c>
      <c r="P4481">
        <v>444611</v>
      </c>
      <c r="Q4481" t="s">
        <v>30</v>
      </c>
      <c r="R4481" t="s">
        <v>31</v>
      </c>
      <c r="S4481" t="str">
        <v>#N/A</v>
      </c>
      <c r="T4481" t="str">
        <v>31</v>
      </c>
    </row>
    <row r="4482" spans="1:20" ht="13.7" customHeight="1" x14ac:dyDescent="0.25">
      <c r="A4482" t="s">
        <v>26</v>
      </c>
      <c r="B4482" t="s">
        <v>27</v>
      </c>
      <c r="C4482" t="s">
        <v>38</v>
      </c>
      <c r="D4482">
        <v>49</v>
      </c>
      <c r="E4482" s="5">
        <v>43704</v>
      </c>
      <c r="F4482">
        <v>73352501</v>
      </c>
      <c r="G4482" t="s">
        <v>1081</v>
      </c>
      <c r="H4482" t="s">
        <v>1098</v>
      </c>
      <c r="I4482" t="s">
        <v>1099</v>
      </c>
      <c r="J4482">
        <v>1001</v>
      </c>
      <c r="K4482">
        <v>5004</v>
      </c>
      <c r="L4482" s="3">
        <v>444611</v>
      </c>
      <c r="M4482" s="3">
        <v>17245</v>
      </c>
      <c r="N4482">
        <v>0</v>
      </c>
      <c r="O4482">
        <v>0</v>
      </c>
      <c r="P4482">
        <v>461856</v>
      </c>
      <c r="Q4482" t="s">
        <v>30</v>
      </c>
      <c r="R4482" t="s">
        <v>31</v>
      </c>
      <c r="S4482" t="str">
        <v>#N/A</v>
      </c>
      <c r="T4482" t="str">
        <v>31</v>
      </c>
    </row>
    <row r="4483" spans="1:20" ht="13.7" customHeight="1" x14ac:dyDescent="0.25">
      <c r="A4483" t="s">
        <v>26</v>
      </c>
      <c r="B4483" t="s">
        <v>27</v>
      </c>
      <c r="C4483" t="s">
        <v>39</v>
      </c>
      <c r="D4483">
        <v>59</v>
      </c>
      <c r="E4483" s="5">
        <v>43736</v>
      </c>
      <c r="F4483">
        <v>73352501</v>
      </c>
      <c r="G4483" t="s">
        <v>1081</v>
      </c>
      <c r="H4483" t="s">
        <v>1098</v>
      </c>
      <c r="I4483" t="s">
        <v>1099</v>
      </c>
      <c r="J4483">
        <v>1001</v>
      </c>
      <c r="K4483">
        <v>5004</v>
      </c>
      <c r="L4483" s="3">
        <v>461856</v>
      </c>
      <c r="M4483" s="3">
        <v>17440</v>
      </c>
      <c r="N4483">
        <v>0</v>
      </c>
      <c r="O4483">
        <v>0</v>
      </c>
      <c r="P4483">
        <v>479296</v>
      </c>
      <c r="Q4483" t="s">
        <v>30</v>
      </c>
      <c r="R4483" t="s">
        <v>31</v>
      </c>
      <c r="S4483" t="str">
        <v>#N/A</v>
      </c>
      <c r="T4483" t="str">
        <v>31</v>
      </c>
    </row>
    <row r="4484" spans="1:20" ht="13.7" customHeight="1" x14ac:dyDescent="0.25">
      <c r="A4484" t="s">
        <v>26</v>
      </c>
      <c r="B4484" t="s">
        <v>27</v>
      </c>
      <c r="C4484" t="s">
        <v>40</v>
      </c>
      <c r="D4484">
        <v>31</v>
      </c>
      <c r="E4484" s="5">
        <v>43756</v>
      </c>
      <c r="F4484">
        <v>73352501</v>
      </c>
      <c r="G4484" t="s">
        <v>1081</v>
      </c>
      <c r="H4484" t="s">
        <v>1098</v>
      </c>
      <c r="I4484" t="s">
        <v>1099</v>
      </c>
      <c r="J4484">
        <v>1001</v>
      </c>
      <c r="K4484">
        <v>5004</v>
      </c>
      <c r="L4484" s="3">
        <v>479296</v>
      </c>
      <c r="M4484" s="3">
        <v>20929</v>
      </c>
      <c r="N4484">
        <v>0</v>
      </c>
      <c r="O4484">
        <v>0</v>
      </c>
      <c r="P4484">
        <v>500225</v>
      </c>
      <c r="Q4484" t="s">
        <v>30</v>
      </c>
      <c r="R4484" t="s">
        <v>31</v>
      </c>
      <c r="S4484" t="str">
        <v>#N/A</v>
      </c>
      <c r="T4484" t="str">
        <v>31</v>
      </c>
    </row>
    <row r="4485" spans="1:20" ht="13.7" customHeight="1" x14ac:dyDescent="0.25">
      <c r="A4485" t="s">
        <v>26</v>
      </c>
      <c r="B4485" t="s">
        <v>27</v>
      </c>
      <c r="C4485" t="s">
        <v>41</v>
      </c>
      <c r="D4485">
        <v>46</v>
      </c>
      <c r="E4485" s="5">
        <v>43787</v>
      </c>
      <c r="F4485">
        <v>73352501</v>
      </c>
      <c r="G4485" t="s">
        <v>1081</v>
      </c>
      <c r="H4485" t="s">
        <v>1098</v>
      </c>
      <c r="I4485" t="s">
        <v>1099</v>
      </c>
      <c r="J4485">
        <v>1001</v>
      </c>
      <c r="K4485">
        <v>5004</v>
      </c>
      <c r="L4485" s="3">
        <v>500225</v>
      </c>
      <c r="M4485" s="3">
        <v>17354</v>
      </c>
      <c r="N4485">
        <v>0</v>
      </c>
      <c r="O4485">
        <v>0</v>
      </c>
      <c r="P4485">
        <v>517579</v>
      </c>
      <c r="Q4485" t="s">
        <v>30</v>
      </c>
      <c r="R4485" t="s">
        <v>42</v>
      </c>
      <c r="S4485" t="str">
        <v>#N/A</v>
      </c>
      <c r="T4485" t="str">
        <v>31</v>
      </c>
    </row>
    <row r="4486" spans="1:20" ht="13.7" customHeight="1" x14ac:dyDescent="0.25">
      <c r="E4486" s="5">
        <v>43465</v>
      </c>
      <c r="F4486">
        <v>73352502</v>
      </c>
      <c r="G4486" t="s">
        <v>1082</v>
      </c>
      <c r="H4486" t="s">
        <v>1098</v>
      </c>
      <c r="I4486" t="s">
        <v>1099</v>
      </c>
      <c r="J4486">
        <v>0</v>
      </c>
      <c r="K4486">
        <v>0</v>
      </c>
      <c r="L4486" s="3">
        <v>231007</v>
      </c>
      <c r="M4486" s="3">
        <v>0</v>
      </c>
      <c r="N4486">
        <v>0</v>
      </c>
      <c r="O4486">
        <v>0</v>
      </c>
      <c r="P4486">
        <v>231007</v>
      </c>
      <c r="R4486" t="s">
        <v>1100</v>
      </c>
      <c r="S4486" t="str">
        <v>#N/A</v>
      </c>
      <c r="T4486" t="str">
        <v>31</v>
      </c>
    </row>
    <row r="4487" spans="1:20" ht="13.7" customHeight="1" x14ac:dyDescent="0.25">
      <c r="A4487" t="s">
        <v>26</v>
      </c>
      <c r="B4487" t="s">
        <v>27</v>
      </c>
      <c r="C4487" t="s">
        <v>28</v>
      </c>
      <c r="D4487">
        <v>72</v>
      </c>
      <c r="E4487" s="5">
        <v>43493</v>
      </c>
      <c r="F4487">
        <v>73352502</v>
      </c>
      <c r="G4487" t="s">
        <v>1082</v>
      </c>
      <c r="H4487" t="s">
        <v>1098</v>
      </c>
      <c r="I4487" t="s">
        <v>1099</v>
      </c>
      <c r="J4487">
        <v>1001</v>
      </c>
      <c r="K4487">
        <v>5004</v>
      </c>
      <c r="L4487" s="3">
        <v>231007</v>
      </c>
      <c r="M4487" s="3">
        <v>16056</v>
      </c>
      <c r="N4487">
        <v>0</v>
      </c>
      <c r="O4487">
        <v>0</v>
      </c>
      <c r="P4487">
        <v>247063</v>
      </c>
      <c r="Q4487" t="s">
        <v>30</v>
      </c>
      <c r="R4487" t="s">
        <v>31</v>
      </c>
      <c r="S4487" t="str">
        <v>#N/A</v>
      </c>
      <c r="T4487" t="str">
        <v>31</v>
      </c>
    </row>
    <row r="4488" spans="1:20" ht="13.7" customHeight="1" x14ac:dyDescent="0.25">
      <c r="A4488" t="s">
        <v>26</v>
      </c>
      <c r="B4488" t="s">
        <v>27</v>
      </c>
      <c r="C4488" t="s">
        <v>32</v>
      </c>
      <c r="D4488">
        <v>44</v>
      </c>
      <c r="E4488" s="5">
        <v>43519</v>
      </c>
      <c r="F4488">
        <v>73352502</v>
      </c>
      <c r="G4488" t="s">
        <v>1082</v>
      </c>
      <c r="H4488" t="s">
        <v>1098</v>
      </c>
      <c r="I4488" t="s">
        <v>1099</v>
      </c>
      <c r="J4488">
        <v>1001</v>
      </c>
      <c r="K4488">
        <v>5004</v>
      </c>
      <c r="L4488" s="3">
        <v>247063</v>
      </c>
      <c r="M4488" s="3">
        <v>12529</v>
      </c>
      <c r="N4488">
        <v>0</v>
      </c>
      <c r="O4488">
        <v>0</v>
      </c>
      <c r="P4488">
        <v>259592</v>
      </c>
      <c r="Q4488" t="s">
        <v>30</v>
      </c>
      <c r="R4488" t="s">
        <v>33</v>
      </c>
      <c r="S4488" t="str">
        <v>#N/A</v>
      </c>
      <c r="T4488" t="str">
        <v>31</v>
      </c>
    </row>
    <row r="4489" spans="1:20" ht="13.7" customHeight="1" x14ac:dyDescent="0.25">
      <c r="A4489" t="s">
        <v>26</v>
      </c>
      <c r="B4489" t="s">
        <v>27</v>
      </c>
      <c r="C4489" t="s">
        <v>34</v>
      </c>
      <c r="D4489">
        <v>52</v>
      </c>
      <c r="E4489" s="5">
        <v>43578</v>
      </c>
      <c r="F4489">
        <v>73352502</v>
      </c>
      <c r="G4489" t="s">
        <v>1082</v>
      </c>
      <c r="H4489" t="s">
        <v>1098</v>
      </c>
      <c r="I4489" t="s">
        <v>1099</v>
      </c>
      <c r="J4489">
        <v>1001</v>
      </c>
      <c r="K4489">
        <v>5004</v>
      </c>
      <c r="L4489" s="3">
        <v>259592</v>
      </c>
      <c r="M4489" s="3">
        <v>12461</v>
      </c>
      <c r="N4489">
        <v>0</v>
      </c>
      <c r="O4489">
        <v>0</v>
      </c>
      <c r="P4489">
        <v>272053</v>
      </c>
      <c r="Q4489" t="s">
        <v>30</v>
      </c>
      <c r="R4489" t="s">
        <v>31</v>
      </c>
      <c r="S4489" t="str">
        <v>#N/A</v>
      </c>
      <c r="T4489" t="str">
        <v>31</v>
      </c>
    </row>
    <row r="4490" spans="1:20" ht="13.7" customHeight="1" x14ac:dyDescent="0.25">
      <c r="A4490" t="s">
        <v>26</v>
      </c>
      <c r="B4490" t="s">
        <v>27</v>
      </c>
      <c r="C4490" t="s">
        <v>35</v>
      </c>
      <c r="D4490">
        <v>68</v>
      </c>
      <c r="E4490" s="5">
        <v>43606</v>
      </c>
      <c r="F4490">
        <v>73352502</v>
      </c>
      <c r="G4490" t="s">
        <v>1082</v>
      </c>
      <c r="H4490" t="s">
        <v>1098</v>
      </c>
      <c r="I4490" t="s">
        <v>1099</v>
      </c>
      <c r="J4490">
        <v>1001</v>
      </c>
      <c r="K4490">
        <v>5004</v>
      </c>
      <c r="L4490" s="3">
        <v>272053</v>
      </c>
      <c r="M4490" s="3">
        <v>5272</v>
      </c>
      <c r="N4490">
        <v>0</v>
      </c>
      <c r="O4490">
        <v>0</v>
      </c>
      <c r="P4490">
        <v>277325</v>
      </c>
      <c r="Q4490" t="s">
        <v>30</v>
      </c>
      <c r="R4490" t="s">
        <v>31</v>
      </c>
      <c r="S4490" t="str">
        <v>#N/A</v>
      </c>
      <c r="T4490" t="str">
        <v>31</v>
      </c>
    </row>
    <row r="4491" spans="1:20" ht="13.7" customHeight="1" x14ac:dyDescent="0.25">
      <c r="A4491" t="s">
        <v>26</v>
      </c>
      <c r="B4491" t="s">
        <v>27</v>
      </c>
      <c r="C4491" t="s">
        <v>36</v>
      </c>
      <c r="D4491">
        <v>42</v>
      </c>
      <c r="E4491" s="5">
        <v>43636</v>
      </c>
      <c r="F4491">
        <v>73352502</v>
      </c>
      <c r="G4491" t="s">
        <v>1082</v>
      </c>
      <c r="H4491" t="s">
        <v>1098</v>
      </c>
      <c r="I4491" t="s">
        <v>1099</v>
      </c>
      <c r="J4491">
        <v>1001</v>
      </c>
      <c r="K4491">
        <v>5004</v>
      </c>
      <c r="L4491" s="3">
        <v>277325</v>
      </c>
      <c r="M4491" s="3">
        <v>23936</v>
      </c>
      <c r="N4491">
        <v>0</v>
      </c>
      <c r="O4491">
        <v>0</v>
      </c>
      <c r="P4491">
        <v>301261</v>
      </c>
      <c r="Q4491" t="s">
        <v>30</v>
      </c>
      <c r="R4491" t="s">
        <v>31</v>
      </c>
      <c r="S4491" t="str">
        <v>#N/A</v>
      </c>
      <c r="T4491" t="str">
        <v>31</v>
      </c>
    </row>
    <row r="4492" spans="1:20" ht="13.7" customHeight="1" x14ac:dyDescent="0.25">
      <c r="A4492" t="s">
        <v>26</v>
      </c>
      <c r="B4492" t="s">
        <v>27</v>
      </c>
      <c r="C4492" t="s">
        <v>37</v>
      </c>
      <c r="D4492">
        <v>56</v>
      </c>
      <c r="E4492" s="5">
        <v>43672</v>
      </c>
      <c r="F4492">
        <v>73352502</v>
      </c>
      <c r="G4492" t="s">
        <v>1082</v>
      </c>
      <c r="H4492" t="s">
        <v>1098</v>
      </c>
      <c r="I4492" t="s">
        <v>1099</v>
      </c>
      <c r="J4492">
        <v>1001</v>
      </c>
      <c r="K4492">
        <v>5004</v>
      </c>
      <c r="L4492" s="3">
        <v>301261</v>
      </c>
      <c r="M4492" s="3">
        <v>12850</v>
      </c>
      <c r="N4492">
        <v>0</v>
      </c>
      <c r="O4492">
        <v>0</v>
      </c>
      <c r="P4492">
        <v>314111</v>
      </c>
      <c r="Q4492" t="s">
        <v>30</v>
      </c>
      <c r="R4492" t="s">
        <v>31</v>
      </c>
      <c r="S4492" t="str">
        <v>#N/A</v>
      </c>
      <c r="T4492" t="str">
        <v>31</v>
      </c>
    </row>
    <row r="4493" spans="1:20" ht="13.7" customHeight="1" x14ac:dyDescent="0.25">
      <c r="A4493" t="s">
        <v>26</v>
      </c>
      <c r="B4493" t="s">
        <v>27</v>
      </c>
      <c r="C4493" t="s">
        <v>38</v>
      </c>
      <c r="D4493">
        <v>49</v>
      </c>
      <c r="E4493" s="5">
        <v>43704</v>
      </c>
      <c r="F4493">
        <v>73352502</v>
      </c>
      <c r="G4493" t="s">
        <v>1082</v>
      </c>
      <c r="H4493" t="s">
        <v>1098</v>
      </c>
      <c r="I4493" t="s">
        <v>1099</v>
      </c>
      <c r="J4493">
        <v>1001</v>
      </c>
      <c r="K4493">
        <v>5004</v>
      </c>
      <c r="L4493" s="3">
        <v>314111</v>
      </c>
      <c r="M4493" s="3">
        <v>12897</v>
      </c>
      <c r="N4493">
        <v>0</v>
      </c>
      <c r="O4493">
        <v>0</v>
      </c>
      <c r="P4493">
        <v>327008</v>
      </c>
      <c r="Q4493" t="s">
        <v>30</v>
      </c>
      <c r="R4493" t="s">
        <v>31</v>
      </c>
      <c r="S4493" t="str">
        <v>#N/A</v>
      </c>
      <c r="T4493" t="str">
        <v>31</v>
      </c>
    </row>
    <row r="4494" spans="1:20" ht="13.7" customHeight="1" x14ac:dyDescent="0.25">
      <c r="A4494" t="s">
        <v>26</v>
      </c>
      <c r="B4494" t="s">
        <v>27</v>
      </c>
      <c r="C4494" t="s">
        <v>39</v>
      </c>
      <c r="D4494">
        <v>59</v>
      </c>
      <c r="E4494" s="5">
        <v>43736</v>
      </c>
      <c r="F4494">
        <v>73352502</v>
      </c>
      <c r="G4494" t="s">
        <v>1082</v>
      </c>
      <c r="H4494" t="s">
        <v>1098</v>
      </c>
      <c r="I4494" t="s">
        <v>1099</v>
      </c>
      <c r="J4494">
        <v>1001</v>
      </c>
      <c r="K4494">
        <v>5004</v>
      </c>
      <c r="L4494" s="3">
        <v>327008</v>
      </c>
      <c r="M4494" s="3">
        <v>13377</v>
      </c>
      <c r="N4494">
        <v>0</v>
      </c>
      <c r="O4494">
        <v>0</v>
      </c>
      <c r="P4494">
        <v>340385</v>
      </c>
      <c r="Q4494" t="s">
        <v>30</v>
      </c>
      <c r="R4494" t="s">
        <v>31</v>
      </c>
      <c r="S4494" t="str">
        <v>#N/A</v>
      </c>
      <c r="T4494" t="str">
        <v>31</v>
      </c>
    </row>
    <row r="4495" spans="1:20" ht="13.7" customHeight="1" x14ac:dyDescent="0.25">
      <c r="A4495" t="s">
        <v>26</v>
      </c>
      <c r="B4495" t="s">
        <v>27</v>
      </c>
      <c r="C4495" t="s">
        <v>40</v>
      </c>
      <c r="D4495">
        <v>31</v>
      </c>
      <c r="E4495" s="5">
        <v>43756</v>
      </c>
      <c r="F4495">
        <v>73352502</v>
      </c>
      <c r="G4495" t="s">
        <v>1082</v>
      </c>
      <c r="H4495" t="s">
        <v>1098</v>
      </c>
      <c r="I4495" t="s">
        <v>1099</v>
      </c>
      <c r="J4495">
        <v>1001</v>
      </c>
      <c r="K4495">
        <v>5004</v>
      </c>
      <c r="L4495" s="3">
        <v>340385</v>
      </c>
      <c r="M4495" s="3">
        <v>17339</v>
      </c>
      <c r="N4495">
        <v>0</v>
      </c>
      <c r="O4495">
        <v>0</v>
      </c>
      <c r="P4495">
        <v>357724</v>
      </c>
      <c r="Q4495" t="s">
        <v>30</v>
      </c>
      <c r="R4495" t="s">
        <v>31</v>
      </c>
      <c r="S4495" t="str">
        <v>#N/A</v>
      </c>
      <c r="T4495" t="str">
        <v>31</v>
      </c>
    </row>
    <row r="4496" spans="1:20" ht="13.7" customHeight="1" x14ac:dyDescent="0.25">
      <c r="A4496" t="s">
        <v>26</v>
      </c>
      <c r="B4496" t="s">
        <v>27</v>
      </c>
      <c r="C4496" t="s">
        <v>41</v>
      </c>
      <c r="D4496">
        <v>46</v>
      </c>
      <c r="E4496" s="5">
        <v>43787</v>
      </c>
      <c r="F4496">
        <v>73352502</v>
      </c>
      <c r="G4496" t="s">
        <v>1082</v>
      </c>
      <c r="H4496" t="s">
        <v>1098</v>
      </c>
      <c r="I4496" t="s">
        <v>1099</v>
      </c>
      <c r="J4496">
        <v>1001</v>
      </c>
      <c r="K4496">
        <v>5004</v>
      </c>
      <c r="L4496" s="3">
        <v>357724</v>
      </c>
      <c r="M4496" s="3">
        <v>13312</v>
      </c>
      <c r="N4496">
        <v>0</v>
      </c>
      <c r="O4496">
        <v>0</v>
      </c>
      <c r="P4496">
        <v>371036</v>
      </c>
      <c r="Q4496" t="s">
        <v>30</v>
      </c>
      <c r="R4496" t="s">
        <v>42</v>
      </c>
      <c r="S4496" t="str">
        <v>#N/A</v>
      </c>
      <c r="T4496" t="str">
        <v>31</v>
      </c>
    </row>
    <row r="4497" spans="1:20" ht="13.7" customHeight="1" x14ac:dyDescent="0.25">
      <c r="E4497" s="5">
        <v>43465</v>
      </c>
      <c r="F4497">
        <v>733530</v>
      </c>
      <c r="G4497" t="s">
        <v>29</v>
      </c>
      <c r="H4497" t="s">
        <v>1098</v>
      </c>
      <c r="I4497" t="s">
        <v>1099</v>
      </c>
      <c r="J4497">
        <v>0</v>
      </c>
      <c r="K4497">
        <v>0</v>
      </c>
      <c r="L4497" s="3">
        <v>2228952.7999999998</v>
      </c>
      <c r="M4497" s="3">
        <v>0</v>
      </c>
      <c r="N4497">
        <v>0</v>
      </c>
      <c r="O4497">
        <v>0</v>
      </c>
      <c r="P4497">
        <v>2228952.7999999998</v>
      </c>
      <c r="R4497" t="s">
        <v>1100</v>
      </c>
      <c r="S4497" t="str">
        <v>#N/A</v>
      </c>
      <c r="T4497" t="str">
        <v>31</v>
      </c>
    </row>
    <row r="4498" spans="1:20" ht="13.7" customHeight="1" x14ac:dyDescent="0.25">
      <c r="A4498" t="s">
        <v>26</v>
      </c>
      <c r="B4498" t="s">
        <v>27</v>
      </c>
      <c r="C4498" t="s">
        <v>28</v>
      </c>
      <c r="D4498">
        <v>72</v>
      </c>
      <c r="E4498" s="5">
        <v>43493</v>
      </c>
      <c r="F4498">
        <v>733530</v>
      </c>
      <c r="G4498" t="s">
        <v>29</v>
      </c>
      <c r="H4498" t="s">
        <v>1098</v>
      </c>
      <c r="I4498" t="s">
        <v>1099</v>
      </c>
      <c r="J4498">
        <v>1001</v>
      </c>
      <c r="K4498">
        <v>5004</v>
      </c>
      <c r="L4498" s="3">
        <v>2228952.7999999998</v>
      </c>
      <c r="M4498" s="3">
        <v>241251.93</v>
      </c>
      <c r="N4498">
        <v>0</v>
      </c>
      <c r="O4498">
        <v>0</v>
      </c>
      <c r="P4498">
        <v>2470204.73</v>
      </c>
      <c r="Q4498" t="s">
        <v>30</v>
      </c>
      <c r="R4498" t="s">
        <v>31</v>
      </c>
      <c r="S4498" t="str">
        <v>#N/A</v>
      </c>
      <c r="T4498" t="str">
        <v>31</v>
      </c>
    </row>
    <row r="4499" spans="1:20" ht="13.7" customHeight="1" x14ac:dyDescent="0.25">
      <c r="A4499" t="s">
        <v>26</v>
      </c>
      <c r="B4499" t="s">
        <v>27</v>
      </c>
      <c r="C4499" t="s">
        <v>32</v>
      </c>
      <c r="D4499">
        <v>44</v>
      </c>
      <c r="E4499" s="5">
        <v>43519</v>
      </c>
      <c r="F4499">
        <v>733530</v>
      </c>
      <c r="G4499" t="s">
        <v>29</v>
      </c>
      <c r="H4499" t="s">
        <v>1098</v>
      </c>
      <c r="I4499" t="s">
        <v>1099</v>
      </c>
      <c r="J4499">
        <v>1001</v>
      </c>
      <c r="K4499">
        <v>5004</v>
      </c>
      <c r="L4499" s="3">
        <v>2470204.73</v>
      </c>
      <c r="M4499" s="3">
        <v>188014</v>
      </c>
      <c r="N4499">
        <v>0</v>
      </c>
      <c r="O4499">
        <v>0</v>
      </c>
      <c r="P4499">
        <v>2658218.73</v>
      </c>
      <c r="Q4499" t="s">
        <v>30</v>
      </c>
      <c r="R4499" t="s">
        <v>33</v>
      </c>
      <c r="S4499" t="str">
        <v>#N/A</v>
      </c>
      <c r="T4499" t="str">
        <v>31</v>
      </c>
    </row>
    <row r="4500" spans="1:20" ht="13.7" customHeight="1" x14ac:dyDescent="0.25">
      <c r="A4500" t="s">
        <v>26</v>
      </c>
      <c r="B4500" t="s">
        <v>27</v>
      </c>
      <c r="C4500" t="s">
        <v>34</v>
      </c>
      <c r="D4500">
        <v>52</v>
      </c>
      <c r="E4500" s="5">
        <v>43578</v>
      </c>
      <c r="F4500">
        <v>733530</v>
      </c>
      <c r="G4500" t="s">
        <v>29</v>
      </c>
      <c r="H4500" t="s">
        <v>1098</v>
      </c>
      <c r="I4500" t="s">
        <v>1099</v>
      </c>
      <c r="J4500">
        <v>1001</v>
      </c>
      <c r="K4500">
        <v>5004</v>
      </c>
      <c r="L4500" s="3">
        <v>2658218.73</v>
      </c>
      <c r="M4500" s="3">
        <v>235058</v>
      </c>
      <c r="N4500">
        <v>0</v>
      </c>
      <c r="O4500">
        <v>0</v>
      </c>
      <c r="P4500">
        <v>2893276.73</v>
      </c>
      <c r="Q4500" t="s">
        <v>30</v>
      </c>
      <c r="R4500" t="s">
        <v>31</v>
      </c>
      <c r="S4500" t="str">
        <v>#N/A</v>
      </c>
      <c r="T4500" t="str">
        <v>31</v>
      </c>
    </row>
    <row r="4501" spans="1:20" ht="13.7" customHeight="1" x14ac:dyDescent="0.25">
      <c r="A4501" t="s">
        <v>26</v>
      </c>
      <c r="B4501" t="s">
        <v>27</v>
      </c>
      <c r="C4501" t="s">
        <v>35</v>
      </c>
      <c r="D4501">
        <v>68</v>
      </c>
      <c r="E4501" s="5">
        <v>43606</v>
      </c>
      <c r="F4501">
        <v>733530</v>
      </c>
      <c r="G4501" t="s">
        <v>29</v>
      </c>
      <c r="H4501" t="s">
        <v>1098</v>
      </c>
      <c r="I4501" t="s">
        <v>1099</v>
      </c>
      <c r="J4501">
        <v>1001</v>
      </c>
      <c r="K4501">
        <v>5004</v>
      </c>
      <c r="L4501" s="3">
        <v>2893276.73</v>
      </c>
      <c r="M4501" s="3">
        <v>222368</v>
      </c>
      <c r="N4501">
        <v>0</v>
      </c>
      <c r="O4501">
        <v>0</v>
      </c>
      <c r="P4501">
        <v>3115644.73</v>
      </c>
      <c r="Q4501" t="s">
        <v>30</v>
      </c>
      <c r="R4501" t="s">
        <v>31</v>
      </c>
      <c r="S4501" t="str">
        <v>#N/A</v>
      </c>
      <c r="T4501" t="str">
        <v>31</v>
      </c>
    </row>
    <row r="4502" spans="1:20" ht="13.7" customHeight="1" x14ac:dyDescent="0.25">
      <c r="A4502" t="s">
        <v>26</v>
      </c>
      <c r="B4502" t="s">
        <v>27</v>
      </c>
      <c r="C4502" t="s">
        <v>36</v>
      </c>
      <c r="D4502">
        <v>42</v>
      </c>
      <c r="E4502" s="5">
        <v>43636</v>
      </c>
      <c r="F4502">
        <v>733530</v>
      </c>
      <c r="G4502" t="s">
        <v>29</v>
      </c>
      <c r="H4502" t="s">
        <v>1098</v>
      </c>
      <c r="I4502" t="s">
        <v>1099</v>
      </c>
      <c r="J4502">
        <v>1001</v>
      </c>
      <c r="K4502">
        <v>5004</v>
      </c>
      <c r="L4502" s="3">
        <v>3115644.73</v>
      </c>
      <c r="M4502" s="3">
        <v>150497</v>
      </c>
      <c r="N4502">
        <v>0</v>
      </c>
      <c r="O4502">
        <v>0</v>
      </c>
      <c r="P4502">
        <v>3266141.73</v>
      </c>
      <c r="Q4502" t="s">
        <v>30</v>
      </c>
      <c r="R4502" t="s">
        <v>31</v>
      </c>
      <c r="S4502" t="str">
        <v>#N/A</v>
      </c>
      <c r="T4502" t="str">
        <v>31</v>
      </c>
    </row>
    <row r="4503" spans="1:20" ht="13.7" customHeight="1" x14ac:dyDescent="0.25">
      <c r="A4503" t="s">
        <v>26</v>
      </c>
      <c r="B4503" t="s">
        <v>27</v>
      </c>
      <c r="C4503" t="s">
        <v>37</v>
      </c>
      <c r="D4503">
        <v>56</v>
      </c>
      <c r="E4503" s="5">
        <v>43672</v>
      </c>
      <c r="F4503">
        <v>733530</v>
      </c>
      <c r="G4503" t="s">
        <v>29</v>
      </c>
      <c r="H4503" t="s">
        <v>1098</v>
      </c>
      <c r="I4503" t="s">
        <v>1099</v>
      </c>
      <c r="J4503">
        <v>1001</v>
      </c>
      <c r="K4503">
        <v>5004</v>
      </c>
      <c r="L4503" s="3">
        <v>3266141.73</v>
      </c>
      <c r="M4503" s="3">
        <v>272552</v>
      </c>
      <c r="N4503">
        <v>0</v>
      </c>
      <c r="O4503">
        <v>0</v>
      </c>
      <c r="P4503">
        <v>3538693.73</v>
      </c>
      <c r="Q4503" t="s">
        <v>30</v>
      </c>
      <c r="R4503" t="s">
        <v>31</v>
      </c>
      <c r="S4503" t="str">
        <v>#N/A</v>
      </c>
      <c r="T4503" t="str">
        <v>31</v>
      </c>
    </row>
    <row r="4504" spans="1:20" ht="13.7" customHeight="1" x14ac:dyDescent="0.25">
      <c r="A4504" t="s">
        <v>26</v>
      </c>
      <c r="B4504" t="s">
        <v>27</v>
      </c>
      <c r="C4504" t="s">
        <v>38</v>
      </c>
      <c r="D4504">
        <v>49</v>
      </c>
      <c r="E4504" s="5">
        <v>43704</v>
      </c>
      <c r="F4504">
        <v>733530</v>
      </c>
      <c r="G4504" t="s">
        <v>29</v>
      </c>
      <c r="H4504" t="s">
        <v>1098</v>
      </c>
      <c r="I4504" t="s">
        <v>1099</v>
      </c>
      <c r="J4504">
        <v>1001</v>
      </c>
      <c r="K4504">
        <v>5004</v>
      </c>
      <c r="L4504" s="3">
        <v>3538693.73</v>
      </c>
      <c r="M4504" s="3">
        <v>192675</v>
      </c>
      <c r="N4504">
        <v>0</v>
      </c>
      <c r="O4504">
        <v>0</v>
      </c>
      <c r="P4504">
        <v>3731368.73</v>
      </c>
      <c r="Q4504" t="s">
        <v>30</v>
      </c>
      <c r="R4504" t="s">
        <v>31</v>
      </c>
      <c r="S4504" t="str">
        <v>#N/A</v>
      </c>
      <c r="T4504" t="str">
        <v>31</v>
      </c>
    </row>
    <row r="4505" spans="1:20" ht="13.7" customHeight="1" x14ac:dyDescent="0.25">
      <c r="A4505" t="s">
        <v>26</v>
      </c>
      <c r="B4505" t="s">
        <v>27</v>
      </c>
      <c r="C4505" t="s">
        <v>39</v>
      </c>
      <c r="D4505">
        <v>59</v>
      </c>
      <c r="E4505" s="5">
        <v>43736</v>
      </c>
      <c r="F4505">
        <v>733530</v>
      </c>
      <c r="G4505" t="s">
        <v>29</v>
      </c>
      <c r="H4505" t="s">
        <v>1098</v>
      </c>
      <c r="I4505" t="s">
        <v>1099</v>
      </c>
      <c r="J4505">
        <v>1001</v>
      </c>
      <c r="K4505">
        <v>5004</v>
      </c>
      <c r="L4505" s="3">
        <v>3731368.73</v>
      </c>
      <c r="M4505" s="3">
        <v>220720</v>
      </c>
      <c r="N4505">
        <v>0</v>
      </c>
      <c r="O4505">
        <v>0</v>
      </c>
      <c r="P4505">
        <v>3952088.73</v>
      </c>
      <c r="Q4505" t="s">
        <v>30</v>
      </c>
      <c r="R4505" t="s">
        <v>31</v>
      </c>
      <c r="S4505" t="str">
        <v>#N/A</v>
      </c>
      <c r="T4505" t="str">
        <v>31</v>
      </c>
    </row>
    <row r="4506" spans="1:20" ht="13.7" customHeight="1" x14ac:dyDescent="0.25">
      <c r="A4506" t="s">
        <v>26</v>
      </c>
      <c r="B4506" t="s">
        <v>27</v>
      </c>
      <c r="C4506" t="s">
        <v>40</v>
      </c>
      <c r="D4506">
        <v>31</v>
      </c>
      <c r="E4506" s="5">
        <v>43756</v>
      </c>
      <c r="F4506">
        <v>733530</v>
      </c>
      <c r="G4506" t="s">
        <v>29</v>
      </c>
      <c r="H4506" t="s">
        <v>1098</v>
      </c>
      <c r="I4506" t="s">
        <v>1099</v>
      </c>
      <c r="J4506">
        <v>1001</v>
      </c>
      <c r="K4506">
        <v>5004</v>
      </c>
      <c r="L4506" s="3">
        <v>3952088.73</v>
      </c>
      <c r="M4506" s="3">
        <v>183956</v>
      </c>
      <c r="N4506">
        <v>0</v>
      </c>
      <c r="O4506">
        <v>0</v>
      </c>
      <c r="P4506">
        <v>4136044.73</v>
      </c>
      <c r="Q4506" t="s">
        <v>30</v>
      </c>
      <c r="R4506" t="s">
        <v>31</v>
      </c>
      <c r="S4506" t="str">
        <v>#N/A</v>
      </c>
      <c r="T4506" t="str">
        <v>31</v>
      </c>
    </row>
    <row r="4507" spans="1:20" ht="13.7" customHeight="1" x14ac:dyDescent="0.25">
      <c r="A4507" t="s">
        <v>26</v>
      </c>
      <c r="B4507" t="s">
        <v>27</v>
      </c>
      <c r="C4507" t="s">
        <v>41</v>
      </c>
      <c r="D4507">
        <v>46</v>
      </c>
      <c r="E4507" s="5">
        <v>43787</v>
      </c>
      <c r="F4507">
        <v>733530</v>
      </c>
      <c r="G4507" t="s">
        <v>29</v>
      </c>
      <c r="H4507" t="s">
        <v>1098</v>
      </c>
      <c r="I4507" t="s">
        <v>1099</v>
      </c>
      <c r="J4507">
        <v>1001</v>
      </c>
      <c r="K4507">
        <v>5004</v>
      </c>
      <c r="L4507" s="3">
        <v>4136044.73</v>
      </c>
      <c r="M4507" s="3">
        <v>154089</v>
      </c>
      <c r="N4507">
        <v>0</v>
      </c>
      <c r="O4507">
        <v>0</v>
      </c>
      <c r="P4507">
        <v>4290133.7300000004</v>
      </c>
      <c r="Q4507" t="s">
        <v>30</v>
      </c>
      <c r="R4507" t="s">
        <v>42</v>
      </c>
      <c r="S4507" t="str">
        <v>#N/A</v>
      </c>
      <c r="T4507" t="str">
        <v>31</v>
      </c>
    </row>
    <row r="4508" spans="1:20" ht="13.7" customHeight="1" x14ac:dyDescent="0.25">
      <c r="E4508" s="5">
        <v>43465</v>
      </c>
      <c r="F4508">
        <v>73353001</v>
      </c>
      <c r="G4508" t="s">
        <v>1083</v>
      </c>
      <c r="H4508" t="s">
        <v>1098</v>
      </c>
      <c r="I4508" t="s">
        <v>1099</v>
      </c>
      <c r="J4508">
        <v>0</v>
      </c>
      <c r="K4508">
        <v>0</v>
      </c>
      <c r="L4508" s="3">
        <v>410422.02</v>
      </c>
      <c r="M4508" s="3">
        <v>0</v>
      </c>
      <c r="N4508">
        <v>0</v>
      </c>
      <c r="O4508">
        <v>0</v>
      </c>
      <c r="P4508">
        <v>410422.02</v>
      </c>
      <c r="R4508" t="s">
        <v>1100</v>
      </c>
      <c r="S4508" t="str">
        <v>#N/A</v>
      </c>
      <c r="T4508" t="str">
        <v>31</v>
      </c>
    </row>
    <row r="4509" spans="1:20" ht="13.7" customHeight="1" x14ac:dyDescent="0.25">
      <c r="A4509" t="s">
        <v>26</v>
      </c>
      <c r="B4509" t="s">
        <v>27</v>
      </c>
      <c r="C4509" t="s">
        <v>28</v>
      </c>
      <c r="D4509">
        <v>72</v>
      </c>
      <c r="E4509" s="5">
        <v>43493</v>
      </c>
      <c r="F4509">
        <v>73353001</v>
      </c>
      <c r="G4509" t="s">
        <v>1083</v>
      </c>
      <c r="H4509" t="s">
        <v>1098</v>
      </c>
      <c r="I4509" t="s">
        <v>1099</v>
      </c>
      <c r="J4509">
        <v>1001</v>
      </c>
      <c r="K4509">
        <v>5004</v>
      </c>
      <c r="L4509" s="3">
        <v>410422.02</v>
      </c>
      <c r="M4509" s="3">
        <v>35789</v>
      </c>
      <c r="N4509">
        <v>0</v>
      </c>
      <c r="O4509">
        <v>0</v>
      </c>
      <c r="P4509">
        <v>446211.02</v>
      </c>
      <c r="Q4509" t="s">
        <v>30</v>
      </c>
      <c r="R4509" t="s">
        <v>31</v>
      </c>
      <c r="S4509" t="str">
        <v>#N/A</v>
      </c>
      <c r="T4509" t="str">
        <v>31</v>
      </c>
    </row>
    <row r="4510" spans="1:20" ht="13.7" customHeight="1" x14ac:dyDescent="0.25">
      <c r="A4510" t="s">
        <v>26</v>
      </c>
      <c r="B4510" t="s">
        <v>27</v>
      </c>
      <c r="C4510" t="s">
        <v>32</v>
      </c>
      <c r="D4510">
        <v>44</v>
      </c>
      <c r="E4510" s="5">
        <v>43519</v>
      </c>
      <c r="F4510">
        <v>73353001</v>
      </c>
      <c r="G4510" t="s">
        <v>1083</v>
      </c>
      <c r="H4510" t="s">
        <v>1098</v>
      </c>
      <c r="I4510" t="s">
        <v>1099</v>
      </c>
      <c r="J4510">
        <v>1001</v>
      </c>
      <c r="K4510">
        <v>5004</v>
      </c>
      <c r="L4510" s="3">
        <v>446211.02</v>
      </c>
      <c r="M4510" s="3">
        <v>36317</v>
      </c>
      <c r="N4510">
        <v>0</v>
      </c>
      <c r="O4510">
        <v>0</v>
      </c>
      <c r="P4510">
        <v>482528.02</v>
      </c>
      <c r="Q4510" t="s">
        <v>30</v>
      </c>
      <c r="R4510" t="s">
        <v>33</v>
      </c>
      <c r="S4510" t="str">
        <v>#N/A</v>
      </c>
      <c r="T4510" t="str">
        <v>31</v>
      </c>
    </row>
    <row r="4511" spans="1:20" ht="13.7" customHeight="1" x14ac:dyDescent="0.25">
      <c r="A4511" t="s">
        <v>26</v>
      </c>
      <c r="B4511" t="s">
        <v>27</v>
      </c>
      <c r="C4511" t="s">
        <v>91</v>
      </c>
      <c r="D4511">
        <v>44</v>
      </c>
      <c r="E4511" s="5">
        <v>43544</v>
      </c>
      <c r="F4511">
        <v>73353001</v>
      </c>
      <c r="G4511" t="s">
        <v>1083</v>
      </c>
      <c r="H4511" t="s">
        <v>1098</v>
      </c>
      <c r="I4511" t="s">
        <v>1099</v>
      </c>
      <c r="J4511">
        <v>1001</v>
      </c>
      <c r="K4511">
        <v>5004</v>
      </c>
      <c r="L4511" s="3">
        <v>482528.02</v>
      </c>
      <c r="M4511" s="3">
        <v>355887</v>
      </c>
      <c r="N4511">
        <v>0</v>
      </c>
      <c r="O4511">
        <v>0</v>
      </c>
      <c r="P4511">
        <v>838415.02</v>
      </c>
      <c r="Q4511" t="s">
        <v>30</v>
      </c>
      <c r="R4511" t="s">
        <v>240</v>
      </c>
      <c r="S4511" t="str">
        <v>#N/A</v>
      </c>
      <c r="T4511" t="str">
        <v>31</v>
      </c>
    </row>
    <row r="4512" spans="1:20" ht="13.7" customHeight="1" x14ac:dyDescent="0.25">
      <c r="A4512" t="s">
        <v>26</v>
      </c>
      <c r="B4512" t="s">
        <v>27</v>
      </c>
      <c r="C4512" t="s">
        <v>34</v>
      </c>
      <c r="D4512">
        <v>52</v>
      </c>
      <c r="E4512" s="5">
        <v>43578</v>
      </c>
      <c r="F4512">
        <v>73353001</v>
      </c>
      <c r="G4512" t="s">
        <v>1083</v>
      </c>
      <c r="H4512" t="s">
        <v>1098</v>
      </c>
      <c r="I4512" t="s">
        <v>1099</v>
      </c>
      <c r="J4512">
        <v>1001</v>
      </c>
      <c r="K4512">
        <v>5004</v>
      </c>
      <c r="L4512" s="3">
        <v>838415.02</v>
      </c>
      <c r="M4512" s="3">
        <v>38395</v>
      </c>
      <c r="N4512">
        <v>0</v>
      </c>
      <c r="O4512">
        <v>0</v>
      </c>
      <c r="P4512">
        <v>876810.02</v>
      </c>
      <c r="Q4512" t="s">
        <v>30</v>
      </c>
      <c r="R4512" t="s">
        <v>31</v>
      </c>
      <c r="S4512" t="str">
        <v>#N/A</v>
      </c>
      <c r="T4512" t="str">
        <v>31</v>
      </c>
    </row>
    <row r="4513" spans="1:20" ht="13.7" customHeight="1" x14ac:dyDescent="0.25">
      <c r="A4513" t="s">
        <v>26</v>
      </c>
      <c r="B4513" t="s">
        <v>27</v>
      </c>
      <c r="C4513" t="s">
        <v>35</v>
      </c>
      <c r="D4513">
        <v>68</v>
      </c>
      <c r="E4513" s="5">
        <v>43606</v>
      </c>
      <c r="F4513">
        <v>73353001</v>
      </c>
      <c r="G4513" t="s">
        <v>1083</v>
      </c>
      <c r="H4513" t="s">
        <v>1098</v>
      </c>
      <c r="I4513" t="s">
        <v>1099</v>
      </c>
      <c r="J4513">
        <v>1001</v>
      </c>
      <c r="K4513">
        <v>5004</v>
      </c>
      <c r="L4513" s="3">
        <v>876810.02</v>
      </c>
      <c r="M4513" s="3">
        <v>38892</v>
      </c>
      <c r="N4513">
        <v>0</v>
      </c>
      <c r="O4513">
        <v>0</v>
      </c>
      <c r="P4513">
        <v>915702.02</v>
      </c>
      <c r="Q4513" t="s">
        <v>30</v>
      </c>
      <c r="R4513" t="s">
        <v>31</v>
      </c>
      <c r="S4513" t="str">
        <v>#N/A</v>
      </c>
      <c r="T4513" t="str">
        <v>31</v>
      </c>
    </row>
    <row r="4514" spans="1:20" ht="13.7" customHeight="1" x14ac:dyDescent="0.25">
      <c r="A4514" t="s">
        <v>26</v>
      </c>
      <c r="B4514" t="s">
        <v>27</v>
      </c>
      <c r="C4514" t="s">
        <v>36</v>
      </c>
      <c r="D4514">
        <v>42</v>
      </c>
      <c r="E4514" s="5">
        <v>43636</v>
      </c>
      <c r="F4514">
        <v>73353001</v>
      </c>
      <c r="G4514" t="s">
        <v>1083</v>
      </c>
      <c r="H4514" t="s">
        <v>1098</v>
      </c>
      <c r="I4514" t="s">
        <v>1099</v>
      </c>
      <c r="J4514">
        <v>1001</v>
      </c>
      <c r="K4514">
        <v>5004</v>
      </c>
      <c r="L4514" s="3">
        <v>915702.02</v>
      </c>
      <c r="M4514" s="3">
        <v>37852</v>
      </c>
      <c r="N4514">
        <v>0</v>
      </c>
      <c r="O4514">
        <v>0</v>
      </c>
      <c r="P4514">
        <v>953554.02</v>
      </c>
      <c r="Q4514" t="s">
        <v>30</v>
      </c>
      <c r="R4514" t="s">
        <v>31</v>
      </c>
      <c r="S4514" t="str">
        <v>#N/A</v>
      </c>
      <c r="T4514" t="str">
        <v>31</v>
      </c>
    </row>
    <row r="4515" spans="1:20" ht="13.7" customHeight="1" x14ac:dyDescent="0.25">
      <c r="A4515" t="s">
        <v>26</v>
      </c>
      <c r="B4515" t="s">
        <v>27</v>
      </c>
      <c r="C4515" t="s">
        <v>37</v>
      </c>
      <c r="D4515">
        <v>56</v>
      </c>
      <c r="E4515" s="5">
        <v>43672</v>
      </c>
      <c r="F4515">
        <v>73353001</v>
      </c>
      <c r="G4515" t="s">
        <v>1083</v>
      </c>
      <c r="H4515" t="s">
        <v>1098</v>
      </c>
      <c r="I4515" t="s">
        <v>1099</v>
      </c>
      <c r="J4515">
        <v>1001</v>
      </c>
      <c r="K4515">
        <v>5004</v>
      </c>
      <c r="L4515" s="3">
        <v>953554.02</v>
      </c>
      <c r="M4515" s="3">
        <v>36210</v>
      </c>
      <c r="N4515">
        <v>0</v>
      </c>
      <c r="O4515">
        <v>0</v>
      </c>
      <c r="P4515">
        <v>989764.02</v>
      </c>
      <c r="Q4515" t="s">
        <v>30</v>
      </c>
      <c r="R4515" t="s">
        <v>31</v>
      </c>
      <c r="S4515" t="str">
        <v>#N/A</v>
      </c>
      <c r="T4515" t="str">
        <v>31</v>
      </c>
    </row>
    <row r="4516" spans="1:20" ht="13.7" customHeight="1" x14ac:dyDescent="0.25">
      <c r="A4516" t="s">
        <v>26</v>
      </c>
      <c r="B4516" t="s">
        <v>27</v>
      </c>
      <c r="C4516" t="s">
        <v>38</v>
      </c>
      <c r="D4516">
        <v>49</v>
      </c>
      <c r="E4516" s="5">
        <v>43704</v>
      </c>
      <c r="F4516">
        <v>73353001</v>
      </c>
      <c r="G4516" t="s">
        <v>1083</v>
      </c>
      <c r="H4516" t="s">
        <v>1098</v>
      </c>
      <c r="I4516" t="s">
        <v>1099</v>
      </c>
      <c r="J4516">
        <v>1001</v>
      </c>
      <c r="K4516">
        <v>5004</v>
      </c>
      <c r="L4516" s="3">
        <v>989764.02</v>
      </c>
      <c r="M4516" s="3">
        <v>36190</v>
      </c>
      <c r="N4516">
        <v>0</v>
      </c>
      <c r="O4516">
        <v>0</v>
      </c>
      <c r="P4516">
        <v>1025954.02</v>
      </c>
      <c r="Q4516" t="s">
        <v>30</v>
      </c>
      <c r="R4516" t="s">
        <v>31</v>
      </c>
      <c r="S4516" t="str">
        <v>#N/A</v>
      </c>
      <c r="T4516" t="str">
        <v>31</v>
      </c>
    </row>
    <row r="4517" spans="1:20" ht="13.7" customHeight="1" x14ac:dyDescent="0.25">
      <c r="A4517" t="s">
        <v>26</v>
      </c>
      <c r="B4517" t="s">
        <v>27</v>
      </c>
      <c r="C4517" t="s">
        <v>39</v>
      </c>
      <c r="D4517">
        <v>59</v>
      </c>
      <c r="E4517" s="5">
        <v>43736</v>
      </c>
      <c r="F4517">
        <v>73353001</v>
      </c>
      <c r="G4517" t="s">
        <v>1083</v>
      </c>
      <c r="H4517" t="s">
        <v>1098</v>
      </c>
      <c r="I4517" t="s">
        <v>1099</v>
      </c>
      <c r="J4517">
        <v>1001</v>
      </c>
      <c r="K4517">
        <v>5004</v>
      </c>
      <c r="L4517" s="3">
        <v>1025954.02</v>
      </c>
      <c r="M4517" s="3">
        <v>36494</v>
      </c>
      <c r="N4517">
        <v>0</v>
      </c>
      <c r="O4517">
        <v>0</v>
      </c>
      <c r="P4517">
        <v>1062448.02</v>
      </c>
      <c r="Q4517" t="s">
        <v>30</v>
      </c>
      <c r="R4517" t="s">
        <v>31</v>
      </c>
      <c r="S4517" t="str">
        <v>#N/A</v>
      </c>
      <c r="T4517" t="str">
        <v>31</v>
      </c>
    </row>
    <row r="4518" spans="1:20" ht="13.7" customHeight="1" x14ac:dyDescent="0.25">
      <c r="A4518" t="s">
        <v>26</v>
      </c>
      <c r="B4518" t="s">
        <v>27</v>
      </c>
      <c r="C4518" t="s">
        <v>40</v>
      </c>
      <c r="D4518">
        <v>31</v>
      </c>
      <c r="E4518" s="5">
        <v>43756</v>
      </c>
      <c r="F4518">
        <v>73353001</v>
      </c>
      <c r="G4518" t="s">
        <v>1083</v>
      </c>
      <c r="H4518" t="s">
        <v>1098</v>
      </c>
      <c r="I4518" t="s">
        <v>1099</v>
      </c>
      <c r="J4518">
        <v>1001</v>
      </c>
      <c r="K4518">
        <v>5004</v>
      </c>
      <c r="L4518" s="3">
        <v>1062448.02</v>
      </c>
      <c r="M4518" s="3">
        <v>37029</v>
      </c>
      <c r="N4518">
        <v>0</v>
      </c>
      <c r="O4518">
        <v>0</v>
      </c>
      <c r="P4518">
        <v>1099477.02</v>
      </c>
      <c r="Q4518" t="s">
        <v>30</v>
      </c>
      <c r="R4518" t="s">
        <v>31</v>
      </c>
      <c r="S4518" t="str">
        <v>#N/A</v>
      </c>
      <c r="T4518" t="str">
        <v>31</v>
      </c>
    </row>
    <row r="4519" spans="1:20" ht="13.7" customHeight="1" x14ac:dyDescent="0.25">
      <c r="A4519" t="s">
        <v>26</v>
      </c>
      <c r="B4519" t="s">
        <v>27</v>
      </c>
      <c r="C4519" t="s">
        <v>41</v>
      </c>
      <c r="D4519">
        <v>46</v>
      </c>
      <c r="E4519" s="5">
        <v>43787</v>
      </c>
      <c r="F4519">
        <v>73353001</v>
      </c>
      <c r="G4519" t="s">
        <v>1083</v>
      </c>
      <c r="H4519" t="s">
        <v>1098</v>
      </c>
      <c r="I4519" t="s">
        <v>1099</v>
      </c>
      <c r="J4519">
        <v>1001</v>
      </c>
      <c r="K4519">
        <v>5004</v>
      </c>
      <c r="L4519" s="3">
        <v>1099477.02</v>
      </c>
      <c r="M4519" s="3">
        <v>37271</v>
      </c>
      <c r="N4519">
        <v>0</v>
      </c>
      <c r="O4519">
        <v>0</v>
      </c>
      <c r="P4519">
        <v>1136748.02</v>
      </c>
      <c r="Q4519" t="s">
        <v>30</v>
      </c>
      <c r="R4519" t="s">
        <v>42</v>
      </c>
      <c r="S4519" t="str">
        <v>#N/A</v>
      </c>
      <c r="T4519" t="str">
        <v>31</v>
      </c>
    </row>
    <row r="4520" spans="1:20" ht="13.7" customHeight="1" x14ac:dyDescent="0.25">
      <c r="E4520" s="5">
        <v>43465</v>
      </c>
      <c r="F4520">
        <v>73353505</v>
      </c>
      <c r="G4520" t="s">
        <v>1084</v>
      </c>
      <c r="H4520" t="s">
        <v>1098</v>
      </c>
      <c r="I4520" t="s">
        <v>1099</v>
      </c>
      <c r="J4520">
        <v>0</v>
      </c>
      <c r="K4520">
        <v>0</v>
      </c>
      <c r="L4520" s="3">
        <v>619174.52</v>
      </c>
      <c r="M4520" s="3">
        <v>0</v>
      </c>
      <c r="N4520">
        <v>0</v>
      </c>
      <c r="O4520">
        <v>0</v>
      </c>
      <c r="P4520">
        <v>619174.52</v>
      </c>
      <c r="R4520" t="s">
        <v>1100</v>
      </c>
      <c r="S4520" t="str">
        <v>#N/A</v>
      </c>
      <c r="T4520" t="str">
        <v>31</v>
      </c>
    </row>
    <row r="4521" spans="1:20" ht="13.7" customHeight="1" x14ac:dyDescent="0.25">
      <c r="A4521" t="s">
        <v>26</v>
      </c>
      <c r="B4521" t="s">
        <v>27</v>
      </c>
      <c r="C4521" t="s">
        <v>32</v>
      </c>
      <c r="D4521">
        <v>43</v>
      </c>
      <c r="E4521" s="5">
        <v>43519</v>
      </c>
      <c r="F4521">
        <v>73353505</v>
      </c>
      <c r="G4521" t="s">
        <v>1084</v>
      </c>
      <c r="H4521" t="s">
        <v>1098</v>
      </c>
      <c r="I4521" t="s">
        <v>1099</v>
      </c>
      <c r="J4521">
        <v>1001</v>
      </c>
      <c r="K4521">
        <v>5004</v>
      </c>
      <c r="L4521" s="3">
        <v>619174.52</v>
      </c>
      <c r="M4521" s="3">
        <v>110565</v>
      </c>
      <c r="N4521">
        <v>0</v>
      </c>
      <c r="O4521">
        <v>0</v>
      </c>
      <c r="P4521">
        <v>729739.52</v>
      </c>
      <c r="Q4521" t="s">
        <v>30</v>
      </c>
      <c r="R4521" t="s">
        <v>225</v>
      </c>
      <c r="S4521" t="str">
        <v>#N/A</v>
      </c>
      <c r="T4521" t="str">
        <v>31</v>
      </c>
    </row>
    <row r="4522" spans="1:20" ht="13.7" customHeight="1" x14ac:dyDescent="0.25">
      <c r="A4522" t="s">
        <v>26</v>
      </c>
      <c r="B4522" t="s">
        <v>27</v>
      </c>
      <c r="C4522" t="s">
        <v>91</v>
      </c>
      <c r="D4522">
        <v>78</v>
      </c>
      <c r="E4522" s="5">
        <v>43544</v>
      </c>
      <c r="F4522">
        <v>73353505</v>
      </c>
      <c r="G4522" t="s">
        <v>1084</v>
      </c>
      <c r="H4522" t="s">
        <v>1098</v>
      </c>
      <c r="I4522" t="s">
        <v>1099</v>
      </c>
      <c r="J4522">
        <v>1001</v>
      </c>
      <c r="K4522">
        <v>5004</v>
      </c>
      <c r="L4522" s="3">
        <v>729739.52</v>
      </c>
      <c r="M4522" s="3">
        <v>15100</v>
      </c>
      <c r="N4522">
        <v>0</v>
      </c>
      <c r="O4522">
        <v>0</v>
      </c>
      <c r="P4522">
        <v>744839.52</v>
      </c>
      <c r="Q4522" t="s">
        <v>30</v>
      </c>
      <c r="R4522" t="s">
        <v>225</v>
      </c>
      <c r="S4522" t="str">
        <v>#N/A</v>
      </c>
      <c r="T4522" t="str">
        <v>31</v>
      </c>
    </row>
    <row r="4523" spans="1:20" ht="13.7" customHeight="1" x14ac:dyDescent="0.25">
      <c r="A4523" t="s">
        <v>26</v>
      </c>
      <c r="B4523" t="s">
        <v>27</v>
      </c>
      <c r="C4523" t="s">
        <v>34</v>
      </c>
      <c r="D4523">
        <v>51</v>
      </c>
      <c r="E4523" s="5">
        <v>43578</v>
      </c>
      <c r="F4523">
        <v>73353505</v>
      </c>
      <c r="G4523" t="s">
        <v>1084</v>
      </c>
      <c r="H4523" t="s">
        <v>1098</v>
      </c>
      <c r="I4523" t="s">
        <v>1099</v>
      </c>
      <c r="J4523">
        <v>1001</v>
      </c>
      <c r="K4523">
        <v>5004</v>
      </c>
      <c r="L4523" s="3">
        <v>744839.52</v>
      </c>
      <c r="M4523" s="3">
        <v>15100</v>
      </c>
      <c r="N4523">
        <v>0</v>
      </c>
      <c r="O4523">
        <v>0</v>
      </c>
      <c r="P4523">
        <v>759939.52</v>
      </c>
      <c r="Q4523" t="s">
        <v>30</v>
      </c>
      <c r="R4523" t="s">
        <v>225</v>
      </c>
      <c r="S4523" t="str">
        <v>#N/A</v>
      </c>
      <c r="T4523" t="str">
        <v>31</v>
      </c>
    </row>
    <row r="4524" spans="1:20" ht="13.7" customHeight="1" x14ac:dyDescent="0.25">
      <c r="A4524" t="s">
        <v>26</v>
      </c>
      <c r="B4524" t="s">
        <v>27</v>
      </c>
      <c r="C4524" t="s">
        <v>35</v>
      </c>
      <c r="D4524">
        <v>69</v>
      </c>
      <c r="E4524" s="5">
        <v>43606</v>
      </c>
      <c r="F4524">
        <v>73353505</v>
      </c>
      <c r="G4524" t="s">
        <v>1084</v>
      </c>
      <c r="H4524" t="s">
        <v>1098</v>
      </c>
      <c r="I4524" t="s">
        <v>1099</v>
      </c>
      <c r="J4524">
        <v>1001</v>
      </c>
      <c r="K4524">
        <v>5004</v>
      </c>
      <c r="L4524" s="3">
        <v>759939.52</v>
      </c>
      <c r="M4524" s="3">
        <v>15100</v>
      </c>
      <c r="N4524">
        <v>0</v>
      </c>
      <c r="O4524">
        <v>0</v>
      </c>
      <c r="P4524">
        <v>775039.52</v>
      </c>
      <c r="Q4524" t="s">
        <v>30</v>
      </c>
      <c r="R4524" t="s">
        <v>225</v>
      </c>
      <c r="S4524" t="str">
        <v>#N/A</v>
      </c>
      <c r="T4524" t="str">
        <v>31</v>
      </c>
    </row>
    <row r="4525" spans="1:20" ht="13.7" customHeight="1" x14ac:dyDescent="0.25">
      <c r="A4525" t="s">
        <v>26</v>
      </c>
      <c r="B4525" t="s">
        <v>27</v>
      </c>
      <c r="C4525" t="s">
        <v>36</v>
      </c>
      <c r="D4525">
        <v>58</v>
      </c>
      <c r="E4525" s="5">
        <v>43642</v>
      </c>
      <c r="F4525">
        <v>73353505</v>
      </c>
      <c r="G4525" t="s">
        <v>1084</v>
      </c>
      <c r="H4525" t="s">
        <v>1098</v>
      </c>
      <c r="I4525" t="s">
        <v>1099</v>
      </c>
      <c r="J4525">
        <v>1001</v>
      </c>
      <c r="K4525">
        <v>5004</v>
      </c>
      <c r="L4525" s="3">
        <v>775039.52</v>
      </c>
      <c r="M4525" s="3">
        <v>15100</v>
      </c>
      <c r="N4525">
        <v>0</v>
      </c>
      <c r="O4525">
        <v>0</v>
      </c>
      <c r="P4525">
        <v>790139.52</v>
      </c>
      <c r="Q4525" t="s">
        <v>30</v>
      </c>
      <c r="R4525" t="s">
        <v>225</v>
      </c>
      <c r="S4525" t="str">
        <v>#N/A</v>
      </c>
      <c r="T4525" t="str">
        <v>31</v>
      </c>
    </row>
    <row r="4526" spans="1:20" ht="13.7" customHeight="1" x14ac:dyDescent="0.25">
      <c r="A4526" t="s">
        <v>26</v>
      </c>
      <c r="B4526" t="s">
        <v>27</v>
      </c>
      <c r="C4526" t="s">
        <v>37</v>
      </c>
      <c r="D4526">
        <v>55</v>
      </c>
      <c r="E4526" s="5">
        <v>43672</v>
      </c>
      <c r="F4526">
        <v>73353505</v>
      </c>
      <c r="G4526" t="s">
        <v>1084</v>
      </c>
      <c r="H4526" t="s">
        <v>1098</v>
      </c>
      <c r="I4526" t="s">
        <v>1099</v>
      </c>
      <c r="J4526">
        <v>1001</v>
      </c>
      <c r="K4526">
        <v>5004</v>
      </c>
      <c r="L4526" s="3">
        <v>790139.52</v>
      </c>
      <c r="M4526" s="3">
        <v>15100</v>
      </c>
      <c r="N4526">
        <v>0</v>
      </c>
      <c r="O4526">
        <v>0</v>
      </c>
      <c r="P4526">
        <v>805239.52</v>
      </c>
      <c r="Q4526" t="s">
        <v>30</v>
      </c>
      <c r="R4526" t="s">
        <v>225</v>
      </c>
      <c r="S4526" t="str">
        <v>#N/A</v>
      </c>
      <c r="T4526" t="str">
        <v>31</v>
      </c>
    </row>
    <row r="4527" spans="1:20" ht="13.7" customHeight="1" x14ac:dyDescent="0.25">
      <c r="A4527" t="s">
        <v>26</v>
      </c>
      <c r="B4527" t="s">
        <v>27</v>
      </c>
      <c r="C4527" t="s">
        <v>38</v>
      </c>
      <c r="D4527">
        <v>50</v>
      </c>
      <c r="E4527" s="5">
        <v>43704</v>
      </c>
      <c r="F4527">
        <v>73353505</v>
      </c>
      <c r="G4527" t="s">
        <v>1084</v>
      </c>
      <c r="H4527" t="s">
        <v>1098</v>
      </c>
      <c r="I4527" t="s">
        <v>1099</v>
      </c>
      <c r="J4527">
        <v>1001</v>
      </c>
      <c r="K4527">
        <v>5004</v>
      </c>
      <c r="L4527" s="3">
        <v>805239.52</v>
      </c>
      <c r="M4527" s="3">
        <v>15100</v>
      </c>
      <c r="N4527">
        <v>0</v>
      </c>
      <c r="O4527">
        <v>0</v>
      </c>
      <c r="P4527">
        <v>820339.52</v>
      </c>
      <c r="Q4527" t="s">
        <v>30</v>
      </c>
      <c r="R4527" t="s">
        <v>225</v>
      </c>
      <c r="S4527" t="str">
        <v>#N/A</v>
      </c>
      <c r="T4527" t="str">
        <v>31</v>
      </c>
    </row>
    <row r="4528" spans="1:20" ht="13.7" customHeight="1" x14ac:dyDescent="0.25">
      <c r="A4528" t="s">
        <v>26</v>
      </c>
      <c r="B4528" t="s">
        <v>27</v>
      </c>
      <c r="C4528" t="s">
        <v>39</v>
      </c>
      <c r="D4528">
        <v>60</v>
      </c>
      <c r="E4528" s="5">
        <v>43736</v>
      </c>
      <c r="F4528">
        <v>73353505</v>
      </c>
      <c r="G4528" t="s">
        <v>1084</v>
      </c>
      <c r="H4528" t="s">
        <v>1098</v>
      </c>
      <c r="I4528" t="s">
        <v>1099</v>
      </c>
      <c r="J4528">
        <v>1001</v>
      </c>
      <c r="K4528">
        <v>5004</v>
      </c>
      <c r="L4528" s="3">
        <v>820339.52</v>
      </c>
      <c r="M4528" s="3">
        <v>15111</v>
      </c>
      <c r="N4528">
        <v>0</v>
      </c>
      <c r="O4528">
        <v>0</v>
      </c>
      <c r="P4528">
        <v>835450.52</v>
      </c>
      <c r="Q4528" t="s">
        <v>30</v>
      </c>
      <c r="R4528" t="s">
        <v>225</v>
      </c>
      <c r="S4528" t="str">
        <v>#N/A</v>
      </c>
      <c r="T4528" t="str">
        <v>31</v>
      </c>
    </row>
    <row r="4529" spans="1:20" ht="13.7" customHeight="1" x14ac:dyDescent="0.25">
      <c r="A4529" t="s">
        <v>26</v>
      </c>
      <c r="B4529" t="s">
        <v>27</v>
      </c>
      <c r="C4529" t="s">
        <v>40</v>
      </c>
      <c r="D4529">
        <v>30</v>
      </c>
      <c r="E4529" s="5">
        <v>43756</v>
      </c>
      <c r="F4529">
        <v>73353505</v>
      </c>
      <c r="G4529" t="s">
        <v>1084</v>
      </c>
      <c r="H4529" t="s">
        <v>1098</v>
      </c>
      <c r="I4529" t="s">
        <v>1099</v>
      </c>
      <c r="J4529">
        <v>1001</v>
      </c>
      <c r="K4529">
        <v>5004</v>
      </c>
      <c r="L4529" s="3">
        <v>835450.52</v>
      </c>
      <c r="M4529" s="3">
        <v>15122</v>
      </c>
      <c r="N4529">
        <v>0</v>
      </c>
      <c r="O4529">
        <v>0</v>
      </c>
      <c r="P4529">
        <v>850572.52</v>
      </c>
      <c r="Q4529" t="s">
        <v>30</v>
      </c>
      <c r="R4529" t="s">
        <v>225</v>
      </c>
      <c r="S4529" t="str">
        <v>#N/A</v>
      </c>
      <c r="T4529" t="str">
        <v>31</v>
      </c>
    </row>
    <row r="4530" spans="1:20" ht="13.7" customHeight="1" x14ac:dyDescent="0.25">
      <c r="A4530" t="s">
        <v>26</v>
      </c>
      <c r="B4530" t="s">
        <v>27</v>
      </c>
      <c r="C4530" t="s">
        <v>41</v>
      </c>
      <c r="D4530">
        <v>62</v>
      </c>
      <c r="E4530" s="5">
        <v>43794</v>
      </c>
      <c r="F4530">
        <v>73353505</v>
      </c>
      <c r="G4530" t="s">
        <v>1084</v>
      </c>
      <c r="H4530" t="s">
        <v>1098</v>
      </c>
      <c r="I4530" t="s">
        <v>1099</v>
      </c>
      <c r="J4530">
        <v>1001</v>
      </c>
      <c r="K4530">
        <v>5004</v>
      </c>
      <c r="L4530" s="3">
        <v>850572.52</v>
      </c>
      <c r="M4530" s="3">
        <v>15100</v>
      </c>
      <c r="N4530">
        <v>0</v>
      </c>
      <c r="O4530">
        <v>0</v>
      </c>
      <c r="P4530">
        <v>865672.52</v>
      </c>
      <c r="Q4530" t="s">
        <v>30</v>
      </c>
      <c r="R4530" t="s">
        <v>225</v>
      </c>
      <c r="S4530" t="str">
        <v>#N/A</v>
      </c>
      <c r="T4530" t="str">
        <v>31</v>
      </c>
    </row>
    <row r="4531" spans="1:20" ht="13.7" customHeight="1" x14ac:dyDescent="0.25">
      <c r="E4531" s="5">
        <v>43465</v>
      </c>
      <c r="F4531">
        <v>73353510</v>
      </c>
      <c r="G4531" t="s">
        <v>1085</v>
      </c>
      <c r="H4531" t="s">
        <v>1167</v>
      </c>
      <c r="I4531" t="s">
        <v>1168</v>
      </c>
      <c r="J4531">
        <v>0</v>
      </c>
      <c r="K4531">
        <v>0</v>
      </c>
      <c r="L4531" s="3">
        <v>956441</v>
      </c>
      <c r="M4531" s="3">
        <v>0</v>
      </c>
      <c r="N4531">
        <v>0</v>
      </c>
      <c r="O4531">
        <v>0</v>
      </c>
      <c r="P4531">
        <v>956441</v>
      </c>
      <c r="R4531" t="s">
        <v>1100</v>
      </c>
      <c r="S4531" t="str">
        <v>#N/A</v>
      </c>
      <c r="T4531" t="str">
        <v>31</v>
      </c>
    </row>
    <row r="4532" spans="1:20" ht="13.7" customHeight="1" x14ac:dyDescent="0.25">
      <c r="A4532" t="s">
        <v>26</v>
      </c>
      <c r="B4532" t="s">
        <v>27</v>
      </c>
      <c r="C4532" t="s">
        <v>28</v>
      </c>
      <c r="D4532">
        <v>71</v>
      </c>
      <c r="E4532" s="5">
        <v>43493</v>
      </c>
      <c r="F4532">
        <v>73353510</v>
      </c>
      <c r="G4532" t="s">
        <v>1085</v>
      </c>
      <c r="H4532" t="s">
        <v>1167</v>
      </c>
      <c r="I4532" t="s">
        <v>1168</v>
      </c>
      <c r="J4532">
        <v>1001</v>
      </c>
      <c r="K4532">
        <v>5004</v>
      </c>
      <c r="L4532" s="3">
        <v>956441</v>
      </c>
      <c r="M4532" s="3">
        <v>63849</v>
      </c>
      <c r="N4532">
        <v>0</v>
      </c>
      <c r="O4532">
        <v>0</v>
      </c>
      <c r="P4532">
        <v>1020290</v>
      </c>
      <c r="Q4532" t="s">
        <v>30</v>
      </c>
      <c r="R4532" t="s">
        <v>204</v>
      </c>
      <c r="S4532" t="str">
        <v>#N/A</v>
      </c>
      <c r="T4532" t="str">
        <v>31</v>
      </c>
    </row>
    <row r="4533" spans="1:20" ht="13.7" customHeight="1" x14ac:dyDescent="0.25">
      <c r="A4533" t="s">
        <v>26</v>
      </c>
      <c r="B4533" t="s">
        <v>27</v>
      </c>
      <c r="C4533" t="s">
        <v>32</v>
      </c>
      <c r="D4533">
        <v>50</v>
      </c>
      <c r="E4533" s="5">
        <v>43521</v>
      </c>
      <c r="F4533">
        <v>73353510</v>
      </c>
      <c r="G4533" t="s">
        <v>1085</v>
      </c>
      <c r="H4533" t="s">
        <v>1167</v>
      </c>
      <c r="I4533" t="s">
        <v>1168</v>
      </c>
      <c r="J4533">
        <v>1001</v>
      </c>
      <c r="K4533">
        <v>5004</v>
      </c>
      <c r="L4533" s="3">
        <v>1020290</v>
      </c>
      <c r="M4533" s="3">
        <v>63425</v>
      </c>
      <c r="N4533">
        <v>0</v>
      </c>
      <c r="O4533">
        <v>0</v>
      </c>
      <c r="P4533">
        <v>1083715</v>
      </c>
      <c r="Q4533" t="s">
        <v>30</v>
      </c>
      <c r="R4533" t="s">
        <v>204</v>
      </c>
      <c r="S4533" t="str">
        <v>#N/A</v>
      </c>
      <c r="T4533" t="str">
        <v>31</v>
      </c>
    </row>
    <row r="4534" spans="1:20" ht="13.7" customHeight="1" x14ac:dyDescent="0.25">
      <c r="A4534" t="s">
        <v>26</v>
      </c>
      <c r="B4534" t="s">
        <v>27</v>
      </c>
      <c r="C4534" t="s">
        <v>91</v>
      </c>
      <c r="D4534">
        <v>57</v>
      </c>
      <c r="E4534" s="5">
        <v>43553</v>
      </c>
      <c r="F4534">
        <v>73353510</v>
      </c>
      <c r="G4534" t="s">
        <v>1085</v>
      </c>
      <c r="H4534" t="s">
        <v>1167</v>
      </c>
      <c r="I4534" t="s">
        <v>1168</v>
      </c>
      <c r="J4534">
        <v>1001</v>
      </c>
      <c r="K4534">
        <v>5004</v>
      </c>
      <c r="L4534" s="3">
        <v>1083715</v>
      </c>
      <c r="M4534" s="3">
        <v>77690</v>
      </c>
      <c r="N4534">
        <v>0</v>
      </c>
      <c r="O4534">
        <v>0</v>
      </c>
      <c r="P4534">
        <v>1161405</v>
      </c>
      <c r="Q4534" t="s">
        <v>30</v>
      </c>
      <c r="R4534" t="s">
        <v>111</v>
      </c>
      <c r="S4534" t="str">
        <v>#N/A</v>
      </c>
      <c r="T4534" t="str">
        <v>31</v>
      </c>
    </row>
    <row r="4535" spans="1:20" ht="13.7" customHeight="1" x14ac:dyDescent="0.25">
      <c r="A4535" t="s">
        <v>26</v>
      </c>
      <c r="B4535" t="s">
        <v>27</v>
      </c>
      <c r="C4535" t="s">
        <v>34</v>
      </c>
      <c r="D4535">
        <v>58</v>
      </c>
      <c r="E4535" s="5">
        <v>43581</v>
      </c>
      <c r="F4535">
        <v>73353510</v>
      </c>
      <c r="G4535" t="s">
        <v>1085</v>
      </c>
      <c r="H4535" t="s">
        <v>1167</v>
      </c>
      <c r="I4535" t="s">
        <v>1168</v>
      </c>
      <c r="J4535">
        <v>1001</v>
      </c>
      <c r="K4535">
        <v>5004</v>
      </c>
      <c r="L4535" s="3">
        <v>1161405</v>
      </c>
      <c r="M4535" s="3">
        <v>66618</v>
      </c>
      <c r="N4535">
        <v>0</v>
      </c>
      <c r="O4535">
        <v>0</v>
      </c>
      <c r="P4535">
        <v>1228023</v>
      </c>
      <c r="Q4535" t="s">
        <v>30</v>
      </c>
      <c r="R4535" t="s">
        <v>204</v>
      </c>
      <c r="S4535" t="str">
        <v>#N/A</v>
      </c>
      <c r="T4535" t="str">
        <v>31</v>
      </c>
    </row>
    <row r="4536" spans="1:20" ht="13.7" customHeight="1" x14ac:dyDescent="0.25">
      <c r="A4536" t="s">
        <v>26</v>
      </c>
      <c r="B4536" t="s">
        <v>27</v>
      </c>
      <c r="C4536" t="s">
        <v>35</v>
      </c>
      <c r="D4536">
        <v>87</v>
      </c>
      <c r="E4536" s="5">
        <v>43612</v>
      </c>
      <c r="F4536">
        <v>73353510</v>
      </c>
      <c r="G4536" t="s">
        <v>1085</v>
      </c>
      <c r="H4536" t="s">
        <v>1167</v>
      </c>
      <c r="I4536" t="s">
        <v>1168</v>
      </c>
      <c r="J4536">
        <v>1001</v>
      </c>
      <c r="K4536">
        <v>5004</v>
      </c>
      <c r="L4536" s="3">
        <v>1228023</v>
      </c>
      <c r="M4536" s="3">
        <v>54349</v>
      </c>
      <c r="N4536">
        <v>0</v>
      </c>
      <c r="O4536">
        <v>0</v>
      </c>
      <c r="P4536">
        <v>1282372</v>
      </c>
      <c r="Q4536" t="s">
        <v>30</v>
      </c>
      <c r="R4536" t="s">
        <v>204</v>
      </c>
      <c r="S4536" t="str">
        <v>#N/A</v>
      </c>
      <c r="T4536" t="str">
        <v>31</v>
      </c>
    </row>
    <row r="4537" spans="1:20" ht="13.7" customHeight="1" x14ac:dyDescent="0.25">
      <c r="A4537" t="s">
        <v>26</v>
      </c>
      <c r="B4537" t="s">
        <v>27</v>
      </c>
      <c r="C4537" t="s">
        <v>36</v>
      </c>
      <c r="D4537">
        <v>59</v>
      </c>
      <c r="E4537" s="5">
        <v>43642</v>
      </c>
      <c r="F4537">
        <v>73353510</v>
      </c>
      <c r="G4537" t="s">
        <v>1085</v>
      </c>
      <c r="H4537" t="s">
        <v>1167</v>
      </c>
      <c r="I4537" t="s">
        <v>1168</v>
      </c>
      <c r="J4537">
        <v>1001</v>
      </c>
      <c r="K4537">
        <v>5004</v>
      </c>
      <c r="L4537" s="3">
        <v>1282372</v>
      </c>
      <c r="M4537" s="3">
        <v>54349</v>
      </c>
      <c r="N4537">
        <v>0</v>
      </c>
      <c r="O4537">
        <v>0</v>
      </c>
      <c r="P4537">
        <v>1336721</v>
      </c>
      <c r="Q4537" t="s">
        <v>30</v>
      </c>
      <c r="R4537" t="s">
        <v>204</v>
      </c>
      <c r="S4537" t="str">
        <v>#N/A</v>
      </c>
      <c r="T4537" t="str">
        <v>31</v>
      </c>
    </row>
    <row r="4538" spans="1:20" ht="13.7" customHeight="1" x14ac:dyDescent="0.25">
      <c r="A4538" t="s">
        <v>26</v>
      </c>
      <c r="B4538" t="s">
        <v>27</v>
      </c>
      <c r="C4538" t="s">
        <v>38</v>
      </c>
      <c r="D4538">
        <v>1</v>
      </c>
      <c r="E4538" s="5">
        <v>43679</v>
      </c>
      <c r="F4538">
        <v>73353510</v>
      </c>
      <c r="G4538" t="s">
        <v>1085</v>
      </c>
      <c r="H4538" t="s">
        <v>1167</v>
      </c>
      <c r="I4538" t="s">
        <v>1168</v>
      </c>
      <c r="J4538">
        <v>1001</v>
      </c>
      <c r="K4538">
        <v>5004</v>
      </c>
      <c r="L4538" s="3">
        <v>1336721</v>
      </c>
      <c r="M4538" s="3">
        <v>54349</v>
      </c>
      <c r="N4538">
        <v>0</v>
      </c>
      <c r="O4538">
        <v>0</v>
      </c>
      <c r="P4538">
        <v>1391070</v>
      </c>
      <c r="Q4538" t="s">
        <v>30</v>
      </c>
      <c r="R4538" t="s">
        <v>204</v>
      </c>
      <c r="S4538" t="str">
        <v>#N/A</v>
      </c>
      <c r="T4538" t="str">
        <v>31</v>
      </c>
    </row>
    <row r="4539" spans="1:20" ht="13.7" customHeight="1" x14ac:dyDescent="0.25">
      <c r="A4539" t="s">
        <v>26</v>
      </c>
      <c r="B4539" t="s">
        <v>27</v>
      </c>
      <c r="C4539" t="s">
        <v>39</v>
      </c>
      <c r="D4539">
        <v>65</v>
      </c>
      <c r="E4539" s="5">
        <v>43738</v>
      </c>
      <c r="F4539">
        <v>73353510</v>
      </c>
      <c r="G4539" t="s">
        <v>1085</v>
      </c>
      <c r="H4539" t="s">
        <v>1167</v>
      </c>
      <c r="I4539" t="s">
        <v>1168</v>
      </c>
      <c r="J4539">
        <v>1001</v>
      </c>
      <c r="K4539">
        <v>5004</v>
      </c>
      <c r="L4539" s="3">
        <v>1391070</v>
      </c>
      <c r="M4539" s="3">
        <v>54361</v>
      </c>
      <c r="N4539">
        <v>0</v>
      </c>
      <c r="O4539">
        <v>0</v>
      </c>
      <c r="P4539">
        <v>1445431</v>
      </c>
      <c r="Q4539" t="s">
        <v>30</v>
      </c>
      <c r="R4539" t="s">
        <v>204</v>
      </c>
      <c r="S4539" t="str">
        <v>#N/A</v>
      </c>
      <c r="T4539" t="str">
        <v>31</v>
      </c>
    </row>
    <row r="4540" spans="1:20" ht="13.7" customHeight="1" x14ac:dyDescent="0.25">
      <c r="A4540" t="s">
        <v>26</v>
      </c>
      <c r="B4540" t="s">
        <v>27</v>
      </c>
      <c r="C4540" t="s">
        <v>41</v>
      </c>
      <c r="D4540">
        <v>61</v>
      </c>
      <c r="E4540" s="5">
        <v>43794</v>
      </c>
      <c r="F4540">
        <v>73353510</v>
      </c>
      <c r="G4540" t="s">
        <v>1085</v>
      </c>
      <c r="H4540" t="s">
        <v>1167</v>
      </c>
      <c r="I4540" t="s">
        <v>1168</v>
      </c>
      <c r="J4540">
        <v>1001</v>
      </c>
      <c r="K4540">
        <v>5004</v>
      </c>
      <c r="L4540" s="3">
        <v>1445431</v>
      </c>
      <c r="M4540" s="3">
        <v>54349</v>
      </c>
      <c r="N4540">
        <v>0</v>
      </c>
      <c r="O4540">
        <v>0</v>
      </c>
      <c r="P4540">
        <v>1499780</v>
      </c>
      <c r="Q4540" t="s">
        <v>30</v>
      </c>
      <c r="R4540" t="s">
        <v>204</v>
      </c>
      <c r="S4540" t="str">
        <v>#N/A</v>
      </c>
      <c r="T4540" t="str">
        <v>31</v>
      </c>
    </row>
    <row r="4541" spans="1:20" ht="13.7" customHeight="1" x14ac:dyDescent="0.25">
      <c r="E4541" s="5">
        <v>43465</v>
      </c>
      <c r="F4541">
        <v>73355001</v>
      </c>
      <c r="G4541" t="s">
        <v>1086</v>
      </c>
      <c r="H4541" t="s">
        <v>1109</v>
      </c>
      <c r="I4541" t="s">
        <v>1110</v>
      </c>
      <c r="J4541">
        <v>0</v>
      </c>
      <c r="K4541">
        <v>0</v>
      </c>
      <c r="L4541" s="3">
        <v>80760</v>
      </c>
      <c r="M4541" s="3">
        <v>0</v>
      </c>
      <c r="N4541">
        <v>0</v>
      </c>
      <c r="O4541">
        <v>0</v>
      </c>
      <c r="P4541">
        <v>80760</v>
      </c>
      <c r="R4541" t="s">
        <v>1100</v>
      </c>
      <c r="S4541" t="str">
        <v>#N/A</v>
      </c>
      <c r="T4541" t="str">
        <v>#N/A</v>
      </c>
    </row>
    <row r="4542" spans="1:20" ht="13.7" customHeight="1" x14ac:dyDescent="0.25">
      <c r="A4542" t="s">
        <v>26</v>
      </c>
      <c r="B4542" t="s">
        <v>27</v>
      </c>
      <c r="C4542" t="s">
        <v>28</v>
      </c>
      <c r="D4542">
        <v>41</v>
      </c>
      <c r="E4542" s="5">
        <v>43482</v>
      </c>
      <c r="F4542">
        <v>73355001</v>
      </c>
      <c r="G4542" t="s">
        <v>1086</v>
      </c>
      <c r="H4542" t="s">
        <v>1109</v>
      </c>
      <c r="I4542" t="s">
        <v>1110</v>
      </c>
      <c r="J4542">
        <v>1001</v>
      </c>
      <c r="K4542">
        <v>5004</v>
      </c>
      <c r="L4542" s="3">
        <v>80760</v>
      </c>
      <c r="M4542" s="3">
        <v>13700</v>
      </c>
      <c r="N4542">
        <v>0</v>
      </c>
      <c r="O4542">
        <v>0</v>
      </c>
      <c r="P4542">
        <v>94460</v>
      </c>
      <c r="Q4542" t="s">
        <v>30</v>
      </c>
      <c r="R4542" t="s">
        <v>58</v>
      </c>
      <c r="S4542" t="str">
        <v>#N/A</v>
      </c>
      <c r="T4542" t="str">
        <v>#N/A</v>
      </c>
    </row>
    <row r="4543" spans="1:20" ht="13.7" customHeight="1" x14ac:dyDescent="0.25">
      <c r="A4543" t="s">
        <v>26</v>
      </c>
      <c r="B4543" t="s">
        <v>27</v>
      </c>
      <c r="C4543" t="s">
        <v>28</v>
      </c>
      <c r="D4543">
        <v>59</v>
      </c>
      <c r="E4543" s="5">
        <v>43487</v>
      </c>
      <c r="F4543">
        <v>73355001</v>
      </c>
      <c r="G4543" t="s">
        <v>1086</v>
      </c>
      <c r="H4543" t="s">
        <v>1109</v>
      </c>
      <c r="I4543" t="s">
        <v>1110</v>
      </c>
      <c r="J4543">
        <v>1001</v>
      </c>
      <c r="K4543">
        <v>5004</v>
      </c>
      <c r="L4543" s="3">
        <v>94460</v>
      </c>
      <c r="M4543" s="3">
        <v>9500</v>
      </c>
      <c r="N4543">
        <v>0</v>
      </c>
      <c r="O4543">
        <v>0</v>
      </c>
      <c r="P4543">
        <v>103960</v>
      </c>
      <c r="Q4543" t="s">
        <v>30</v>
      </c>
      <c r="R4543" t="s">
        <v>66</v>
      </c>
      <c r="S4543" t="str">
        <v>#N/A</v>
      </c>
      <c r="T4543" t="str">
        <v>#N/A</v>
      </c>
    </row>
    <row r="4544" spans="1:20" ht="13.7" customHeight="1" x14ac:dyDescent="0.25">
      <c r="A4544" t="s">
        <v>26</v>
      </c>
      <c r="B4544" t="s">
        <v>27</v>
      </c>
      <c r="C4544" t="s">
        <v>32</v>
      </c>
      <c r="D4544">
        <v>11</v>
      </c>
      <c r="E4544" s="5">
        <v>43501</v>
      </c>
      <c r="F4544">
        <v>73355001</v>
      </c>
      <c r="G4544" t="s">
        <v>1086</v>
      </c>
      <c r="H4544" t="s">
        <v>1109</v>
      </c>
      <c r="I4544" t="s">
        <v>1110</v>
      </c>
      <c r="J4544">
        <v>1001</v>
      </c>
      <c r="K4544">
        <v>5004</v>
      </c>
      <c r="L4544" s="3">
        <v>103960</v>
      </c>
      <c r="M4544" s="3">
        <v>9500</v>
      </c>
      <c r="N4544">
        <v>0</v>
      </c>
      <c r="O4544">
        <v>0</v>
      </c>
      <c r="P4544">
        <v>113460</v>
      </c>
      <c r="Q4544" t="s">
        <v>30</v>
      </c>
      <c r="R4544" t="s">
        <v>43</v>
      </c>
      <c r="S4544" t="str">
        <v>#N/A</v>
      </c>
      <c r="T4544" t="str">
        <v>#N/A</v>
      </c>
    </row>
    <row r="4545" spans="1:20" ht="13.7" customHeight="1" x14ac:dyDescent="0.25">
      <c r="A4545" t="s">
        <v>26</v>
      </c>
      <c r="B4545" t="s">
        <v>27</v>
      </c>
      <c r="C4545" t="s">
        <v>32</v>
      </c>
      <c r="D4545">
        <v>20</v>
      </c>
      <c r="E4545" s="5">
        <v>43507</v>
      </c>
      <c r="F4545">
        <v>73355001</v>
      </c>
      <c r="G4545" t="s">
        <v>1086</v>
      </c>
      <c r="H4545" t="s">
        <v>1109</v>
      </c>
      <c r="I4545" t="s">
        <v>1110</v>
      </c>
      <c r="J4545">
        <v>1001</v>
      </c>
      <c r="K4545">
        <v>5004</v>
      </c>
      <c r="L4545" s="3">
        <v>113460</v>
      </c>
      <c r="M4545" s="3">
        <v>16900</v>
      </c>
      <c r="N4545">
        <v>0</v>
      </c>
      <c r="O4545">
        <v>0</v>
      </c>
      <c r="P4545">
        <v>130360</v>
      </c>
      <c r="Q4545" t="s">
        <v>30</v>
      </c>
      <c r="R4545" t="s">
        <v>77</v>
      </c>
      <c r="S4545" t="str">
        <v>#N/A</v>
      </c>
      <c r="T4545" t="str">
        <v>#N/A</v>
      </c>
    </row>
    <row r="4546" spans="1:20" ht="13.7" customHeight="1" x14ac:dyDescent="0.25">
      <c r="A4546" t="s">
        <v>26</v>
      </c>
      <c r="B4546" t="s">
        <v>27</v>
      </c>
      <c r="C4546" t="s">
        <v>32</v>
      </c>
      <c r="D4546">
        <v>36</v>
      </c>
      <c r="E4546" s="5">
        <v>43512</v>
      </c>
      <c r="F4546">
        <v>73355001</v>
      </c>
      <c r="G4546" t="s">
        <v>1086</v>
      </c>
      <c r="H4546" t="s">
        <v>1109</v>
      </c>
      <c r="I4546" t="s">
        <v>1110</v>
      </c>
      <c r="J4546">
        <v>1001</v>
      </c>
      <c r="K4546">
        <v>5004</v>
      </c>
      <c r="L4546" s="3">
        <v>130360</v>
      </c>
      <c r="M4546" s="3">
        <v>9500</v>
      </c>
      <c r="N4546">
        <v>0</v>
      </c>
      <c r="O4546">
        <v>0</v>
      </c>
      <c r="P4546">
        <v>139860</v>
      </c>
      <c r="Q4546" t="s">
        <v>30</v>
      </c>
      <c r="R4546" t="s">
        <v>43</v>
      </c>
      <c r="S4546" t="str">
        <v>#N/A</v>
      </c>
      <c r="T4546" t="str">
        <v>#N/A</v>
      </c>
    </row>
    <row r="4547" spans="1:20" ht="13.7" customHeight="1" x14ac:dyDescent="0.25">
      <c r="A4547" t="s">
        <v>26</v>
      </c>
      <c r="B4547" t="s">
        <v>27</v>
      </c>
      <c r="C4547" t="s">
        <v>91</v>
      </c>
      <c r="D4547">
        <v>5</v>
      </c>
      <c r="E4547" s="5">
        <v>43525</v>
      </c>
      <c r="F4547">
        <v>73355001</v>
      </c>
      <c r="G4547" t="s">
        <v>1086</v>
      </c>
      <c r="H4547" t="s">
        <v>1109</v>
      </c>
      <c r="I4547" t="s">
        <v>1110</v>
      </c>
      <c r="J4547">
        <v>1001</v>
      </c>
      <c r="K4547">
        <v>5004</v>
      </c>
      <c r="L4547" s="3">
        <v>139860</v>
      </c>
      <c r="M4547" s="3">
        <v>9500</v>
      </c>
      <c r="N4547">
        <v>0</v>
      </c>
      <c r="O4547">
        <v>0</v>
      </c>
      <c r="P4547">
        <v>149360</v>
      </c>
      <c r="Q4547" t="s">
        <v>30</v>
      </c>
      <c r="R4547" t="s">
        <v>43</v>
      </c>
      <c r="S4547" t="str">
        <v>#N/A</v>
      </c>
      <c r="T4547" t="str">
        <v>#N/A</v>
      </c>
    </row>
    <row r="4548" spans="1:20" ht="13.7" customHeight="1" x14ac:dyDescent="0.25">
      <c r="A4548" t="s">
        <v>26</v>
      </c>
      <c r="B4548" t="s">
        <v>27</v>
      </c>
      <c r="C4548" t="s">
        <v>91</v>
      </c>
      <c r="D4548">
        <v>72</v>
      </c>
      <c r="E4548" s="5">
        <v>43554</v>
      </c>
      <c r="F4548">
        <v>73355001</v>
      </c>
      <c r="G4548" t="s">
        <v>1086</v>
      </c>
      <c r="H4548" t="s">
        <v>1109</v>
      </c>
      <c r="I4548" t="s">
        <v>1110</v>
      </c>
      <c r="J4548">
        <v>1001</v>
      </c>
      <c r="K4548">
        <v>5004</v>
      </c>
      <c r="L4548" s="3">
        <v>149360</v>
      </c>
      <c r="M4548" s="3">
        <v>26900</v>
      </c>
      <c r="N4548">
        <v>0</v>
      </c>
      <c r="O4548">
        <v>0</v>
      </c>
      <c r="P4548">
        <v>176260</v>
      </c>
      <c r="Q4548" t="s">
        <v>30</v>
      </c>
      <c r="R4548" t="s">
        <v>43</v>
      </c>
      <c r="S4548" t="str">
        <v>#N/A</v>
      </c>
      <c r="T4548" t="str">
        <v>#N/A</v>
      </c>
    </row>
    <row r="4549" spans="1:20" ht="13.7" customHeight="1" x14ac:dyDescent="0.25">
      <c r="A4549" t="s">
        <v>26</v>
      </c>
      <c r="B4549" t="s">
        <v>27</v>
      </c>
      <c r="C4549" t="s">
        <v>91</v>
      </c>
      <c r="D4549">
        <v>73</v>
      </c>
      <c r="E4549" s="5">
        <v>43554</v>
      </c>
      <c r="F4549">
        <v>73355001</v>
      </c>
      <c r="G4549" t="s">
        <v>1086</v>
      </c>
      <c r="H4549" t="s">
        <v>1109</v>
      </c>
      <c r="I4549" t="s">
        <v>1110</v>
      </c>
      <c r="J4549">
        <v>1001</v>
      </c>
      <c r="K4549">
        <v>5004</v>
      </c>
      <c r="L4549" s="3">
        <v>176260</v>
      </c>
      <c r="M4549" s="3">
        <v>11500</v>
      </c>
      <c r="N4549">
        <v>0</v>
      </c>
      <c r="O4549">
        <v>0</v>
      </c>
      <c r="P4549">
        <v>187760</v>
      </c>
      <c r="Q4549" t="s">
        <v>30</v>
      </c>
      <c r="R4549" t="s">
        <v>43</v>
      </c>
      <c r="S4549" t="str">
        <v>#N/A</v>
      </c>
      <c r="T4549" t="str">
        <v>#N/A</v>
      </c>
    </row>
    <row r="4550" spans="1:20" ht="13.7" customHeight="1" x14ac:dyDescent="0.25">
      <c r="A4550" t="s">
        <v>26</v>
      </c>
      <c r="B4550" t="s">
        <v>27</v>
      </c>
      <c r="C4550" t="s">
        <v>34</v>
      </c>
      <c r="D4550">
        <v>8</v>
      </c>
      <c r="E4550" s="5">
        <v>43559</v>
      </c>
      <c r="F4550">
        <v>73355001</v>
      </c>
      <c r="G4550" t="s">
        <v>1086</v>
      </c>
      <c r="H4550" t="s">
        <v>1109</v>
      </c>
      <c r="I4550" t="s">
        <v>1110</v>
      </c>
      <c r="J4550">
        <v>1001</v>
      </c>
      <c r="K4550">
        <v>5004</v>
      </c>
      <c r="L4550" s="3">
        <v>187760</v>
      </c>
      <c r="M4550" s="3">
        <v>9500</v>
      </c>
      <c r="N4550">
        <v>0</v>
      </c>
      <c r="O4550">
        <v>0</v>
      </c>
      <c r="P4550">
        <v>197260</v>
      </c>
      <c r="Q4550" t="s">
        <v>30</v>
      </c>
      <c r="R4550" t="s">
        <v>43</v>
      </c>
      <c r="S4550" t="str">
        <v>#N/A</v>
      </c>
      <c r="T4550" t="str">
        <v>#N/A</v>
      </c>
    </row>
    <row r="4551" spans="1:20" ht="13.7" customHeight="1" x14ac:dyDescent="0.25">
      <c r="A4551" t="s">
        <v>26</v>
      </c>
      <c r="B4551" t="s">
        <v>27</v>
      </c>
      <c r="C4551" t="s">
        <v>34</v>
      </c>
      <c r="D4551">
        <v>9</v>
      </c>
      <c r="E4551" s="5">
        <v>43559</v>
      </c>
      <c r="F4551">
        <v>73355001</v>
      </c>
      <c r="G4551" t="s">
        <v>1086</v>
      </c>
      <c r="H4551" t="s">
        <v>1109</v>
      </c>
      <c r="I4551" t="s">
        <v>1110</v>
      </c>
      <c r="J4551">
        <v>1001</v>
      </c>
      <c r="K4551">
        <v>5004</v>
      </c>
      <c r="L4551" s="3">
        <v>197260</v>
      </c>
      <c r="M4551" s="3">
        <v>9500</v>
      </c>
      <c r="N4551">
        <v>0</v>
      </c>
      <c r="O4551">
        <v>0</v>
      </c>
      <c r="P4551">
        <v>206760</v>
      </c>
      <c r="Q4551" t="s">
        <v>30</v>
      </c>
      <c r="R4551" t="s">
        <v>43</v>
      </c>
      <c r="S4551" t="str">
        <v>#N/A</v>
      </c>
      <c r="T4551" t="str">
        <v>#N/A</v>
      </c>
    </row>
    <row r="4552" spans="1:20" ht="13.7" customHeight="1" x14ac:dyDescent="0.25">
      <c r="A4552" t="s">
        <v>26</v>
      </c>
      <c r="B4552" t="s">
        <v>27</v>
      </c>
      <c r="C4552" t="s">
        <v>34</v>
      </c>
      <c r="D4552">
        <v>39</v>
      </c>
      <c r="E4552" s="5">
        <v>43571</v>
      </c>
      <c r="F4552">
        <v>73355001</v>
      </c>
      <c r="G4552" t="s">
        <v>1086</v>
      </c>
      <c r="H4552" t="s">
        <v>1109</v>
      </c>
      <c r="I4552" t="s">
        <v>1110</v>
      </c>
      <c r="J4552">
        <v>1001</v>
      </c>
      <c r="K4552">
        <v>5004</v>
      </c>
      <c r="L4552" s="3">
        <v>206760</v>
      </c>
      <c r="M4552" s="3">
        <v>9500</v>
      </c>
      <c r="N4552">
        <v>0</v>
      </c>
      <c r="O4552">
        <v>0</v>
      </c>
      <c r="P4552">
        <v>216260</v>
      </c>
      <c r="Q4552" t="s">
        <v>30</v>
      </c>
      <c r="R4552" t="s">
        <v>43</v>
      </c>
      <c r="S4552" t="str">
        <v>#N/A</v>
      </c>
      <c r="T4552" t="str">
        <v>#N/A</v>
      </c>
    </row>
    <row r="4553" spans="1:20" ht="13.7" customHeight="1" x14ac:dyDescent="0.25">
      <c r="A4553" t="s">
        <v>26</v>
      </c>
      <c r="B4553" t="s">
        <v>27</v>
      </c>
      <c r="C4553" t="s">
        <v>34</v>
      </c>
      <c r="D4553">
        <v>54</v>
      </c>
      <c r="E4553" s="5">
        <v>43578</v>
      </c>
      <c r="F4553">
        <v>73355001</v>
      </c>
      <c r="G4553" t="s">
        <v>1086</v>
      </c>
      <c r="H4553" t="s">
        <v>1109</v>
      </c>
      <c r="I4553" t="s">
        <v>1110</v>
      </c>
      <c r="J4553">
        <v>1001</v>
      </c>
      <c r="K4553">
        <v>5004</v>
      </c>
      <c r="L4553" s="3">
        <v>216260</v>
      </c>
      <c r="M4553" s="3">
        <v>9400</v>
      </c>
      <c r="N4553">
        <v>0</v>
      </c>
      <c r="O4553">
        <v>0</v>
      </c>
      <c r="P4553">
        <v>225660</v>
      </c>
      <c r="Q4553" t="s">
        <v>30</v>
      </c>
      <c r="R4553" t="s">
        <v>43</v>
      </c>
      <c r="S4553" t="str">
        <v>#N/A</v>
      </c>
      <c r="T4553" t="str">
        <v>#N/A</v>
      </c>
    </row>
    <row r="4554" spans="1:20" ht="13.7" customHeight="1" x14ac:dyDescent="0.25">
      <c r="A4554" t="s">
        <v>26</v>
      </c>
      <c r="B4554" t="s">
        <v>27</v>
      </c>
      <c r="C4554" t="s">
        <v>35</v>
      </c>
      <c r="D4554">
        <v>60</v>
      </c>
      <c r="E4554" s="5">
        <v>43603</v>
      </c>
      <c r="F4554">
        <v>73355001</v>
      </c>
      <c r="G4554" t="s">
        <v>1086</v>
      </c>
      <c r="H4554" t="s">
        <v>1109</v>
      </c>
      <c r="I4554" t="s">
        <v>1110</v>
      </c>
      <c r="J4554">
        <v>1001</v>
      </c>
      <c r="K4554">
        <v>5004</v>
      </c>
      <c r="L4554" s="3">
        <v>225660</v>
      </c>
      <c r="M4554" s="3">
        <v>16900</v>
      </c>
      <c r="N4554">
        <v>0</v>
      </c>
      <c r="O4554">
        <v>0</v>
      </c>
      <c r="P4554">
        <v>242560</v>
      </c>
      <c r="Q4554" t="s">
        <v>30</v>
      </c>
      <c r="R4554" t="s">
        <v>77</v>
      </c>
      <c r="S4554" t="str">
        <v>#N/A</v>
      </c>
      <c r="T4554" t="str">
        <v>#N/A</v>
      </c>
    </row>
    <row r="4555" spans="1:20" ht="13.7" customHeight="1" x14ac:dyDescent="0.25">
      <c r="A4555" t="s">
        <v>26</v>
      </c>
      <c r="B4555" t="s">
        <v>27</v>
      </c>
      <c r="C4555" t="s">
        <v>35</v>
      </c>
      <c r="D4555">
        <v>86</v>
      </c>
      <c r="E4555" s="5">
        <v>43612</v>
      </c>
      <c r="F4555">
        <v>73355001</v>
      </c>
      <c r="G4555" t="s">
        <v>1086</v>
      </c>
      <c r="H4555" t="s">
        <v>1109</v>
      </c>
      <c r="I4555" t="s">
        <v>1110</v>
      </c>
      <c r="J4555">
        <v>1001</v>
      </c>
      <c r="K4555">
        <v>5004</v>
      </c>
      <c r="L4555" s="3">
        <v>242560</v>
      </c>
      <c r="M4555" s="3">
        <v>9500</v>
      </c>
      <c r="N4555">
        <v>0</v>
      </c>
      <c r="O4555">
        <v>0</v>
      </c>
      <c r="P4555">
        <v>252060</v>
      </c>
      <c r="Q4555" t="s">
        <v>30</v>
      </c>
      <c r="R4555" t="s">
        <v>43</v>
      </c>
      <c r="S4555" t="str">
        <v>#N/A</v>
      </c>
      <c r="T4555" t="str">
        <v>#N/A</v>
      </c>
    </row>
    <row r="4556" spans="1:20" ht="13.7" customHeight="1" x14ac:dyDescent="0.25">
      <c r="A4556" t="s">
        <v>26</v>
      </c>
      <c r="B4556" t="s">
        <v>27</v>
      </c>
      <c r="C4556" t="s">
        <v>36</v>
      </c>
      <c r="D4556">
        <v>4</v>
      </c>
      <c r="E4556" s="5">
        <v>43617</v>
      </c>
      <c r="F4556">
        <v>73355001</v>
      </c>
      <c r="G4556" t="s">
        <v>1086</v>
      </c>
      <c r="H4556" t="s">
        <v>1109</v>
      </c>
      <c r="I4556" t="s">
        <v>1110</v>
      </c>
      <c r="J4556">
        <v>1001</v>
      </c>
      <c r="K4556">
        <v>5004</v>
      </c>
      <c r="L4556" s="3">
        <v>252060</v>
      </c>
      <c r="M4556" s="3">
        <v>9500</v>
      </c>
      <c r="N4556">
        <v>0</v>
      </c>
      <c r="O4556">
        <v>0</v>
      </c>
      <c r="P4556">
        <v>261560</v>
      </c>
      <c r="Q4556" t="s">
        <v>30</v>
      </c>
      <c r="R4556" t="s">
        <v>43</v>
      </c>
      <c r="S4556" t="str">
        <v>#N/A</v>
      </c>
      <c r="T4556" t="str">
        <v>#N/A</v>
      </c>
    </row>
    <row r="4557" spans="1:20" ht="13.7" customHeight="1" x14ac:dyDescent="0.25">
      <c r="A4557" t="s">
        <v>26</v>
      </c>
      <c r="B4557" t="s">
        <v>27</v>
      </c>
      <c r="C4557" t="s">
        <v>36</v>
      </c>
      <c r="D4557">
        <v>5</v>
      </c>
      <c r="E4557" s="5">
        <v>43617</v>
      </c>
      <c r="F4557">
        <v>73355001</v>
      </c>
      <c r="G4557" t="s">
        <v>1086</v>
      </c>
      <c r="H4557" t="s">
        <v>1109</v>
      </c>
      <c r="I4557" t="s">
        <v>1110</v>
      </c>
      <c r="J4557">
        <v>1001</v>
      </c>
      <c r="K4557">
        <v>5004</v>
      </c>
      <c r="L4557" s="3">
        <v>261560</v>
      </c>
      <c r="M4557" s="3">
        <v>10500</v>
      </c>
      <c r="N4557">
        <v>0</v>
      </c>
      <c r="O4557">
        <v>0</v>
      </c>
      <c r="P4557">
        <v>272060</v>
      </c>
      <c r="Q4557" t="s">
        <v>30</v>
      </c>
      <c r="R4557" t="s">
        <v>43</v>
      </c>
      <c r="S4557" t="str">
        <v>#N/A</v>
      </c>
      <c r="T4557" t="str">
        <v>#N/A</v>
      </c>
    </row>
    <row r="4558" spans="1:20" ht="13.7" customHeight="1" x14ac:dyDescent="0.25">
      <c r="A4558" t="s">
        <v>26</v>
      </c>
      <c r="B4558" t="s">
        <v>27</v>
      </c>
      <c r="C4558" t="s">
        <v>36</v>
      </c>
      <c r="D4558">
        <v>21</v>
      </c>
      <c r="E4558" s="5">
        <v>43628</v>
      </c>
      <c r="F4558">
        <v>73355001</v>
      </c>
      <c r="G4558" t="s">
        <v>1086</v>
      </c>
      <c r="H4558" t="s">
        <v>1109</v>
      </c>
      <c r="I4558" t="s">
        <v>1110</v>
      </c>
      <c r="J4558">
        <v>1001</v>
      </c>
      <c r="K4558">
        <v>5004</v>
      </c>
      <c r="L4558" s="3">
        <v>272060</v>
      </c>
      <c r="M4558" s="3">
        <v>9500</v>
      </c>
      <c r="N4558">
        <v>0</v>
      </c>
      <c r="O4558">
        <v>0</v>
      </c>
      <c r="P4558">
        <v>281560</v>
      </c>
      <c r="Q4558" t="s">
        <v>30</v>
      </c>
      <c r="R4558" t="s">
        <v>43</v>
      </c>
      <c r="S4558" t="str">
        <v>#N/A</v>
      </c>
      <c r="T4558" t="str">
        <v>#N/A</v>
      </c>
    </row>
    <row r="4559" spans="1:20" ht="13.7" customHeight="1" x14ac:dyDescent="0.25">
      <c r="A4559" t="s">
        <v>26</v>
      </c>
      <c r="B4559" t="s">
        <v>27</v>
      </c>
      <c r="C4559" t="s">
        <v>36</v>
      </c>
      <c r="D4559">
        <v>28</v>
      </c>
      <c r="E4559" s="5">
        <v>43630</v>
      </c>
      <c r="F4559">
        <v>73355001</v>
      </c>
      <c r="G4559" t="s">
        <v>1086</v>
      </c>
      <c r="H4559" t="s">
        <v>1109</v>
      </c>
      <c r="I4559" t="s">
        <v>1110</v>
      </c>
      <c r="J4559">
        <v>1001</v>
      </c>
      <c r="K4559">
        <v>5004</v>
      </c>
      <c r="L4559" s="3">
        <v>281560</v>
      </c>
      <c r="M4559" s="3">
        <v>9500</v>
      </c>
      <c r="N4559">
        <v>0</v>
      </c>
      <c r="O4559">
        <v>0</v>
      </c>
      <c r="P4559">
        <v>291060</v>
      </c>
      <c r="Q4559" t="s">
        <v>30</v>
      </c>
      <c r="R4559" t="s">
        <v>43</v>
      </c>
      <c r="S4559" t="str">
        <v>#N/A</v>
      </c>
      <c r="T4559" t="str">
        <v>#N/A</v>
      </c>
    </row>
    <row r="4560" spans="1:20" ht="13.7" customHeight="1" x14ac:dyDescent="0.25">
      <c r="A4560" t="s">
        <v>26</v>
      </c>
      <c r="B4560" t="s">
        <v>27</v>
      </c>
      <c r="C4560" t="s">
        <v>38</v>
      </c>
      <c r="D4560">
        <v>11</v>
      </c>
      <c r="E4560" s="5">
        <v>43684</v>
      </c>
      <c r="F4560">
        <v>73355001</v>
      </c>
      <c r="G4560" t="s">
        <v>1086</v>
      </c>
      <c r="H4560" t="s">
        <v>1109</v>
      </c>
      <c r="I4560" t="s">
        <v>1110</v>
      </c>
      <c r="J4560">
        <v>1001</v>
      </c>
      <c r="K4560">
        <v>5004</v>
      </c>
      <c r="L4560" s="3">
        <v>291060</v>
      </c>
      <c r="M4560" s="3">
        <v>9500</v>
      </c>
      <c r="N4560">
        <v>0</v>
      </c>
      <c r="O4560">
        <v>0</v>
      </c>
      <c r="P4560">
        <v>300560</v>
      </c>
      <c r="Q4560" t="s">
        <v>30</v>
      </c>
      <c r="R4560" t="s">
        <v>43</v>
      </c>
      <c r="S4560" t="str">
        <v>#N/A</v>
      </c>
      <c r="T4560" t="str">
        <v>#N/A</v>
      </c>
    </row>
    <row r="4561" spans="1:20" ht="13.7" customHeight="1" x14ac:dyDescent="0.25">
      <c r="A4561" t="s">
        <v>26</v>
      </c>
      <c r="B4561" t="s">
        <v>27</v>
      </c>
      <c r="C4561" t="s">
        <v>38</v>
      </c>
      <c r="D4561">
        <v>18</v>
      </c>
      <c r="E4561" s="5">
        <v>43689</v>
      </c>
      <c r="F4561">
        <v>73355001</v>
      </c>
      <c r="G4561" t="s">
        <v>1086</v>
      </c>
      <c r="H4561" t="s">
        <v>1109</v>
      </c>
      <c r="I4561" t="s">
        <v>1110</v>
      </c>
      <c r="J4561">
        <v>1001</v>
      </c>
      <c r="K4561">
        <v>5004</v>
      </c>
      <c r="L4561" s="3">
        <v>300560</v>
      </c>
      <c r="M4561" s="3">
        <v>9500</v>
      </c>
      <c r="N4561">
        <v>0</v>
      </c>
      <c r="O4561">
        <v>0</v>
      </c>
      <c r="P4561">
        <v>310060</v>
      </c>
      <c r="Q4561" t="s">
        <v>30</v>
      </c>
      <c r="R4561" t="s">
        <v>43</v>
      </c>
      <c r="S4561" t="str">
        <v>#N/A</v>
      </c>
      <c r="T4561" t="str">
        <v>#N/A</v>
      </c>
    </row>
    <row r="4562" spans="1:20" ht="13.7" customHeight="1" x14ac:dyDescent="0.25">
      <c r="A4562" t="s">
        <v>26</v>
      </c>
      <c r="B4562" t="s">
        <v>27</v>
      </c>
      <c r="C4562" t="s">
        <v>38</v>
      </c>
      <c r="D4562">
        <v>35</v>
      </c>
      <c r="E4562" s="5">
        <v>43699</v>
      </c>
      <c r="F4562">
        <v>73355001</v>
      </c>
      <c r="G4562" t="s">
        <v>1086</v>
      </c>
      <c r="H4562" t="s">
        <v>1109</v>
      </c>
      <c r="I4562" t="s">
        <v>1110</v>
      </c>
      <c r="J4562">
        <v>1001</v>
      </c>
      <c r="K4562">
        <v>5004</v>
      </c>
      <c r="L4562" s="3">
        <v>310060</v>
      </c>
      <c r="M4562" s="3">
        <v>9500</v>
      </c>
      <c r="N4562">
        <v>0</v>
      </c>
      <c r="O4562">
        <v>0</v>
      </c>
      <c r="P4562">
        <v>319560</v>
      </c>
      <c r="Q4562" t="s">
        <v>30</v>
      </c>
      <c r="R4562" t="s">
        <v>43</v>
      </c>
      <c r="S4562" t="str">
        <v>#N/A</v>
      </c>
      <c r="T4562" t="str">
        <v>#N/A</v>
      </c>
    </row>
    <row r="4563" spans="1:20" ht="13.7" customHeight="1" x14ac:dyDescent="0.25">
      <c r="A4563" t="s">
        <v>26</v>
      </c>
      <c r="B4563" t="s">
        <v>27</v>
      </c>
      <c r="C4563" t="s">
        <v>39</v>
      </c>
      <c r="D4563">
        <v>6</v>
      </c>
      <c r="E4563" s="5">
        <v>43710</v>
      </c>
      <c r="F4563">
        <v>73355001</v>
      </c>
      <c r="G4563" t="s">
        <v>1086</v>
      </c>
      <c r="H4563" t="s">
        <v>1109</v>
      </c>
      <c r="I4563" t="s">
        <v>1110</v>
      </c>
      <c r="J4563">
        <v>1001</v>
      </c>
      <c r="K4563">
        <v>5004</v>
      </c>
      <c r="L4563" s="3">
        <v>319560</v>
      </c>
      <c r="M4563" s="3">
        <v>16900</v>
      </c>
      <c r="N4563">
        <v>0</v>
      </c>
      <c r="O4563">
        <v>0</v>
      </c>
      <c r="P4563">
        <v>336460</v>
      </c>
      <c r="Q4563" t="s">
        <v>30</v>
      </c>
      <c r="R4563" t="s">
        <v>77</v>
      </c>
      <c r="S4563" t="str">
        <v>#N/A</v>
      </c>
      <c r="T4563" t="str">
        <v>#N/A</v>
      </c>
    </row>
    <row r="4564" spans="1:20" ht="13.7" customHeight="1" x14ac:dyDescent="0.25">
      <c r="A4564" t="s">
        <v>26</v>
      </c>
      <c r="B4564" t="s">
        <v>27</v>
      </c>
      <c r="C4564" t="s">
        <v>39</v>
      </c>
      <c r="D4564">
        <v>47</v>
      </c>
      <c r="E4564" s="5">
        <v>43732</v>
      </c>
      <c r="F4564">
        <v>73355001</v>
      </c>
      <c r="G4564" t="s">
        <v>1086</v>
      </c>
      <c r="H4564" t="s">
        <v>1109</v>
      </c>
      <c r="I4564" t="s">
        <v>1110</v>
      </c>
      <c r="J4564">
        <v>1001</v>
      </c>
      <c r="K4564">
        <v>5004</v>
      </c>
      <c r="L4564" s="3">
        <v>336460</v>
      </c>
      <c r="M4564" s="3">
        <v>21993</v>
      </c>
      <c r="N4564">
        <v>0</v>
      </c>
      <c r="O4564">
        <v>0</v>
      </c>
      <c r="P4564">
        <v>358453</v>
      </c>
      <c r="Q4564" t="s">
        <v>30</v>
      </c>
      <c r="R4564" t="s">
        <v>77</v>
      </c>
      <c r="S4564" t="str">
        <v>#N/A</v>
      </c>
      <c r="T4564" t="str">
        <v>#N/A</v>
      </c>
    </row>
    <row r="4565" spans="1:20" ht="13.7" customHeight="1" x14ac:dyDescent="0.25">
      <c r="A4565" t="s">
        <v>26</v>
      </c>
      <c r="B4565" t="s">
        <v>27</v>
      </c>
      <c r="C4565" t="s">
        <v>39</v>
      </c>
      <c r="D4565">
        <v>48</v>
      </c>
      <c r="E4565" s="5">
        <v>43732</v>
      </c>
      <c r="F4565">
        <v>73355001</v>
      </c>
      <c r="G4565" t="s">
        <v>1086</v>
      </c>
      <c r="H4565" t="s">
        <v>1109</v>
      </c>
      <c r="I4565" t="s">
        <v>1110</v>
      </c>
      <c r="J4565">
        <v>1001</v>
      </c>
      <c r="K4565">
        <v>5004</v>
      </c>
      <c r="L4565" s="3">
        <v>358453</v>
      </c>
      <c r="M4565" s="3">
        <v>10000</v>
      </c>
      <c r="N4565">
        <v>0</v>
      </c>
      <c r="O4565">
        <v>0</v>
      </c>
      <c r="P4565">
        <v>368453</v>
      </c>
      <c r="Q4565" t="s">
        <v>30</v>
      </c>
      <c r="R4565" t="s">
        <v>77</v>
      </c>
      <c r="S4565" t="str">
        <v>#N/A</v>
      </c>
      <c r="T4565" t="str">
        <v>#N/A</v>
      </c>
    </row>
    <row r="4566" spans="1:20" ht="13.7" customHeight="1" x14ac:dyDescent="0.25">
      <c r="A4566" t="s">
        <v>26</v>
      </c>
      <c r="B4566" t="s">
        <v>27</v>
      </c>
      <c r="C4566" t="s">
        <v>39</v>
      </c>
      <c r="D4566">
        <v>53</v>
      </c>
      <c r="E4566" s="5">
        <v>43734</v>
      </c>
      <c r="F4566">
        <v>73355001</v>
      </c>
      <c r="G4566" t="s">
        <v>1086</v>
      </c>
      <c r="H4566" t="s">
        <v>1109</v>
      </c>
      <c r="I4566" t="s">
        <v>1110</v>
      </c>
      <c r="J4566">
        <v>1001</v>
      </c>
      <c r="K4566">
        <v>5004</v>
      </c>
      <c r="L4566" s="3">
        <v>368453</v>
      </c>
      <c r="M4566" s="3">
        <v>10000</v>
      </c>
      <c r="N4566">
        <v>0</v>
      </c>
      <c r="O4566">
        <v>0</v>
      </c>
      <c r="P4566">
        <v>378453</v>
      </c>
      <c r="Q4566" t="s">
        <v>30</v>
      </c>
      <c r="R4566" t="s">
        <v>43</v>
      </c>
      <c r="S4566" t="str">
        <v>#N/A</v>
      </c>
      <c r="T4566" t="str">
        <v>#N/A</v>
      </c>
    </row>
    <row r="4567" spans="1:20" ht="13.7" customHeight="1" x14ac:dyDescent="0.25">
      <c r="A4567" t="s">
        <v>26</v>
      </c>
      <c r="B4567" t="s">
        <v>27</v>
      </c>
      <c r="C4567" t="s">
        <v>40</v>
      </c>
      <c r="D4567">
        <v>8</v>
      </c>
      <c r="E4567" s="5">
        <v>43745</v>
      </c>
      <c r="F4567">
        <v>73355001</v>
      </c>
      <c r="G4567" t="s">
        <v>1086</v>
      </c>
      <c r="H4567" t="s">
        <v>1109</v>
      </c>
      <c r="I4567" t="s">
        <v>1110</v>
      </c>
      <c r="J4567">
        <v>1001</v>
      </c>
      <c r="K4567">
        <v>5004</v>
      </c>
      <c r="L4567" s="3">
        <v>378453</v>
      </c>
      <c r="M4567" s="3">
        <v>9900</v>
      </c>
      <c r="N4567">
        <v>0</v>
      </c>
      <c r="O4567">
        <v>0</v>
      </c>
      <c r="P4567">
        <v>388353</v>
      </c>
      <c r="Q4567" t="s">
        <v>30</v>
      </c>
      <c r="R4567" t="s">
        <v>43</v>
      </c>
      <c r="S4567" t="str">
        <v>#N/A</v>
      </c>
      <c r="T4567" t="str">
        <v>#N/A</v>
      </c>
    </row>
    <row r="4568" spans="1:20" ht="13.7" customHeight="1" x14ac:dyDescent="0.25">
      <c r="A4568" t="s">
        <v>26</v>
      </c>
      <c r="B4568" t="s">
        <v>27</v>
      </c>
      <c r="C4568" t="s">
        <v>40</v>
      </c>
      <c r="D4568">
        <v>9</v>
      </c>
      <c r="E4568" s="5">
        <v>43745</v>
      </c>
      <c r="F4568">
        <v>73355001</v>
      </c>
      <c r="G4568" t="s">
        <v>1086</v>
      </c>
      <c r="H4568" t="s">
        <v>1109</v>
      </c>
      <c r="I4568" t="s">
        <v>1110</v>
      </c>
      <c r="J4568">
        <v>1001</v>
      </c>
      <c r="K4568">
        <v>5004</v>
      </c>
      <c r="L4568" s="3">
        <v>388353</v>
      </c>
      <c r="M4568" s="3">
        <v>17900</v>
      </c>
      <c r="N4568">
        <v>0</v>
      </c>
      <c r="O4568">
        <v>0</v>
      </c>
      <c r="P4568">
        <v>406253</v>
      </c>
      <c r="Q4568" t="s">
        <v>30</v>
      </c>
      <c r="R4568" t="s">
        <v>43</v>
      </c>
      <c r="S4568" t="str">
        <v>#N/A</v>
      </c>
      <c r="T4568" t="str">
        <v>#N/A</v>
      </c>
    </row>
    <row r="4569" spans="1:20" ht="13.7" customHeight="1" x14ac:dyDescent="0.25">
      <c r="A4569" t="s">
        <v>26</v>
      </c>
      <c r="B4569" t="s">
        <v>27</v>
      </c>
      <c r="C4569" t="s">
        <v>41</v>
      </c>
      <c r="D4569">
        <v>47</v>
      </c>
      <c r="E4569" s="5">
        <v>43757</v>
      </c>
      <c r="F4569">
        <v>73355001</v>
      </c>
      <c r="G4569" t="s">
        <v>1086</v>
      </c>
      <c r="H4569" t="s">
        <v>1109</v>
      </c>
      <c r="I4569" t="s">
        <v>1110</v>
      </c>
      <c r="J4569">
        <v>1001</v>
      </c>
      <c r="K4569">
        <v>5004</v>
      </c>
      <c r="L4569" s="3">
        <v>406253</v>
      </c>
      <c r="M4569" s="3">
        <v>10000</v>
      </c>
      <c r="N4569">
        <v>0</v>
      </c>
      <c r="O4569">
        <v>0</v>
      </c>
      <c r="P4569">
        <v>416253</v>
      </c>
      <c r="Q4569" t="s">
        <v>30</v>
      </c>
      <c r="R4569" t="s">
        <v>43</v>
      </c>
      <c r="S4569" t="str">
        <v>#N/A</v>
      </c>
      <c r="T4569" t="str">
        <v>#N/A</v>
      </c>
    </row>
    <row r="4570" spans="1:20" ht="13.7" customHeight="1" x14ac:dyDescent="0.25">
      <c r="A4570" t="s">
        <v>26</v>
      </c>
      <c r="B4570" t="s">
        <v>27</v>
      </c>
      <c r="C4570" t="s">
        <v>41</v>
      </c>
      <c r="D4570">
        <v>4</v>
      </c>
      <c r="E4570" s="5">
        <v>43771</v>
      </c>
      <c r="F4570">
        <v>73355001</v>
      </c>
      <c r="G4570" t="s">
        <v>1086</v>
      </c>
      <c r="H4570" t="s">
        <v>1109</v>
      </c>
      <c r="I4570" t="s">
        <v>1110</v>
      </c>
      <c r="J4570">
        <v>1001</v>
      </c>
      <c r="K4570">
        <v>5004</v>
      </c>
      <c r="L4570" s="3">
        <v>416253</v>
      </c>
      <c r="M4570" s="3">
        <v>25534</v>
      </c>
      <c r="N4570">
        <v>0</v>
      </c>
      <c r="O4570">
        <v>0</v>
      </c>
      <c r="P4570">
        <v>441787</v>
      </c>
      <c r="Q4570" t="s">
        <v>30</v>
      </c>
      <c r="R4570" t="s">
        <v>77</v>
      </c>
      <c r="S4570" t="str">
        <v>#N/A</v>
      </c>
      <c r="T4570" t="str">
        <v>#N/A</v>
      </c>
    </row>
    <row r="4571" spans="1:20" ht="13.7" customHeight="1" x14ac:dyDescent="0.25">
      <c r="A4571" t="s">
        <v>26</v>
      </c>
      <c r="B4571" t="s">
        <v>27</v>
      </c>
      <c r="C4571" t="s">
        <v>41</v>
      </c>
      <c r="D4571">
        <v>41</v>
      </c>
      <c r="E4571" s="5">
        <v>43785</v>
      </c>
      <c r="F4571">
        <v>73355001</v>
      </c>
      <c r="G4571" t="s">
        <v>1086</v>
      </c>
      <c r="H4571" t="s">
        <v>1109</v>
      </c>
      <c r="I4571" t="s">
        <v>1110</v>
      </c>
      <c r="J4571">
        <v>1001</v>
      </c>
      <c r="K4571">
        <v>5004</v>
      </c>
      <c r="L4571" s="3">
        <v>441787</v>
      </c>
      <c r="M4571" s="3">
        <v>10000</v>
      </c>
      <c r="N4571">
        <v>0</v>
      </c>
      <c r="O4571">
        <v>0</v>
      </c>
      <c r="P4571">
        <v>451787</v>
      </c>
      <c r="Q4571" t="s">
        <v>30</v>
      </c>
      <c r="R4571" t="s">
        <v>43</v>
      </c>
      <c r="S4571" t="str">
        <v>#N/A</v>
      </c>
      <c r="T4571" t="str">
        <v>#N/A</v>
      </c>
    </row>
    <row r="4572" spans="1:20" ht="13.7" customHeight="1" x14ac:dyDescent="0.25">
      <c r="A4572" t="s">
        <v>26</v>
      </c>
      <c r="B4572" t="s">
        <v>27</v>
      </c>
      <c r="C4572" t="s">
        <v>41</v>
      </c>
      <c r="D4572">
        <v>65</v>
      </c>
      <c r="E4572" s="5">
        <v>43795</v>
      </c>
      <c r="F4572">
        <v>73355001</v>
      </c>
      <c r="G4572" t="s">
        <v>1086</v>
      </c>
      <c r="H4572" t="s">
        <v>1109</v>
      </c>
      <c r="I4572" t="s">
        <v>1110</v>
      </c>
      <c r="J4572">
        <v>1001</v>
      </c>
      <c r="K4572">
        <v>5004</v>
      </c>
      <c r="L4572" s="3">
        <v>451787</v>
      </c>
      <c r="M4572" s="3">
        <v>17900</v>
      </c>
      <c r="N4572">
        <v>0</v>
      </c>
      <c r="O4572">
        <v>0</v>
      </c>
      <c r="P4572">
        <v>469687</v>
      </c>
      <c r="Q4572" t="s">
        <v>30</v>
      </c>
      <c r="R4572" t="s">
        <v>178</v>
      </c>
      <c r="S4572" t="str">
        <v>#N/A</v>
      </c>
      <c r="T4572" t="str">
        <v>#N/A</v>
      </c>
    </row>
    <row r="4573" spans="1:20" ht="13.7" customHeight="1" x14ac:dyDescent="0.25">
      <c r="A4573" t="s">
        <v>26</v>
      </c>
      <c r="B4573" t="s">
        <v>27</v>
      </c>
      <c r="C4573" t="s">
        <v>41</v>
      </c>
      <c r="D4573">
        <v>66</v>
      </c>
      <c r="E4573" s="5">
        <v>43795</v>
      </c>
      <c r="F4573">
        <v>73355001</v>
      </c>
      <c r="G4573" t="s">
        <v>1086</v>
      </c>
      <c r="H4573" t="s">
        <v>1109</v>
      </c>
      <c r="I4573" t="s">
        <v>1110</v>
      </c>
      <c r="J4573">
        <v>1001</v>
      </c>
      <c r="K4573">
        <v>5004</v>
      </c>
      <c r="L4573" s="3">
        <v>469687</v>
      </c>
      <c r="M4573" s="3">
        <v>9900</v>
      </c>
      <c r="N4573">
        <v>0</v>
      </c>
      <c r="O4573">
        <v>0</v>
      </c>
      <c r="P4573">
        <v>479587</v>
      </c>
      <c r="Q4573" t="s">
        <v>30</v>
      </c>
      <c r="R4573" t="s">
        <v>178</v>
      </c>
      <c r="S4573" t="str">
        <v>#N/A</v>
      </c>
      <c r="T4573" t="str">
        <v>#N/A</v>
      </c>
    </row>
    <row r="4574" spans="1:20" ht="13.7" customHeight="1" x14ac:dyDescent="0.25">
      <c r="E4574" s="5">
        <v>43465</v>
      </c>
      <c r="F4574">
        <v>73355001</v>
      </c>
      <c r="G4574" t="s">
        <v>1086</v>
      </c>
      <c r="H4574" t="s">
        <v>1303</v>
      </c>
      <c r="I4574" t="s">
        <v>1304</v>
      </c>
      <c r="J4574">
        <v>0</v>
      </c>
      <c r="K4574">
        <v>0</v>
      </c>
      <c r="L4574" s="3">
        <v>8780</v>
      </c>
      <c r="M4574" s="3">
        <v>0</v>
      </c>
      <c r="N4574">
        <v>0</v>
      </c>
      <c r="O4574">
        <v>0</v>
      </c>
      <c r="P4574">
        <v>8780</v>
      </c>
      <c r="R4574" t="s">
        <v>1100</v>
      </c>
      <c r="S4574" t="str">
        <v>#N/A</v>
      </c>
      <c r="T4574" t="str">
        <v>#N/A</v>
      </c>
    </row>
    <row r="4575" spans="1:20" ht="13.7" customHeight="1" x14ac:dyDescent="0.25">
      <c r="E4575" s="5">
        <v>43465</v>
      </c>
      <c r="F4575">
        <v>73355001</v>
      </c>
      <c r="G4575" t="s">
        <v>1086</v>
      </c>
      <c r="H4575" t="s">
        <v>1278</v>
      </c>
      <c r="I4575" t="s">
        <v>1279</v>
      </c>
      <c r="J4575">
        <v>0</v>
      </c>
      <c r="K4575">
        <v>0</v>
      </c>
      <c r="L4575" s="3">
        <v>15600</v>
      </c>
      <c r="M4575" s="3">
        <v>0</v>
      </c>
      <c r="N4575">
        <v>0</v>
      </c>
      <c r="O4575">
        <v>0</v>
      </c>
      <c r="P4575">
        <v>15600</v>
      </c>
      <c r="R4575" t="s">
        <v>1100</v>
      </c>
      <c r="S4575" t="str">
        <v>#N/A</v>
      </c>
      <c r="T4575" t="str">
        <v>#N/A</v>
      </c>
    </row>
    <row r="4576" spans="1:20" ht="13.7" customHeight="1" x14ac:dyDescent="0.25">
      <c r="A4576" t="s">
        <v>26</v>
      </c>
      <c r="B4576" t="s">
        <v>27</v>
      </c>
      <c r="C4576" t="s">
        <v>91</v>
      </c>
      <c r="D4576">
        <v>10</v>
      </c>
      <c r="E4576" s="5">
        <v>43527</v>
      </c>
      <c r="F4576">
        <v>73355001</v>
      </c>
      <c r="G4576" t="s">
        <v>1086</v>
      </c>
      <c r="H4576" t="s">
        <v>1278</v>
      </c>
      <c r="I4576" t="s">
        <v>1279</v>
      </c>
      <c r="J4576">
        <v>1001</v>
      </c>
      <c r="K4576">
        <v>5004</v>
      </c>
      <c r="L4576" s="3">
        <v>15600</v>
      </c>
      <c r="M4576" s="3">
        <v>8000</v>
      </c>
      <c r="N4576">
        <v>0</v>
      </c>
      <c r="O4576">
        <v>0</v>
      </c>
      <c r="P4576">
        <v>23600</v>
      </c>
      <c r="Q4576" t="s">
        <v>30</v>
      </c>
      <c r="R4576" t="s">
        <v>191</v>
      </c>
      <c r="S4576" t="str">
        <v>#N/A</v>
      </c>
      <c r="T4576" t="str">
        <v>#N/A</v>
      </c>
    </row>
    <row r="4577" spans="1:20" ht="13.7" customHeight="1" x14ac:dyDescent="0.25">
      <c r="A4577" t="s">
        <v>26</v>
      </c>
      <c r="B4577" t="s">
        <v>27</v>
      </c>
      <c r="C4577" t="s">
        <v>91</v>
      </c>
      <c r="D4577">
        <v>11</v>
      </c>
      <c r="E4577" s="5">
        <v>43527</v>
      </c>
      <c r="F4577">
        <v>73355001</v>
      </c>
      <c r="G4577" t="s">
        <v>1086</v>
      </c>
      <c r="H4577" t="s">
        <v>1278</v>
      </c>
      <c r="I4577" t="s">
        <v>1279</v>
      </c>
      <c r="J4577">
        <v>1001</v>
      </c>
      <c r="K4577">
        <v>5004</v>
      </c>
      <c r="L4577" s="3">
        <v>23600</v>
      </c>
      <c r="M4577" s="3">
        <v>8000</v>
      </c>
      <c r="N4577">
        <v>0</v>
      </c>
      <c r="O4577">
        <v>0</v>
      </c>
      <c r="P4577">
        <v>31600</v>
      </c>
      <c r="Q4577" t="s">
        <v>30</v>
      </c>
      <c r="R4577" t="s">
        <v>191</v>
      </c>
      <c r="S4577" t="str">
        <v>#N/A</v>
      </c>
      <c r="T4577" t="str">
        <v>#N/A</v>
      </c>
    </row>
    <row r="4578" spans="1:20" ht="13.7" customHeight="1" x14ac:dyDescent="0.25">
      <c r="E4578" s="5">
        <v>43465</v>
      </c>
      <c r="F4578">
        <v>73355001</v>
      </c>
      <c r="G4578" t="s">
        <v>1086</v>
      </c>
      <c r="H4578" t="s">
        <v>1431</v>
      </c>
      <c r="I4578" t="s">
        <v>1432</v>
      </c>
      <c r="J4578">
        <v>0</v>
      </c>
      <c r="K4578">
        <v>0</v>
      </c>
      <c r="L4578" s="3">
        <v>167080</v>
      </c>
      <c r="M4578" s="3">
        <v>0</v>
      </c>
      <c r="N4578">
        <v>0</v>
      </c>
      <c r="O4578">
        <v>0</v>
      </c>
      <c r="P4578">
        <v>167080</v>
      </c>
      <c r="R4578" t="s">
        <v>1100</v>
      </c>
      <c r="S4578" t="str">
        <v>#N/A</v>
      </c>
      <c r="T4578" t="str">
        <v>#N/A</v>
      </c>
    </row>
    <row r="4579" spans="1:20" ht="13.7" customHeight="1" x14ac:dyDescent="0.25">
      <c r="A4579" t="s">
        <v>26</v>
      </c>
      <c r="B4579" t="s">
        <v>27</v>
      </c>
      <c r="C4579" t="s">
        <v>34</v>
      </c>
      <c r="D4579">
        <v>6</v>
      </c>
      <c r="E4579" s="5">
        <v>43558</v>
      </c>
      <c r="F4579">
        <v>73355001</v>
      </c>
      <c r="G4579" t="s">
        <v>1086</v>
      </c>
      <c r="H4579" t="s">
        <v>1431</v>
      </c>
      <c r="I4579" t="s">
        <v>1432</v>
      </c>
      <c r="J4579">
        <v>1001</v>
      </c>
      <c r="K4579">
        <v>5004</v>
      </c>
      <c r="L4579" s="3">
        <v>167080</v>
      </c>
      <c r="M4579" s="3">
        <v>12000</v>
      </c>
      <c r="N4579">
        <v>0</v>
      </c>
      <c r="O4579">
        <v>0</v>
      </c>
      <c r="P4579">
        <v>179080</v>
      </c>
      <c r="Q4579" t="s">
        <v>30</v>
      </c>
      <c r="R4579" t="s">
        <v>43</v>
      </c>
      <c r="S4579" t="str">
        <v>#N/A</v>
      </c>
      <c r="T4579" t="str">
        <v>#N/A</v>
      </c>
    </row>
    <row r="4580" spans="1:20" ht="13.7" customHeight="1" x14ac:dyDescent="0.25">
      <c r="A4580" t="s">
        <v>26</v>
      </c>
      <c r="B4580" t="s">
        <v>27</v>
      </c>
      <c r="C4580" t="s">
        <v>142</v>
      </c>
      <c r="D4580">
        <v>16</v>
      </c>
      <c r="E4580" s="5">
        <v>43623</v>
      </c>
      <c r="F4580">
        <v>73355001</v>
      </c>
      <c r="G4580" t="s">
        <v>1086</v>
      </c>
      <c r="H4580" t="s">
        <v>1431</v>
      </c>
      <c r="I4580" t="s">
        <v>1432</v>
      </c>
      <c r="J4580">
        <v>1001</v>
      </c>
      <c r="K4580">
        <v>5004</v>
      </c>
      <c r="L4580" s="3">
        <v>179080</v>
      </c>
      <c r="M4580" s="3">
        <v>9800</v>
      </c>
      <c r="N4580">
        <v>0</v>
      </c>
      <c r="O4580">
        <v>0</v>
      </c>
      <c r="P4580">
        <v>188880</v>
      </c>
      <c r="Q4580" t="s">
        <v>30</v>
      </c>
      <c r="R4580" t="s">
        <v>43</v>
      </c>
      <c r="S4580" t="str">
        <v>#N/A</v>
      </c>
      <c r="T4580" t="str">
        <v>#N/A</v>
      </c>
    </row>
    <row r="4581" spans="1:20" ht="13.7" customHeight="1" x14ac:dyDescent="0.25">
      <c r="E4581" s="5">
        <v>43465</v>
      </c>
      <c r="F4581">
        <v>73355001</v>
      </c>
      <c r="G4581" t="s">
        <v>1086</v>
      </c>
      <c r="H4581" t="s">
        <v>1427</v>
      </c>
      <c r="I4581" t="s">
        <v>1428</v>
      </c>
      <c r="J4581">
        <v>0</v>
      </c>
      <c r="K4581">
        <v>0</v>
      </c>
      <c r="L4581" s="3">
        <v>118726</v>
      </c>
      <c r="M4581" s="3">
        <v>0</v>
      </c>
      <c r="N4581">
        <v>0</v>
      </c>
      <c r="O4581">
        <v>0</v>
      </c>
      <c r="P4581">
        <v>118726</v>
      </c>
      <c r="R4581" t="s">
        <v>1100</v>
      </c>
      <c r="S4581" t="str">
        <v>#N/A</v>
      </c>
      <c r="T4581" t="str">
        <v>#N/A</v>
      </c>
    </row>
    <row r="4582" spans="1:20" ht="13.7" customHeight="1" x14ac:dyDescent="0.25">
      <c r="A4582" t="s">
        <v>26</v>
      </c>
      <c r="B4582" t="s">
        <v>27</v>
      </c>
      <c r="C4582" t="s">
        <v>28</v>
      </c>
      <c r="D4582">
        <v>1</v>
      </c>
      <c r="E4582" s="5">
        <v>43467</v>
      </c>
      <c r="F4582">
        <v>73355001</v>
      </c>
      <c r="G4582" t="s">
        <v>1086</v>
      </c>
      <c r="H4582" t="s">
        <v>1427</v>
      </c>
      <c r="I4582" t="s">
        <v>1428</v>
      </c>
      <c r="J4582">
        <v>1001</v>
      </c>
      <c r="K4582">
        <v>5004</v>
      </c>
      <c r="L4582" s="3">
        <v>118726</v>
      </c>
      <c r="M4582" s="3">
        <v>15600</v>
      </c>
      <c r="N4582">
        <v>0</v>
      </c>
      <c r="O4582">
        <v>0</v>
      </c>
      <c r="P4582">
        <v>134326</v>
      </c>
      <c r="Q4582" t="s">
        <v>30</v>
      </c>
      <c r="R4582" t="s">
        <v>43</v>
      </c>
      <c r="S4582" t="str">
        <v>#N/A</v>
      </c>
      <c r="T4582" t="str">
        <v>#N/A</v>
      </c>
    </row>
    <row r="4583" spans="1:20" ht="13.7" customHeight="1" x14ac:dyDescent="0.25">
      <c r="A4583" t="s">
        <v>26</v>
      </c>
      <c r="B4583" t="s">
        <v>27</v>
      </c>
      <c r="C4583" t="s">
        <v>34</v>
      </c>
      <c r="D4583">
        <v>41</v>
      </c>
      <c r="E4583" s="5">
        <v>43572</v>
      </c>
      <c r="F4583">
        <v>73355001</v>
      </c>
      <c r="G4583" t="s">
        <v>1086</v>
      </c>
      <c r="H4583" t="s">
        <v>1427</v>
      </c>
      <c r="I4583" t="s">
        <v>1428</v>
      </c>
      <c r="J4583">
        <v>1001</v>
      </c>
      <c r="K4583">
        <v>5004</v>
      </c>
      <c r="L4583" s="3">
        <v>134326</v>
      </c>
      <c r="M4583" s="3">
        <v>31500</v>
      </c>
      <c r="N4583">
        <v>0</v>
      </c>
      <c r="O4583">
        <v>0</v>
      </c>
      <c r="P4583">
        <v>165826</v>
      </c>
      <c r="Q4583" t="s">
        <v>30</v>
      </c>
      <c r="R4583" t="s">
        <v>43</v>
      </c>
      <c r="S4583" t="str">
        <v>#N/A</v>
      </c>
      <c r="T4583" t="str">
        <v>#N/A</v>
      </c>
    </row>
    <row r="4584" spans="1:20" ht="13.7" customHeight="1" x14ac:dyDescent="0.25">
      <c r="E4584" s="5">
        <v>43465</v>
      </c>
      <c r="F4584">
        <v>73355001</v>
      </c>
      <c r="G4584" t="s">
        <v>1086</v>
      </c>
      <c r="H4584" t="s">
        <v>1103</v>
      </c>
      <c r="I4584" t="s">
        <v>1104</v>
      </c>
      <c r="J4584">
        <v>0</v>
      </c>
      <c r="K4584">
        <v>0</v>
      </c>
      <c r="L4584" s="3">
        <v>20076</v>
      </c>
      <c r="M4584" s="3">
        <v>0</v>
      </c>
      <c r="N4584">
        <v>0</v>
      </c>
      <c r="O4584">
        <v>0</v>
      </c>
      <c r="P4584">
        <v>20076</v>
      </c>
      <c r="R4584" t="s">
        <v>1100</v>
      </c>
      <c r="S4584" t="str">
        <v>#N/A</v>
      </c>
      <c r="T4584" t="str">
        <v>31</v>
      </c>
    </row>
    <row r="4585" spans="1:20" ht="13.7" customHeight="1" x14ac:dyDescent="0.25">
      <c r="E4585" s="5">
        <v>43465</v>
      </c>
      <c r="F4585">
        <v>73355001</v>
      </c>
      <c r="G4585" t="s">
        <v>1086</v>
      </c>
      <c r="H4585" t="s">
        <v>1433</v>
      </c>
      <c r="I4585" t="s">
        <v>1434</v>
      </c>
      <c r="J4585">
        <v>0</v>
      </c>
      <c r="K4585">
        <v>0</v>
      </c>
      <c r="L4585" s="3">
        <v>77075</v>
      </c>
      <c r="M4585" s="3">
        <v>0</v>
      </c>
      <c r="N4585">
        <v>0</v>
      </c>
      <c r="O4585">
        <v>0</v>
      </c>
      <c r="P4585">
        <v>77075</v>
      </c>
      <c r="R4585" t="s">
        <v>1100</v>
      </c>
      <c r="S4585" t="str">
        <v>#N/A</v>
      </c>
      <c r="T4585" t="str">
        <v>#N/A</v>
      </c>
    </row>
    <row r="4586" spans="1:20" ht="13.7" customHeight="1" x14ac:dyDescent="0.25">
      <c r="A4586" t="s">
        <v>26</v>
      </c>
      <c r="B4586" t="s">
        <v>27</v>
      </c>
      <c r="C4586" t="s">
        <v>28</v>
      </c>
      <c r="D4586">
        <v>47</v>
      </c>
      <c r="E4586" s="5">
        <v>43483</v>
      </c>
      <c r="F4586">
        <v>73355001</v>
      </c>
      <c r="G4586" t="s">
        <v>1086</v>
      </c>
      <c r="H4586" t="s">
        <v>1433</v>
      </c>
      <c r="I4586" t="s">
        <v>1434</v>
      </c>
      <c r="J4586">
        <v>1001</v>
      </c>
      <c r="K4586">
        <v>5004</v>
      </c>
      <c r="L4586" s="3">
        <v>77075</v>
      </c>
      <c r="M4586" s="3">
        <v>25828</v>
      </c>
      <c r="N4586">
        <v>0</v>
      </c>
      <c r="O4586">
        <v>0</v>
      </c>
      <c r="P4586">
        <v>102903</v>
      </c>
      <c r="Q4586" t="s">
        <v>30</v>
      </c>
      <c r="R4586" t="s">
        <v>62</v>
      </c>
      <c r="S4586" t="str">
        <v>#N/A</v>
      </c>
      <c r="T4586" t="str">
        <v>#N/A</v>
      </c>
    </row>
    <row r="4587" spans="1:20" ht="13.7" customHeight="1" x14ac:dyDescent="0.25">
      <c r="A4587" t="s">
        <v>26</v>
      </c>
      <c r="B4587" t="s">
        <v>27</v>
      </c>
      <c r="C4587" t="s">
        <v>36</v>
      </c>
      <c r="D4587">
        <v>56</v>
      </c>
      <c r="E4587" s="5">
        <v>43642</v>
      </c>
      <c r="F4587">
        <v>73355001</v>
      </c>
      <c r="G4587" t="s">
        <v>1086</v>
      </c>
      <c r="H4587" t="s">
        <v>1433</v>
      </c>
      <c r="I4587" t="s">
        <v>1434</v>
      </c>
      <c r="J4587">
        <v>1001</v>
      </c>
      <c r="K4587">
        <v>5004</v>
      </c>
      <c r="L4587" s="3">
        <v>102903</v>
      </c>
      <c r="M4587" s="3">
        <v>10000</v>
      </c>
      <c r="N4587">
        <v>0</v>
      </c>
      <c r="O4587">
        <v>0</v>
      </c>
      <c r="P4587">
        <v>112903</v>
      </c>
      <c r="Q4587" t="s">
        <v>30</v>
      </c>
      <c r="R4587" t="s">
        <v>43</v>
      </c>
      <c r="S4587" t="str">
        <v>#N/A</v>
      </c>
      <c r="T4587" t="str">
        <v>#N/A</v>
      </c>
    </row>
    <row r="4588" spans="1:20" ht="13.7" customHeight="1" x14ac:dyDescent="0.25">
      <c r="A4588" t="s">
        <v>26</v>
      </c>
      <c r="B4588" t="s">
        <v>27</v>
      </c>
      <c r="C4588" t="s">
        <v>38</v>
      </c>
      <c r="D4588">
        <v>33</v>
      </c>
      <c r="E4588" s="5">
        <v>43697</v>
      </c>
      <c r="F4588">
        <v>73355001</v>
      </c>
      <c r="G4588" t="s">
        <v>1086</v>
      </c>
      <c r="H4588" t="s">
        <v>1433</v>
      </c>
      <c r="I4588" t="s">
        <v>1434</v>
      </c>
      <c r="J4588">
        <v>1001</v>
      </c>
      <c r="K4588">
        <v>5004</v>
      </c>
      <c r="L4588" s="3">
        <v>112903</v>
      </c>
      <c r="M4588" s="3">
        <v>12250</v>
      </c>
      <c r="N4588">
        <v>0</v>
      </c>
      <c r="O4588">
        <v>0</v>
      </c>
      <c r="P4588">
        <v>125153</v>
      </c>
      <c r="Q4588" t="s">
        <v>30</v>
      </c>
      <c r="R4588" t="s">
        <v>43</v>
      </c>
      <c r="S4588" t="str">
        <v>#N/A</v>
      </c>
      <c r="T4588" t="str">
        <v>#N/A</v>
      </c>
    </row>
    <row r="4589" spans="1:20" ht="13.7" customHeight="1" x14ac:dyDescent="0.25">
      <c r="E4589" s="5">
        <v>43465</v>
      </c>
      <c r="F4589">
        <v>73355001</v>
      </c>
      <c r="G4589" t="s">
        <v>1086</v>
      </c>
      <c r="H4589" t="s">
        <v>1429</v>
      </c>
      <c r="I4589" t="s">
        <v>1430</v>
      </c>
      <c r="J4589">
        <v>0</v>
      </c>
      <c r="K4589">
        <v>0</v>
      </c>
      <c r="L4589" s="3">
        <v>276612</v>
      </c>
      <c r="M4589" s="3">
        <v>0</v>
      </c>
      <c r="N4589">
        <v>0</v>
      </c>
      <c r="O4589">
        <v>0</v>
      </c>
      <c r="P4589">
        <v>276612</v>
      </c>
      <c r="R4589" t="s">
        <v>1100</v>
      </c>
      <c r="S4589" t="str">
        <v>#N/A</v>
      </c>
      <c r="T4589" t="str">
        <v>31</v>
      </c>
    </row>
    <row r="4590" spans="1:20" ht="13.7" customHeight="1" x14ac:dyDescent="0.25">
      <c r="A4590" t="s">
        <v>26</v>
      </c>
      <c r="B4590" t="s">
        <v>27</v>
      </c>
      <c r="C4590" t="s">
        <v>34</v>
      </c>
      <c r="D4590">
        <v>63</v>
      </c>
      <c r="E4590" s="5">
        <v>43582</v>
      </c>
      <c r="F4590">
        <v>73355001</v>
      </c>
      <c r="G4590" t="s">
        <v>1086</v>
      </c>
      <c r="H4590" t="s">
        <v>1429</v>
      </c>
      <c r="I4590" t="s">
        <v>1430</v>
      </c>
      <c r="J4590">
        <v>1001</v>
      </c>
      <c r="K4590">
        <v>5004</v>
      </c>
      <c r="L4590" s="3">
        <v>276612</v>
      </c>
      <c r="M4590" s="3">
        <v>21935</v>
      </c>
      <c r="N4590">
        <v>0</v>
      </c>
      <c r="O4590">
        <v>0</v>
      </c>
      <c r="P4590">
        <v>298547</v>
      </c>
      <c r="Q4590" t="s">
        <v>30</v>
      </c>
      <c r="R4590" t="s">
        <v>43</v>
      </c>
      <c r="S4590" t="str">
        <v>#N/A</v>
      </c>
      <c r="T4590" t="str">
        <v>31</v>
      </c>
    </row>
    <row r="4591" spans="1:20" ht="13.7" customHeight="1" x14ac:dyDescent="0.25">
      <c r="E4591" s="5">
        <v>43465</v>
      </c>
      <c r="F4591">
        <v>73355001</v>
      </c>
      <c r="G4591" t="s">
        <v>1086</v>
      </c>
      <c r="H4591" t="s">
        <v>1761</v>
      </c>
      <c r="I4591" t="s">
        <v>1762</v>
      </c>
      <c r="J4591">
        <v>0</v>
      </c>
      <c r="K4591">
        <v>0</v>
      </c>
      <c r="L4591" s="3">
        <v>18400</v>
      </c>
      <c r="M4591" s="3">
        <v>0</v>
      </c>
      <c r="N4591">
        <v>0</v>
      </c>
      <c r="O4591">
        <v>0</v>
      </c>
      <c r="P4591">
        <v>18400</v>
      </c>
      <c r="R4591" t="s">
        <v>1100</v>
      </c>
      <c r="S4591" t="str">
        <v>#N/A</v>
      </c>
      <c r="T4591" t="str">
        <v>#N/A</v>
      </c>
    </row>
    <row r="4592" spans="1:20" ht="13.7" customHeight="1" x14ac:dyDescent="0.25">
      <c r="E4592" s="5">
        <v>43465</v>
      </c>
      <c r="F4592">
        <v>73355001</v>
      </c>
      <c r="G4592" t="s">
        <v>1086</v>
      </c>
      <c r="H4592" t="s">
        <v>1763</v>
      </c>
      <c r="I4592" t="s">
        <v>1764</v>
      </c>
      <c r="J4592">
        <v>0</v>
      </c>
      <c r="K4592">
        <v>0</v>
      </c>
      <c r="L4592" s="3">
        <v>78576</v>
      </c>
      <c r="M4592" s="3">
        <v>0</v>
      </c>
      <c r="N4592">
        <v>0</v>
      </c>
      <c r="O4592">
        <v>0</v>
      </c>
      <c r="P4592">
        <v>78576</v>
      </c>
      <c r="R4592" t="s">
        <v>1100</v>
      </c>
      <c r="S4592" t="str">
        <v>#N/A</v>
      </c>
      <c r="T4592" t="str">
        <v>#N/A</v>
      </c>
    </row>
    <row r="4593" spans="1:20" ht="13.7" customHeight="1" x14ac:dyDescent="0.25">
      <c r="E4593" s="5">
        <v>43465</v>
      </c>
      <c r="F4593">
        <v>73355001</v>
      </c>
      <c r="G4593" t="s">
        <v>1086</v>
      </c>
      <c r="H4593" t="s">
        <v>1765</v>
      </c>
      <c r="I4593" t="s">
        <v>1766</v>
      </c>
      <c r="J4593">
        <v>0</v>
      </c>
      <c r="K4593">
        <v>0</v>
      </c>
      <c r="L4593" s="3">
        <v>9700</v>
      </c>
      <c r="M4593" s="3">
        <v>0</v>
      </c>
      <c r="N4593">
        <v>0</v>
      </c>
      <c r="O4593">
        <v>0</v>
      </c>
      <c r="P4593">
        <v>9700</v>
      </c>
      <c r="R4593" t="s">
        <v>1100</v>
      </c>
      <c r="S4593" t="str">
        <v>#N/A</v>
      </c>
      <c r="T4593" t="str">
        <v>#N/A</v>
      </c>
    </row>
    <row r="4594" spans="1:20" ht="13.7" customHeight="1" x14ac:dyDescent="0.25">
      <c r="E4594" s="5">
        <v>43465</v>
      </c>
      <c r="F4594">
        <v>73355001</v>
      </c>
      <c r="G4594" t="s">
        <v>1086</v>
      </c>
      <c r="H4594" t="s">
        <v>1177</v>
      </c>
      <c r="I4594" t="s">
        <v>1178</v>
      </c>
      <c r="J4594">
        <v>0</v>
      </c>
      <c r="K4594">
        <v>0</v>
      </c>
      <c r="L4594" s="3">
        <v>0</v>
      </c>
      <c r="M4594" s="3">
        <v>0</v>
      </c>
      <c r="N4594">
        <v>0</v>
      </c>
      <c r="O4594">
        <v>0</v>
      </c>
      <c r="P4594">
        <v>0</v>
      </c>
      <c r="R4594" t="s">
        <v>1100</v>
      </c>
      <c r="S4594" t="str">
        <v>#N/A</v>
      </c>
      <c r="T4594" t="str">
        <v>#N/A</v>
      </c>
    </row>
    <row r="4595" spans="1:20" ht="13.7" customHeight="1" x14ac:dyDescent="0.25">
      <c r="A4595" t="s">
        <v>26</v>
      </c>
      <c r="B4595" t="s">
        <v>27</v>
      </c>
      <c r="C4595" t="s">
        <v>41</v>
      </c>
      <c r="D4595">
        <v>37</v>
      </c>
      <c r="E4595" s="5">
        <v>43784</v>
      </c>
      <c r="F4595">
        <v>73355001</v>
      </c>
      <c r="G4595" t="s">
        <v>1086</v>
      </c>
      <c r="H4595" t="s">
        <v>1177</v>
      </c>
      <c r="I4595" t="s">
        <v>1178</v>
      </c>
      <c r="J4595">
        <v>1001</v>
      </c>
      <c r="K4595">
        <v>5004</v>
      </c>
      <c r="L4595" s="3">
        <v>0</v>
      </c>
      <c r="M4595" s="3">
        <v>150000</v>
      </c>
      <c r="N4595">
        <v>0</v>
      </c>
      <c r="O4595">
        <v>0</v>
      </c>
      <c r="P4595">
        <v>150000</v>
      </c>
      <c r="Q4595" t="s">
        <v>30</v>
      </c>
      <c r="R4595" t="s">
        <v>173</v>
      </c>
      <c r="S4595" t="str">
        <v>#N/A</v>
      </c>
      <c r="T4595" t="str">
        <v>#N/A</v>
      </c>
    </row>
    <row r="4596" spans="1:20" ht="13.7" customHeight="1" x14ac:dyDescent="0.25">
      <c r="A4596" t="s">
        <v>26</v>
      </c>
      <c r="B4596" t="s">
        <v>27</v>
      </c>
      <c r="C4596" t="s">
        <v>41</v>
      </c>
      <c r="D4596">
        <v>68</v>
      </c>
      <c r="E4596" s="5">
        <v>43796</v>
      </c>
      <c r="F4596">
        <v>73355001</v>
      </c>
      <c r="G4596" t="s">
        <v>1086</v>
      </c>
      <c r="H4596" t="s">
        <v>1177</v>
      </c>
      <c r="I4596" t="s">
        <v>1178</v>
      </c>
      <c r="J4596">
        <v>1001</v>
      </c>
      <c r="K4596">
        <v>5004</v>
      </c>
      <c r="L4596" s="3">
        <v>150000</v>
      </c>
      <c r="M4596" s="3">
        <v>120000</v>
      </c>
      <c r="N4596">
        <v>0</v>
      </c>
      <c r="O4596">
        <v>0</v>
      </c>
      <c r="P4596">
        <v>270000</v>
      </c>
      <c r="Q4596" t="s">
        <v>30</v>
      </c>
      <c r="R4596" t="s">
        <v>179</v>
      </c>
      <c r="S4596" t="str">
        <v>#N/A</v>
      </c>
      <c r="T4596" t="str">
        <v>#N/A</v>
      </c>
    </row>
    <row r="4597" spans="1:20" ht="13.7" customHeight="1" x14ac:dyDescent="0.25">
      <c r="E4597" s="5">
        <v>43465</v>
      </c>
      <c r="F4597">
        <v>73359515</v>
      </c>
      <c r="G4597" t="s">
        <v>1051</v>
      </c>
      <c r="H4597" t="s">
        <v>1435</v>
      </c>
      <c r="I4597" t="s">
        <v>1436</v>
      </c>
      <c r="J4597">
        <v>0</v>
      </c>
      <c r="K4597">
        <v>0</v>
      </c>
      <c r="L4597" s="3">
        <v>336000</v>
      </c>
      <c r="M4597" s="3">
        <v>0</v>
      </c>
      <c r="N4597">
        <v>0</v>
      </c>
      <c r="O4597">
        <v>0</v>
      </c>
      <c r="P4597">
        <v>336000</v>
      </c>
      <c r="R4597" t="s">
        <v>1100</v>
      </c>
      <c r="S4597" t="str">
        <v>#N/A</v>
      </c>
      <c r="T4597" t="str">
        <v>#N/A</v>
      </c>
    </row>
    <row r="4598" spans="1:20" ht="13.7" customHeight="1" x14ac:dyDescent="0.25">
      <c r="E4598" s="5">
        <v>43465</v>
      </c>
      <c r="F4598">
        <v>73359515</v>
      </c>
      <c r="G4598" t="s">
        <v>1051</v>
      </c>
      <c r="H4598" t="s">
        <v>1173</v>
      </c>
      <c r="I4598" t="s">
        <v>1174</v>
      </c>
      <c r="J4598">
        <v>0</v>
      </c>
      <c r="K4598">
        <v>0</v>
      </c>
      <c r="L4598" s="3">
        <v>1531317</v>
      </c>
      <c r="M4598" s="3">
        <v>0</v>
      </c>
      <c r="N4598">
        <v>0</v>
      </c>
      <c r="O4598">
        <v>0</v>
      </c>
      <c r="P4598">
        <v>1531317</v>
      </c>
      <c r="R4598" t="s">
        <v>1100</v>
      </c>
      <c r="S4598" t="str">
        <v>#N/A</v>
      </c>
      <c r="T4598" t="str">
        <v>#N/A</v>
      </c>
    </row>
    <row r="4599" spans="1:20" ht="13.7" customHeight="1" x14ac:dyDescent="0.25">
      <c r="A4599" t="s">
        <v>26</v>
      </c>
      <c r="B4599" t="s">
        <v>27</v>
      </c>
      <c r="C4599" t="s">
        <v>36</v>
      </c>
      <c r="D4599">
        <v>43</v>
      </c>
      <c r="E4599" s="5">
        <v>43636</v>
      </c>
      <c r="F4599">
        <v>73359515</v>
      </c>
      <c r="G4599" t="s">
        <v>1051</v>
      </c>
      <c r="H4599" t="s">
        <v>1173</v>
      </c>
      <c r="I4599" t="s">
        <v>1174</v>
      </c>
      <c r="J4599">
        <v>1001</v>
      </c>
      <c r="K4599">
        <v>5004</v>
      </c>
      <c r="L4599" s="3">
        <v>1531317</v>
      </c>
      <c r="M4599" s="3">
        <v>110000</v>
      </c>
      <c r="N4599">
        <v>0</v>
      </c>
      <c r="O4599">
        <v>0</v>
      </c>
      <c r="P4599">
        <v>1641317</v>
      </c>
      <c r="Q4599" t="s">
        <v>30</v>
      </c>
      <c r="R4599" t="s">
        <v>147</v>
      </c>
      <c r="S4599" t="str">
        <v>#N/A</v>
      </c>
      <c r="T4599" t="str">
        <v>#N/A</v>
      </c>
    </row>
    <row r="4600" spans="1:20" ht="13.7" customHeight="1" x14ac:dyDescent="0.25">
      <c r="A4600" t="s">
        <v>26</v>
      </c>
      <c r="B4600" t="s">
        <v>27</v>
      </c>
      <c r="C4600" t="s">
        <v>37</v>
      </c>
      <c r="D4600">
        <v>4</v>
      </c>
      <c r="E4600" s="5">
        <v>43648</v>
      </c>
      <c r="F4600">
        <v>73359515</v>
      </c>
      <c r="G4600" t="s">
        <v>1051</v>
      </c>
      <c r="H4600" t="s">
        <v>1173</v>
      </c>
      <c r="I4600" t="s">
        <v>1174</v>
      </c>
      <c r="J4600">
        <v>1001</v>
      </c>
      <c r="K4600">
        <v>5004</v>
      </c>
      <c r="L4600" s="3">
        <v>1641317</v>
      </c>
      <c r="M4600" s="3">
        <v>272017</v>
      </c>
      <c r="N4600">
        <v>0</v>
      </c>
      <c r="O4600">
        <v>0</v>
      </c>
      <c r="P4600">
        <v>1913334</v>
      </c>
      <c r="Q4600" t="s">
        <v>30</v>
      </c>
      <c r="R4600" t="s">
        <v>147</v>
      </c>
      <c r="S4600" t="str">
        <v>#N/A</v>
      </c>
      <c r="T4600" t="str">
        <v>#N/A</v>
      </c>
    </row>
    <row r="4601" spans="1:20" ht="13.7" customHeight="1" x14ac:dyDescent="0.25">
      <c r="A4601" t="s">
        <v>26</v>
      </c>
      <c r="B4601" t="s">
        <v>27</v>
      </c>
      <c r="C4601" t="s">
        <v>40</v>
      </c>
      <c r="D4601">
        <v>18</v>
      </c>
      <c r="E4601" s="5">
        <v>43749</v>
      </c>
      <c r="F4601">
        <v>73359515</v>
      </c>
      <c r="G4601" t="s">
        <v>1051</v>
      </c>
      <c r="H4601" t="s">
        <v>1173</v>
      </c>
      <c r="I4601" t="s">
        <v>1174</v>
      </c>
      <c r="J4601">
        <v>1001</v>
      </c>
      <c r="K4601">
        <v>5004</v>
      </c>
      <c r="L4601" s="3">
        <v>1913334</v>
      </c>
      <c r="M4601" s="3">
        <v>105164</v>
      </c>
      <c r="N4601">
        <v>0</v>
      </c>
      <c r="O4601">
        <v>0</v>
      </c>
      <c r="P4601">
        <v>2018498</v>
      </c>
      <c r="Q4601" t="s">
        <v>30</v>
      </c>
      <c r="R4601" t="s">
        <v>296</v>
      </c>
      <c r="S4601" t="str">
        <v>#N/A</v>
      </c>
      <c r="T4601" t="str">
        <v>#N/A</v>
      </c>
    </row>
    <row r="4602" spans="1:20" ht="13.7" customHeight="1" x14ac:dyDescent="0.25">
      <c r="A4602" t="s">
        <v>26</v>
      </c>
      <c r="B4602" t="s">
        <v>27</v>
      </c>
      <c r="C4602" t="s">
        <v>180</v>
      </c>
      <c r="D4602">
        <v>52</v>
      </c>
      <c r="E4602" s="5">
        <v>43818</v>
      </c>
      <c r="F4602">
        <v>73359515</v>
      </c>
      <c r="G4602" t="s">
        <v>1051</v>
      </c>
      <c r="H4602" t="s">
        <v>1173</v>
      </c>
      <c r="I4602" t="s">
        <v>1174</v>
      </c>
      <c r="J4602">
        <v>1001</v>
      </c>
      <c r="K4602">
        <v>5004</v>
      </c>
      <c r="L4602" s="3">
        <v>2018498</v>
      </c>
      <c r="M4602" s="3">
        <v>94370</v>
      </c>
      <c r="N4602">
        <v>0</v>
      </c>
      <c r="O4602">
        <v>0</v>
      </c>
      <c r="P4602">
        <v>2112868</v>
      </c>
      <c r="Q4602" t="s">
        <v>30</v>
      </c>
      <c r="R4602" t="s">
        <v>147</v>
      </c>
      <c r="S4602" t="str">
        <v>#N/A</v>
      </c>
      <c r="T4602" t="str">
        <v>#N/A</v>
      </c>
    </row>
    <row r="4603" spans="1:20" ht="13.7" customHeight="1" x14ac:dyDescent="0.25">
      <c r="E4603" s="5">
        <v>43465</v>
      </c>
      <c r="F4603">
        <v>73359515</v>
      </c>
      <c r="G4603" t="s">
        <v>1051</v>
      </c>
      <c r="H4603" t="s">
        <v>1527</v>
      </c>
      <c r="I4603" t="s">
        <v>1528</v>
      </c>
      <c r="J4603">
        <v>0</v>
      </c>
      <c r="K4603">
        <v>0</v>
      </c>
      <c r="L4603" s="3">
        <v>7406200</v>
      </c>
      <c r="M4603" s="3">
        <v>0</v>
      </c>
      <c r="N4603">
        <v>0</v>
      </c>
      <c r="O4603">
        <v>0</v>
      </c>
      <c r="P4603">
        <v>7406200</v>
      </c>
      <c r="R4603" t="s">
        <v>1100</v>
      </c>
      <c r="S4603" t="str">
        <v>#N/A</v>
      </c>
      <c r="T4603" t="str">
        <v>13</v>
      </c>
    </row>
    <row r="4604" spans="1:20" ht="13.7" customHeight="1" x14ac:dyDescent="0.25">
      <c r="E4604" s="5">
        <v>43465</v>
      </c>
      <c r="F4604">
        <v>73359515</v>
      </c>
      <c r="G4604" t="s">
        <v>1051</v>
      </c>
      <c r="H4604" t="s">
        <v>1185</v>
      </c>
      <c r="I4604" t="s">
        <v>1186</v>
      </c>
      <c r="J4604">
        <v>0</v>
      </c>
      <c r="K4604">
        <v>0</v>
      </c>
      <c r="L4604" s="3">
        <v>0</v>
      </c>
      <c r="M4604" s="3">
        <v>0</v>
      </c>
      <c r="N4604">
        <v>0</v>
      </c>
      <c r="O4604">
        <v>0</v>
      </c>
      <c r="P4604">
        <v>0</v>
      </c>
      <c r="R4604" t="s">
        <v>1100</v>
      </c>
      <c r="S4604" t="str">
        <v>#N/A</v>
      </c>
      <c r="T4604" t="str">
        <v>#N/A</v>
      </c>
    </row>
    <row r="4605" spans="1:20" ht="13.7" customHeight="1" x14ac:dyDescent="0.25">
      <c r="A4605" t="s">
        <v>26</v>
      </c>
      <c r="B4605" t="s">
        <v>27</v>
      </c>
      <c r="C4605" t="s">
        <v>32</v>
      </c>
      <c r="D4605">
        <v>26</v>
      </c>
      <c r="E4605" s="5">
        <v>43509</v>
      </c>
      <c r="F4605">
        <v>73359515</v>
      </c>
      <c r="G4605" t="s">
        <v>1051</v>
      </c>
      <c r="H4605" t="s">
        <v>1185</v>
      </c>
      <c r="I4605" t="s">
        <v>1186</v>
      </c>
      <c r="J4605">
        <v>1001</v>
      </c>
      <c r="K4605">
        <v>5004</v>
      </c>
      <c r="L4605" s="3">
        <v>0</v>
      </c>
      <c r="M4605" s="3">
        <v>160000</v>
      </c>
      <c r="N4605">
        <v>0</v>
      </c>
      <c r="O4605">
        <v>0</v>
      </c>
      <c r="P4605">
        <v>160000</v>
      </c>
      <c r="Q4605" t="s">
        <v>30</v>
      </c>
      <c r="R4605" t="s">
        <v>80</v>
      </c>
      <c r="S4605" t="str">
        <v>#N/A</v>
      </c>
      <c r="T4605" t="str">
        <v>#N/A</v>
      </c>
    </row>
    <row r="4606" spans="1:20" ht="13.7" customHeight="1" x14ac:dyDescent="0.25">
      <c r="A4606" t="s">
        <v>26</v>
      </c>
      <c r="B4606" t="s">
        <v>27</v>
      </c>
      <c r="C4606" t="s">
        <v>180</v>
      </c>
      <c r="D4606">
        <v>53</v>
      </c>
      <c r="E4606" s="5">
        <v>43818</v>
      </c>
      <c r="F4606">
        <v>73359515</v>
      </c>
      <c r="G4606" t="s">
        <v>1051</v>
      </c>
      <c r="H4606" t="s">
        <v>1185</v>
      </c>
      <c r="I4606" t="s">
        <v>1186</v>
      </c>
      <c r="J4606">
        <v>1001</v>
      </c>
      <c r="K4606">
        <v>5004</v>
      </c>
      <c r="L4606" s="3">
        <v>160000</v>
      </c>
      <c r="M4606" s="3">
        <v>500000</v>
      </c>
      <c r="N4606">
        <v>0</v>
      </c>
      <c r="O4606">
        <v>0</v>
      </c>
      <c r="P4606">
        <v>660000</v>
      </c>
      <c r="Q4606" t="s">
        <v>30</v>
      </c>
      <c r="R4606" t="s">
        <v>190</v>
      </c>
      <c r="S4606" t="str">
        <v>#N/A</v>
      </c>
      <c r="T4606" t="str">
        <v>#N/A</v>
      </c>
    </row>
    <row r="4607" spans="1:20" ht="13.7" customHeight="1" x14ac:dyDescent="0.25">
      <c r="A4607" t="s">
        <v>26</v>
      </c>
      <c r="B4607" t="s">
        <v>27</v>
      </c>
      <c r="C4607" t="s">
        <v>180</v>
      </c>
      <c r="D4607">
        <v>54</v>
      </c>
      <c r="E4607" s="5">
        <v>43819</v>
      </c>
      <c r="F4607">
        <v>73359515</v>
      </c>
      <c r="G4607" t="s">
        <v>1051</v>
      </c>
      <c r="H4607" t="s">
        <v>1185</v>
      </c>
      <c r="I4607" t="s">
        <v>1186</v>
      </c>
      <c r="J4607">
        <v>1001</v>
      </c>
      <c r="K4607">
        <v>5004</v>
      </c>
      <c r="L4607" s="3">
        <v>660000</v>
      </c>
      <c r="M4607" s="3">
        <v>1000000</v>
      </c>
      <c r="N4607">
        <v>0</v>
      </c>
      <c r="O4607">
        <v>0</v>
      </c>
      <c r="P4607">
        <v>1660000</v>
      </c>
      <c r="Q4607" t="s">
        <v>30</v>
      </c>
      <c r="R4607" t="s">
        <v>190</v>
      </c>
      <c r="S4607" t="str">
        <v>#N/A</v>
      </c>
      <c r="T4607" t="str">
        <v>#N/A</v>
      </c>
    </row>
    <row r="4608" spans="1:20" ht="13.7" customHeight="1" x14ac:dyDescent="0.25">
      <c r="E4608" s="5">
        <v>43465</v>
      </c>
      <c r="F4608">
        <v>73359515</v>
      </c>
      <c r="G4608" t="s">
        <v>1051</v>
      </c>
      <c r="H4608" t="s">
        <v>1179</v>
      </c>
      <c r="I4608" t="s">
        <v>1180</v>
      </c>
      <c r="J4608">
        <v>0</v>
      </c>
      <c r="K4608">
        <v>0</v>
      </c>
      <c r="L4608" s="3">
        <v>200000</v>
      </c>
      <c r="M4608" s="3">
        <v>0</v>
      </c>
      <c r="N4608">
        <v>0</v>
      </c>
      <c r="O4608">
        <v>0</v>
      </c>
      <c r="P4608">
        <v>200000</v>
      </c>
      <c r="R4608" t="s">
        <v>1100</v>
      </c>
      <c r="S4608" t="str">
        <v>#N/A</v>
      </c>
      <c r="T4608" t="str">
        <v>13</v>
      </c>
    </row>
    <row r="4609" spans="1:20" ht="13.7" customHeight="1" x14ac:dyDescent="0.25">
      <c r="E4609" s="5">
        <v>43465</v>
      </c>
      <c r="F4609">
        <v>73359515</v>
      </c>
      <c r="G4609" t="s">
        <v>1051</v>
      </c>
      <c r="H4609" t="s">
        <v>1115</v>
      </c>
      <c r="I4609" t="s">
        <v>1116</v>
      </c>
      <c r="J4609">
        <v>0</v>
      </c>
      <c r="K4609">
        <v>0</v>
      </c>
      <c r="L4609" s="3">
        <v>31977120</v>
      </c>
      <c r="M4609" s="3">
        <v>0</v>
      </c>
      <c r="N4609">
        <v>0</v>
      </c>
      <c r="O4609">
        <v>0</v>
      </c>
      <c r="P4609">
        <v>31977120</v>
      </c>
      <c r="R4609" t="s">
        <v>1100</v>
      </c>
      <c r="S4609" t="str">
        <v>#N/A</v>
      </c>
      <c r="T4609" t="str">
        <v>13</v>
      </c>
    </row>
    <row r="4610" spans="1:20" ht="13.7" customHeight="1" x14ac:dyDescent="0.25">
      <c r="A4610" t="s">
        <v>26</v>
      </c>
      <c r="B4610" t="s">
        <v>27</v>
      </c>
      <c r="C4610" t="s">
        <v>28</v>
      </c>
      <c r="D4610">
        <v>30</v>
      </c>
      <c r="E4610" s="5">
        <v>43479</v>
      </c>
      <c r="F4610">
        <v>73359515</v>
      </c>
      <c r="G4610" t="s">
        <v>1051</v>
      </c>
      <c r="H4610" t="s">
        <v>1115</v>
      </c>
      <c r="I4610" t="s">
        <v>1116</v>
      </c>
      <c r="J4610">
        <v>1001</v>
      </c>
      <c r="K4610">
        <v>5004</v>
      </c>
      <c r="L4610" s="3">
        <v>31977120</v>
      </c>
      <c r="M4610" s="3">
        <v>1876816</v>
      </c>
      <c r="N4610">
        <v>0</v>
      </c>
      <c r="O4610">
        <v>0</v>
      </c>
      <c r="P4610">
        <v>33853936</v>
      </c>
      <c r="Q4610" t="s">
        <v>30</v>
      </c>
      <c r="R4610" t="s">
        <v>69</v>
      </c>
      <c r="S4610" t="str">
        <v>#N/A</v>
      </c>
      <c r="T4610" t="str">
        <v>13</v>
      </c>
    </row>
    <row r="4611" spans="1:20" ht="13.7" customHeight="1" x14ac:dyDescent="0.25">
      <c r="A4611" t="s">
        <v>26</v>
      </c>
      <c r="B4611" t="s">
        <v>27</v>
      </c>
      <c r="C4611" t="s">
        <v>32</v>
      </c>
      <c r="D4611">
        <v>2</v>
      </c>
      <c r="E4611" s="5">
        <v>43497</v>
      </c>
      <c r="F4611">
        <v>73359515</v>
      </c>
      <c r="G4611" t="s">
        <v>1051</v>
      </c>
      <c r="H4611" t="s">
        <v>1115</v>
      </c>
      <c r="I4611" t="s">
        <v>1116</v>
      </c>
      <c r="J4611">
        <v>1001</v>
      </c>
      <c r="K4611">
        <v>5004</v>
      </c>
      <c r="L4611" s="3">
        <v>33853936</v>
      </c>
      <c r="M4611" s="3">
        <v>1500000</v>
      </c>
      <c r="N4611">
        <v>0</v>
      </c>
      <c r="O4611">
        <v>0</v>
      </c>
      <c r="P4611">
        <v>35353936</v>
      </c>
      <c r="Q4611" t="s">
        <v>30</v>
      </c>
      <c r="R4611" t="s">
        <v>69</v>
      </c>
      <c r="S4611" t="str">
        <v>#N/A</v>
      </c>
      <c r="T4611" t="str">
        <v>13</v>
      </c>
    </row>
    <row r="4612" spans="1:20" ht="13.7" customHeight="1" x14ac:dyDescent="0.25">
      <c r="A4612" t="s">
        <v>26</v>
      </c>
      <c r="B4612" t="s">
        <v>27</v>
      </c>
      <c r="C4612" t="s">
        <v>32</v>
      </c>
      <c r="D4612">
        <v>31</v>
      </c>
      <c r="E4612" s="5">
        <v>43511</v>
      </c>
      <c r="F4612">
        <v>73359515</v>
      </c>
      <c r="G4612" t="s">
        <v>1051</v>
      </c>
      <c r="H4612" t="s">
        <v>1115</v>
      </c>
      <c r="I4612" t="s">
        <v>1116</v>
      </c>
      <c r="J4612">
        <v>1001</v>
      </c>
      <c r="K4612">
        <v>5004</v>
      </c>
      <c r="L4612" s="3">
        <v>35353936</v>
      </c>
      <c r="M4612" s="3">
        <v>1500000</v>
      </c>
      <c r="N4612">
        <v>0</v>
      </c>
      <c r="O4612">
        <v>0</v>
      </c>
      <c r="P4612">
        <v>36853936</v>
      </c>
      <c r="Q4612" t="s">
        <v>30</v>
      </c>
      <c r="R4612" t="s">
        <v>69</v>
      </c>
      <c r="S4612" t="str">
        <v>#N/A</v>
      </c>
      <c r="T4612" t="str">
        <v>13</v>
      </c>
    </row>
    <row r="4613" spans="1:20" ht="13.7" customHeight="1" x14ac:dyDescent="0.25">
      <c r="A4613" t="s">
        <v>26</v>
      </c>
      <c r="B4613" t="s">
        <v>27</v>
      </c>
      <c r="C4613" t="s">
        <v>91</v>
      </c>
      <c r="D4613">
        <v>56</v>
      </c>
      <c r="E4613" s="5">
        <v>43540</v>
      </c>
      <c r="F4613">
        <v>73359515</v>
      </c>
      <c r="G4613" t="s">
        <v>1051</v>
      </c>
      <c r="H4613" t="s">
        <v>1115</v>
      </c>
      <c r="I4613" t="s">
        <v>1116</v>
      </c>
      <c r="J4613">
        <v>1001</v>
      </c>
      <c r="K4613">
        <v>5004</v>
      </c>
      <c r="L4613" s="3">
        <v>36853936</v>
      </c>
      <c r="M4613" s="3">
        <v>1500000</v>
      </c>
      <c r="N4613">
        <v>0</v>
      </c>
      <c r="O4613">
        <v>0</v>
      </c>
      <c r="P4613">
        <v>38353936</v>
      </c>
      <c r="Q4613" t="s">
        <v>30</v>
      </c>
      <c r="R4613" t="s">
        <v>276</v>
      </c>
      <c r="S4613" t="str">
        <v>#N/A</v>
      </c>
      <c r="T4613" t="str">
        <v>13</v>
      </c>
    </row>
    <row r="4614" spans="1:20" ht="13.7" customHeight="1" x14ac:dyDescent="0.25">
      <c r="A4614" t="s">
        <v>26</v>
      </c>
      <c r="B4614" t="s">
        <v>27</v>
      </c>
      <c r="C4614" t="s">
        <v>91</v>
      </c>
      <c r="D4614">
        <v>50</v>
      </c>
      <c r="E4614" s="5">
        <v>43546</v>
      </c>
      <c r="F4614">
        <v>73359515</v>
      </c>
      <c r="G4614" t="s">
        <v>1051</v>
      </c>
      <c r="H4614" t="s">
        <v>1115</v>
      </c>
      <c r="I4614" t="s">
        <v>1116</v>
      </c>
      <c r="J4614">
        <v>1001</v>
      </c>
      <c r="K4614">
        <v>5004</v>
      </c>
      <c r="L4614" s="3">
        <v>38353936</v>
      </c>
      <c r="M4614" s="3">
        <v>900000</v>
      </c>
      <c r="N4614">
        <v>0</v>
      </c>
      <c r="O4614">
        <v>0</v>
      </c>
      <c r="P4614">
        <v>39253936</v>
      </c>
      <c r="Q4614" t="s">
        <v>30</v>
      </c>
      <c r="R4614" t="s">
        <v>243</v>
      </c>
      <c r="S4614" t="str">
        <v>#N/A</v>
      </c>
      <c r="T4614" t="str">
        <v>13</v>
      </c>
    </row>
    <row r="4615" spans="1:20" ht="13.7" customHeight="1" x14ac:dyDescent="0.25">
      <c r="A4615" t="s">
        <v>26</v>
      </c>
      <c r="B4615" t="s">
        <v>27</v>
      </c>
      <c r="C4615" t="s">
        <v>91</v>
      </c>
      <c r="D4615">
        <v>65</v>
      </c>
      <c r="E4615" s="5">
        <v>43554</v>
      </c>
      <c r="F4615">
        <v>73359515</v>
      </c>
      <c r="G4615" t="s">
        <v>1051</v>
      </c>
      <c r="H4615" t="s">
        <v>1115</v>
      </c>
      <c r="I4615" t="s">
        <v>1116</v>
      </c>
      <c r="J4615">
        <v>1001</v>
      </c>
      <c r="K4615">
        <v>5004</v>
      </c>
      <c r="L4615" s="3">
        <v>39253936</v>
      </c>
      <c r="M4615" s="3">
        <v>1500000</v>
      </c>
      <c r="N4615">
        <v>0</v>
      </c>
      <c r="O4615">
        <v>0</v>
      </c>
      <c r="P4615">
        <v>40753936</v>
      </c>
      <c r="Q4615" t="s">
        <v>30</v>
      </c>
      <c r="R4615" t="s">
        <v>239</v>
      </c>
      <c r="S4615" t="str">
        <v>#N/A</v>
      </c>
      <c r="T4615" t="str">
        <v>13</v>
      </c>
    </row>
    <row r="4616" spans="1:20" ht="13.7" customHeight="1" x14ac:dyDescent="0.25">
      <c r="A4616" t="s">
        <v>26</v>
      </c>
      <c r="B4616" t="s">
        <v>27</v>
      </c>
      <c r="C4616" t="s">
        <v>34</v>
      </c>
      <c r="D4616">
        <v>34</v>
      </c>
      <c r="E4616" s="5">
        <v>43570</v>
      </c>
      <c r="F4616">
        <v>73359515</v>
      </c>
      <c r="G4616" t="s">
        <v>1051</v>
      </c>
      <c r="H4616" t="s">
        <v>1115</v>
      </c>
      <c r="I4616" t="s">
        <v>1116</v>
      </c>
      <c r="J4616">
        <v>1001</v>
      </c>
      <c r="K4616">
        <v>5004</v>
      </c>
      <c r="L4616" s="3">
        <v>40753936</v>
      </c>
      <c r="M4616" s="3">
        <v>1500000</v>
      </c>
      <c r="N4616">
        <v>0</v>
      </c>
      <c r="O4616">
        <v>0</v>
      </c>
      <c r="P4616">
        <v>42253936</v>
      </c>
      <c r="Q4616" t="s">
        <v>30</v>
      </c>
      <c r="R4616" t="s">
        <v>69</v>
      </c>
      <c r="S4616" t="str">
        <v>#N/A</v>
      </c>
      <c r="T4616" t="str">
        <v>13</v>
      </c>
    </row>
    <row r="4617" spans="1:20" ht="13.7" customHeight="1" x14ac:dyDescent="0.25">
      <c r="A4617" t="s">
        <v>26</v>
      </c>
      <c r="B4617" t="s">
        <v>27</v>
      </c>
      <c r="C4617" t="s">
        <v>35</v>
      </c>
      <c r="D4617">
        <v>1</v>
      </c>
      <c r="E4617" s="5">
        <v>43588</v>
      </c>
      <c r="F4617">
        <v>73359515</v>
      </c>
      <c r="G4617" t="s">
        <v>1051</v>
      </c>
      <c r="H4617" t="s">
        <v>1115</v>
      </c>
      <c r="I4617" t="s">
        <v>1116</v>
      </c>
      <c r="J4617">
        <v>1001</v>
      </c>
      <c r="K4617">
        <v>5004</v>
      </c>
      <c r="L4617" s="3">
        <v>42253936</v>
      </c>
      <c r="M4617" s="3">
        <v>1500000</v>
      </c>
      <c r="N4617">
        <v>0</v>
      </c>
      <c r="O4617">
        <v>0</v>
      </c>
      <c r="P4617">
        <v>43753936</v>
      </c>
      <c r="Q4617" t="s">
        <v>30</v>
      </c>
      <c r="R4617" t="s">
        <v>69</v>
      </c>
      <c r="S4617" t="str">
        <v>#N/A</v>
      </c>
      <c r="T4617" t="str">
        <v>13</v>
      </c>
    </row>
    <row r="4618" spans="1:20" ht="13.7" customHeight="1" x14ac:dyDescent="0.25">
      <c r="A4618" t="s">
        <v>26</v>
      </c>
      <c r="B4618" t="s">
        <v>27</v>
      </c>
      <c r="C4618" t="s">
        <v>35</v>
      </c>
      <c r="D4618">
        <v>4</v>
      </c>
      <c r="E4618" s="5">
        <v>43601</v>
      </c>
      <c r="F4618">
        <v>73359515</v>
      </c>
      <c r="G4618" t="s">
        <v>1051</v>
      </c>
      <c r="H4618" t="s">
        <v>1115</v>
      </c>
      <c r="I4618" t="s">
        <v>1116</v>
      </c>
      <c r="J4618">
        <v>1001</v>
      </c>
      <c r="K4618">
        <v>5004</v>
      </c>
      <c r="L4618" s="3">
        <v>43753936</v>
      </c>
      <c r="M4618" s="3">
        <v>1500000</v>
      </c>
      <c r="N4618">
        <v>0</v>
      </c>
      <c r="O4618">
        <v>0</v>
      </c>
      <c r="P4618">
        <v>45253936</v>
      </c>
      <c r="Q4618" t="s">
        <v>30</v>
      </c>
      <c r="R4618" t="s">
        <v>69</v>
      </c>
      <c r="S4618" t="str">
        <v>#N/A</v>
      </c>
      <c r="T4618" t="str">
        <v>13</v>
      </c>
    </row>
    <row r="4619" spans="1:20" ht="13.7" customHeight="1" x14ac:dyDescent="0.25">
      <c r="A4619" t="s">
        <v>26</v>
      </c>
      <c r="B4619" t="s">
        <v>27</v>
      </c>
      <c r="C4619" t="s">
        <v>36</v>
      </c>
      <c r="D4619">
        <v>7</v>
      </c>
      <c r="E4619" s="5">
        <v>43617</v>
      </c>
      <c r="F4619">
        <v>73359515</v>
      </c>
      <c r="G4619" t="s">
        <v>1051</v>
      </c>
      <c r="H4619" t="s">
        <v>1115</v>
      </c>
      <c r="I4619" t="s">
        <v>1116</v>
      </c>
      <c r="J4619">
        <v>1001</v>
      </c>
      <c r="K4619">
        <v>5004</v>
      </c>
      <c r="L4619" s="3">
        <v>45253936</v>
      </c>
      <c r="M4619" s="3">
        <v>1500000</v>
      </c>
      <c r="N4619">
        <v>0</v>
      </c>
      <c r="O4619">
        <v>0</v>
      </c>
      <c r="P4619">
        <v>46753936</v>
      </c>
      <c r="Q4619" t="s">
        <v>30</v>
      </c>
      <c r="R4619" t="s">
        <v>263</v>
      </c>
      <c r="S4619" t="str">
        <v>#N/A</v>
      </c>
      <c r="T4619" t="str">
        <v>13</v>
      </c>
    </row>
    <row r="4620" spans="1:20" ht="13.7" customHeight="1" x14ac:dyDescent="0.25">
      <c r="A4620" t="s">
        <v>26</v>
      </c>
      <c r="B4620" t="s">
        <v>27</v>
      </c>
      <c r="C4620" t="s">
        <v>36</v>
      </c>
      <c r="D4620">
        <v>22</v>
      </c>
      <c r="E4620" s="5">
        <v>43629</v>
      </c>
      <c r="F4620">
        <v>73359515</v>
      </c>
      <c r="G4620" t="s">
        <v>1051</v>
      </c>
      <c r="H4620" t="s">
        <v>1115</v>
      </c>
      <c r="I4620" t="s">
        <v>1116</v>
      </c>
      <c r="J4620">
        <v>1001</v>
      </c>
      <c r="K4620">
        <v>5004</v>
      </c>
      <c r="L4620" s="3">
        <v>46753936</v>
      </c>
      <c r="M4620" s="3">
        <v>1500000</v>
      </c>
      <c r="N4620">
        <v>0</v>
      </c>
      <c r="O4620">
        <v>0</v>
      </c>
      <c r="P4620">
        <v>48253936</v>
      </c>
      <c r="Q4620" t="s">
        <v>30</v>
      </c>
      <c r="R4620" t="s">
        <v>263</v>
      </c>
      <c r="S4620" t="str">
        <v>#N/A</v>
      </c>
      <c r="T4620" t="str">
        <v>13</v>
      </c>
    </row>
    <row r="4621" spans="1:20" ht="13.7" customHeight="1" x14ac:dyDescent="0.25">
      <c r="A4621" t="s">
        <v>26</v>
      </c>
      <c r="B4621" t="s">
        <v>27</v>
      </c>
      <c r="C4621" t="s">
        <v>36</v>
      </c>
      <c r="D4621">
        <v>50</v>
      </c>
      <c r="E4621" s="5">
        <v>43638</v>
      </c>
      <c r="F4621">
        <v>73359515</v>
      </c>
      <c r="G4621" t="s">
        <v>1051</v>
      </c>
      <c r="H4621" t="s">
        <v>1115</v>
      </c>
      <c r="I4621" t="s">
        <v>1116</v>
      </c>
      <c r="J4621">
        <v>1001</v>
      </c>
      <c r="K4621">
        <v>5004</v>
      </c>
      <c r="L4621" s="3">
        <v>48253936</v>
      </c>
      <c r="M4621" s="3">
        <v>500000</v>
      </c>
      <c r="N4621">
        <v>0</v>
      </c>
      <c r="O4621">
        <v>0</v>
      </c>
      <c r="P4621">
        <v>48753936</v>
      </c>
      <c r="Q4621" t="s">
        <v>30</v>
      </c>
      <c r="R4621" t="s">
        <v>263</v>
      </c>
      <c r="S4621" t="str">
        <v>#N/A</v>
      </c>
      <c r="T4621" t="str">
        <v>13</v>
      </c>
    </row>
    <row r="4622" spans="1:20" ht="13.7" customHeight="1" x14ac:dyDescent="0.25">
      <c r="A4622" t="s">
        <v>26</v>
      </c>
      <c r="B4622" t="s">
        <v>27</v>
      </c>
      <c r="C4622" t="s">
        <v>36</v>
      </c>
      <c r="D4622">
        <v>64</v>
      </c>
      <c r="E4622" s="5">
        <v>43645</v>
      </c>
      <c r="F4622">
        <v>73359515</v>
      </c>
      <c r="G4622" t="s">
        <v>1051</v>
      </c>
      <c r="H4622" t="s">
        <v>1115</v>
      </c>
      <c r="I4622" t="s">
        <v>1116</v>
      </c>
      <c r="J4622">
        <v>1001</v>
      </c>
      <c r="K4622">
        <v>5004</v>
      </c>
      <c r="L4622" s="3">
        <v>48753936</v>
      </c>
      <c r="M4622" s="3">
        <v>1000000</v>
      </c>
      <c r="N4622">
        <v>0</v>
      </c>
      <c r="O4622">
        <v>0</v>
      </c>
      <c r="P4622">
        <v>49753936</v>
      </c>
      <c r="Q4622" t="s">
        <v>30</v>
      </c>
      <c r="R4622" t="s">
        <v>276</v>
      </c>
      <c r="S4622" t="str">
        <v>#N/A</v>
      </c>
      <c r="T4622" t="str">
        <v>13</v>
      </c>
    </row>
    <row r="4623" spans="1:20" ht="13.7" customHeight="1" x14ac:dyDescent="0.25">
      <c r="A4623" t="s">
        <v>26</v>
      </c>
      <c r="B4623" t="s">
        <v>27</v>
      </c>
      <c r="C4623" t="s">
        <v>37</v>
      </c>
      <c r="D4623">
        <v>49</v>
      </c>
      <c r="E4623" s="5">
        <v>43668</v>
      </c>
      <c r="F4623">
        <v>73359515</v>
      </c>
      <c r="G4623" t="s">
        <v>1051</v>
      </c>
      <c r="H4623" t="s">
        <v>1115</v>
      </c>
      <c r="I4623" t="s">
        <v>1116</v>
      </c>
      <c r="J4623">
        <v>1001</v>
      </c>
      <c r="K4623">
        <v>5004</v>
      </c>
      <c r="L4623" s="3">
        <v>49753936</v>
      </c>
      <c r="M4623" s="3">
        <v>1500000</v>
      </c>
      <c r="N4623">
        <v>0</v>
      </c>
      <c r="O4623">
        <v>0</v>
      </c>
      <c r="P4623">
        <v>51253936</v>
      </c>
      <c r="Q4623" t="s">
        <v>30</v>
      </c>
      <c r="R4623" t="s">
        <v>281</v>
      </c>
      <c r="S4623" t="str">
        <v>#N/A</v>
      </c>
      <c r="T4623" t="str">
        <v>13</v>
      </c>
    </row>
    <row r="4624" spans="1:20" ht="13.7" customHeight="1" x14ac:dyDescent="0.25">
      <c r="A4624" t="s">
        <v>26</v>
      </c>
      <c r="B4624" t="s">
        <v>27</v>
      </c>
      <c r="C4624" t="s">
        <v>38</v>
      </c>
      <c r="D4624">
        <v>2</v>
      </c>
      <c r="E4624" s="5">
        <v>43679</v>
      </c>
      <c r="F4624">
        <v>73359515</v>
      </c>
      <c r="G4624" t="s">
        <v>1051</v>
      </c>
      <c r="H4624" t="s">
        <v>1115</v>
      </c>
      <c r="I4624" t="s">
        <v>1116</v>
      </c>
      <c r="J4624">
        <v>1001</v>
      </c>
      <c r="K4624">
        <v>5004</v>
      </c>
      <c r="L4624" s="3">
        <v>51253936</v>
      </c>
      <c r="M4624" s="3">
        <v>1500000</v>
      </c>
      <c r="N4624">
        <v>0</v>
      </c>
      <c r="O4624">
        <v>0</v>
      </c>
      <c r="P4624">
        <v>52753936</v>
      </c>
      <c r="Q4624" t="s">
        <v>30</v>
      </c>
      <c r="R4624" t="s">
        <v>263</v>
      </c>
      <c r="S4624" t="str">
        <v>#N/A</v>
      </c>
      <c r="T4624" t="str">
        <v>13</v>
      </c>
    </row>
    <row r="4625" spans="1:20" ht="13.7" customHeight="1" x14ac:dyDescent="0.25">
      <c r="A4625" t="s">
        <v>26</v>
      </c>
      <c r="B4625" t="s">
        <v>27</v>
      </c>
      <c r="C4625" t="s">
        <v>38</v>
      </c>
      <c r="D4625">
        <v>36</v>
      </c>
      <c r="E4625" s="5">
        <v>43701</v>
      </c>
      <c r="F4625">
        <v>73359515</v>
      </c>
      <c r="G4625" t="s">
        <v>1051</v>
      </c>
      <c r="H4625" t="s">
        <v>1115</v>
      </c>
      <c r="I4625" t="s">
        <v>1116</v>
      </c>
      <c r="J4625">
        <v>1001</v>
      </c>
      <c r="K4625">
        <v>5004</v>
      </c>
      <c r="L4625" s="3">
        <v>52753936</v>
      </c>
      <c r="M4625" s="3">
        <v>1500000</v>
      </c>
      <c r="N4625">
        <v>0</v>
      </c>
      <c r="O4625">
        <v>0</v>
      </c>
      <c r="P4625">
        <v>54253936</v>
      </c>
      <c r="Q4625" t="s">
        <v>30</v>
      </c>
      <c r="R4625" t="s">
        <v>263</v>
      </c>
      <c r="S4625" t="str">
        <v>#N/A</v>
      </c>
      <c r="T4625" t="str">
        <v>13</v>
      </c>
    </row>
    <row r="4626" spans="1:20" ht="13.7" customHeight="1" x14ac:dyDescent="0.25">
      <c r="A4626" t="s">
        <v>26</v>
      </c>
      <c r="B4626" t="s">
        <v>27</v>
      </c>
      <c r="C4626" t="s">
        <v>40</v>
      </c>
      <c r="D4626">
        <v>5</v>
      </c>
      <c r="E4626" s="5">
        <v>43743</v>
      </c>
      <c r="F4626">
        <v>73359515</v>
      </c>
      <c r="G4626" t="s">
        <v>1051</v>
      </c>
      <c r="H4626" t="s">
        <v>1115</v>
      </c>
      <c r="I4626" t="s">
        <v>1116</v>
      </c>
      <c r="J4626">
        <v>1001</v>
      </c>
      <c r="K4626">
        <v>5004</v>
      </c>
      <c r="L4626" s="3">
        <v>54253936</v>
      </c>
      <c r="M4626" s="3">
        <v>2000000</v>
      </c>
      <c r="N4626">
        <v>0</v>
      </c>
      <c r="O4626">
        <v>0</v>
      </c>
      <c r="P4626">
        <v>56253936</v>
      </c>
      <c r="Q4626" t="s">
        <v>30</v>
      </c>
      <c r="R4626" t="s">
        <v>292</v>
      </c>
      <c r="S4626" t="str">
        <v>#N/A</v>
      </c>
      <c r="T4626" t="str">
        <v>13</v>
      </c>
    </row>
    <row r="4627" spans="1:20" ht="13.7" customHeight="1" x14ac:dyDescent="0.25">
      <c r="A4627" t="s">
        <v>26</v>
      </c>
      <c r="B4627" t="s">
        <v>27</v>
      </c>
      <c r="C4627" t="s">
        <v>40</v>
      </c>
      <c r="D4627">
        <v>27</v>
      </c>
      <c r="E4627" s="5">
        <v>43754</v>
      </c>
      <c r="F4627">
        <v>73359515</v>
      </c>
      <c r="G4627" t="s">
        <v>1051</v>
      </c>
      <c r="H4627" t="s">
        <v>1115</v>
      </c>
      <c r="I4627" t="s">
        <v>1116</v>
      </c>
      <c r="J4627">
        <v>1001</v>
      </c>
      <c r="K4627">
        <v>5004</v>
      </c>
      <c r="L4627" s="3">
        <v>56253936</v>
      </c>
      <c r="M4627" s="3">
        <v>2500000</v>
      </c>
      <c r="N4627">
        <v>0</v>
      </c>
      <c r="O4627">
        <v>0</v>
      </c>
      <c r="P4627">
        <v>58753936</v>
      </c>
      <c r="Q4627" t="s">
        <v>30</v>
      </c>
      <c r="R4627" t="s">
        <v>263</v>
      </c>
      <c r="S4627" t="str">
        <v>#N/A</v>
      </c>
      <c r="T4627" t="str">
        <v>13</v>
      </c>
    </row>
    <row r="4628" spans="1:20" ht="13.7" customHeight="1" x14ac:dyDescent="0.25">
      <c r="A4628" t="s">
        <v>26</v>
      </c>
      <c r="B4628" t="s">
        <v>27</v>
      </c>
      <c r="C4628" t="s">
        <v>40</v>
      </c>
      <c r="D4628">
        <v>60</v>
      </c>
      <c r="E4628" s="5">
        <v>43769</v>
      </c>
      <c r="F4628">
        <v>73359515</v>
      </c>
      <c r="G4628" t="s">
        <v>1051</v>
      </c>
      <c r="H4628" t="s">
        <v>1115</v>
      </c>
      <c r="I4628" t="s">
        <v>1116</v>
      </c>
      <c r="J4628">
        <v>1001</v>
      </c>
      <c r="K4628">
        <v>5004</v>
      </c>
      <c r="L4628" s="3">
        <v>58753936</v>
      </c>
      <c r="M4628" s="3">
        <v>1500000</v>
      </c>
      <c r="N4628">
        <v>0</v>
      </c>
      <c r="O4628">
        <v>0</v>
      </c>
      <c r="P4628">
        <v>60253936</v>
      </c>
      <c r="Q4628" t="s">
        <v>30</v>
      </c>
      <c r="R4628" t="s">
        <v>263</v>
      </c>
      <c r="S4628" t="str">
        <v>#N/A</v>
      </c>
      <c r="T4628" t="str">
        <v>13</v>
      </c>
    </row>
    <row r="4629" spans="1:20" ht="13.7" customHeight="1" x14ac:dyDescent="0.25">
      <c r="A4629" t="s">
        <v>26</v>
      </c>
      <c r="B4629" t="s">
        <v>27</v>
      </c>
      <c r="C4629" t="s">
        <v>41</v>
      </c>
      <c r="D4629">
        <v>40</v>
      </c>
      <c r="E4629" s="5">
        <v>43785</v>
      </c>
      <c r="F4629">
        <v>73359515</v>
      </c>
      <c r="G4629" t="s">
        <v>1051</v>
      </c>
      <c r="H4629" t="s">
        <v>1115</v>
      </c>
      <c r="I4629" t="s">
        <v>1116</v>
      </c>
      <c r="J4629">
        <v>1001</v>
      </c>
      <c r="K4629">
        <v>5004</v>
      </c>
      <c r="L4629" s="3">
        <v>60253936</v>
      </c>
      <c r="M4629" s="3">
        <v>1500000</v>
      </c>
      <c r="N4629">
        <v>0</v>
      </c>
      <c r="O4629">
        <v>0</v>
      </c>
      <c r="P4629">
        <v>61753936</v>
      </c>
      <c r="Q4629" t="s">
        <v>30</v>
      </c>
      <c r="R4629" t="s">
        <v>69</v>
      </c>
      <c r="S4629" t="str">
        <v>#N/A</v>
      </c>
      <c r="T4629" t="str">
        <v>13</v>
      </c>
    </row>
    <row r="4630" spans="1:20" ht="13.7" customHeight="1" x14ac:dyDescent="0.25">
      <c r="A4630" t="s">
        <v>26</v>
      </c>
      <c r="B4630" t="s">
        <v>27</v>
      </c>
      <c r="C4630" t="s">
        <v>180</v>
      </c>
      <c r="D4630">
        <v>45</v>
      </c>
      <c r="E4630" s="5">
        <v>43816</v>
      </c>
      <c r="F4630">
        <v>73359515</v>
      </c>
      <c r="G4630" t="s">
        <v>1051</v>
      </c>
      <c r="H4630" t="s">
        <v>1115</v>
      </c>
      <c r="I4630" t="s">
        <v>1116</v>
      </c>
      <c r="J4630">
        <v>1001</v>
      </c>
      <c r="K4630">
        <v>5004</v>
      </c>
      <c r="L4630" s="3">
        <v>61753936</v>
      </c>
      <c r="M4630" s="3">
        <v>1500000</v>
      </c>
      <c r="N4630">
        <v>0</v>
      </c>
      <c r="O4630">
        <v>0</v>
      </c>
      <c r="P4630">
        <v>63253936</v>
      </c>
      <c r="Q4630" t="s">
        <v>30</v>
      </c>
      <c r="R4630" t="s">
        <v>69</v>
      </c>
      <c r="S4630" t="str">
        <v>#N/A</v>
      </c>
      <c r="T4630" t="str">
        <v>13</v>
      </c>
    </row>
    <row r="4631" spans="1:20" ht="13.7" customHeight="1" x14ac:dyDescent="0.25">
      <c r="E4631" s="5">
        <v>43465</v>
      </c>
      <c r="F4631">
        <v>73359515</v>
      </c>
      <c r="G4631" t="s">
        <v>1051</v>
      </c>
      <c r="H4631" t="s">
        <v>1169</v>
      </c>
      <c r="I4631" t="s">
        <v>1170</v>
      </c>
      <c r="J4631">
        <v>0</v>
      </c>
      <c r="K4631">
        <v>0</v>
      </c>
      <c r="L4631" s="3">
        <v>0</v>
      </c>
      <c r="M4631" s="3">
        <v>0</v>
      </c>
      <c r="N4631">
        <v>0</v>
      </c>
      <c r="O4631">
        <v>0</v>
      </c>
      <c r="P4631">
        <v>0</v>
      </c>
      <c r="R4631" t="s">
        <v>1100</v>
      </c>
      <c r="S4631" t="str">
        <v>#N/A</v>
      </c>
      <c r="T4631" t="str">
        <v>13</v>
      </c>
    </row>
    <row r="4632" spans="1:20" ht="13.7" customHeight="1" x14ac:dyDescent="0.25">
      <c r="A4632" t="s">
        <v>26</v>
      </c>
      <c r="B4632" t="s">
        <v>27</v>
      </c>
      <c r="C4632" t="s">
        <v>32</v>
      </c>
      <c r="D4632">
        <v>4</v>
      </c>
      <c r="E4632" s="5">
        <v>43497</v>
      </c>
      <c r="F4632">
        <v>73359515</v>
      </c>
      <c r="G4632" t="s">
        <v>1051</v>
      </c>
      <c r="H4632" t="s">
        <v>1169</v>
      </c>
      <c r="I4632" t="s">
        <v>1170</v>
      </c>
      <c r="J4632">
        <v>1001</v>
      </c>
      <c r="K4632">
        <v>5004</v>
      </c>
      <c r="L4632" s="3">
        <v>0</v>
      </c>
      <c r="M4632" s="3">
        <v>830000</v>
      </c>
      <c r="N4632">
        <v>0</v>
      </c>
      <c r="O4632">
        <v>0</v>
      </c>
      <c r="P4632">
        <v>830000</v>
      </c>
      <c r="Q4632" t="s">
        <v>30</v>
      </c>
      <c r="R4632" t="s">
        <v>211</v>
      </c>
      <c r="S4632" t="str">
        <v>#N/A</v>
      </c>
      <c r="T4632" t="str">
        <v>13</v>
      </c>
    </row>
    <row r="4633" spans="1:20" ht="13.7" customHeight="1" x14ac:dyDescent="0.25">
      <c r="E4633" s="5">
        <v>43465</v>
      </c>
      <c r="F4633">
        <v>73359515</v>
      </c>
      <c r="G4633" t="s">
        <v>1051</v>
      </c>
      <c r="H4633" t="s">
        <v>1437</v>
      </c>
      <c r="I4633" t="s">
        <v>1438</v>
      </c>
      <c r="J4633">
        <v>0</v>
      </c>
      <c r="K4633">
        <v>0</v>
      </c>
      <c r="L4633" s="3">
        <v>230000</v>
      </c>
      <c r="M4633" s="3">
        <v>0</v>
      </c>
      <c r="N4633">
        <v>0</v>
      </c>
      <c r="O4633">
        <v>0</v>
      </c>
      <c r="P4633">
        <v>230000</v>
      </c>
      <c r="R4633" t="s">
        <v>1100</v>
      </c>
      <c r="S4633" t="str">
        <v>#N/A</v>
      </c>
      <c r="T4633" t="str">
        <v>#N/A</v>
      </c>
    </row>
    <row r="4634" spans="1:20" ht="13.7" customHeight="1" x14ac:dyDescent="0.25">
      <c r="A4634" t="s">
        <v>26</v>
      </c>
      <c r="B4634" t="s">
        <v>27</v>
      </c>
      <c r="C4634" t="s">
        <v>32</v>
      </c>
      <c r="D4634">
        <v>41</v>
      </c>
      <c r="E4634" s="5">
        <v>43515</v>
      </c>
      <c r="F4634">
        <v>73359515</v>
      </c>
      <c r="G4634" t="s">
        <v>1051</v>
      </c>
      <c r="H4634" t="s">
        <v>1437</v>
      </c>
      <c r="I4634" t="s">
        <v>1438</v>
      </c>
      <c r="J4634">
        <v>1001</v>
      </c>
      <c r="K4634">
        <v>5004</v>
      </c>
      <c r="L4634" s="3">
        <v>230000</v>
      </c>
      <c r="M4634" s="3">
        <v>60000</v>
      </c>
      <c r="N4634">
        <v>0</v>
      </c>
      <c r="O4634">
        <v>0</v>
      </c>
      <c r="P4634">
        <v>290000</v>
      </c>
      <c r="Q4634" t="s">
        <v>30</v>
      </c>
      <c r="R4634" t="s">
        <v>85</v>
      </c>
      <c r="S4634" t="str">
        <v>#N/A</v>
      </c>
      <c r="T4634" t="str">
        <v>#N/A</v>
      </c>
    </row>
    <row r="4635" spans="1:20" ht="13.7" customHeight="1" x14ac:dyDescent="0.25">
      <c r="A4635" t="s">
        <v>26</v>
      </c>
      <c r="B4635" t="s">
        <v>27</v>
      </c>
      <c r="C4635" t="s">
        <v>34</v>
      </c>
      <c r="D4635">
        <v>12</v>
      </c>
      <c r="E4635" s="5">
        <v>43560</v>
      </c>
      <c r="F4635">
        <v>73359515</v>
      </c>
      <c r="G4635" t="s">
        <v>1051</v>
      </c>
      <c r="H4635" t="s">
        <v>1437</v>
      </c>
      <c r="I4635" t="s">
        <v>1438</v>
      </c>
      <c r="J4635">
        <v>1001</v>
      </c>
      <c r="K4635">
        <v>5004</v>
      </c>
      <c r="L4635" s="3">
        <v>290000</v>
      </c>
      <c r="M4635" s="3">
        <v>30000</v>
      </c>
      <c r="N4635">
        <v>0</v>
      </c>
      <c r="O4635">
        <v>0</v>
      </c>
      <c r="P4635">
        <v>320000</v>
      </c>
      <c r="Q4635" t="s">
        <v>30</v>
      </c>
      <c r="R4635" t="s">
        <v>114</v>
      </c>
      <c r="S4635" t="str">
        <v>#N/A</v>
      </c>
      <c r="T4635" t="str">
        <v>#N/A</v>
      </c>
    </row>
    <row r="4636" spans="1:20" ht="13.7" customHeight="1" x14ac:dyDescent="0.25">
      <c r="A4636" t="s">
        <v>26</v>
      </c>
      <c r="B4636" t="s">
        <v>27</v>
      </c>
      <c r="C4636" t="s">
        <v>142</v>
      </c>
      <c r="D4636">
        <v>97</v>
      </c>
      <c r="E4636" s="5">
        <v>43616</v>
      </c>
      <c r="F4636">
        <v>73359515</v>
      </c>
      <c r="G4636" t="s">
        <v>1051</v>
      </c>
      <c r="H4636" t="s">
        <v>1437</v>
      </c>
      <c r="I4636" t="s">
        <v>1438</v>
      </c>
      <c r="J4636">
        <v>1001</v>
      </c>
      <c r="K4636">
        <v>5004</v>
      </c>
      <c r="L4636" s="3">
        <v>320000</v>
      </c>
      <c r="M4636" s="3">
        <v>15000</v>
      </c>
      <c r="N4636">
        <v>0</v>
      </c>
      <c r="O4636">
        <v>0</v>
      </c>
      <c r="P4636">
        <v>335000</v>
      </c>
      <c r="Q4636" t="s">
        <v>30</v>
      </c>
      <c r="R4636" t="s">
        <v>64</v>
      </c>
      <c r="S4636" t="str">
        <v>#N/A</v>
      </c>
      <c r="T4636" t="str">
        <v>#N/A</v>
      </c>
    </row>
    <row r="4637" spans="1:20" ht="13.7" customHeight="1" x14ac:dyDescent="0.25">
      <c r="A4637" t="s">
        <v>26</v>
      </c>
      <c r="B4637" t="s">
        <v>27</v>
      </c>
      <c r="C4637" t="s">
        <v>180</v>
      </c>
      <c r="D4637">
        <v>18</v>
      </c>
      <c r="E4637" s="5">
        <v>43806</v>
      </c>
      <c r="F4637">
        <v>73359515</v>
      </c>
      <c r="G4637" t="s">
        <v>1051</v>
      </c>
      <c r="H4637" t="s">
        <v>1437</v>
      </c>
      <c r="I4637" t="s">
        <v>1438</v>
      </c>
      <c r="J4637">
        <v>1001</v>
      </c>
      <c r="K4637">
        <v>5004</v>
      </c>
      <c r="L4637" s="3">
        <v>335000</v>
      </c>
      <c r="M4637" s="3">
        <v>30000</v>
      </c>
      <c r="N4637">
        <v>0</v>
      </c>
      <c r="O4637">
        <v>0</v>
      </c>
      <c r="P4637">
        <v>365000</v>
      </c>
      <c r="Q4637" t="s">
        <v>30</v>
      </c>
      <c r="R4637" t="s">
        <v>181</v>
      </c>
      <c r="S4637" t="str">
        <v>#N/A</v>
      </c>
      <c r="T4637" t="str">
        <v>#N/A</v>
      </c>
    </row>
    <row r="4638" spans="1:20" ht="13.7" customHeight="1" x14ac:dyDescent="0.25">
      <c r="E4638" s="5">
        <v>43465</v>
      </c>
      <c r="F4638">
        <v>73359515</v>
      </c>
      <c r="G4638" t="s">
        <v>1051</v>
      </c>
      <c r="H4638" t="s">
        <v>1767</v>
      </c>
      <c r="I4638" t="s">
        <v>1768</v>
      </c>
      <c r="J4638">
        <v>0</v>
      </c>
      <c r="K4638">
        <v>0</v>
      </c>
      <c r="L4638" s="3">
        <v>200000</v>
      </c>
      <c r="M4638" s="3">
        <v>0</v>
      </c>
      <c r="N4638">
        <v>0</v>
      </c>
      <c r="O4638">
        <v>0</v>
      </c>
      <c r="P4638">
        <v>200000</v>
      </c>
      <c r="R4638" t="s">
        <v>1100</v>
      </c>
      <c r="S4638" t="str">
        <v>#N/A</v>
      </c>
      <c r="T4638" t="str">
        <v>#N/A</v>
      </c>
    </row>
    <row r="4639" spans="1:20" ht="13.7" customHeight="1" x14ac:dyDescent="0.25">
      <c r="E4639" s="5">
        <v>43465</v>
      </c>
      <c r="F4639">
        <v>73359515</v>
      </c>
      <c r="G4639" t="s">
        <v>1051</v>
      </c>
      <c r="H4639" t="s">
        <v>1243</v>
      </c>
      <c r="I4639" t="s">
        <v>1244</v>
      </c>
      <c r="J4639">
        <v>0</v>
      </c>
      <c r="K4639">
        <v>0</v>
      </c>
      <c r="L4639" s="3">
        <v>0</v>
      </c>
      <c r="M4639" s="3">
        <v>0</v>
      </c>
      <c r="N4639">
        <v>0</v>
      </c>
      <c r="O4639">
        <v>0</v>
      </c>
      <c r="P4639">
        <v>0</v>
      </c>
      <c r="R4639" t="s">
        <v>1100</v>
      </c>
      <c r="S4639" t="str">
        <v>#N/A</v>
      </c>
      <c r="T4639" t="str">
        <v>#N/A</v>
      </c>
    </row>
    <row r="4640" spans="1:20" ht="13.7" customHeight="1" x14ac:dyDescent="0.25">
      <c r="A4640" t="s">
        <v>26</v>
      </c>
      <c r="B4640" t="s">
        <v>27</v>
      </c>
      <c r="C4640" t="s">
        <v>91</v>
      </c>
      <c r="D4640">
        <v>23</v>
      </c>
      <c r="E4640" s="5">
        <v>43531</v>
      </c>
      <c r="F4640">
        <v>73359515</v>
      </c>
      <c r="G4640" t="s">
        <v>1051</v>
      </c>
      <c r="H4640" t="s">
        <v>1243</v>
      </c>
      <c r="I4640" t="s">
        <v>1244</v>
      </c>
      <c r="J4640">
        <v>1001</v>
      </c>
      <c r="K4640">
        <v>5004</v>
      </c>
      <c r="L4640" s="3">
        <v>0</v>
      </c>
      <c r="M4640" s="3">
        <v>172438</v>
      </c>
      <c r="N4640">
        <v>0</v>
      </c>
      <c r="O4640">
        <v>0</v>
      </c>
      <c r="P4640">
        <v>172438</v>
      </c>
      <c r="Q4640" t="s">
        <v>30</v>
      </c>
      <c r="R4640" t="s">
        <v>235</v>
      </c>
      <c r="S4640" t="str">
        <v>#N/A</v>
      </c>
      <c r="T4640" t="str">
        <v>#N/A</v>
      </c>
    </row>
    <row r="4641" spans="1:20" ht="13.7" customHeight="1" x14ac:dyDescent="0.25">
      <c r="E4641" s="5">
        <v>43465</v>
      </c>
      <c r="F4641">
        <v>73359515</v>
      </c>
      <c r="G4641" t="s">
        <v>1051</v>
      </c>
      <c r="H4641" t="s">
        <v>1439</v>
      </c>
      <c r="I4641" t="s">
        <v>1440</v>
      </c>
      <c r="J4641">
        <v>0</v>
      </c>
      <c r="K4641">
        <v>0</v>
      </c>
      <c r="L4641" s="3">
        <v>0</v>
      </c>
      <c r="M4641" s="3">
        <v>0</v>
      </c>
      <c r="N4641">
        <v>0</v>
      </c>
      <c r="O4641">
        <v>0</v>
      </c>
      <c r="P4641">
        <v>0</v>
      </c>
      <c r="R4641" t="s">
        <v>1100</v>
      </c>
      <c r="S4641" t="str">
        <v>#N/A</v>
      </c>
      <c r="T4641" t="str">
        <v>#N/A</v>
      </c>
    </row>
    <row r="4642" spans="1:20" ht="13.7" customHeight="1" x14ac:dyDescent="0.25">
      <c r="A4642" t="s">
        <v>26</v>
      </c>
      <c r="B4642" t="s">
        <v>27</v>
      </c>
      <c r="C4642" t="s">
        <v>35</v>
      </c>
      <c r="D4642">
        <v>70</v>
      </c>
      <c r="E4642" s="5">
        <v>43606</v>
      </c>
      <c r="F4642">
        <v>73359515</v>
      </c>
      <c r="G4642" t="s">
        <v>1051</v>
      </c>
      <c r="H4642" t="s">
        <v>1439</v>
      </c>
      <c r="I4642" t="s">
        <v>1440</v>
      </c>
      <c r="J4642">
        <v>1001</v>
      </c>
      <c r="K4642">
        <v>5004</v>
      </c>
      <c r="L4642" s="3">
        <v>0</v>
      </c>
      <c r="M4642" s="3">
        <v>120000</v>
      </c>
      <c r="N4642">
        <v>0</v>
      </c>
      <c r="O4642">
        <v>0</v>
      </c>
      <c r="P4642">
        <v>120000</v>
      </c>
      <c r="Q4642" t="s">
        <v>30</v>
      </c>
      <c r="R4642" t="s">
        <v>262</v>
      </c>
      <c r="S4642" t="str">
        <v>#N/A</v>
      </c>
      <c r="T4642" t="str">
        <v>#N/A</v>
      </c>
    </row>
    <row r="4643" spans="1:20" ht="13.7" customHeight="1" x14ac:dyDescent="0.25">
      <c r="E4643" s="5">
        <v>43465</v>
      </c>
      <c r="F4643">
        <v>73359515</v>
      </c>
      <c r="G4643" t="s">
        <v>1051</v>
      </c>
      <c r="H4643" t="s">
        <v>1627</v>
      </c>
      <c r="I4643" t="s">
        <v>1628</v>
      </c>
      <c r="J4643">
        <v>0</v>
      </c>
      <c r="K4643">
        <v>0</v>
      </c>
      <c r="L4643" s="3">
        <v>130000</v>
      </c>
      <c r="M4643" s="3">
        <v>0</v>
      </c>
      <c r="N4643">
        <v>0</v>
      </c>
      <c r="O4643">
        <v>0</v>
      </c>
      <c r="P4643">
        <v>130000</v>
      </c>
      <c r="R4643" t="s">
        <v>1100</v>
      </c>
      <c r="S4643" t="str">
        <v>#N/A</v>
      </c>
      <c r="T4643" t="str">
        <v>#N/A</v>
      </c>
    </row>
    <row r="4644" spans="1:20" ht="13.7" customHeight="1" x14ac:dyDescent="0.25">
      <c r="E4644" s="5">
        <v>43465</v>
      </c>
      <c r="F4644">
        <v>73359515</v>
      </c>
      <c r="G4644" t="s">
        <v>1051</v>
      </c>
      <c r="H4644" t="s">
        <v>1255</v>
      </c>
      <c r="I4644" t="s">
        <v>1256</v>
      </c>
      <c r="J4644">
        <v>0</v>
      </c>
      <c r="K4644">
        <v>0</v>
      </c>
      <c r="L4644" s="3">
        <v>0</v>
      </c>
      <c r="M4644" s="3">
        <v>0</v>
      </c>
      <c r="N4644">
        <v>0</v>
      </c>
      <c r="O4644">
        <v>0</v>
      </c>
      <c r="P4644">
        <v>0</v>
      </c>
      <c r="R4644" t="s">
        <v>1100</v>
      </c>
      <c r="S4644" t="str">
        <v>#N/A</v>
      </c>
      <c r="T4644" t="str">
        <v>#N/A</v>
      </c>
    </row>
    <row r="4645" spans="1:20" ht="13.7" customHeight="1" x14ac:dyDescent="0.25">
      <c r="A4645" t="s">
        <v>26</v>
      </c>
      <c r="B4645" t="s">
        <v>27</v>
      </c>
      <c r="C4645" t="s">
        <v>37</v>
      </c>
      <c r="D4645">
        <v>5</v>
      </c>
      <c r="E4645" s="5">
        <v>43649</v>
      </c>
      <c r="F4645">
        <v>73359515</v>
      </c>
      <c r="G4645" t="s">
        <v>1051</v>
      </c>
      <c r="H4645" t="s">
        <v>1255</v>
      </c>
      <c r="I4645" t="s">
        <v>1256</v>
      </c>
      <c r="J4645">
        <v>1001</v>
      </c>
      <c r="K4645">
        <v>5004</v>
      </c>
      <c r="L4645" s="3">
        <v>0</v>
      </c>
      <c r="M4645" s="3">
        <v>80000</v>
      </c>
      <c r="N4645">
        <v>0</v>
      </c>
      <c r="O4645">
        <v>0</v>
      </c>
      <c r="P4645">
        <v>80000</v>
      </c>
      <c r="Q4645" t="s">
        <v>30</v>
      </c>
      <c r="R4645" t="s">
        <v>64</v>
      </c>
      <c r="S4645" t="str">
        <v>#N/A</v>
      </c>
      <c r="T4645" t="str">
        <v>#N/A</v>
      </c>
    </row>
    <row r="4646" spans="1:20" ht="13.7" customHeight="1" x14ac:dyDescent="0.25">
      <c r="E4646" s="5">
        <v>43465</v>
      </c>
      <c r="F4646">
        <v>73359515</v>
      </c>
      <c r="G4646" t="s">
        <v>1051</v>
      </c>
      <c r="H4646" t="s">
        <v>1249</v>
      </c>
      <c r="I4646" t="s">
        <v>1250</v>
      </c>
      <c r="J4646">
        <v>0</v>
      </c>
      <c r="K4646">
        <v>0</v>
      </c>
      <c r="L4646" s="3">
        <v>0</v>
      </c>
      <c r="M4646" s="3">
        <v>0</v>
      </c>
      <c r="N4646">
        <v>0</v>
      </c>
      <c r="O4646">
        <v>0</v>
      </c>
      <c r="P4646">
        <v>0</v>
      </c>
      <c r="R4646" t="s">
        <v>1100</v>
      </c>
      <c r="S4646" t="str">
        <v>#N/A</v>
      </c>
      <c r="T4646" t="str">
        <v>#N/A</v>
      </c>
    </row>
    <row r="4647" spans="1:20" ht="13.7" customHeight="1" x14ac:dyDescent="0.25">
      <c r="A4647" t="s">
        <v>26</v>
      </c>
      <c r="B4647" t="s">
        <v>27</v>
      </c>
      <c r="C4647" t="s">
        <v>34</v>
      </c>
      <c r="D4647">
        <v>20</v>
      </c>
      <c r="E4647" s="5">
        <v>43565</v>
      </c>
      <c r="F4647">
        <v>73359515</v>
      </c>
      <c r="G4647" t="s">
        <v>1051</v>
      </c>
      <c r="H4647" t="s">
        <v>1249</v>
      </c>
      <c r="I4647" t="s">
        <v>1250</v>
      </c>
      <c r="J4647">
        <v>1001</v>
      </c>
      <c r="K4647">
        <v>5004</v>
      </c>
      <c r="L4647" s="3">
        <v>0</v>
      </c>
      <c r="M4647" s="3">
        <v>200000</v>
      </c>
      <c r="N4647">
        <v>0</v>
      </c>
      <c r="O4647">
        <v>0</v>
      </c>
      <c r="P4647">
        <v>200000</v>
      </c>
      <c r="Q4647" t="s">
        <v>30</v>
      </c>
      <c r="R4647" t="s">
        <v>251</v>
      </c>
      <c r="S4647" t="str">
        <v>#N/A</v>
      </c>
      <c r="T4647" t="str">
        <v>#N/A</v>
      </c>
    </row>
    <row r="4648" spans="1:20" ht="13.7" customHeight="1" x14ac:dyDescent="0.25">
      <c r="E4648" s="5">
        <v>43465</v>
      </c>
      <c r="F4648">
        <v>73451001</v>
      </c>
      <c r="G4648" t="e">
        <v>#N/A</v>
      </c>
      <c r="J4648">
        <v>0</v>
      </c>
      <c r="K4648">
        <v>0</v>
      </c>
      <c r="L4648" s="3">
        <v>100000</v>
      </c>
      <c r="M4648" s="3">
        <v>0</v>
      </c>
      <c r="N4648">
        <v>0</v>
      </c>
      <c r="O4648">
        <v>0</v>
      </c>
      <c r="P4648">
        <v>100000</v>
      </c>
      <c r="R4648" t="s">
        <v>1100</v>
      </c>
      <c r="S4648" t="str">
        <v/>
      </c>
      <c r="T4648" t="str">
        <v>#N/A</v>
      </c>
    </row>
    <row r="4649" spans="1:20" ht="13.7" customHeight="1" x14ac:dyDescent="0.25">
      <c r="E4649" s="5">
        <v>43465</v>
      </c>
      <c r="F4649">
        <v>73451002</v>
      </c>
      <c r="G4649" t="s">
        <v>1087</v>
      </c>
      <c r="H4649" t="s">
        <v>1443</v>
      </c>
      <c r="I4649" t="s">
        <v>1444</v>
      </c>
      <c r="J4649">
        <v>0</v>
      </c>
      <c r="K4649">
        <v>0</v>
      </c>
      <c r="L4649" s="3">
        <v>50000</v>
      </c>
      <c r="M4649" s="3">
        <v>0</v>
      </c>
      <c r="N4649">
        <v>0</v>
      </c>
      <c r="O4649">
        <v>0</v>
      </c>
      <c r="P4649">
        <v>50000</v>
      </c>
      <c r="R4649" t="s">
        <v>1100</v>
      </c>
      <c r="S4649" t="str">
        <v>#N/A</v>
      </c>
      <c r="T4649" t="str">
        <v>#N/A</v>
      </c>
    </row>
    <row r="4650" spans="1:20" ht="13.7" customHeight="1" x14ac:dyDescent="0.25">
      <c r="E4650" s="5">
        <v>43465</v>
      </c>
      <c r="F4650">
        <v>73451002</v>
      </c>
      <c r="G4650" t="s">
        <v>1087</v>
      </c>
      <c r="H4650" t="s">
        <v>1441</v>
      </c>
      <c r="I4650" t="s">
        <v>1442</v>
      </c>
      <c r="J4650">
        <v>0</v>
      </c>
      <c r="K4650">
        <v>0</v>
      </c>
      <c r="L4650" s="3">
        <v>38000</v>
      </c>
      <c r="M4650" s="3">
        <v>0</v>
      </c>
      <c r="N4650">
        <v>0</v>
      </c>
      <c r="O4650">
        <v>0</v>
      </c>
      <c r="P4650">
        <v>38000</v>
      </c>
      <c r="R4650" t="s">
        <v>1100</v>
      </c>
      <c r="S4650" t="str">
        <v>#N/A</v>
      </c>
      <c r="T4650" t="str">
        <v>#N/A</v>
      </c>
    </row>
    <row r="4651" spans="1:20" ht="13.7" customHeight="1" x14ac:dyDescent="0.25">
      <c r="A4651" t="s">
        <v>26</v>
      </c>
      <c r="B4651" t="s">
        <v>27</v>
      </c>
      <c r="C4651" t="s">
        <v>28</v>
      </c>
      <c r="D4651">
        <v>17</v>
      </c>
      <c r="E4651" s="5">
        <v>43473</v>
      </c>
      <c r="F4651">
        <v>73451002</v>
      </c>
      <c r="G4651" t="s">
        <v>1087</v>
      </c>
      <c r="H4651" t="s">
        <v>1441</v>
      </c>
      <c r="I4651" t="s">
        <v>1442</v>
      </c>
      <c r="J4651">
        <v>1001</v>
      </c>
      <c r="K4651">
        <v>5004</v>
      </c>
      <c r="L4651" s="3">
        <v>38000</v>
      </c>
      <c r="M4651" s="3">
        <v>18000</v>
      </c>
      <c r="N4651">
        <v>0</v>
      </c>
      <c r="O4651">
        <v>0</v>
      </c>
      <c r="P4651">
        <v>56000</v>
      </c>
      <c r="Q4651" t="s">
        <v>30</v>
      </c>
      <c r="R4651" t="s">
        <v>45</v>
      </c>
      <c r="S4651" t="str">
        <v>#N/A</v>
      </c>
      <c r="T4651" t="str">
        <v>#N/A</v>
      </c>
    </row>
    <row r="4652" spans="1:20" ht="13.7" customHeight="1" x14ac:dyDescent="0.25">
      <c r="A4652" t="s">
        <v>26</v>
      </c>
      <c r="B4652" t="s">
        <v>27</v>
      </c>
      <c r="C4652" t="s">
        <v>28</v>
      </c>
      <c r="D4652">
        <v>65</v>
      </c>
      <c r="E4652" s="5">
        <v>43491</v>
      </c>
      <c r="F4652">
        <v>73451002</v>
      </c>
      <c r="G4652" t="s">
        <v>1087</v>
      </c>
      <c r="H4652" t="s">
        <v>1441</v>
      </c>
      <c r="I4652" t="s">
        <v>1442</v>
      </c>
      <c r="J4652">
        <v>1001</v>
      </c>
      <c r="K4652">
        <v>5004</v>
      </c>
      <c r="L4652" s="3">
        <v>56000</v>
      </c>
      <c r="M4652" s="3">
        <v>18000</v>
      </c>
      <c r="N4652">
        <v>0</v>
      </c>
      <c r="O4652">
        <v>0</v>
      </c>
      <c r="P4652">
        <v>74000</v>
      </c>
      <c r="Q4652" t="s">
        <v>30</v>
      </c>
      <c r="R4652" t="s">
        <v>45</v>
      </c>
      <c r="S4652" t="str">
        <v>#N/A</v>
      </c>
      <c r="T4652" t="str">
        <v>#N/A</v>
      </c>
    </row>
    <row r="4653" spans="1:20" ht="13.7" customHeight="1" x14ac:dyDescent="0.25">
      <c r="A4653" t="s">
        <v>26</v>
      </c>
      <c r="B4653" t="s">
        <v>27</v>
      </c>
      <c r="C4653" t="s">
        <v>91</v>
      </c>
      <c r="D4653">
        <v>12</v>
      </c>
      <c r="E4653" s="5">
        <v>43528</v>
      </c>
      <c r="F4653">
        <v>73451002</v>
      </c>
      <c r="G4653" t="s">
        <v>1087</v>
      </c>
      <c r="H4653" t="s">
        <v>1441</v>
      </c>
      <c r="I4653" t="s">
        <v>1442</v>
      </c>
      <c r="J4653">
        <v>1001</v>
      </c>
      <c r="K4653">
        <v>5004</v>
      </c>
      <c r="L4653" s="3">
        <v>74000</v>
      </c>
      <c r="M4653" s="3">
        <v>47000</v>
      </c>
      <c r="N4653">
        <v>0</v>
      </c>
      <c r="O4653">
        <v>0</v>
      </c>
      <c r="P4653">
        <v>121000</v>
      </c>
      <c r="Q4653" t="s">
        <v>30</v>
      </c>
      <c r="R4653" t="s">
        <v>45</v>
      </c>
      <c r="S4653" t="str">
        <v>#N/A</v>
      </c>
      <c r="T4653" t="str">
        <v>#N/A</v>
      </c>
    </row>
    <row r="4654" spans="1:20" ht="13.7" customHeight="1" x14ac:dyDescent="0.25">
      <c r="A4654" t="s">
        <v>26</v>
      </c>
      <c r="B4654" t="s">
        <v>27</v>
      </c>
      <c r="C4654" t="s">
        <v>34</v>
      </c>
      <c r="D4654">
        <v>27</v>
      </c>
      <c r="E4654" s="5">
        <v>43568</v>
      </c>
      <c r="F4654">
        <v>73451002</v>
      </c>
      <c r="G4654" t="s">
        <v>1087</v>
      </c>
      <c r="H4654" t="s">
        <v>1441</v>
      </c>
      <c r="I4654" t="s">
        <v>1442</v>
      </c>
      <c r="J4654">
        <v>1001</v>
      </c>
      <c r="K4654">
        <v>5004</v>
      </c>
      <c r="L4654" s="3">
        <v>121000</v>
      </c>
      <c r="M4654" s="3">
        <v>19000</v>
      </c>
      <c r="N4654">
        <v>0</v>
      </c>
      <c r="O4654">
        <v>0</v>
      </c>
      <c r="P4654">
        <v>140000</v>
      </c>
      <c r="Q4654" t="s">
        <v>30</v>
      </c>
      <c r="R4654" t="s">
        <v>45</v>
      </c>
      <c r="S4654" t="str">
        <v>#N/A</v>
      </c>
      <c r="T4654" t="str">
        <v>#N/A</v>
      </c>
    </row>
    <row r="4655" spans="1:20" ht="13.7" customHeight="1" x14ac:dyDescent="0.25">
      <c r="A4655" t="s">
        <v>26</v>
      </c>
      <c r="B4655" t="s">
        <v>27</v>
      </c>
      <c r="C4655" t="s">
        <v>34</v>
      </c>
      <c r="D4655">
        <v>43</v>
      </c>
      <c r="E4655" s="5">
        <v>43575</v>
      </c>
      <c r="F4655">
        <v>73451002</v>
      </c>
      <c r="G4655" t="s">
        <v>1087</v>
      </c>
      <c r="H4655" t="s">
        <v>1441</v>
      </c>
      <c r="I4655" t="s">
        <v>1442</v>
      </c>
      <c r="J4655">
        <v>1001</v>
      </c>
      <c r="K4655">
        <v>5004</v>
      </c>
      <c r="L4655" s="3">
        <v>140000</v>
      </c>
      <c r="M4655" s="3">
        <v>19000</v>
      </c>
      <c r="N4655">
        <v>0</v>
      </c>
      <c r="O4655">
        <v>0</v>
      </c>
      <c r="P4655">
        <v>159000</v>
      </c>
      <c r="Q4655" t="s">
        <v>30</v>
      </c>
      <c r="R4655" t="s">
        <v>45</v>
      </c>
      <c r="S4655" t="str">
        <v>#N/A</v>
      </c>
      <c r="T4655" t="str">
        <v>#N/A</v>
      </c>
    </row>
    <row r="4656" spans="1:20" ht="13.7" customHeight="1" x14ac:dyDescent="0.25">
      <c r="A4656" t="s">
        <v>26</v>
      </c>
      <c r="B4656" t="s">
        <v>27</v>
      </c>
      <c r="C4656" t="s">
        <v>35</v>
      </c>
      <c r="D4656">
        <v>17</v>
      </c>
      <c r="E4656" s="5">
        <v>43589</v>
      </c>
      <c r="F4656">
        <v>73451002</v>
      </c>
      <c r="G4656" t="s">
        <v>1087</v>
      </c>
      <c r="H4656" t="s">
        <v>1441</v>
      </c>
      <c r="I4656" t="s">
        <v>1442</v>
      </c>
      <c r="J4656">
        <v>1001</v>
      </c>
      <c r="K4656">
        <v>5004</v>
      </c>
      <c r="L4656" s="3">
        <v>159000</v>
      </c>
      <c r="M4656" s="3">
        <v>19000</v>
      </c>
      <c r="N4656">
        <v>0</v>
      </c>
      <c r="O4656">
        <v>0</v>
      </c>
      <c r="P4656">
        <v>178000</v>
      </c>
      <c r="Q4656" t="s">
        <v>30</v>
      </c>
      <c r="R4656" t="s">
        <v>45</v>
      </c>
      <c r="S4656" t="str">
        <v>#N/A</v>
      </c>
      <c r="T4656" t="str">
        <v>#N/A</v>
      </c>
    </row>
    <row r="4657" spans="1:20" ht="13.7" customHeight="1" x14ac:dyDescent="0.25">
      <c r="A4657" t="s">
        <v>26</v>
      </c>
      <c r="B4657" t="s">
        <v>27</v>
      </c>
      <c r="C4657" t="s">
        <v>35</v>
      </c>
      <c r="D4657">
        <v>85</v>
      </c>
      <c r="E4657" s="5">
        <v>43612</v>
      </c>
      <c r="F4657">
        <v>73451002</v>
      </c>
      <c r="G4657" t="s">
        <v>1087</v>
      </c>
      <c r="H4657" t="s">
        <v>1441</v>
      </c>
      <c r="I4657" t="s">
        <v>1442</v>
      </c>
      <c r="J4657">
        <v>1001</v>
      </c>
      <c r="K4657">
        <v>5004</v>
      </c>
      <c r="L4657" s="3">
        <v>178000</v>
      </c>
      <c r="M4657" s="3">
        <v>19000</v>
      </c>
      <c r="N4657">
        <v>0</v>
      </c>
      <c r="O4657">
        <v>0</v>
      </c>
      <c r="P4657">
        <v>197000</v>
      </c>
      <c r="Q4657" t="s">
        <v>30</v>
      </c>
      <c r="R4657" t="s">
        <v>45</v>
      </c>
      <c r="S4657" t="str">
        <v>#N/A</v>
      </c>
      <c r="T4657" t="str">
        <v>#N/A</v>
      </c>
    </row>
    <row r="4658" spans="1:20" ht="13.7" customHeight="1" x14ac:dyDescent="0.25">
      <c r="A4658" t="s">
        <v>26</v>
      </c>
      <c r="B4658" t="s">
        <v>27</v>
      </c>
      <c r="C4658" t="s">
        <v>36</v>
      </c>
      <c r="D4658">
        <v>49</v>
      </c>
      <c r="E4658" s="5">
        <v>43638</v>
      </c>
      <c r="F4658">
        <v>73451002</v>
      </c>
      <c r="G4658" t="s">
        <v>1087</v>
      </c>
      <c r="H4658" t="s">
        <v>1441</v>
      </c>
      <c r="I4658" t="s">
        <v>1442</v>
      </c>
      <c r="J4658">
        <v>1001</v>
      </c>
      <c r="K4658">
        <v>5004</v>
      </c>
      <c r="L4658" s="3">
        <v>197000</v>
      </c>
      <c r="M4658" s="3">
        <v>40000</v>
      </c>
      <c r="N4658">
        <v>0</v>
      </c>
      <c r="O4658">
        <v>0</v>
      </c>
      <c r="P4658">
        <v>237000</v>
      </c>
      <c r="Q4658" t="s">
        <v>30</v>
      </c>
      <c r="R4658" t="s">
        <v>45</v>
      </c>
      <c r="S4658" t="str">
        <v>#N/A</v>
      </c>
      <c r="T4658" t="str">
        <v>#N/A</v>
      </c>
    </row>
    <row r="4659" spans="1:20" ht="13.7" customHeight="1" x14ac:dyDescent="0.25">
      <c r="A4659" t="s">
        <v>26</v>
      </c>
      <c r="B4659" t="s">
        <v>27</v>
      </c>
      <c r="C4659" t="s">
        <v>37</v>
      </c>
      <c r="D4659">
        <v>2</v>
      </c>
      <c r="E4659" s="5">
        <v>43648</v>
      </c>
      <c r="F4659">
        <v>73451002</v>
      </c>
      <c r="G4659" t="s">
        <v>1087</v>
      </c>
      <c r="H4659" t="s">
        <v>1441</v>
      </c>
      <c r="I4659" t="s">
        <v>1442</v>
      </c>
      <c r="J4659">
        <v>1001</v>
      </c>
      <c r="K4659">
        <v>5004</v>
      </c>
      <c r="L4659" s="3">
        <v>237000</v>
      </c>
      <c r="M4659" s="3">
        <v>19000</v>
      </c>
      <c r="N4659">
        <v>0</v>
      </c>
      <c r="O4659">
        <v>0</v>
      </c>
      <c r="P4659">
        <v>256000</v>
      </c>
      <c r="Q4659" t="s">
        <v>30</v>
      </c>
      <c r="R4659" t="s">
        <v>45</v>
      </c>
      <c r="S4659" t="str">
        <v>#N/A</v>
      </c>
      <c r="T4659" t="str">
        <v>#N/A</v>
      </c>
    </row>
    <row r="4660" spans="1:20" ht="13.7" customHeight="1" x14ac:dyDescent="0.25">
      <c r="A4660" t="s">
        <v>26</v>
      </c>
      <c r="B4660" t="s">
        <v>27</v>
      </c>
      <c r="C4660" t="s">
        <v>38</v>
      </c>
      <c r="D4660">
        <v>15</v>
      </c>
      <c r="E4660" s="5">
        <v>43686</v>
      </c>
      <c r="F4660">
        <v>73451002</v>
      </c>
      <c r="G4660" t="s">
        <v>1087</v>
      </c>
      <c r="H4660" t="s">
        <v>1441</v>
      </c>
      <c r="I4660" t="s">
        <v>1442</v>
      </c>
      <c r="J4660">
        <v>1001</v>
      </c>
      <c r="K4660">
        <v>5004</v>
      </c>
      <c r="L4660" s="3">
        <v>256000</v>
      </c>
      <c r="M4660" s="3">
        <v>19000</v>
      </c>
      <c r="N4660">
        <v>0</v>
      </c>
      <c r="O4660">
        <v>0</v>
      </c>
      <c r="P4660">
        <v>275000</v>
      </c>
      <c r="Q4660" t="s">
        <v>30</v>
      </c>
      <c r="R4660" t="s">
        <v>45</v>
      </c>
      <c r="S4660" t="str">
        <v>#N/A</v>
      </c>
      <c r="T4660" t="str">
        <v>#N/A</v>
      </c>
    </row>
    <row r="4661" spans="1:20" ht="13.7" customHeight="1" x14ac:dyDescent="0.25">
      <c r="A4661" t="s">
        <v>26</v>
      </c>
      <c r="B4661" t="s">
        <v>27</v>
      </c>
      <c r="C4661" t="s">
        <v>38</v>
      </c>
      <c r="D4661">
        <v>54</v>
      </c>
      <c r="E4661" s="5">
        <v>43708</v>
      </c>
      <c r="F4661">
        <v>73451002</v>
      </c>
      <c r="G4661" t="s">
        <v>1087</v>
      </c>
      <c r="H4661" t="s">
        <v>1441</v>
      </c>
      <c r="I4661" t="s">
        <v>1442</v>
      </c>
      <c r="J4661">
        <v>1001</v>
      </c>
      <c r="K4661">
        <v>5004</v>
      </c>
      <c r="L4661" s="3">
        <v>275000</v>
      </c>
      <c r="M4661" s="3">
        <v>19000</v>
      </c>
      <c r="N4661">
        <v>0</v>
      </c>
      <c r="O4661">
        <v>0</v>
      </c>
      <c r="P4661">
        <v>294000</v>
      </c>
      <c r="Q4661" t="s">
        <v>30</v>
      </c>
      <c r="R4661" t="s">
        <v>45</v>
      </c>
      <c r="S4661" t="str">
        <v>#N/A</v>
      </c>
      <c r="T4661" t="str">
        <v>#N/A</v>
      </c>
    </row>
    <row r="4662" spans="1:20" ht="13.7" customHeight="1" x14ac:dyDescent="0.25">
      <c r="E4662" s="5">
        <v>43465</v>
      </c>
      <c r="F4662">
        <v>73451002</v>
      </c>
      <c r="G4662" t="s">
        <v>1087</v>
      </c>
      <c r="H4662" t="s">
        <v>1261</v>
      </c>
      <c r="I4662" t="s">
        <v>1262</v>
      </c>
      <c r="J4662">
        <v>0</v>
      </c>
      <c r="K4662">
        <v>0</v>
      </c>
      <c r="L4662" s="3">
        <v>0</v>
      </c>
      <c r="M4662" s="3">
        <v>0</v>
      </c>
      <c r="N4662">
        <v>0</v>
      </c>
      <c r="O4662">
        <v>0</v>
      </c>
      <c r="P4662">
        <v>0</v>
      </c>
      <c r="R4662" t="s">
        <v>1100</v>
      </c>
      <c r="S4662" t="str">
        <v>#N/A</v>
      </c>
      <c r="T4662" t="str">
        <v>#N/A</v>
      </c>
    </row>
    <row r="4663" spans="1:20" ht="13.7" customHeight="1" x14ac:dyDescent="0.25">
      <c r="A4663" t="s">
        <v>26</v>
      </c>
      <c r="B4663" t="s">
        <v>27</v>
      </c>
      <c r="C4663" t="s">
        <v>39</v>
      </c>
      <c r="D4663">
        <v>55</v>
      </c>
      <c r="E4663" s="5">
        <v>43736</v>
      </c>
      <c r="F4663">
        <v>73451002</v>
      </c>
      <c r="G4663" t="s">
        <v>1087</v>
      </c>
      <c r="H4663" t="s">
        <v>1261</v>
      </c>
      <c r="I4663" t="s">
        <v>1262</v>
      </c>
      <c r="J4663">
        <v>1001</v>
      </c>
      <c r="K4663">
        <v>5004</v>
      </c>
      <c r="L4663" s="3">
        <v>0</v>
      </c>
      <c r="M4663" s="3">
        <v>75630</v>
      </c>
      <c r="N4663">
        <v>0</v>
      </c>
      <c r="O4663">
        <v>0</v>
      </c>
      <c r="P4663">
        <v>75630</v>
      </c>
      <c r="Q4663" t="s">
        <v>30</v>
      </c>
      <c r="R4663" t="s">
        <v>45</v>
      </c>
      <c r="S4663" t="str">
        <v>#N/A</v>
      </c>
      <c r="T4663" t="str">
        <v>#N/A</v>
      </c>
    </row>
    <row r="4664" spans="1:20" ht="13.7" customHeight="1" x14ac:dyDescent="0.25">
      <c r="A4664" t="s">
        <v>26</v>
      </c>
      <c r="B4664" t="s">
        <v>27</v>
      </c>
      <c r="C4664" t="s">
        <v>41</v>
      </c>
      <c r="D4664">
        <v>64</v>
      </c>
      <c r="E4664" s="5">
        <v>43795</v>
      </c>
      <c r="F4664">
        <v>73451002</v>
      </c>
      <c r="G4664" t="s">
        <v>1087</v>
      </c>
      <c r="H4664" t="s">
        <v>1261</v>
      </c>
      <c r="I4664" t="s">
        <v>1262</v>
      </c>
      <c r="J4664">
        <v>1001</v>
      </c>
      <c r="K4664">
        <v>5004</v>
      </c>
      <c r="L4664" s="3">
        <v>75630</v>
      </c>
      <c r="M4664" s="3">
        <v>16807</v>
      </c>
      <c r="N4664">
        <v>0</v>
      </c>
      <c r="O4664">
        <v>0</v>
      </c>
      <c r="P4664">
        <v>92437</v>
      </c>
      <c r="Q4664" t="s">
        <v>30</v>
      </c>
      <c r="R4664" t="s">
        <v>45</v>
      </c>
      <c r="S4664" t="str">
        <v>#N/A</v>
      </c>
      <c r="T4664" t="str">
        <v>#N/A</v>
      </c>
    </row>
    <row r="4665" spans="1:20" ht="13.7" customHeight="1" x14ac:dyDescent="0.25">
      <c r="A4665" t="s">
        <v>26</v>
      </c>
      <c r="B4665" t="s">
        <v>27</v>
      </c>
      <c r="C4665" t="s">
        <v>180</v>
      </c>
      <c r="D4665">
        <v>19</v>
      </c>
      <c r="E4665" s="5">
        <v>43808</v>
      </c>
      <c r="F4665">
        <v>73451002</v>
      </c>
      <c r="G4665" t="s">
        <v>1087</v>
      </c>
      <c r="H4665" t="s">
        <v>1261</v>
      </c>
      <c r="I4665" t="s">
        <v>1262</v>
      </c>
      <c r="J4665">
        <v>1001</v>
      </c>
      <c r="K4665">
        <v>5004</v>
      </c>
      <c r="L4665" s="3">
        <v>92437</v>
      </c>
      <c r="M4665" s="3">
        <v>16806</v>
      </c>
      <c r="N4665">
        <v>0</v>
      </c>
      <c r="O4665">
        <v>0</v>
      </c>
      <c r="P4665">
        <v>109243</v>
      </c>
      <c r="Q4665" t="s">
        <v>30</v>
      </c>
      <c r="R4665" t="s">
        <v>45</v>
      </c>
      <c r="S4665" t="str">
        <v>#N/A</v>
      </c>
      <c r="T4665" t="str">
        <v>#N/A</v>
      </c>
    </row>
    <row r="4666" spans="1:20" ht="13.7" customHeight="1" x14ac:dyDescent="0.25">
      <c r="E4666" s="5">
        <v>43465</v>
      </c>
      <c r="F4666">
        <v>73451003</v>
      </c>
      <c r="G4666" t="s">
        <v>1087</v>
      </c>
      <c r="H4666" t="s">
        <v>1443</v>
      </c>
      <c r="I4666" t="s">
        <v>1444</v>
      </c>
      <c r="J4666">
        <v>0</v>
      </c>
      <c r="K4666">
        <v>0</v>
      </c>
      <c r="L4666" s="3">
        <v>50000</v>
      </c>
      <c r="M4666" s="3">
        <v>0</v>
      </c>
      <c r="N4666">
        <v>0</v>
      </c>
      <c r="O4666">
        <v>0</v>
      </c>
      <c r="P4666">
        <v>50000</v>
      </c>
      <c r="R4666" t="s">
        <v>1100</v>
      </c>
      <c r="S4666" t="str">
        <v>#N/A</v>
      </c>
      <c r="T4666" t="str">
        <v>#N/A</v>
      </c>
    </row>
    <row r="4667" spans="1:20" ht="13.7" customHeight="1" x14ac:dyDescent="0.25">
      <c r="E4667" s="5">
        <v>43465</v>
      </c>
      <c r="F4667">
        <v>73451004</v>
      </c>
      <c r="G4667" t="s">
        <v>1053</v>
      </c>
      <c r="H4667" t="s">
        <v>1769</v>
      </c>
      <c r="I4667" t="s">
        <v>1770</v>
      </c>
      <c r="J4667">
        <v>0</v>
      </c>
      <c r="K4667">
        <v>0</v>
      </c>
      <c r="L4667" s="3">
        <v>0</v>
      </c>
      <c r="M4667" s="3">
        <v>0</v>
      </c>
      <c r="N4667">
        <v>0</v>
      </c>
      <c r="O4667">
        <v>0</v>
      </c>
      <c r="P4667">
        <v>0</v>
      </c>
      <c r="R4667" t="s">
        <v>1100</v>
      </c>
      <c r="S4667" t="str">
        <v>#N/A</v>
      </c>
      <c r="T4667" t="str">
        <v>#N/A</v>
      </c>
    </row>
    <row r="4668" spans="1:20" ht="13.7" customHeight="1" x14ac:dyDescent="0.25">
      <c r="A4668" t="s">
        <v>26</v>
      </c>
      <c r="B4668" t="s">
        <v>27</v>
      </c>
      <c r="C4668" t="s">
        <v>32</v>
      </c>
      <c r="D4668">
        <v>30</v>
      </c>
      <c r="E4668" s="5">
        <v>43510</v>
      </c>
      <c r="F4668">
        <v>73451004</v>
      </c>
      <c r="G4668" t="s">
        <v>1053</v>
      </c>
      <c r="H4668" t="s">
        <v>1769</v>
      </c>
      <c r="I4668" t="s">
        <v>1770</v>
      </c>
      <c r="J4668">
        <v>1001</v>
      </c>
      <c r="K4668">
        <v>5004</v>
      </c>
      <c r="L4668" s="3">
        <v>0</v>
      </c>
      <c r="M4668" s="3">
        <v>90000</v>
      </c>
      <c r="N4668">
        <v>0</v>
      </c>
      <c r="O4668">
        <v>0</v>
      </c>
      <c r="P4668">
        <v>90000</v>
      </c>
      <c r="Q4668" t="s">
        <v>30</v>
      </c>
      <c r="R4668" t="s">
        <v>81</v>
      </c>
      <c r="S4668" t="str">
        <v>#N/A</v>
      </c>
      <c r="T4668" t="str">
        <v>#N/A</v>
      </c>
    </row>
    <row r="4669" spans="1:20" ht="13.7" customHeight="1" x14ac:dyDescent="0.25">
      <c r="E4669" s="5">
        <v>43465</v>
      </c>
      <c r="F4669">
        <v>73451004</v>
      </c>
      <c r="G4669" t="s">
        <v>1053</v>
      </c>
      <c r="H4669" t="s">
        <v>1771</v>
      </c>
      <c r="I4669" t="s">
        <v>1772</v>
      </c>
      <c r="J4669">
        <v>0</v>
      </c>
      <c r="K4669">
        <v>0</v>
      </c>
      <c r="L4669" s="3">
        <v>0</v>
      </c>
      <c r="M4669" s="3">
        <v>0</v>
      </c>
      <c r="N4669">
        <v>0</v>
      </c>
      <c r="O4669">
        <v>0</v>
      </c>
      <c r="P4669">
        <v>0</v>
      </c>
      <c r="R4669" t="s">
        <v>1100</v>
      </c>
      <c r="S4669" t="str">
        <v>#N/A</v>
      </c>
      <c r="T4669" t="str">
        <v>#N/A</v>
      </c>
    </row>
    <row r="4670" spans="1:20" ht="13.7" customHeight="1" x14ac:dyDescent="0.25">
      <c r="A4670" t="s">
        <v>26</v>
      </c>
      <c r="B4670" t="s">
        <v>27</v>
      </c>
      <c r="C4670" t="s">
        <v>32</v>
      </c>
      <c r="D4670">
        <v>54</v>
      </c>
      <c r="E4670" s="5">
        <v>43523</v>
      </c>
      <c r="F4670">
        <v>73451004</v>
      </c>
      <c r="G4670" t="s">
        <v>1053</v>
      </c>
      <c r="H4670" t="s">
        <v>1771</v>
      </c>
      <c r="I4670" t="s">
        <v>1772</v>
      </c>
      <c r="J4670">
        <v>1001</v>
      </c>
      <c r="K4670">
        <v>5004</v>
      </c>
      <c r="L4670" s="3">
        <v>0</v>
      </c>
      <c r="M4670" s="3">
        <v>29000</v>
      </c>
      <c r="N4670">
        <v>0</v>
      </c>
      <c r="O4670">
        <v>0</v>
      </c>
      <c r="P4670">
        <v>29000</v>
      </c>
      <c r="Q4670" t="s">
        <v>30</v>
      </c>
      <c r="R4670" t="s">
        <v>89</v>
      </c>
      <c r="S4670" t="str">
        <v>#N/A</v>
      </c>
      <c r="T4670" t="str">
        <v>#N/A</v>
      </c>
    </row>
    <row r="4671" spans="1:20" ht="13.7" customHeight="1" x14ac:dyDescent="0.25">
      <c r="E4671" s="5">
        <v>43465</v>
      </c>
      <c r="F4671">
        <v>73451004</v>
      </c>
      <c r="G4671" t="s">
        <v>1053</v>
      </c>
      <c r="H4671" t="s">
        <v>1205</v>
      </c>
      <c r="I4671" t="s">
        <v>1206</v>
      </c>
      <c r="J4671">
        <v>0</v>
      </c>
      <c r="K4671">
        <v>0</v>
      </c>
      <c r="L4671" s="3">
        <v>0</v>
      </c>
      <c r="M4671" s="3">
        <v>0</v>
      </c>
      <c r="N4671">
        <v>0</v>
      </c>
      <c r="O4671">
        <v>0</v>
      </c>
      <c r="P4671">
        <v>0</v>
      </c>
      <c r="R4671" t="s">
        <v>1100</v>
      </c>
      <c r="S4671" t="str">
        <v>#N/A</v>
      </c>
      <c r="T4671" t="str">
        <v>#N/A</v>
      </c>
    </row>
    <row r="4672" spans="1:20" ht="13.7" customHeight="1" x14ac:dyDescent="0.25">
      <c r="A4672" t="s">
        <v>26</v>
      </c>
      <c r="B4672" t="s">
        <v>27</v>
      </c>
      <c r="C4672" t="s">
        <v>91</v>
      </c>
      <c r="D4672">
        <v>22</v>
      </c>
      <c r="E4672" s="5">
        <v>43530</v>
      </c>
      <c r="F4672">
        <v>73451004</v>
      </c>
      <c r="G4672" t="s">
        <v>1053</v>
      </c>
      <c r="H4672" t="s">
        <v>1205</v>
      </c>
      <c r="I4672" t="s">
        <v>1206</v>
      </c>
      <c r="J4672">
        <v>1001</v>
      </c>
      <c r="K4672">
        <v>5004</v>
      </c>
      <c r="L4672" s="3">
        <v>0</v>
      </c>
      <c r="M4672" s="3">
        <v>11428</v>
      </c>
      <c r="N4672">
        <v>0</v>
      </c>
      <c r="O4672">
        <v>0</v>
      </c>
      <c r="P4672">
        <v>11428</v>
      </c>
      <c r="Q4672" t="s">
        <v>30</v>
      </c>
      <c r="R4672" t="s">
        <v>94</v>
      </c>
      <c r="S4672" t="str">
        <v>#N/A</v>
      </c>
      <c r="T4672" t="str">
        <v>#N/A</v>
      </c>
    </row>
    <row r="4673" spans="1:20" ht="13.7" customHeight="1" x14ac:dyDescent="0.25">
      <c r="A4673" t="s">
        <v>26</v>
      </c>
      <c r="B4673" t="s">
        <v>27</v>
      </c>
      <c r="C4673" t="s">
        <v>41</v>
      </c>
      <c r="D4673">
        <v>48</v>
      </c>
      <c r="E4673" s="5">
        <v>43788</v>
      </c>
      <c r="F4673">
        <v>73451004</v>
      </c>
      <c r="G4673" t="s">
        <v>1053</v>
      </c>
      <c r="H4673" t="s">
        <v>1205</v>
      </c>
      <c r="I4673" t="s">
        <v>1206</v>
      </c>
      <c r="J4673">
        <v>1001</v>
      </c>
      <c r="K4673">
        <v>5004</v>
      </c>
      <c r="L4673" s="3">
        <v>11428</v>
      </c>
      <c r="M4673" s="3">
        <v>4201</v>
      </c>
      <c r="N4673">
        <v>0</v>
      </c>
      <c r="O4673">
        <v>0</v>
      </c>
      <c r="P4673">
        <v>15629</v>
      </c>
      <c r="Q4673" t="s">
        <v>30</v>
      </c>
      <c r="R4673" t="s">
        <v>575</v>
      </c>
      <c r="S4673" t="str">
        <v>#N/A</v>
      </c>
      <c r="T4673" t="str">
        <v>#N/A</v>
      </c>
    </row>
    <row r="4674" spans="1:20" ht="13.7" customHeight="1" x14ac:dyDescent="0.25">
      <c r="A4674" t="s">
        <v>26</v>
      </c>
      <c r="B4674" t="s">
        <v>27</v>
      </c>
      <c r="C4674" t="s">
        <v>41</v>
      </c>
      <c r="D4674">
        <v>52</v>
      </c>
      <c r="E4674" s="5">
        <v>43788</v>
      </c>
      <c r="F4674">
        <v>73451004</v>
      </c>
      <c r="G4674" t="s">
        <v>1053</v>
      </c>
      <c r="H4674" t="s">
        <v>1205</v>
      </c>
      <c r="I4674" t="s">
        <v>1206</v>
      </c>
      <c r="J4674">
        <v>1001</v>
      </c>
      <c r="K4674">
        <v>5016</v>
      </c>
      <c r="L4674" s="3">
        <v>15629</v>
      </c>
      <c r="M4674" s="3">
        <v>35791</v>
      </c>
      <c r="N4674">
        <v>0</v>
      </c>
      <c r="O4674">
        <v>0</v>
      </c>
      <c r="P4674">
        <v>51420</v>
      </c>
      <c r="Q4674" t="s">
        <v>30</v>
      </c>
      <c r="R4674" t="s">
        <v>176</v>
      </c>
      <c r="S4674" t="str">
        <v>#N/A</v>
      </c>
      <c r="T4674" t="str">
        <v>#N/A</v>
      </c>
    </row>
    <row r="4675" spans="1:20" ht="13.7" customHeight="1" x14ac:dyDescent="0.25">
      <c r="E4675" s="5">
        <v>43465</v>
      </c>
      <c r="F4675">
        <v>73451004</v>
      </c>
      <c r="G4675" t="s">
        <v>1053</v>
      </c>
      <c r="H4675" t="s">
        <v>1773</v>
      </c>
      <c r="I4675" t="s">
        <v>1774</v>
      </c>
      <c r="J4675">
        <v>0</v>
      </c>
      <c r="K4675">
        <v>0</v>
      </c>
      <c r="L4675" s="3">
        <v>0</v>
      </c>
      <c r="M4675" s="3">
        <v>0</v>
      </c>
      <c r="N4675">
        <v>0</v>
      </c>
      <c r="O4675">
        <v>0</v>
      </c>
      <c r="P4675">
        <v>0</v>
      </c>
      <c r="R4675" t="s">
        <v>1100</v>
      </c>
      <c r="S4675" t="str">
        <v>#N/A</v>
      </c>
      <c r="T4675" t="str">
        <v>#N/A</v>
      </c>
    </row>
    <row r="4676" spans="1:20" ht="13.7" customHeight="1" x14ac:dyDescent="0.25">
      <c r="A4676" t="s">
        <v>26</v>
      </c>
      <c r="B4676" t="s">
        <v>27</v>
      </c>
      <c r="C4676" t="s">
        <v>28</v>
      </c>
      <c r="D4676">
        <v>10</v>
      </c>
      <c r="E4676" s="5">
        <v>43469</v>
      </c>
      <c r="F4676">
        <v>73451004</v>
      </c>
      <c r="G4676" t="s">
        <v>1053</v>
      </c>
      <c r="H4676" t="s">
        <v>1773</v>
      </c>
      <c r="I4676" t="s">
        <v>1774</v>
      </c>
      <c r="J4676">
        <v>1001</v>
      </c>
      <c r="K4676">
        <v>5004</v>
      </c>
      <c r="L4676" s="3">
        <v>0</v>
      </c>
      <c r="M4676" s="3">
        <v>40000</v>
      </c>
      <c r="N4676">
        <v>0</v>
      </c>
      <c r="O4676">
        <v>0</v>
      </c>
      <c r="P4676">
        <v>40000</v>
      </c>
      <c r="Q4676" t="s">
        <v>30</v>
      </c>
      <c r="R4676" t="s">
        <v>44</v>
      </c>
      <c r="S4676" t="str">
        <v>#N/A</v>
      </c>
      <c r="T4676" t="str">
        <v>#N/A</v>
      </c>
    </row>
    <row r="4677" spans="1:20" ht="13.7" customHeight="1" x14ac:dyDescent="0.25">
      <c r="E4677" s="5">
        <v>43465</v>
      </c>
      <c r="F4677">
        <v>73451004</v>
      </c>
      <c r="G4677" t="s">
        <v>1053</v>
      </c>
      <c r="H4677" t="s">
        <v>1175</v>
      </c>
      <c r="I4677" t="s">
        <v>1176</v>
      </c>
      <c r="J4677">
        <v>0</v>
      </c>
      <c r="K4677">
        <v>0</v>
      </c>
      <c r="L4677" s="3">
        <v>0</v>
      </c>
      <c r="M4677" s="3">
        <v>0</v>
      </c>
      <c r="N4677">
        <v>0</v>
      </c>
      <c r="O4677">
        <v>0</v>
      </c>
      <c r="P4677">
        <v>0</v>
      </c>
      <c r="R4677" t="s">
        <v>1100</v>
      </c>
      <c r="S4677" t="str">
        <v>#N/A</v>
      </c>
      <c r="T4677" t="str">
        <v>#N/A</v>
      </c>
    </row>
    <row r="4678" spans="1:20" ht="13.7" customHeight="1" x14ac:dyDescent="0.25">
      <c r="A4678" t="s">
        <v>26</v>
      </c>
      <c r="B4678" t="s">
        <v>27</v>
      </c>
      <c r="C4678" t="s">
        <v>36</v>
      </c>
      <c r="D4678">
        <v>38</v>
      </c>
      <c r="E4678" s="5">
        <v>43633</v>
      </c>
      <c r="F4678">
        <v>73451004</v>
      </c>
      <c r="G4678" t="s">
        <v>1053</v>
      </c>
      <c r="H4678" t="s">
        <v>1175</v>
      </c>
      <c r="I4678" t="s">
        <v>1176</v>
      </c>
      <c r="J4678">
        <v>1001</v>
      </c>
      <c r="K4678">
        <v>5004</v>
      </c>
      <c r="L4678" s="3">
        <v>0</v>
      </c>
      <c r="M4678" s="3">
        <v>240000</v>
      </c>
      <c r="N4678">
        <v>0</v>
      </c>
      <c r="O4678">
        <v>0</v>
      </c>
      <c r="P4678">
        <v>240000</v>
      </c>
      <c r="Q4678" t="s">
        <v>30</v>
      </c>
      <c r="R4678" t="s">
        <v>64</v>
      </c>
      <c r="S4678" t="str">
        <v>#N/A</v>
      </c>
      <c r="T4678" t="str">
        <v>#N/A</v>
      </c>
    </row>
    <row r="4679" spans="1:20" ht="13.7" customHeight="1" x14ac:dyDescent="0.25">
      <c r="A4679" t="s">
        <v>26</v>
      </c>
      <c r="B4679" t="s">
        <v>27</v>
      </c>
      <c r="C4679" t="s">
        <v>36</v>
      </c>
      <c r="D4679">
        <v>60</v>
      </c>
      <c r="E4679" s="5">
        <v>43643</v>
      </c>
      <c r="F4679">
        <v>73451004</v>
      </c>
      <c r="G4679" t="s">
        <v>1053</v>
      </c>
      <c r="H4679" t="s">
        <v>1175</v>
      </c>
      <c r="I4679" t="s">
        <v>1176</v>
      </c>
      <c r="J4679">
        <v>1001</v>
      </c>
      <c r="K4679">
        <v>5004</v>
      </c>
      <c r="L4679" s="3">
        <v>240000</v>
      </c>
      <c r="M4679" s="3">
        <v>480000</v>
      </c>
      <c r="N4679">
        <v>0</v>
      </c>
      <c r="O4679">
        <v>0</v>
      </c>
      <c r="P4679">
        <v>720000</v>
      </c>
      <c r="Q4679" t="s">
        <v>30</v>
      </c>
      <c r="R4679" t="s">
        <v>64</v>
      </c>
      <c r="S4679" t="str">
        <v>#N/A</v>
      </c>
      <c r="T4679" t="str">
        <v>#N/A</v>
      </c>
    </row>
    <row r="4680" spans="1:20" ht="13.7" customHeight="1" x14ac:dyDescent="0.25">
      <c r="E4680" s="5">
        <v>43465</v>
      </c>
      <c r="F4680">
        <v>73451004</v>
      </c>
      <c r="G4680" t="s">
        <v>1053</v>
      </c>
      <c r="H4680" t="s">
        <v>1209</v>
      </c>
      <c r="I4680" t="s">
        <v>1210</v>
      </c>
      <c r="J4680">
        <v>0</v>
      </c>
      <c r="K4680">
        <v>0</v>
      </c>
      <c r="L4680" s="3">
        <v>0</v>
      </c>
      <c r="M4680" s="3">
        <v>0</v>
      </c>
      <c r="N4680">
        <v>0</v>
      </c>
      <c r="O4680">
        <v>0</v>
      </c>
      <c r="P4680">
        <v>0</v>
      </c>
      <c r="R4680" t="s">
        <v>1100</v>
      </c>
      <c r="S4680" t="str">
        <v>#N/A</v>
      </c>
      <c r="T4680" t="str">
        <v>#N/A</v>
      </c>
    </row>
    <row r="4681" spans="1:20" ht="13.7" customHeight="1" x14ac:dyDescent="0.25">
      <c r="A4681" t="s">
        <v>26</v>
      </c>
      <c r="B4681" t="s">
        <v>27</v>
      </c>
      <c r="C4681" t="s">
        <v>37</v>
      </c>
      <c r="D4681">
        <v>51</v>
      </c>
      <c r="E4681" s="5">
        <v>43670</v>
      </c>
      <c r="F4681">
        <v>73451004</v>
      </c>
      <c r="G4681" t="s">
        <v>1053</v>
      </c>
      <c r="H4681" t="s">
        <v>1209</v>
      </c>
      <c r="I4681" t="s">
        <v>1210</v>
      </c>
      <c r="J4681">
        <v>1001</v>
      </c>
      <c r="K4681">
        <v>5004</v>
      </c>
      <c r="L4681" s="3">
        <v>0</v>
      </c>
      <c r="M4681" s="3">
        <v>23362</v>
      </c>
      <c r="N4681">
        <v>0</v>
      </c>
      <c r="O4681">
        <v>0</v>
      </c>
      <c r="P4681">
        <v>23362</v>
      </c>
      <c r="Q4681" t="s">
        <v>30</v>
      </c>
      <c r="R4681" t="s">
        <v>155</v>
      </c>
      <c r="S4681" t="str">
        <v>#N/A</v>
      </c>
      <c r="T4681" t="str">
        <v>#N/A</v>
      </c>
    </row>
    <row r="4682" spans="1:20" ht="13.7" customHeight="1" x14ac:dyDescent="0.25">
      <c r="E4682" s="5">
        <v>43465</v>
      </c>
      <c r="F4682">
        <v>73451004</v>
      </c>
      <c r="G4682" t="s">
        <v>1053</v>
      </c>
      <c r="H4682" t="s">
        <v>1775</v>
      </c>
      <c r="I4682" t="s">
        <v>1776</v>
      </c>
      <c r="J4682">
        <v>0</v>
      </c>
      <c r="K4682">
        <v>0</v>
      </c>
      <c r="L4682" s="3">
        <v>0</v>
      </c>
      <c r="M4682" s="3">
        <v>0</v>
      </c>
      <c r="N4682">
        <v>0</v>
      </c>
      <c r="O4682">
        <v>0</v>
      </c>
      <c r="P4682">
        <v>0</v>
      </c>
      <c r="R4682" t="s">
        <v>1100</v>
      </c>
      <c r="S4682" t="str">
        <v>#N/A</v>
      </c>
      <c r="T4682" t="str">
        <v>#N/A</v>
      </c>
    </row>
    <row r="4683" spans="1:20" ht="13.7" customHeight="1" x14ac:dyDescent="0.25">
      <c r="A4683" t="s">
        <v>26</v>
      </c>
      <c r="B4683" t="s">
        <v>27</v>
      </c>
      <c r="C4683" t="s">
        <v>32</v>
      </c>
      <c r="D4683">
        <v>14</v>
      </c>
      <c r="E4683" s="5">
        <v>43503</v>
      </c>
      <c r="F4683">
        <v>73451004</v>
      </c>
      <c r="G4683" t="s">
        <v>1053</v>
      </c>
      <c r="H4683" t="s">
        <v>1775</v>
      </c>
      <c r="I4683" t="s">
        <v>1776</v>
      </c>
      <c r="J4683">
        <v>1001</v>
      </c>
      <c r="K4683">
        <v>5004</v>
      </c>
      <c r="L4683" s="3">
        <v>0</v>
      </c>
      <c r="M4683" s="3">
        <v>8800</v>
      </c>
      <c r="N4683">
        <v>0</v>
      </c>
      <c r="O4683">
        <v>0</v>
      </c>
      <c r="P4683">
        <v>8800</v>
      </c>
      <c r="Q4683" t="s">
        <v>30</v>
      </c>
      <c r="R4683" t="s">
        <v>75</v>
      </c>
      <c r="S4683" t="str">
        <v>#N/A</v>
      </c>
      <c r="T4683" t="str">
        <v>#N/A</v>
      </c>
    </row>
    <row r="4684" spans="1:20" ht="13.7" customHeight="1" x14ac:dyDescent="0.25">
      <c r="E4684" s="5">
        <v>43465</v>
      </c>
      <c r="F4684">
        <v>73451004</v>
      </c>
      <c r="G4684" t="s">
        <v>1053</v>
      </c>
      <c r="H4684" t="s">
        <v>1231</v>
      </c>
      <c r="I4684" t="s">
        <v>1232</v>
      </c>
      <c r="J4684">
        <v>0</v>
      </c>
      <c r="K4684">
        <v>0</v>
      </c>
      <c r="L4684" s="3">
        <v>0</v>
      </c>
      <c r="M4684" s="3">
        <v>0</v>
      </c>
      <c r="N4684">
        <v>0</v>
      </c>
      <c r="O4684">
        <v>0</v>
      </c>
      <c r="P4684">
        <v>0</v>
      </c>
      <c r="R4684" t="s">
        <v>1100</v>
      </c>
      <c r="S4684" t="str">
        <v>#N/A</v>
      </c>
      <c r="T4684" t="str">
        <v>#N/A</v>
      </c>
    </row>
    <row r="4685" spans="1:20" ht="13.7" customHeight="1" x14ac:dyDescent="0.25">
      <c r="A4685" t="s">
        <v>26</v>
      </c>
      <c r="B4685" t="s">
        <v>27</v>
      </c>
      <c r="C4685" t="s">
        <v>41</v>
      </c>
      <c r="D4685">
        <v>72</v>
      </c>
      <c r="E4685" s="5">
        <v>43785</v>
      </c>
      <c r="F4685">
        <v>73451004</v>
      </c>
      <c r="G4685" t="s">
        <v>1053</v>
      </c>
      <c r="H4685" t="s">
        <v>1231</v>
      </c>
      <c r="I4685" t="s">
        <v>1232</v>
      </c>
      <c r="J4685">
        <v>1001</v>
      </c>
      <c r="K4685">
        <v>5004</v>
      </c>
      <c r="L4685" s="3">
        <v>0</v>
      </c>
      <c r="M4685" s="3">
        <v>21848</v>
      </c>
      <c r="N4685">
        <v>0</v>
      </c>
      <c r="O4685">
        <v>0</v>
      </c>
      <c r="P4685">
        <v>21848</v>
      </c>
      <c r="Q4685" t="s">
        <v>30</v>
      </c>
      <c r="R4685" t="s">
        <v>574</v>
      </c>
      <c r="S4685" t="str">
        <v>#N/A</v>
      </c>
      <c r="T4685" t="str">
        <v>#N/A</v>
      </c>
    </row>
    <row r="4686" spans="1:20" ht="13.7" customHeight="1" x14ac:dyDescent="0.25">
      <c r="E4686" s="5">
        <v>43465</v>
      </c>
      <c r="F4686">
        <v>73451004</v>
      </c>
      <c r="G4686" t="s">
        <v>1053</v>
      </c>
      <c r="H4686" t="s">
        <v>1777</v>
      </c>
      <c r="I4686" t="s">
        <v>1778</v>
      </c>
      <c r="J4686">
        <v>0</v>
      </c>
      <c r="K4686">
        <v>0</v>
      </c>
      <c r="L4686" s="3">
        <v>0</v>
      </c>
      <c r="M4686" s="3">
        <v>0</v>
      </c>
      <c r="N4686">
        <v>0</v>
      </c>
      <c r="O4686">
        <v>0</v>
      </c>
      <c r="P4686">
        <v>0</v>
      </c>
      <c r="R4686" t="s">
        <v>1100</v>
      </c>
      <c r="S4686" t="str">
        <v>#N/A</v>
      </c>
      <c r="T4686" t="str">
        <v>#N/A</v>
      </c>
    </row>
    <row r="4687" spans="1:20" ht="13.7" customHeight="1" x14ac:dyDescent="0.25">
      <c r="A4687" t="s">
        <v>26</v>
      </c>
      <c r="B4687" t="s">
        <v>27</v>
      </c>
      <c r="C4687" t="s">
        <v>32</v>
      </c>
      <c r="D4687">
        <v>39</v>
      </c>
      <c r="E4687" s="5">
        <v>43515</v>
      </c>
      <c r="F4687">
        <v>73451004</v>
      </c>
      <c r="G4687" t="s">
        <v>1053</v>
      </c>
      <c r="H4687" t="s">
        <v>1777</v>
      </c>
      <c r="I4687" t="s">
        <v>1778</v>
      </c>
      <c r="J4687">
        <v>1001</v>
      </c>
      <c r="K4687">
        <v>5004</v>
      </c>
      <c r="L4687" s="3">
        <v>0</v>
      </c>
      <c r="M4687" s="3">
        <v>270000</v>
      </c>
      <c r="N4687">
        <v>0</v>
      </c>
      <c r="O4687">
        <v>0</v>
      </c>
      <c r="P4687">
        <v>270000</v>
      </c>
      <c r="Q4687" t="s">
        <v>30</v>
      </c>
      <c r="R4687" t="s">
        <v>84</v>
      </c>
      <c r="S4687" t="str">
        <v>#N/A</v>
      </c>
      <c r="T4687" t="str">
        <v>#N/A</v>
      </c>
    </row>
    <row r="4688" spans="1:20" ht="13.7" customHeight="1" x14ac:dyDescent="0.25">
      <c r="E4688" s="5">
        <v>43465</v>
      </c>
      <c r="F4688">
        <v>73451004</v>
      </c>
      <c r="G4688" t="s">
        <v>1053</v>
      </c>
      <c r="H4688" t="s">
        <v>1779</v>
      </c>
      <c r="I4688" t="s">
        <v>1780</v>
      </c>
      <c r="J4688">
        <v>0</v>
      </c>
      <c r="K4688">
        <v>0</v>
      </c>
      <c r="L4688" s="3">
        <v>0</v>
      </c>
      <c r="M4688" s="3">
        <v>0</v>
      </c>
      <c r="N4688">
        <v>0</v>
      </c>
      <c r="O4688">
        <v>0</v>
      </c>
      <c r="P4688">
        <v>0</v>
      </c>
      <c r="R4688" t="s">
        <v>1100</v>
      </c>
      <c r="S4688" t="str">
        <v>#N/A</v>
      </c>
      <c r="T4688" t="str">
        <v>#N/A</v>
      </c>
    </row>
    <row r="4689" spans="1:20" ht="13.7" customHeight="1" x14ac:dyDescent="0.25">
      <c r="A4689" t="s">
        <v>26</v>
      </c>
      <c r="B4689" t="s">
        <v>27</v>
      </c>
      <c r="C4689" t="s">
        <v>180</v>
      </c>
      <c r="D4689">
        <v>43</v>
      </c>
      <c r="E4689" s="5">
        <v>43815</v>
      </c>
      <c r="F4689">
        <v>73451004</v>
      </c>
      <c r="G4689" t="s">
        <v>1053</v>
      </c>
      <c r="H4689" t="s">
        <v>1779</v>
      </c>
      <c r="I4689" t="s">
        <v>1780</v>
      </c>
      <c r="J4689">
        <v>1001</v>
      </c>
      <c r="K4689">
        <v>5004</v>
      </c>
      <c r="L4689" s="3">
        <v>0</v>
      </c>
      <c r="M4689" s="3">
        <v>6000</v>
      </c>
      <c r="N4689">
        <v>0</v>
      </c>
      <c r="O4689">
        <v>0</v>
      </c>
      <c r="P4689">
        <v>6000</v>
      </c>
      <c r="Q4689" t="s">
        <v>30</v>
      </c>
      <c r="R4689" t="s">
        <v>186</v>
      </c>
      <c r="S4689" t="str">
        <v>#N/A</v>
      </c>
      <c r="T4689" t="str">
        <v>#N/A</v>
      </c>
    </row>
    <row r="4690" spans="1:20" ht="13.7" customHeight="1" x14ac:dyDescent="0.25">
      <c r="E4690" s="5">
        <v>43465</v>
      </c>
      <c r="F4690">
        <v>73451004</v>
      </c>
      <c r="G4690" t="s">
        <v>1053</v>
      </c>
      <c r="H4690" t="s">
        <v>1565</v>
      </c>
      <c r="I4690" t="s">
        <v>1566</v>
      </c>
      <c r="J4690">
        <v>0</v>
      </c>
      <c r="K4690">
        <v>0</v>
      </c>
      <c r="L4690" s="3">
        <v>0</v>
      </c>
      <c r="M4690" s="3">
        <v>0</v>
      </c>
      <c r="N4690">
        <v>0</v>
      </c>
      <c r="O4690">
        <v>0</v>
      </c>
      <c r="P4690">
        <v>0</v>
      </c>
      <c r="R4690" t="s">
        <v>1100</v>
      </c>
      <c r="S4690" t="str">
        <v>#N/A</v>
      </c>
      <c r="T4690" t="str">
        <v>#N/A</v>
      </c>
    </row>
    <row r="4691" spans="1:20" ht="13.7" customHeight="1" x14ac:dyDescent="0.25">
      <c r="A4691" t="s">
        <v>26</v>
      </c>
      <c r="B4691" t="s">
        <v>27</v>
      </c>
      <c r="C4691" t="s">
        <v>180</v>
      </c>
      <c r="D4691">
        <v>42</v>
      </c>
      <c r="E4691" s="5">
        <v>43815</v>
      </c>
      <c r="F4691">
        <v>73451004</v>
      </c>
      <c r="G4691" t="s">
        <v>1053</v>
      </c>
      <c r="H4691" t="s">
        <v>1565</v>
      </c>
      <c r="I4691" t="s">
        <v>1566</v>
      </c>
      <c r="J4691">
        <v>1001</v>
      </c>
      <c r="K4691">
        <v>5004</v>
      </c>
      <c r="L4691" s="3">
        <v>0</v>
      </c>
      <c r="M4691" s="3">
        <v>41975</v>
      </c>
      <c r="N4691">
        <v>0</v>
      </c>
      <c r="O4691">
        <v>0</v>
      </c>
      <c r="P4691">
        <v>41975</v>
      </c>
      <c r="Q4691" t="s">
        <v>30</v>
      </c>
      <c r="R4691" t="s">
        <v>185</v>
      </c>
      <c r="S4691" t="str">
        <v>#N/A</v>
      </c>
      <c r="T4691" t="str">
        <v>#N/A</v>
      </c>
    </row>
    <row r="4692" spans="1:20" ht="13.7" customHeight="1" x14ac:dyDescent="0.25">
      <c r="E4692" s="5">
        <v>43465</v>
      </c>
      <c r="F4692">
        <v>73451004</v>
      </c>
      <c r="G4692" t="s">
        <v>1053</v>
      </c>
      <c r="H4692" t="s">
        <v>1437</v>
      </c>
      <c r="I4692" t="s">
        <v>1438</v>
      </c>
      <c r="J4692">
        <v>0</v>
      </c>
      <c r="K4692">
        <v>0</v>
      </c>
      <c r="L4692" s="3">
        <v>0</v>
      </c>
      <c r="M4692" s="3">
        <v>0</v>
      </c>
      <c r="N4692">
        <v>0</v>
      </c>
      <c r="O4692">
        <v>0</v>
      </c>
      <c r="P4692">
        <v>0</v>
      </c>
      <c r="R4692" t="s">
        <v>1100</v>
      </c>
      <c r="S4692" t="str">
        <v>#N/A</v>
      </c>
      <c r="T4692" t="str">
        <v>#N/A</v>
      </c>
    </row>
    <row r="4693" spans="1:20" ht="13.7" customHeight="1" x14ac:dyDescent="0.25">
      <c r="A4693" t="s">
        <v>26</v>
      </c>
      <c r="B4693" t="s">
        <v>27</v>
      </c>
      <c r="C4693" t="s">
        <v>28</v>
      </c>
      <c r="D4693">
        <v>56</v>
      </c>
      <c r="E4693" s="5">
        <v>43486</v>
      </c>
      <c r="F4693">
        <v>73451004</v>
      </c>
      <c r="G4693" t="s">
        <v>1053</v>
      </c>
      <c r="H4693" t="s">
        <v>1437</v>
      </c>
      <c r="I4693" t="s">
        <v>1438</v>
      </c>
      <c r="J4693">
        <v>1001</v>
      </c>
      <c r="K4693">
        <v>5004</v>
      </c>
      <c r="L4693" s="3">
        <v>0</v>
      </c>
      <c r="M4693" s="3">
        <v>30000</v>
      </c>
      <c r="N4693">
        <v>0</v>
      </c>
      <c r="O4693">
        <v>0</v>
      </c>
      <c r="P4693">
        <v>30000</v>
      </c>
      <c r="Q4693" t="s">
        <v>30</v>
      </c>
      <c r="R4693" t="s">
        <v>64</v>
      </c>
      <c r="S4693" t="str">
        <v>#N/A</v>
      </c>
      <c r="T4693" t="str">
        <v>#N/A</v>
      </c>
    </row>
    <row r="4694" spans="1:20" ht="13.7" customHeight="1" x14ac:dyDescent="0.25">
      <c r="E4694" s="5">
        <v>43465</v>
      </c>
      <c r="F4694">
        <v>73451004</v>
      </c>
      <c r="G4694" t="s">
        <v>1053</v>
      </c>
      <c r="H4694" t="s">
        <v>1159</v>
      </c>
      <c r="I4694" t="s">
        <v>1160</v>
      </c>
      <c r="J4694">
        <v>0</v>
      </c>
      <c r="K4694">
        <v>0</v>
      </c>
      <c r="L4694" s="3">
        <v>0</v>
      </c>
      <c r="M4694" s="3">
        <v>0</v>
      </c>
      <c r="N4694">
        <v>0</v>
      </c>
      <c r="O4694">
        <v>0</v>
      </c>
      <c r="P4694">
        <v>0</v>
      </c>
      <c r="R4694" t="s">
        <v>1100</v>
      </c>
      <c r="S4694" t="str">
        <v>#N/A</v>
      </c>
      <c r="T4694" t="str">
        <v>#N/A</v>
      </c>
    </row>
    <row r="4695" spans="1:20" ht="13.7" customHeight="1" x14ac:dyDescent="0.25">
      <c r="A4695" t="s">
        <v>26</v>
      </c>
      <c r="B4695" t="s">
        <v>27</v>
      </c>
      <c r="C4695" t="s">
        <v>32</v>
      </c>
      <c r="D4695">
        <v>40</v>
      </c>
      <c r="E4695" s="5">
        <v>43515</v>
      </c>
      <c r="F4695">
        <v>73451004</v>
      </c>
      <c r="G4695" t="s">
        <v>1053</v>
      </c>
      <c r="H4695" t="s">
        <v>1159</v>
      </c>
      <c r="I4695" t="s">
        <v>1160</v>
      </c>
      <c r="J4695">
        <v>1001</v>
      </c>
      <c r="K4695">
        <v>5004</v>
      </c>
      <c r="L4695" s="3">
        <v>0</v>
      </c>
      <c r="M4695" s="3">
        <v>463514</v>
      </c>
      <c r="N4695">
        <v>0</v>
      </c>
      <c r="O4695">
        <v>0</v>
      </c>
      <c r="P4695">
        <v>463514</v>
      </c>
      <c r="Q4695" t="s">
        <v>30</v>
      </c>
      <c r="R4695" t="s">
        <v>218</v>
      </c>
      <c r="S4695" t="str">
        <v>#N/A</v>
      </c>
      <c r="T4695" t="str">
        <v>#N/A</v>
      </c>
    </row>
    <row r="4696" spans="1:20" ht="13.7" customHeight="1" x14ac:dyDescent="0.25">
      <c r="E4696" s="5">
        <v>43465</v>
      </c>
      <c r="F4696">
        <v>73451004</v>
      </c>
      <c r="G4696" t="s">
        <v>1053</v>
      </c>
      <c r="H4696" t="s">
        <v>1573</v>
      </c>
      <c r="I4696" t="s">
        <v>1574</v>
      </c>
      <c r="J4696">
        <v>0</v>
      </c>
      <c r="K4696">
        <v>0</v>
      </c>
      <c r="L4696" s="3">
        <v>0</v>
      </c>
      <c r="M4696" s="3">
        <v>0</v>
      </c>
      <c r="N4696">
        <v>0</v>
      </c>
      <c r="O4696">
        <v>0</v>
      </c>
      <c r="P4696">
        <v>0</v>
      </c>
      <c r="R4696" t="s">
        <v>1100</v>
      </c>
      <c r="S4696" t="str">
        <v>#N/A</v>
      </c>
      <c r="T4696" t="str">
        <v>#N/A</v>
      </c>
    </row>
    <row r="4697" spans="1:20" ht="13.7" customHeight="1" x14ac:dyDescent="0.25">
      <c r="A4697" t="s">
        <v>26</v>
      </c>
      <c r="B4697" t="s">
        <v>27</v>
      </c>
      <c r="C4697" t="s">
        <v>32</v>
      </c>
      <c r="D4697">
        <v>29</v>
      </c>
      <c r="E4697" s="5">
        <v>43510</v>
      </c>
      <c r="F4697">
        <v>73451004</v>
      </c>
      <c r="G4697" t="s">
        <v>1053</v>
      </c>
      <c r="H4697" t="s">
        <v>1573</v>
      </c>
      <c r="I4697" t="s">
        <v>1574</v>
      </c>
      <c r="J4697">
        <v>1001</v>
      </c>
      <c r="K4697">
        <v>5004</v>
      </c>
      <c r="L4697" s="3">
        <v>0</v>
      </c>
      <c r="M4697" s="3">
        <v>25210</v>
      </c>
      <c r="N4697">
        <v>0</v>
      </c>
      <c r="O4697">
        <v>0</v>
      </c>
      <c r="P4697">
        <v>25210</v>
      </c>
      <c r="Q4697" t="s">
        <v>30</v>
      </c>
      <c r="R4697" t="s">
        <v>81</v>
      </c>
      <c r="S4697" t="str">
        <v>#N/A</v>
      </c>
      <c r="T4697" t="str">
        <v>#N/A</v>
      </c>
    </row>
    <row r="4698" spans="1:20" ht="13.7" customHeight="1" x14ac:dyDescent="0.25">
      <c r="E4698" s="5">
        <v>43465</v>
      </c>
      <c r="F4698">
        <v>73451004</v>
      </c>
      <c r="G4698" t="s">
        <v>1053</v>
      </c>
      <c r="H4698" t="s">
        <v>1183</v>
      </c>
      <c r="I4698" t="s">
        <v>1184</v>
      </c>
      <c r="J4698">
        <v>0</v>
      </c>
      <c r="K4698">
        <v>0</v>
      </c>
      <c r="L4698" s="3">
        <v>0</v>
      </c>
      <c r="M4698" s="3">
        <v>0</v>
      </c>
      <c r="N4698">
        <v>0</v>
      </c>
      <c r="O4698">
        <v>0</v>
      </c>
      <c r="P4698">
        <v>0</v>
      </c>
      <c r="R4698" t="s">
        <v>1100</v>
      </c>
      <c r="S4698" t="str">
        <v>#N/A</v>
      </c>
      <c r="T4698" t="str">
        <v>#N/A</v>
      </c>
    </row>
    <row r="4699" spans="1:20" ht="13.7" customHeight="1" x14ac:dyDescent="0.25">
      <c r="A4699" t="s">
        <v>26</v>
      </c>
      <c r="B4699" t="s">
        <v>27</v>
      </c>
      <c r="C4699" t="s">
        <v>34</v>
      </c>
      <c r="D4699">
        <v>65</v>
      </c>
      <c r="E4699" s="5">
        <v>43584</v>
      </c>
      <c r="F4699">
        <v>73451004</v>
      </c>
      <c r="G4699" t="s">
        <v>1053</v>
      </c>
      <c r="H4699" t="s">
        <v>1183</v>
      </c>
      <c r="I4699" t="s">
        <v>1184</v>
      </c>
      <c r="J4699">
        <v>1001</v>
      </c>
      <c r="K4699">
        <v>5004</v>
      </c>
      <c r="L4699" s="3">
        <v>0</v>
      </c>
      <c r="M4699" s="3">
        <v>689076</v>
      </c>
      <c r="N4699">
        <v>0</v>
      </c>
      <c r="O4699">
        <v>0</v>
      </c>
      <c r="P4699">
        <v>689076</v>
      </c>
      <c r="Q4699" t="s">
        <v>30</v>
      </c>
      <c r="R4699" t="s">
        <v>255</v>
      </c>
      <c r="S4699" t="str">
        <v>#N/A</v>
      </c>
      <c r="T4699" t="str">
        <v>#N/A</v>
      </c>
    </row>
    <row r="4700" spans="1:20" ht="13.7" customHeight="1" x14ac:dyDescent="0.25">
      <c r="E4700" s="5">
        <v>43465</v>
      </c>
      <c r="F4700">
        <v>73451004</v>
      </c>
      <c r="G4700" t="s">
        <v>1053</v>
      </c>
      <c r="H4700" t="s">
        <v>1201</v>
      </c>
      <c r="I4700" t="s">
        <v>1202</v>
      </c>
      <c r="J4700">
        <v>0</v>
      </c>
      <c r="K4700">
        <v>0</v>
      </c>
      <c r="L4700" s="3">
        <v>0</v>
      </c>
      <c r="M4700" s="3">
        <v>0</v>
      </c>
      <c r="N4700">
        <v>0</v>
      </c>
      <c r="O4700">
        <v>0</v>
      </c>
      <c r="P4700">
        <v>0</v>
      </c>
      <c r="R4700" t="s">
        <v>1100</v>
      </c>
      <c r="S4700" t="str">
        <v>#N/A</v>
      </c>
      <c r="T4700" t="str">
        <v>#N/A</v>
      </c>
    </row>
    <row r="4701" spans="1:20" ht="13.7" customHeight="1" x14ac:dyDescent="0.25">
      <c r="A4701" t="s">
        <v>26</v>
      </c>
      <c r="B4701" t="s">
        <v>27</v>
      </c>
      <c r="C4701" t="s">
        <v>32</v>
      </c>
      <c r="D4701">
        <v>21</v>
      </c>
      <c r="E4701" s="5">
        <v>43509</v>
      </c>
      <c r="F4701">
        <v>73451004</v>
      </c>
      <c r="G4701" t="s">
        <v>1053</v>
      </c>
      <c r="H4701" t="s">
        <v>1201</v>
      </c>
      <c r="I4701" t="s">
        <v>1202</v>
      </c>
      <c r="J4701">
        <v>1001</v>
      </c>
      <c r="K4701">
        <v>5004</v>
      </c>
      <c r="L4701" s="3">
        <v>0</v>
      </c>
      <c r="M4701" s="3">
        <v>143624</v>
      </c>
      <c r="N4701">
        <v>0</v>
      </c>
      <c r="O4701">
        <v>0</v>
      </c>
      <c r="P4701">
        <v>143624</v>
      </c>
      <c r="Q4701" t="s">
        <v>30</v>
      </c>
      <c r="R4701" t="s">
        <v>78</v>
      </c>
      <c r="S4701" t="str">
        <v>#N/A</v>
      </c>
      <c r="T4701" t="str">
        <v>#N/A</v>
      </c>
    </row>
    <row r="4702" spans="1:20" ht="13.7" customHeight="1" x14ac:dyDescent="0.25">
      <c r="A4702" t="s">
        <v>26</v>
      </c>
      <c r="B4702" t="s">
        <v>27</v>
      </c>
      <c r="C4702" t="s">
        <v>180</v>
      </c>
      <c r="D4702">
        <v>21</v>
      </c>
      <c r="E4702" s="5">
        <v>43810</v>
      </c>
      <c r="F4702">
        <v>73451004</v>
      </c>
      <c r="G4702" t="s">
        <v>1053</v>
      </c>
      <c r="H4702" t="s">
        <v>1201</v>
      </c>
      <c r="I4702" t="s">
        <v>1202</v>
      </c>
      <c r="J4702">
        <v>1001</v>
      </c>
      <c r="K4702">
        <v>5004</v>
      </c>
      <c r="L4702" s="3">
        <v>143624</v>
      </c>
      <c r="M4702" s="3">
        <v>1039833</v>
      </c>
      <c r="N4702">
        <v>0</v>
      </c>
      <c r="O4702">
        <v>0</v>
      </c>
      <c r="P4702">
        <v>1183457</v>
      </c>
      <c r="Q4702" t="s">
        <v>30</v>
      </c>
      <c r="R4702" t="s">
        <v>314</v>
      </c>
      <c r="S4702" t="str">
        <v>#N/A</v>
      </c>
      <c r="T4702" t="str">
        <v>#N/A</v>
      </c>
    </row>
    <row r="4703" spans="1:20" ht="13.7" customHeight="1" x14ac:dyDescent="0.25">
      <c r="A4703" t="s">
        <v>26</v>
      </c>
      <c r="B4703" t="s">
        <v>27</v>
      </c>
      <c r="C4703" t="s">
        <v>180</v>
      </c>
      <c r="D4703">
        <v>22</v>
      </c>
      <c r="E4703" s="5">
        <v>43810</v>
      </c>
      <c r="F4703">
        <v>73451004</v>
      </c>
      <c r="G4703" t="s">
        <v>1053</v>
      </c>
      <c r="H4703" t="s">
        <v>1201</v>
      </c>
      <c r="I4703" t="s">
        <v>1202</v>
      </c>
      <c r="J4703">
        <v>1001</v>
      </c>
      <c r="K4703">
        <v>5004</v>
      </c>
      <c r="L4703" s="3">
        <v>1183457</v>
      </c>
      <c r="M4703" s="3">
        <v>313206</v>
      </c>
      <c r="N4703">
        <v>0</v>
      </c>
      <c r="O4703">
        <v>0</v>
      </c>
      <c r="P4703">
        <v>1496663</v>
      </c>
      <c r="Q4703" t="s">
        <v>30</v>
      </c>
      <c r="R4703" t="s">
        <v>188</v>
      </c>
      <c r="S4703" t="str">
        <v>#N/A</v>
      </c>
      <c r="T4703" t="str">
        <v>#N/A</v>
      </c>
    </row>
    <row r="4704" spans="1:20" ht="13.7" customHeight="1" x14ac:dyDescent="0.25">
      <c r="A4704" t="s">
        <v>26</v>
      </c>
      <c r="B4704" t="s">
        <v>27</v>
      </c>
      <c r="C4704" t="s">
        <v>180</v>
      </c>
      <c r="D4704">
        <v>23</v>
      </c>
      <c r="E4704" s="5">
        <v>43810</v>
      </c>
      <c r="F4704">
        <v>73451004</v>
      </c>
      <c r="G4704" t="s">
        <v>1053</v>
      </c>
      <c r="H4704" t="s">
        <v>1201</v>
      </c>
      <c r="I4704" t="s">
        <v>1202</v>
      </c>
      <c r="J4704">
        <v>1001</v>
      </c>
      <c r="K4704">
        <v>5004</v>
      </c>
      <c r="L4704" s="3">
        <v>1496663</v>
      </c>
      <c r="M4704" s="3">
        <v>920669</v>
      </c>
      <c r="N4704">
        <v>0</v>
      </c>
      <c r="O4704">
        <v>0</v>
      </c>
      <c r="P4704">
        <v>2417332</v>
      </c>
      <c r="Q4704" t="s">
        <v>30</v>
      </c>
      <c r="R4704" t="s">
        <v>314</v>
      </c>
      <c r="S4704" t="str">
        <v>#N/A</v>
      </c>
      <c r="T4704" t="str">
        <v>#N/A</v>
      </c>
    </row>
    <row r="4705" spans="1:20" ht="13.7" customHeight="1" x14ac:dyDescent="0.25">
      <c r="A4705" t="s">
        <v>26</v>
      </c>
      <c r="B4705" t="s">
        <v>27</v>
      </c>
      <c r="C4705" t="s">
        <v>180</v>
      </c>
      <c r="D4705">
        <v>25</v>
      </c>
      <c r="E4705" s="5">
        <v>43811</v>
      </c>
      <c r="F4705">
        <v>73451004</v>
      </c>
      <c r="G4705" t="s">
        <v>1053</v>
      </c>
      <c r="H4705" t="s">
        <v>1201</v>
      </c>
      <c r="I4705" t="s">
        <v>1202</v>
      </c>
      <c r="J4705">
        <v>1001</v>
      </c>
      <c r="K4705">
        <v>5004</v>
      </c>
      <c r="L4705" s="3">
        <v>2417332</v>
      </c>
      <c r="M4705" s="3">
        <v>43548</v>
      </c>
      <c r="N4705">
        <v>0</v>
      </c>
      <c r="O4705">
        <v>0</v>
      </c>
      <c r="P4705">
        <v>2460880</v>
      </c>
      <c r="Q4705" t="s">
        <v>30</v>
      </c>
      <c r="R4705" t="s">
        <v>182</v>
      </c>
      <c r="S4705" t="str">
        <v>#N/A</v>
      </c>
      <c r="T4705" t="str">
        <v>#N/A</v>
      </c>
    </row>
    <row r="4706" spans="1:20" ht="13.7" customHeight="1" x14ac:dyDescent="0.25">
      <c r="A4706" t="s">
        <v>26</v>
      </c>
      <c r="B4706" t="s">
        <v>27</v>
      </c>
      <c r="C4706" t="s">
        <v>180</v>
      </c>
      <c r="D4706">
        <v>44</v>
      </c>
      <c r="E4706" s="5">
        <v>43815</v>
      </c>
      <c r="F4706">
        <v>73451004</v>
      </c>
      <c r="G4706" t="s">
        <v>1053</v>
      </c>
      <c r="H4706" t="s">
        <v>1201</v>
      </c>
      <c r="I4706" t="s">
        <v>1202</v>
      </c>
      <c r="J4706">
        <v>1001</v>
      </c>
      <c r="K4706">
        <v>5004</v>
      </c>
      <c r="L4706" s="3">
        <v>2460880</v>
      </c>
      <c r="M4706" s="3">
        <v>14925</v>
      </c>
      <c r="N4706">
        <v>0</v>
      </c>
      <c r="O4706">
        <v>0</v>
      </c>
      <c r="P4706">
        <v>2475805</v>
      </c>
      <c r="Q4706" t="s">
        <v>30</v>
      </c>
      <c r="R4706" t="s">
        <v>187</v>
      </c>
      <c r="S4706" t="str">
        <v>#N/A</v>
      </c>
      <c r="T4706" t="str">
        <v>#N/A</v>
      </c>
    </row>
    <row r="4707" spans="1:20" ht="13.7" customHeight="1" x14ac:dyDescent="0.25">
      <c r="A4707" t="s">
        <v>26</v>
      </c>
      <c r="B4707" t="s">
        <v>27</v>
      </c>
      <c r="C4707" t="s">
        <v>180</v>
      </c>
      <c r="D4707">
        <v>46</v>
      </c>
      <c r="E4707" s="5">
        <v>43817</v>
      </c>
      <c r="F4707">
        <v>73451004</v>
      </c>
      <c r="G4707" t="s">
        <v>1053</v>
      </c>
      <c r="H4707" t="s">
        <v>1201</v>
      </c>
      <c r="I4707" t="s">
        <v>1202</v>
      </c>
      <c r="J4707">
        <v>1001</v>
      </c>
      <c r="K4707">
        <v>5004</v>
      </c>
      <c r="L4707" s="3">
        <v>2475805</v>
      </c>
      <c r="M4707" s="3">
        <v>21600</v>
      </c>
      <c r="N4707">
        <v>0</v>
      </c>
      <c r="O4707">
        <v>0</v>
      </c>
      <c r="P4707">
        <v>2497405</v>
      </c>
      <c r="Q4707" t="s">
        <v>30</v>
      </c>
      <c r="R4707" t="s">
        <v>188</v>
      </c>
      <c r="S4707" t="str">
        <v>#N/A</v>
      </c>
      <c r="T4707" t="str">
        <v>#N/A</v>
      </c>
    </row>
    <row r="4708" spans="1:20" ht="13.7" customHeight="1" x14ac:dyDescent="0.25">
      <c r="A4708" t="s">
        <v>26</v>
      </c>
      <c r="B4708" t="s">
        <v>27</v>
      </c>
      <c r="C4708" t="s">
        <v>180</v>
      </c>
      <c r="D4708">
        <v>47</v>
      </c>
      <c r="E4708" s="5">
        <v>43817</v>
      </c>
      <c r="F4708">
        <v>73451004</v>
      </c>
      <c r="G4708" t="s">
        <v>1053</v>
      </c>
      <c r="H4708" t="s">
        <v>1201</v>
      </c>
      <c r="I4708" t="s">
        <v>1202</v>
      </c>
      <c r="J4708">
        <v>1001</v>
      </c>
      <c r="K4708">
        <v>5004</v>
      </c>
      <c r="L4708" s="3">
        <v>2497405</v>
      </c>
      <c r="M4708" s="3">
        <v>6375</v>
      </c>
      <c r="N4708">
        <v>0</v>
      </c>
      <c r="O4708">
        <v>0</v>
      </c>
      <c r="P4708">
        <v>2503780</v>
      </c>
      <c r="Q4708" t="s">
        <v>30</v>
      </c>
      <c r="R4708" t="s">
        <v>189</v>
      </c>
      <c r="S4708" t="str">
        <v>#N/A</v>
      </c>
      <c r="T4708" t="str">
        <v>#N/A</v>
      </c>
    </row>
    <row r="4709" spans="1:20" ht="13.7" customHeight="1" x14ac:dyDescent="0.25">
      <c r="A4709" t="s">
        <v>26</v>
      </c>
      <c r="B4709" t="s">
        <v>27</v>
      </c>
      <c r="C4709" t="s">
        <v>180</v>
      </c>
      <c r="D4709">
        <v>55</v>
      </c>
      <c r="E4709" s="5">
        <v>43819</v>
      </c>
      <c r="F4709">
        <v>73451004</v>
      </c>
      <c r="G4709" t="s">
        <v>1053</v>
      </c>
      <c r="H4709" t="s">
        <v>1201</v>
      </c>
      <c r="I4709" t="s">
        <v>1202</v>
      </c>
      <c r="J4709">
        <v>1001</v>
      </c>
      <c r="K4709">
        <v>5004</v>
      </c>
      <c r="L4709" s="3">
        <v>2503780</v>
      </c>
      <c r="M4709" s="3">
        <v>322600</v>
      </c>
      <c r="N4709">
        <v>0</v>
      </c>
      <c r="O4709">
        <v>0</v>
      </c>
      <c r="P4709">
        <v>2826380</v>
      </c>
      <c r="Q4709" t="s">
        <v>30</v>
      </c>
      <c r="R4709" t="s">
        <v>317</v>
      </c>
      <c r="S4709" t="str">
        <v>#N/A</v>
      </c>
      <c r="T4709" t="str">
        <v>#N/A</v>
      </c>
    </row>
    <row r="4710" spans="1:20" ht="13.7" customHeight="1" x14ac:dyDescent="0.25">
      <c r="E4710" s="5">
        <v>43465</v>
      </c>
      <c r="F4710">
        <v>73451004</v>
      </c>
      <c r="G4710" t="s">
        <v>1053</v>
      </c>
      <c r="H4710" t="s">
        <v>1239</v>
      </c>
      <c r="I4710" t="s">
        <v>1240</v>
      </c>
      <c r="J4710">
        <v>0</v>
      </c>
      <c r="K4710">
        <v>0</v>
      </c>
      <c r="L4710" s="3">
        <v>0</v>
      </c>
      <c r="M4710" s="3">
        <v>0</v>
      </c>
      <c r="N4710">
        <v>0</v>
      </c>
      <c r="O4710">
        <v>0</v>
      </c>
      <c r="P4710">
        <v>0</v>
      </c>
      <c r="R4710" t="s">
        <v>1100</v>
      </c>
      <c r="S4710" t="str">
        <v>#N/A</v>
      </c>
      <c r="T4710" t="str">
        <v>#N/A</v>
      </c>
    </row>
    <row r="4711" spans="1:20" ht="13.7" customHeight="1" x14ac:dyDescent="0.25">
      <c r="A4711" t="s">
        <v>26</v>
      </c>
      <c r="B4711" t="s">
        <v>27</v>
      </c>
      <c r="C4711" t="s">
        <v>28</v>
      </c>
      <c r="D4711">
        <v>46</v>
      </c>
      <c r="E4711" s="5">
        <v>43483</v>
      </c>
      <c r="F4711">
        <v>73451004</v>
      </c>
      <c r="G4711" t="s">
        <v>1053</v>
      </c>
      <c r="H4711" t="s">
        <v>1239</v>
      </c>
      <c r="I4711" t="s">
        <v>1240</v>
      </c>
      <c r="J4711">
        <v>1001</v>
      </c>
      <c r="K4711">
        <v>5004</v>
      </c>
      <c r="L4711" s="3">
        <v>0</v>
      </c>
      <c r="M4711" s="3">
        <v>139075</v>
      </c>
      <c r="N4711">
        <v>0</v>
      </c>
      <c r="O4711">
        <v>0</v>
      </c>
      <c r="P4711">
        <v>139075</v>
      </c>
      <c r="Q4711" t="s">
        <v>30</v>
      </c>
      <c r="R4711" t="s">
        <v>61</v>
      </c>
      <c r="S4711" t="str">
        <v>#N/A</v>
      </c>
      <c r="T4711" t="str">
        <v>#N/A</v>
      </c>
    </row>
    <row r="4712" spans="1:20" ht="13.7" customHeight="1" x14ac:dyDescent="0.25">
      <c r="A4712" t="s">
        <v>26</v>
      </c>
      <c r="B4712" t="s">
        <v>27</v>
      </c>
      <c r="C4712" t="s">
        <v>28</v>
      </c>
      <c r="D4712">
        <v>63</v>
      </c>
      <c r="E4712" s="5">
        <v>43489</v>
      </c>
      <c r="F4712">
        <v>73451004</v>
      </c>
      <c r="G4712" t="s">
        <v>1053</v>
      </c>
      <c r="H4712" t="s">
        <v>1239</v>
      </c>
      <c r="I4712" t="s">
        <v>1240</v>
      </c>
      <c r="J4712">
        <v>1001</v>
      </c>
      <c r="K4712">
        <v>5004</v>
      </c>
      <c r="L4712" s="3">
        <v>139075</v>
      </c>
      <c r="M4712" s="3">
        <v>113445</v>
      </c>
      <c r="N4712">
        <v>0</v>
      </c>
      <c r="O4712">
        <v>0</v>
      </c>
      <c r="P4712">
        <v>252520</v>
      </c>
      <c r="Q4712" t="s">
        <v>30</v>
      </c>
      <c r="R4712" t="s">
        <v>67</v>
      </c>
      <c r="S4712" t="str">
        <v>#N/A</v>
      </c>
      <c r="T4712" t="str">
        <v>#N/A</v>
      </c>
    </row>
    <row r="4713" spans="1:20" ht="13.7" customHeight="1" x14ac:dyDescent="0.25">
      <c r="E4713" s="5">
        <v>43465</v>
      </c>
      <c r="F4713">
        <v>73451004</v>
      </c>
      <c r="G4713" t="s">
        <v>1053</v>
      </c>
      <c r="H4713" t="s">
        <v>1603</v>
      </c>
      <c r="I4713" t="s">
        <v>1604</v>
      </c>
      <c r="J4713">
        <v>0</v>
      </c>
      <c r="K4713">
        <v>0</v>
      </c>
      <c r="L4713" s="3">
        <v>0</v>
      </c>
      <c r="M4713" s="3">
        <v>0</v>
      </c>
      <c r="N4713">
        <v>0</v>
      </c>
      <c r="O4713">
        <v>0</v>
      </c>
      <c r="P4713">
        <v>0</v>
      </c>
      <c r="R4713" t="s">
        <v>1100</v>
      </c>
      <c r="S4713" t="str">
        <v>#N/A</v>
      </c>
      <c r="T4713" t="str">
        <v>#N/A</v>
      </c>
    </row>
    <row r="4714" spans="1:20" ht="13.7" customHeight="1" x14ac:dyDescent="0.25">
      <c r="A4714" t="s">
        <v>26</v>
      </c>
      <c r="B4714" t="s">
        <v>27</v>
      </c>
      <c r="C4714" t="s">
        <v>36</v>
      </c>
      <c r="D4714">
        <v>13</v>
      </c>
      <c r="E4714" s="5">
        <v>43621</v>
      </c>
      <c r="F4714">
        <v>73451004</v>
      </c>
      <c r="G4714" t="s">
        <v>1053</v>
      </c>
      <c r="H4714" t="s">
        <v>1603</v>
      </c>
      <c r="I4714" t="s">
        <v>1604</v>
      </c>
      <c r="J4714">
        <v>1001</v>
      </c>
      <c r="K4714">
        <v>5004</v>
      </c>
      <c r="L4714" s="3">
        <v>0</v>
      </c>
      <c r="M4714" s="3">
        <v>89076</v>
      </c>
      <c r="N4714">
        <v>0</v>
      </c>
      <c r="O4714">
        <v>0</v>
      </c>
      <c r="P4714">
        <v>89076</v>
      </c>
      <c r="Q4714" t="s">
        <v>30</v>
      </c>
      <c r="R4714" t="s">
        <v>267</v>
      </c>
      <c r="S4714" t="str">
        <v>#N/A</v>
      </c>
      <c r="T4714" t="str">
        <v>#N/A</v>
      </c>
    </row>
    <row r="4715" spans="1:20" ht="13.7" customHeight="1" x14ac:dyDescent="0.25">
      <c r="E4715" s="5">
        <v>43465</v>
      </c>
      <c r="F4715">
        <v>73451004</v>
      </c>
      <c r="G4715" t="s">
        <v>1053</v>
      </c>
      <c r="H4715" t="s">
        <v>1113</v>
      </c>
      <c r="I4715" t="s">
        <v>1114</v>
      </c>
      <c r="J4715">
        <v>0</v>
      </c>
      <c r="K4715">
        <v>0</v>
      </c>
      <c r="L4715" s="3">
        <v>0</v>
      </c>
      <c r="M4715" s="3">
        <v>0</v>
      </c>
      <c r="N4715">
        <v>0</v>
      </c>
      <c r="O4715">
        <v>0</v>
      </c>
      <c r="P4715">
        <v>0</v>
      </c>
      <c r="R4715" t="s">
        <v>1100</v>
      </c>
      <c r="S4715" t="str">
        <v>#N/A</v>
      </c>
      <c r="T4715" t="str">
        <v>31</v>
      </c>
    </row>
    <row r="4716" spans="1:20" ht="13.7" customHeight="1" x14ac:dyDescent="0.25">
      <c r="A4716" t="s">
        <v>26</v>
      </c>
      <c r="B4716" t="s">
        <v>27</v>
      </c>
      <c r="C4716" t="s">
        <v>180</v>
      </c>
      <c r="D4716">
        <v>26</v>
      </c>
      <c r="E4716" s="5">
        <v>43811</v>
      </c>
      <c r="F4716">
        <v>73451004</v>
      </c>
      <c r="G4716" t="s">
        <v>1053</v>
      </c>
      <c r="H4716" t="s">
        <v>1113</v>
      </c>
      <c r="I4716" t="s">
        <v>1114</v>
      </c>
      <c r="J4716">
        <v>1001</v>
      </c>
      <c r="K4716">
        <v>5004</v>
      </c>
      <c r="L4716" s="3">
        <v>0</v>
      </c>
      <c r="M4716" s="3">
        <v>164850</v>
      </c>
      <c r="N4716">
        <v>0</v>
      </c>
      <c r="O4716">
        <v>0</v>
      </c>
      <c r="P4716">
        <v>164850</v>
      </c>
      <c r="Q4716" t="s">
        <v>30</v>
      </c>
      <c r="R4716" t="s">
        <v>183</v>
      </c>
      <c r="S4716" t="str">
        <v>#N/A</v>
      </c>
      <c r="T4716" t="str">
        <v>31</v>
      </c>
    </row>
    <row r="4717" spans="1:20" ht="13.7" customHeight="1" x14ac:dyDescent="0.25">
      <c r="E4717" s="5">
        <v>43465</v>
      </c>
      <c r="F4717">
        <v>73451004</v>
      </c>
      <c r="G4717" t="s">
        <v>1053</v>
      </c>
      <c r="H4717" t="s">
        <v>1280</v>
      </c>
      <c r="I4717" t="s">
        <v>1281</v>
      </c>
      <c r="J4717">
        <v>0</v>
      </c>
      <c r="K4717">
        <v>0</v>
      </c>
      <c r="L4717" s="3">
        <v>0</v>
      </c>
      <c r="M4717" s="3">
        <v>0</v>
      </c>
      <c r="N4717">
        <v>0</v>
      </c>
      <c r="O4717">
        <v>0</v>
      </c>
      <c r="P4717">
        <v>0</v>
      </c>
      <c r="R4717" t="s">
        <v>1100</v>
      </c>
      <c r="S4717" t="str">
        <v>#N/A</v>
      </c>
      <c r="T4717" t="str">
        <v>#N/A</v>
      </c>
    </row>
    <row r="4718" spans="1:20" ht="13.7" customHeight="1" x14ac:dyDescent="0.25">
      <c r="A4718" t="s">
        <v>26</v>
      </c>
      <c r="B4718" t="s">
        <v>27</v>
      </c>
      <c r="C4718" t="s">
        <v>91</v>
      </c>
      <c r="D4718">
        <v>52</v>
      </c>
      <c r="E4718" s="5">
        <v>43547</v>
      </c>
      <c r="F4718">
        <v>73451004</v>
      </c>
      <c r="G4718" t="s">
        <v>1053</v>
      </c>
      <c r="H4718" t="s">
        <v>1280</v>
      </c>
      <c r="I4718" t="s">
        <v>1281</v>
      </c>
      <c r="J4718">
        <v>1001</v>
      </c>
      <c r="K4718">
        <v>5016</v>
      </c>
      <c r="L4718" s="3">
        <v>0</v>
      </c>
      <c r="M4718" s="3">
        <v>126050</v>
      </c>
      <c r="N4718">
        <v>0</v>
      </c>
      <c r="O4718">
        <v>0</v>
      </c>
      <c r="P4718">
        <v>126050</v>
      </c>
      <c r="Q4718" t="s">
        <v>30</v>
      </c>
      <c r="R4718" t="s">
        <v>106</v>
      </c>
      <c r="S4718" t="str">
        <v>#N/A</v>
      </c>
      <c r="T4718" t="str">
        <v>#N/A</v>
      </c>
    </row>
    <row r="4719" spans="1:20" ht="13.7" customHeight="1" x14ac:dyDescent="0.25">
      <c r="E4719" s="5">
        <v>43465</v>
      </c>
      <c r="F4719">
        <v>73451004</v>
      </c>
      <c r="G4719" t="s">
        <v>1053</v>
      </c>
      <c r="H4719" t="s">
        <v>1781</v>
      </c>
      <c r="I4719" t="s">
        <v>1782</v>
      </c>
      <c r="J4719">
        <v>0</v>
      </c>
      <c r="K4719">
        <v>0</v>
      </c>
      <c r="L4719" s="3">
        <v>0</v>
      </c>
      <c r="M4719" s="3">
        <v>0</v>
      </c>
      <c r="N4719">
        <v>0</v>
      </c>
      <c r="O4719">
        <v>0</v>
      </c>
      <c r="P4719">
        <v>0</v>
      </c>
      <c r="R4719" t="s">
        <v>1100</v>
      </c>
      <c r="S4719" t="str">
        <v>#N/A</v>
      </c>
      <c r="T4719" t="str">
        <v>#N/A</v>
      </c>
    </row>
    <row r="4720" spans="1:20" ht="13.7" customHeight="1" x14ac:dyDescent="0.25">
      <c r="A4720" t="s">
        <v>26</v>
      </c>
      <c r="B4720" t="s">
        <v>27</v>
      </c>
      <c r="C4720" t="s">
        <v>180</v>
      </c>
      <c r="D4720">
        <v>16</v>
      </c>
      <c r="E4720" s="5">
        <v>43806</v>
      </c>
      <c r="F4720">
        <v>73451004</v>
      </c>
      <c r="G4720" t="s">
        <v>1053</v>
      </c>
      <c r="H4720" t="s">
        <v>1781</v>
      </c>
      <c r="I4720" t="s">
        <v>1782</v>
      </c>
      <c r="J4720">
        <v>1001</v>
      </c>
      <c r="K4720">
        <v>5004</v>
      </c>
      <c r="L4720" s="3">
        <v>0</v>
      </c>
      <c r="M4720" s="3">
        <v>350000</v>
      </c>
      <c r="N4720">
        <v>0</v>
      </c>
      <c r="O4720">
        <v>0</v>
      </c>
      <c r="P4720">
        <v>350000</v>
      </c>
      <c r="Q4720" t="s">
        <v>30</v>
      </c>
      <c r="R4720" t="s">
        <v>313</v>
      </c>
      <c r="S4720" t="str">
        <v>#N/A</v>
      </c>
      <c r="T4720" t="str">
        <v>#N/A</v>
      </c>
    </row>
    <row r="4721" spans="1:20" ht="13.7" customHeight="1" x14ac:dyDescent="0.25">
      <c r="E4721" s="5">
        <v>43465</v>
      </c>
      <c r="F4721">
        <v>73451005</v>
      </c>
      <c r="G4721" t="s">
        <v>1088</v>
      </c>
      <c r="H4721" t="s">
        <v>1445</v>
      </c>
      <c r="I4721" t="s">
        <v>1446</v>
      </c>
      <c r="J4721">
        <v>0</v>
      </c>
      <c r="K4721">
        <v>0</v>
      </c>
      <c r="L4721" s="3">
        <v>0</v>
      </c>
      <c r="M4721" s="3">
        <v>0</v>
      </c>
      <c r="N4721">
        <v>0</v>
      </c>
      <c r="O4721">
        <v>0</v>
      </c>
      <c r="P4721">
        <v>0</v>
      </c>
      <c r="R4721" t="s">
        <v>1100</v>
      </c>
      <c r="S4721" t="str">
        <v>#N/A</v>
      </c>
      <c r="T4721" t="str">
        <v>#N/A</v>
      </c>
    </row>
    <row r="4722" spans="1:20" ht="13.7" customHeight="1" x14ac:dyDescent="0.25">
      <c r="A4722" t="s">
        <v>26</v>
      </c>
      <c r="B4722" t="s">
        <v>27</v>
      </c>
      <c r="C4722" t="s">
        <v>40</v>
      </c>
      <c r="D4722">
        <v>34</v>
      </c>
      <c r="E4722" s="5">
        <v>43756</v>
      </c>
      <c r="F4722">
        <v>73451005</v>
      </c>
      <c r="G4722" t="s">
        <v>1088</v>
      </c>
      <c r="H4722" t="s">
        <v>1445</v>
      </c>
      <c r="I4722" t="s">
        <v>1446</v>
      </c>
      <c r="J4722">
        <v>1001</v>
      </c>
      <c r="K4722">
        <v>5016</v>
      </c>
      <c r="L4722" s="3">
        <v>0</v>
      </c>
      <c r="M4722" s="3">
        <v>750000</v>
      </c>
      <c r="N4722">
        <v>0</v>
      </c>
      <c r="O4722">
        <v>0</v>
      </c>
      <c r="P4722">
        <v>750000</v>
      </c>
      <c r="Q4722" t="s">
        <v>30</v>
      </c>
      <c r="R4722" t="s">
        <v>297</v>
      </c>
      <c r="S4722" t="str">
        <v>#N/A</v>
      </c>
      <c r="T4722" t="str">
        <v>#N/A</v>
      </c>
    </row>
    <row r="4723" spans="1:20" ht="13.7" customHeight="1" x14ac:dyDescent="0.25">
      <c r="E4723" s="5">
        <v>43465</v>
      </c>
      <c r="F4723">
        <v>73451501</v>
      </c>
      <c r="G4723" t="s">
        <v>1089</v>
      </c>
      <c r="H4723" t="s">
        <v>1441</v>
      </c>
      <c r="I4723" t="s">
        <v>1442</v>
      </c>
      <c r="J4723">
        <v>0</v>
      </c>
      <c r="K4723">
        <v>0</v>
      </c>
      <c r="L4723" s="3">
        <v>38000</v>
      </c>
      <c r="M4723" s="3">
        <v>0</v>
      </c>
      <c r="N4723">
        <v>0</v>
      </c>
      <c r="O4723">
        <v>0</v>
      </c>
      <c r="P4723">
        <v>38000</v>
      </c>
      <c r="R4723" t="s">
        <v>1100</v>
      </c>
      <c r="S4723" t="str">
        <v>#N/A</v>
      </c>
      <c r="T4723" t="str">
        <v>#N/A</v>
      </c>
    </row>
    <row r="4724" spans="1:20" ht="13.7" customHeight="1" x14ac:dyDescent="0.25">
      <c r="E4724" s="5">
        <v>43465</v>
      </c>
      <c r="F4724">
        <v>73451501</v>
      </c>
      <c r="G4724" t="s">
        <v>1089</v>
      </c>
      <c r="H4724" t="s">
        <v>1205</v>
      </c>
      <c r="I4724" t="s">
        <v>1206</v>
      </c>
      <c r="J4724">
        <v>0</v>
      </c>
      <c r="K4724">
        <v>0</v>
      </c>
      <c r="L4724" s="3">
        <v>18487</v>
      </c>
      <c r="M4724" s="3">
        <v>0</v>
      </c>
      <c r="N4724">
        <v>0</v>
      </c>
      <c r="O4724">
        <v>0</v>
      </c>
      <c r="P4724">
        <v>18487</v>
      </c>
      <c r="R4724" t="s">
        <v>1100</v>
      </c>
      <c r="S4724" t="str">
        <v>#N/A</v>
      </c>
      <c r="T4724" t="str">
        <v>#N/A</v>
      </c>
    </row>
    <row r="4725" spans="1:20" ht="13.7" customHeight="1" x14ac:dyDescent="0.25">
      <c r="E4725" s="5">
        <v>43465</v>
      </c>
      <c r="F4725">
        <v>73451501</v>
      </c>
      <c r="G4725" t="s">
        <v>1089</v>
      </c>
      <c r="H4725" t="s">
        <v>1453</v>
      </c>
      <c r="I4725" t="s">
        <v>1454</v>
      </c>
      <c r="J4725">
        <v>0</v>
      </c>
      <c r="K4725">
        <v>0</v>
      </c>
      <c r="L4725" s="3">
        <v>2000</v>
      </c>
      <c r="M4725" s="3">
        <v>0</v>
      </c>
      <c r="N4725">
        <v>0</v>
      </c>
      <c r="O4725">
        <v>0</v>
      </c>
      <c r="P4725">
        <v>2000</v>
      </c>
      <c r="R4725" t="s">
        <v>1100</v>
      </c>
      <c r="S4725" t="str">
        <v>#N/A</v>
      </c>
      <c r="T4725" t="str">
        <v>#N/A</v>
      </c>
    </row>
    <row r="4726" spans="1:20" ht="13.7" customHeight="1" x14ac:dyDescent="0.25">
      <c r="E4726" s="5">
        <v>43465</v>
      </c>
      <c r="F4726">
        <v>73451501</v>
      </c>
      <c r="G4726" t="s">
        <v>1089</v>
      </c>
      <c r="H4726" t="s">
        <v>1115</v>
      </c>
      <c r="I4726" t="s">
        <v>1116</v>
      </c>
      <c r="J4726">
        <v>0</v>
      </c>
      <c r="K4726">
        <v>0</v>
      </c>
      <c r="L4726" s="3">
        <v>0</v>
      </c>
      <c r="M4726" s="3">
        <v>0</v>
      </c>
      <c r="N4726">
        <v>0</v>
      </c>
      <c r="O4726">
        <v>0</v>
      </c>
      <c r="P4726">
        <v>0</v>
      </c>
      <c r="R4726" t="s">
        <v>1100</v>
      </c>
      <c r="S4726" t="str">
        <v>#N/A</v>
      </c>
      <c r="T4726" t="str">
        <v>13</v>
      </c>
    </row>
    <row r="4727" spans="1:20" ht="13.7" customHeight="1" x14ac:dyDescent="0.25">
      <c r="A4727" t="s">
        <v>26</v>
      </c>
      <c r="B4727" t="s">
        <v>27</v>
      </c>
      <c r="C4727" t="s">
        <v>41</v>
      </c>
      <c r="D4727">
        <v>17</v>
      </c>
      <c r="E4727" s="5">
        <v>43748</v>
      </c>
      <c r="F4727">
        <v>73451501</v>
      </c>
      <c r="G4727" t="s">
        <v>1089</v>
      </c>
      <c r="H4727" t="s">
        <v>1115</v>
      </c>
      <c r="I4727" t="s">
        <v>1116</v>
      </c>
      <c r="J4727">
        <v>1001</v>
      </c>
      <c r="K4727">
        <v>5016</v>
      </c>
      <c r="L4727" s="3">
        <v>0</v>
      </c>
      <c r="M4727" s="3">
        <v>761600</v>
      </c>
      <c r="N4727">
        <v>0</v>
      </c>
      <c r="O4727">
        <v>0</v>
      </c>
      <c r="P4727">
        <v>761600</v>
      </c>
      <c r="Q4727" t="s">
        <v>30</v>
      </c>
      <c r="R4727" t="s">
        <v>295</v>
      </c>
      <c r="S4727" t="str">
        <v>#N/A</v>
      </c>
      <c r="T4727" t="str">
        <v>13</v>
      </c>
    </row>
    <row r="4728" spans="1:20" ht="13.7" customHeight="1" x14ac:dyDescent="0.25">
      <c r="E4728" s="5">
        <v>43465</v>
      </c>
      <c r="F4728">
        <v>73451501</v>
      </c>
      <c r="G4728" t="s">
        <v>1089</v>
      </c>
      <c r="H4728" t="s">
        <v>1171</v>
      </c>
      <c r="I4728" t="s">
        <v>1172</v>
      </c>
      <c r="J4728">
        <v>0</v>
      </c>
      <c r="K4728">
        <v>0</v>
      </c>
      <c r="L4728" s="3">
        <v>24500</v>
      </c>
      <c r="M4728" s="3">
        <v>0</v>
      </c>
      <c r="N4728">
        <v>0</v>
      </c>
      <c r="O4728">
        <v>0</v>
      </c>
      <c r="P4728">
        <v>24500</v>
      </c>
      <c r="R4728" t="s">
        <v>1100</v>
      </c>
      <c r="S4728" t="str">
        <v>#N/A</v>
      </c>
      <c r="T4728" t="str">
        <v>13</v>
      </c>
    </row>
    <row r="4729" spans="1:20" ht="13.7" customHeight="1" x14ac:dyDescent="0.25">
      <c r="E4729" s="5">
        <v>43465</v>
      </c>
      <c r="F4729">
        <v>73451501</v>
      </c>
      <c r="G4729" t="s">
        <v>1089</v>
      </c>
      <c r="H4729" t="s">
        <v>1231</v>
      </c>
      <c r="I4729" t="s">
        <v>1232</v>
      </c>
      <c r="J4729">
        <v>0</v>
      </c>
      <c r="K4729">
        <v>0</v>
      </c>
      <c r="L4729" s="3">
        <v>2521</v>
      </c>
      <c r="M4729" s="3">
        <v>0</v>
      </c>
      <c r="N4729">
        <v>0</v>
      </c>
      <c r="O4729">
        <v>0</v>
      </c>
      <c r="P4729">
        <v>2521</v>
      </c>
      <c r="R4729" t="s">
        <v>1100</v>
      </c>
      <c r="S4729" t="str">
        <v>#N/A</v>
      </c>
      <c r="T4729" t="str">
        <v>#N/A</v>
      </c>
    </row>
    <row r="4730" spans="1:20" ht="13.7" customHeight="1" x14ac:dyDescent="0.25">
      <c r="E4730" s="5">
        <v>43465</v>
      </c>
      <c r="F4730">
        <v>73451501</v>
      </c>
      <c r="G4730" t="s">
        <v>1089</v>
      </c>
      <c r="H4730" t="s">
        <v>1437</v>
      </c>
      <c r="I4730" t="s">
        <v>1438</v>
      </c>
      <c r="J4730">
        <v>0</v>
      </c>
      <c r="K4730">
        <v>0</v>
      </c>
      <c r="L4730" s="3">
        <v>192000</v>
      </c>
      <c r="M4730" s="3">
        <v>0</v>
      </c>
      <c r="N4730">
        <v>0</v>
      </c>
      <c r="O4730">
        <v>0</v>
      </c>
      <c r="P4730">
        <v>192000</v>
      </c>
      <c r="R4730" t="s">
        <v>1100</v>
      </c>
      <c r="S4730" t="str">
        <v>#N/A</v>
      </c>
      <c r="T4730" t="str">
        <v>#N/A</v>
      </c>
    </row>
    <row r="4731" spans="1:20" ht="13.7" customHeight="1" x14ac:dyDescent="0.25">
      <c r="E4731" s="5">
        <v>43465</v>
      </c>
      <c r="F4731">
        <v>73451501</v>
      </c>
      <c r="G4731" t="s">
        <v>1089</v>
      </c>
      <c r="H4731" t="s">
        <v>1159</v>
      </c>
      <c r="I4731" t="s">
        <v>1160</v>
      </c>
      <c r="J4731">
        <v>0</v>
      </c>
      <c r="K4731">
        <v>0</v>
      </c>
      <c r="L4731" s="3">
        <v>277198</v>
      </c>
      <c r="M4731" s="3">
        <v>0</v>
      </c>
      <c r="N4731">
        <v>0</v>
      </c>
      <c r="O4731">
        <v>0</v>
      </c>
      <c r="P4731">
        <v>277198</v>
      </c>
      <c r="R4731" t="s">
        <v>1100</v>
      </c>
      <c r="S4731" t="str">
        <v>#N/A</v>
      </c>
      <c r="T4731" t="str">
        <v>#N/A</v>
      </c>
    </row>
    <row r="4732" spans="1:20" ht="13.7" customHeight="1" x14ac:dyDescent="0.25">
      <c r="E4732" s="5">
        <v>43465</v>
      </c>
      <c r="F4732">
        <v>73451501</v>
      </c>
      <c r="G4732" t="s">
        <v>1089</v>
      </c>
      <c r="H4732" t="s">
        <v>1783</v>
      </c>
      <c r="I4732" t="s">
        <v>1784</v>
      </c>
      <c r="J4732">
        <v>0</v>
      </c>
      <c r="K4732">
        <v>0</v>
      </c>
      <c r="L4732" s="3">
        <v>20000</v>
      </c>
      <c r="M4732" s="3">
        <v>0</v>
      </c>
      <c r="N4732">
        <v>0</v>
      </c>
      <c r="O4732">
        <v>0</v>
      </c>
      <c r="P4732">
        <v>20000</v>
      </c>
      <c r="R4732" t="s">
        <v>1100</v>
      </c>
      <c r="S4732" t="str">
        <v>#N/A</v>
      </c>
      <c r="T4732" t="str">
        <v>#N/A</v>
      </c>
    </row>
    <row r="4733" spans="1:20" ht="13.7" customHeight="1" x14ac:dyDescent="0.25">
      <c r="E4733" s="5">
        <v>43465</v>
      </c>
      <c r="F4733">
        <v>73451502</v>
      </c>
      <c r="G4733" t="s">
        <v>637</v>
      </c>
      <c r="H4733" t="s">
        <v>1447</v>
      </c>
      <c r="I4733" t="s">
        <v>1448</v>
      </c>
      <c r="J4733">
        <v>0</v>
      </c>
      <c r="K4733">
        <v>0</v>
      </c>
      <c r="L4733" s="3">
        <v>470000</v>
      </c>
      <c r="M4733" s="3">
        <v>0</v>
      </c>
      <c r="N4733">
        <v>0</v>
      </c>
      <c r="O4733">
        <v>0</v>
      </c>
      <c r="P4733">
        <v>470000</v>
      </c>
      <c r="R4733" t="s">
        <v>1100</v>
      </c>
      <c r="S4733" t="str">
        <v>#N/A</v>
      </c>
      <c r="T4733" t="str">
        <v>#N/A</v>
      </c>
    </row>
    <row r="4734" spans="1:20" ht="13.7" customHeight="1" x14ac:dyDescent="0.25">
      <c r="E4734" s="5">
        <v>43465</v>
      </c>
      <c r="F4734">
        <v>73451502</v>
      </c>
      <c r="G4734" t="s">
        <v>637</v>
      </c>
      <c r="H4734" t="s">
        <v>1205</v>
      </c>
      <c r="I4734" t="s">
        <v>1206</v>
      </c>
      <c r="J4734">
        <v>0</v>
      </c>
      <c r="K4734">
        <v>0</v>
      </c>
      <c r="L4734" s="3">
        <v>13361</v>
      </c>
      <c r="M4734" s="3">
        <v>0</v>
      </c>
      <c r="N4734">
        <v>0</v>
      </c>
      <c r="O4734">
        <v>0</v>
      </c>
      <c r="P4734">
        <v>13361</v>
      </c>
      <c r="R4734" t="s">
        <v>1100</v>
      </c>
      <c r="S4734" t="str">
        <v>#N/A</v>
      </c>
      <c r="T4734" t="str">
        <v>#N/A</v>
      </c>
    </row>
    <row r="4735" spans="1:20" ht="13.7" customHeight="1" x14ac:dyDescent="0.25">
      <c r="E4735" s="5">
        <v>43465</v>
      </c>
      <c r="F4735">
        <v>73451502</v>
      </c>
      <c r="G4735" t="s">
        <v>637</v>
      </c>
      <c r="H4735" t="s">
        <v>1453</v>
      </c>
      <c r="I4735" t="s">
        <v>1454</v>
      </c>
      <c r="J4735">
        <v>0</v>
      </c>
      <c r="K4735">
        <v>0</v>
      </c>
      <c r="L4735" s="3">
        <v>0</v>
      </c>
      <c r="M4735" s="3">
        <v>0</v>
      </c>
      <c r="N4735">
        <v>0</v>
      </c>
      <c r="O4735">
        <v>0</v>
      </c>
      <c r="P4735">
        <v>0</v>
      </c>
      <c r="R4735" t="s">
        <v>1100</v>
      </c>
      <c r="S4735" t="str">
        <v>#N/A</v>
      </c>
      <c r="T4735" t="str">
        <v>#N/A</v>
      </c>
    </row>
    <row r="4736" spans="1:20" ht="13.7" customHeight="1" x14ac:dyDescent="0.25">
      <c r="A4736" t="s">
        <v>26</v>
      </c>
      <c r="B4736" t="s">
        <v>27</v>
      </c>
      <c r="C4736" t="s">
        <v>39</v>
      </c>
      <c r="D4736">
        <v>54</v>
      </c>
      <c r="E4736" s="5">
        <v>43734</v>
      </c>
      <c r="F4736">
        <v>73451502</v>
      </c>
      <c r="G4736" t="s">
        <v>637</v>
      </c>
      <c r="H4736" t="s">
        <v>1453</v>
      </c>
      <c r="I4736" t="s">
        <v>1454</v>
      </c>
      <c r="J4736">
        <v>1001</v>
      </c>
      <c r="K4736">
        <v>5016</v>
      </c>
      <c r="L4736" s="3">
        <v>0</v>
      </c>
      <c r="M4736" s="3">
        <v>1800</v>
      </c>
      <c r="N4736">
        <v>0</v>
      </c>
      <c r="O4736">
        <v>0</v>
      </c>
      <c r="P4736">
        <v>1800</v>
      </c>
      <c r="Q4736" t="s">
        <v>30</v>
      </c>
      <c r="R4736" t="s">
        <v>641</v>
      </c>
      <c r="S4736" t="str">
        <v>#N/A</v>
      </c>
      <c r="T4736" t="str">
        <v>#N/A</v>
      </c>
    </row>
    <row r="4737" spans="1:20" ht="13.7" customHeight="1" x14ac:dyDescent="0.25">
      <c r="E4737" s="5">
        <v>43465</v>
      </c>
      <c r="F4737">
        <v>73451502</v>
      </c>
      <c r="G4737" t="s">
        <v>637</v>
      </c>
      <c r="H4737" t="s">
        <v>1553</v>
      </c>
      <c r="I4737" t="s">
        <v>1554</v>
      </c>
      <c r="J4737">
        <v>0</v>
      </c>
      <c r="K4737">
        <v>0</v>
      </c>
      <c r="L4737" s="3">
        <v>13445</v>
      </c>
      <c r="M4737" s="3">
        <v>0</v>
      </c>
      <c r="N4737">
        <v>0</v>
      </c>
      <c r="O4737">
        <v>0</v>
      </c>
      <c r="P4737">
        <v>13445</v>
      </c>
      <c r="R4737" t="s">
        <v>1100</v>
      </c>
      <c r="S4737" t="str">
        <v>#N/A</v>
      </c>
      <c r="T4737" t="str">
        <v>#N/A</v>
      </c>
    </row>
    <row r="4738" spans="1:20" ht="13.7" customHeight="1" x14ac:dyDescent="0.25">
      <c r="E4738" s="5">
        <v>43465</v>
      </c>
      <c r="F4738">
        <v>73451502</v>
      </c>
      <c r="G4738" t="s">
        <v>637</v>
      </c>
      <c r="H4738" t="s">
        <v>1785</v>
      </c>
      <c r="I4738" t="s">
        <v>1786</v>
      </c>
      <c r="J4738">
        <v>0</v>
      </c>
      <c r="K4738">
        <v>0</v>
      </c>
      <c r="L4738" s="3">
        <v>7000</v>
      </c>
      <c r="M4738" s="3">
        <v>0</v>
      </c>
      <c r="N4738">
        <v>0</v>
      </c>
      <c r="O4738">
        <v>0</v>
      </c>
      <c r="P4738">
        <v>7000</v>
      </c>
      <c r="R4738" t="s">
        <v>1100</v>
      </c>
      <c r="S4738" t="str">
        <v>#N/A</v>
      </c>
      <c r="T4738" t="str">
        <v>#N/A</v>
      </c>
    </row>
    <row r="4739" spans="1:20" ht="13.7" customHeight="1" x14ac:dyDescent="0.25">
      <c r="E4739" s="5">
        <v>43465</v>
      </c>
      <c r="F4739">
        <v>73451502</v>
      </c>
      <c r="G4739" t="s">
        <v>637</v>
      </c>
      <c r="H4739" t="s">
        <v>1557</v>
      </c>
      <c r="I4739" t="s">
        <v>1558</v>
      </c>
      <c r="J4739">
        <v>0</v>
      </c>
      <c r="K4739">
        <v>0</v>
      </c>
      <c r="L4739" s="3">
        <v>18403</v>
      </c>
      <c r="M4739" s="3">
        <v>0</v>
      </c>
      <c r="N4739">
        <v>0</v>
      </c>
      <c r="O4739">
        <v>0</v>
      </c>
      <c r="P4739">
        <v>18403</v>
      </c>
      <c r="R4739" t="s">
        <v>1100</v>
      </c>
      <c r="S4739" t="str">
        <v>#N/A</v>
      </c>
      <c r="T4739" t="str">
        <v>#N/A</v>
      </c>
    </row>
    <row r="4740" spans="1:20" ht="13.7" customHeight="1" x14ac:dyDescent="0.25">
      <c r="E4740" s="5">
        <v>43465</v>
      </c>
      <c r="F4740">
        <v>73451502</v>
      </c>
      <c r="G4740" t="s">
        <v>637</v>
      </c>
      <c r="H4740" t="s">
        <v>1231</v>
      </c>
      <c r="I4740" t="s">
        <v>1232</v>
      </c>
      <c r="J4740">
        <v>0</v>
      </c>
      <c r="K4740">
        <v>0</v>
      </c>
      <c r="L4740" s="3">
        <v>9210</v>
      </c>
      <c r="M4740" s="3">
        <v>0</v>
      </c>
      <c r="N4740">
        <v>0</v>
      </c>
      <c r="O4740">
        <v>0</v>
      </c>
      <c r="P4740">
        <v>9210</v>
      </c>
      <c r="R4740" t="s">
        <v>1100</v>
      </c>
      <c r="S4740" t="str">
        <v>#N/A</v>
      </c>
      <c r="T4740" t="str">
        <v>#N/A</v>
      </c>
    </row>
    <row r="4741" spans="1:20" ht="13.7" customHeight="1" x14ac:dyDescent="0.25">
      <c r="E4741" s="5">
        <v>43465</v>
      </c>
      <c r="F4741">
        <v>73451502</v>
      </c>
      <c r="G4741" t="s">
        <v>637</v>
      </c>
      <c r="H4741" t="s">
        <v>1451</v>
      </c>
      <c r="I4741" t="s">
        <v>1452</v>
      </c>
      <c r="J4741">
        <v>0</v>
      </c>
      <c r="K4741">
        <v>0</v>
      </c>
      <c r="L4741" s="3">
        <v>0</v>
      </c>
      <c r="M4741" s="3">
        <v>0</v>
      </c>
      <c r="N4741">
        <v>0</v>
      </c>
      <c r="O4741">
        <v>0</v>
      </c>
      <c r="P4741">
        <v>0</v>
      </c>
      <c r="R4741" t="s">
        <v>1100</v>
      </c>
      <c r="S4741" t="str">
        <v>#N/A</v>
      </c>
      <c r="T4741" t="str">
        <v>#N/A</v>
      </c>
    </row>
    <row r="4742" spans="1:20" ht="13.7" customHeight="1" x14ac:dyDescent="0.25">
      <c r="A4742" t="s">
        <v>26</v>
      </c>
      <c r="B4742" t="s">
        <v>27</v>
      </c>
      <c r="C4742" t="s">
        <v>34</v>
      </c>
      <c r="D4742">
        <v>17</v>
      </c>
      <c r="E4742" s="5">
        <v>43563</v>
      </c>
      <c r="F4742">
        <v>73451502</v>
      </c>
      <c r="G4742" t="s">
        <v>637</v>
      </c>
      <c r="H4742" t="s">
        <v>1451</v>
      </c>
      <c r="I4742" t="s">
        <v>1452</v>
      </c>
      <c r="J4742">
        <v>1001</v>
      </c>
      <c r="K4742">
        <v>5016</v>
      </c>
      <c r="L4742" s="3">
        <v>0</v>
      </c>
      <c r="M4742" s="3">
        <v>34000</v>
      </c>
      <c r="N4742">
        <v>0</v>
      </c>
      <c r="O4742">
        <v>0</v>
      </c>
      <c r="P4742">
        <v>34000</v>
      </c>
      <c r="Q4742" t="s">
        <v>30</v>
      </c>
      <c r="R4742" t="s">
        <v>117</v>
      </c>
      <c r="S4742" t="str">
        <v>#N/A</v>
      </c>
      <c r="T4742" t="str">
        <v>#N/A</v>
      </c>
    </row>
    <row r="4743" spans="1:20" ht="13.7" customHeight="1" x14ac:dyDescent="0.25">
      <c r="A4743" t="s">
        <v>26</v>
      </c>
      <c r="B4743" t="s">
        <v>27</v>
      </c>
      <c r="C4743" t="s">
        <v>35</v>
      </c>
      <c r="D4743">
        <v>59</v>
      </c>
      <c r="E4743" s="5">
        <v>43603</v>
      </c>
      <c r="F4743">
        <v>73451502</v>
      </c>
      <c r="G4743" t="s">
        <v>637</v>
      </c>
      <c r="H4743" t="s">
        <v>1451</v>
      </c>
      <c r="I4743" t="s">
        <v>1452</v>
      </c>
      <c r="J4743">
        <v>1001</v>
      </c>
      <c r="K4743">
        <v>5016</v>
      </c>
      <c r="L4743" s="3">
        <v>34000</v>
      </c>
      <c r="M4743" s="3">
        <v>30000</v>
      </c>
      <c r="N4743">
        <v>0</v>
      </c>
      <c r="O4743">
        <v>0</v>
      </c>
      <c r="P4743">
        <v>64000</v>
      </c>
      <c r="Q4743" t="s">
        <v>30</v>
      </c>
      <c r="R4743" t="s">
        <v>137</v>
      </c>
      <c r="S4743" t="str">
        <v>#N/A</v>
      </c>
      <c r="T4743" t="str">
        <v>#N/A</v>
      </c>
    </row>
    <row r="4744" spans="1:20" ht="13.7" customHeight="1" x14ac:dyDescent="0.25">
      <c r="E4744" s="5">
        <v>43465</v>
      </c>
      <c r="F4744">
        <v>73451502</v>
      </c>
      <c r="G4744" t="s">
        <v>637</v>
      </c>
      <c r="H4744" t="s">
        <v>1437</v>
      </c>
      <c r="I4744" t="s">
        <v>1438</v>
      </c>
      <c r="J4744">
        <v>0</v>
      </c>
      <c r="K4744">
        <v>0</v>
      </c>
      <c r="L4744" s="3">
        <v>0</v>
      </c>
      <c r="M4744" s="3">
        <v>0</v>
      </c>
      <c r="N4744">
        <v>0</v>
      </c>
      <c r="O4744">
        <v>0</v>
      </c>
      <c r="P4744">
        <v>0</v>
      </c>
      <c r="R4744" t="s">
        <v>1100</v>
      </c>
      <c r="S4744" t="str">
        <v>#N/A</v>
      </c>
      <c r="T4744" t="str">
        <v>#N/A</v>
      </c>
    </row>
    <row r="4745" spans="1:20" ht="13.7" customHeight="1" x14ac:dyDescent="0.25">
      <c r="A4745" t="s">
        <v>26</v>
      </c>
      <c r="B4745" t="s">
        <v>27</v>
      </c>
      <c r="C4745" t="s">
        <v>35</v>
      </c>
      <c r="D4745">
        <v>51</v>
      </c>
      <c r="E4745" s="5">
        <v>43600</v>
      </c>
      <c r="F4745">
        <v>73451502</v>
      </c>
      <c r="G4745" t="s">
        <v>637</v>
      </c>
      <c r="H4745" t="s">
        <v>1437</v>
      </c>
      <c r="I4745" t="s">
        <v>1438</v>
      </c>
      <c r="J4745">
        <v>1001</v>
      </c>
      <c r="K4745">
        <v>5016</v>
      </c>
      <c r="L4745" s="3">
        <v>0</v>
      </c>
      <c r="M4745" s="3">
        <v>60000</v>
      </c>
      <c r="N4745">
        <v>0</v>
      </c>
      <c r="O4745">
        <v>0</v>
      </c>
      <c r="P4745">
        <v>60000</v>
      </c>
      <c r="Q4745" t="s">
        <v>30</v>
      </c>
      <c r="R4745" t="s">
        <v>134</v>
      </c>
      <c r="S4745" t="str">
        <v>#N/A</v>
      </c>
      <c r="T4745" t="str">
        <v>#N/A</v>
      </c>
    </row>
    <row r="4746" spans="1:20" ht="13.7" customHeight="1" x14ac:dyDescent="0.25">
      <c r="E4746" s="5">
        <v>43465</v>
      </c>
      <c r="F4746">
        <v>73451502</v>
      </c>
      <c r="G4746" t="s">
        <v>637</v>
      </c>
      <c r="H4746" t="s">
        <v>1111</v>
      </c>
      <c r="I4746" t="s">
        <v>1112</v>
      </c>
      <c r="J4746">
        <v>0</v>
      </c>
      <c r="K4746">
        <v>0</v>
      </c>
      <c r="L4746" s="3">
        <v>60669</v>
      </c>
      <c r="M4746" s="3">
        <v>0</v>
      </c>
      <c r="N4746">
        <v>0</v>
      </c>
      <c r="O4746">
        <v>0</v>
      </c>
      <c r="P4746">
        <v>60669</v>
      </c>
      <c r="R4746" t="s">
        <v>1100</v>
      </c>
      <c r="S4746" t="str">
        <v>#N/A</v>
      </c>
      <c r="T4746" t="str">
        <v>#N/A</v>
      </c>
    </row>
    <row r="4747" spans="1:20" ht="13.7" customHeight="1" x14ac:dyDescent="0.25">
      <c r="E4747" s="5">
        <v>43465</v>
      </c>
      <c r="F4747">
        <v>73451502</v>
      </c>
      <c r="G4747" t="s">
        <v>637</v>
      </c>
      <c r="H4747" t="s">
        <v>1575</v>
      </c>
      <c r="I4747" t="s">
        <v>1576</v>
      </c>
      <c r="J4747">
        <v>0</v>
      </c>
      <c r="K4747">
        <v>0</v>
      </c>
      <c r="L4747" s="3">
        <v>11765</v>
      </c>
      <c r="M4747" s="3">
        <v>0</v>
      </c>
      <c r="N4747">
        <v>0</v>
      </c>
      <c r="O4747">
        <v>0</v>
      </c>
      <c r="P4747">
        <v>11765</v>
      </c>
      <c r="R4747" t="s">
        <v>1100</v>
      </c>
      <c r="S4747" t="str">
        <v>#N/A</v>
      </c>
      <c r="T4747" t="str">
        <v>#N/A</v>
      </c>
    </row>
    <row r="4748" spans="1:20" ht="13.7" customHeight="1" x14ac:dyDescent="0.25">
      <c r="E4748" s="5">
        <v>43465</v>
      </c>
      <c r="F4748">
        <v>73451502</v>
      </c>
      <c r="G4748" t="s">
        <v>637</v>
      </c>
      <c r="H4748" t="s">
        <v>1301</v>
      </c>
      <c r="I4748" t="s">
        <v>1302</v>
      </c>
      <c r="J4748">
        <v>0</v>
      </c>
      <c r="K4748">
        <v>0</v>
      </c>
      <c r="L4748" s="3">
        <v>5042</v>
      </c>
      <c r="M4748" s="3">
        <v>0</v>
      </c>
      <c r="N4748">
        <v>0</v>
      </c>
      <c r="O4748">
        <v>0</v>
      </c>
      <c r="P4748">
        <v>5042</v>
      </c>
      <c r="R4748" t="s">
        <v>1100</v>
      </c>
      <c r="S4748" t="str">
        <v>#N/A</v>
      </c>
      <c r="T4748" t="str">
        <v>31</v>
      </c>
    </row>
    <row r="4749" spans="1:20" ht="13.7" customHeight="1" x14ac:dyDescent="0.25">
      <c r="E4749" s="5">
        <v>43465</v>
      </c>
      <c r="F4749">
        <v>73451502</v>
      </c>
      <c r="G4749" t="s">
        <v>637</v>
      </c>
      <c r="H4749" t="s">
        <v>1382</v>
      </c>
      <c r="I4749" t="s">
        <v>1383</v>
      </c>
      <c r="J4749">
        <v>0</v>
      </c>
      <c r="K4749">
        <v>0</v>
      </c>
      <c r="L4749" s="3">
        <v>36627</v>
      </c>
      <c r="M4749" s="3">
        <v>0</v>
      </c>
      <c r="N4749">
        <v>0</v>
      </c>
      <c r="O4749">
        <v>0</v>
      </c>
      <c r="P4749">
        <v>36627</v>
      </c>
      <c r="R4749" t="s">
        <v>1100</v>
      </c>
      <c r="S4749" t="str">
        <v>#N/A</v>
      </c>
      <c r="T4749" t="str">
        <v>#N/A</v>
      </c>
    </row>
    <row r="4750" spans="1:20" ht="13.7" customHeight="1" x14ac:dyDescent="0.25">
      <c r="A4750" t="s">
        <v>26</v>
      </c>
      <c r="B4750" t="s">
        <v>27</v>
      </c>
      <c r="C4750" t="s">
        <v>32</v>
      </c>
      <c r="D4750">
        <v>52</v>
      </c>
      <c r="E4750" s="5">
        <v>43521</v>
      </c>
      <c r="F4750">
        <v>73451502</v>
      </c>
      <c r="G4750" t="s">
        <v>637</v>
      </c>
      <c r="H4750" t="s">
        <v>1382</v>
      </c>
      <c r="I4750" t="s">
        <v>1383</v>
      </c>
      <c r="J4750">
        <v>1001</v>
      </c>
      <c r="K4750">
        <v>5016</v>
      </c>
      <c r="L4750" s="3">
        <v>36627</v>
      </c>
      <c r="M4750" s="3">
        <v>42773</v>
      </c>
      <c r="N4750">
        <v>0</v>
      </c>
      <c r="O4750">
        <v>0</v>
      </c>
      <c r="P4750">
        <v>79400</v>
      </c>
      <c r="Q4750" t="s">
        <v>30</v>
      </c>
      <c r="R4750" t="s">
        <v>87</v>
      </c>
      <c r="S4750" t="str">
        <v>#N/A</v>
      </c>
      <c r="T4750" t="str">
        <v>#N/A</v>
      </c>
    </row>
    <row r="4751" spans="1:20" ht="13.7" customHeight="1" x14ac:dyDescent="0.25">
      <c r="E4751" s="5">
        <v>43465</v>
      </c>
      <c r="F4751">
        <v>73451502</v>
      </c>
      <c r="G4751" t="s">
        <v>637</v>
      </c>
      <c r="H4751" t="s">
        <v>1583</v>
      </c>
      <c r="I4751" t="s">
        <v>1584</v>
      </c>
      <c r="J4751">
        <v>0</v>
      </c>
      <c r="K4751">
        <v>0</v>
      </c>
      <c r="L4751" s="3">
        <v>20862</v>
      </c>
      <c r="M4751" s="3">
        <v>0</v>
      </c>
      <c r="N4751">
        <v>0</v>
      </c>
      <c r="O4751">
        <v>0</v>
      </c>
      <c r="P4751">
        <v>20862</v>
      </c>
      <c r="R4751" t="s">
        <v>1100</v>
      </c>
      <c r="S4751" t="str">
        <v>#N/A</v>
      </c>
      <c r="T4751" t="str">
        <v>#N/A</v>
      </c>
    </row>
    <row r="4752" spans="1:20" ht="13.7" customHeight="1" x14ac:dyDescent="0.25">
      <c r="E4752" s="5">
        <v>43465</v>
      </c>
      <c r="F4752">
        <v>73451502</v>
      </c>
      <c r="G4752" t="s">
        <v>637</v>
      </c>
      <c r="H4752" t="s">
        <v>1286</v>
      </c>
      <c r="I4752" t="s">
        <v>1287</v>
      </c>
      <c r="J4752">
        <v>0</v>
      </c>
      <c r="K4752">
        <v>0</v>
      </c>
      <c r="L4752" s="3">
        <v>0</v>
      </c>
      <c r="M4752" s="3">
        <v>0</v>
      </c>
      <c r="N4752">
        <v>0</v>
      </c>
      <c r="O4752">
        <v>0</v>
      </c>
      <c r="P4752">
        <v>0</v>
      </c>
      <c r="R4752" t="s">
        <v>1100</v>
      </c>
      <c r="S4752" t="str">
        <v>#N/A</v>
      </c>
      <c r="T4752" t="str">
        <v>#N/A</v>
      </c>
    </row>
    <row r="4753" spans="1:20" ht="13.7" customHeight="1" x14ac:dyDescent="0.25">
      <c r="A4753" t="s">
        <v>26</v>
      </c>
      <c r="B4753" t="s">
        <v>27</v>
      </c>
      <c r="C4753" t="s">
        <v>91</v>
      </c>
      <c r="D4753">
        <v>26</v>
      </c>
      <c r="E4753" s="5">
        <v>43532</v>
      </c>
      <c r="F4753">
        <v>73451502</v>
      </c>
      <c r="G4753" t="s">
        <v>637</v>
      </c>
      <c r="H4753" t="s">
        <v>1286</v>
      </c>
      <c r="I4753" t="s">
        <v>1287</v>
      </c>
      <c r="J4753">
        <v>1001</v>
      </c>
      <c r="K4753">
        <v>5016</v>
      </c>
      <c r="L4753" s="3">
        <v>0</v>
      </c>
      <c r="M4753" s="3">
        <v>36806</v>
      </c>
      <c r="N4753">
        <v>0</v>
      </c>
      <c r="O4753">
        <v>0</v>
      </c>
      <c r="P4753">
        <v>36806</v>
      </c>
      <c r="Q4753" t="s">
        <v>30</v>
      </c>
      <c r="R4753" t="s">
        <v>95</v>
      </c>
      <c r="S4753" t="str">
        <v>#N/A</v>
      </c>
      <c r="T4753" t="str">
        <v>#N/A</v>
      </c>
    </row>
    <row r="4754" spans="1:20" ht="13.7" customHeight="1" x14ac:dyDescent="0.25">
      <c r="E4754" s="5">
        <v>43465</v>
      </c>
      <c r="F4754">
        <v>73451502</v>
      </c>
      <c r="G4754" t="s">
        <v>637</v>
      </c>
      <c r="H4754" t="s">
        <v>1597</v>
      </c>
      <c r="I4754" t="s">
        <v>1598</v>
      </c>
      <c r="J4754">
        <v>0</v>
      </c>
      <c r="K4754">
        <v>0</v>
      </c>
      <c r="L4754" s="3">
        <v>2353</v>
      </c>
      <c r="M4754" s="3">
        <v>0</v>
      </c>
      <c r="N4754">
        <v>0</v>
      </c>
      <c r="O4754">
        <v>0</v>
      </c>
      <c r="P4754">
        <v>2353</v>
      </c>
      <c r="R4754" t="s">
        <v>1100</v>
      </c>
      <c r="S4754" t="str">
        <v>#N/A</v>
      </c>
      <c r="T4754" t="str">
        <v>#N/A</v>
      </c>
    </row>
    <row r="4755" spans="1:20" ht="13.7" customHeight="1" x14ac:dyDescent="0.25">
      <c r="E4755" s="5">
        <v>43465</v>
      </c>
      <c r="F4755">
        <v>73451502</v>
      </c>
      <c r="G4755" t="s">
        <v>637</v>
      </c>
      <c r="H4755" t="s">
        <v>1599</v>
      </c>
      <c r="I4755" t="s">
        <v>1600</v>
      </c>
      <c r="J4755">
        <v>0</v>
      </c>
      <c r="K4755">
        <v>0</v>
      </c>
      <c r="L4755" s="3">
        <v>117000</v>
      </c>
      <c r="M4755" s="3">
        <v>0</v>
      </c>
      <c r="N4755">
        <v>0</v>
      </c>
      <c r="O4755">
        <v>0</v>
      </c>
      <c r="P4755">
        <v>117000</v>
      </c>
      <c r="R4755" t="s">
        <v>1100</v>
      </c>
      <c r="S4755" t="str">
        <v>#N/A</v>
      </c>
      <c r="T4755" t="str">
        <v>#N/A</v>
      </c>
    </row>
    <row r="4756" spans="1:20" ht="13.7" customHeight="1" x14ac:dyDescent="0.25">
      <c r="E4756" s="5">
        <v>43465</v>
      </c>
      <c r="F4756">
        <v>73451502</v>
      </c>
      <c r="G4756" t="s">
        <v>637</v>
      </c>
      <c r="H4756" t="s">
        <v>1223</v>
      </c>
      <c r="I4756" t="s">
        <v>1224</v>
      </c>
      <c r="J4756">
        <v>0</v>
      </c>
      <c r="K4756">
        <v>0</v>
      </c>
      <c r="L4756" s="3">
        <v>0</v>
      </c>
      <c r="M4756" s="3">
        <v>0</v>
      </c>
      <c r="N4756">
        <v>0</v>
      </c>
      <c r="O4756">
        <v>0</v>
      </c>
      <c r="P4756">
        <v>0</v>
      </c>
      <c r="R4756" t="s">
        <v>1100</v>
      </c>
      <c r="S4756" t="str">
        <v>#N/A</v>
      </c>
      <c r="T4756" t="str">
        <v>#N/A</v>
      </c>
    </row>
    <row r="4757" spans="1:20" ht="13.7" customHeight="1" x14ac:dyDescent="0.25">
      <c r="A4757" t="s">
        <v>26</v>
      </c>
      <c r="B4757" t="s">
        <v>27</v>
      </c>
      <c r="C4757" t="s">
        <v>38</v>
      </c>
      <c r="D4757">
        <v>44</v>
      </c>
      <c r="E4757" s="5">
        <v>43703</v>
      </c>
      <c r="F4757">
        <v>73451502</v>
      </c>
      <c r="G4757" t="s">
        <v>637</v>
      </c>
      <c r="H4757" t="s">
        <v>1223</v>
      </c>
      <c r="I4757" t="s">
        <v>1224</v>
      </c>
      <c r="J4757">
        <v>1001</v>
      </c>
      <c r="K4757">
        <v>5016</v>
      </c>
      <c r="L4757" s="3">
        <v>0</v>
      </c>
      <c r="M4757" s="3">
        <v>46000</v>
      </c>
      <c r="N4757">
        <v>0</v>
      </c>
      <c r="O4757">
        <v>0</v>
      </c>
      <c r="P4757">
        <v>46000</v>
      </c>
      <c r="Q4757" t="s">
        <v>30</v>
      </c>
      <c r="R4757" t="s">
        <v>561</v>
      </c>
      <c r="S4757" t="str">
        <v>#N/A</v>
      </c>
      <c r="T4757" t="str">
        <v>#N/A</v>
      </c>
    </row>
    <row r="4758" spans="1:20" ht="13.7" customHeight="1" x14ac:dyDescent="0.25">
      <c r="E4758" s="5">
        <v>43465</v>
      </c>
      <c r="F4758">
        <v>73451502</v>
      </c>
      <c r="G4758" t="s">
        <v>637</v>
      </c>
      <c r="H4758" t="s">
        <v>1525</v>
      </c>
      <c r="I4758" t="s">
        <v>1526</v>
      </c>
      <c r="J4758">
        <v>0</v>
      </c>
      <c r="K4758">
        <v>0</v>
      </c>
      <c r="L4758" s="3">
        <v>83193</v>
      </c>
      <c r="M4758" s="3">
        <v>0</v>
      </c>
      <c r="N4758">
        <v>0</v>
      </c>
      <c r="O4758">
        <v>0</v>
      </c>
      <c r="P4758">
        <v>83193</v>
      </c>
      <c r="R4758" t="s">
        <v>1100</v>
      </c>
      <c r="S4758" t="str">
        <v>#N/A</v>
      </c>
      <c r="T4758" t="str">
        <v>31</v>
      </c>
    </row>
    <row r="4759" spans="1:20" ht="13.7" customHeight="1" x14ac:dyDescent="0.25">
      <c r="E4759" s="5">
        <v>43465</v>
      </c>
      <c r="F4759">
        <v>73451502</v>
      </c>
      <c r="G4759" t="s">
        <v>637</v>
      </c>
      <c r="H4759" t="s">
        <v>1613</v>
      </c>
      <c r="I4759" t="s">
        <v>1614</v>
      </c>
      <c r="J4759">
        <v>0</v>
      </c>
      <c r="K4759">
        <v>0</v>
      </c>
      <c r="L4759" s="3">
        <v>33613</v>
      </c>
      <c r="M4759" s="3">
        <v>0</v>
      </c>
      <c r="N4759">
        <v>0</v>
      </c>
      <c r="O4759">
        <v>0</v>
      </c>
      <c r="P4759">
        <v>33613</v>
      </c>
      <c r="R4759" t="s">
        <v>1100</v>
      </c>
      <c r="S4759" t="str">
        <v>#N/A</v>
      </c>
      <c r="T4759" t="str">
        <v>#N/A</v>
      </c>
    </row>
    <row r="4760" spans="1:20" ht="13.7" customHeight="1" x14ac:dyDescent="0.25">
      <c r="E4760" s="5">
        <v>43465</v>
      </c>
      <c r="F4760">
        <v>73451502</v>
      </c>
      <c r="G4760" t="s">
        <v>637</v>
      </c>
      <c r="H4760" t="s">
        <v>1113</v>
      </c>
      <c r="I4760" t="s">
        <v>1114</v>
      </c>
      <c r="J4760">
        <v>0</v>
      </c>
      <c r="K4760">
        <v>0</v>
      </c>
      <c r="L4760" s="3">
        <v>0</v>
      </c>
      <c r="M4760" s="3">
        <v>0</v>
      </c>
      <c r="N4760">
        <v>0</v>
      </c>
      <c r="O4760">
        <v>0</v>
      </c>
      <c r="P4760">
        <v>0</v>
      </c>
      <c r="R4760" t="s">
        <v>1100</v>
      </c>
      <c r="S4760" t="str">
        <v>#N/A</v>
      </c>
      <c r="T4760" t="str">
        <v>31</v>
      </c>
    </row>
    <row r="4761" spans="1:20" ht="13.7" customHeight="1" x14ac:dyDescent="0.25">
      <c r="A4761" t="s">
        <v>26</v>
      </c>
      <c r="B4761" t="s">
        <v>27</v>
      </c>
      <c r="C4761" t="s">
        <v>91</v>
      </c>
      <c r="D4761">
        <v>20</v>
      </c>
      <c r="E4761" s="5">
        <v>43530</v>
      </c>
      <c r="F4761">
        <v>73451502</v>
      </c>
      <c r="G4761" t="s">
        <v>637</v>
      </c>
      <c r="H4761" t="s">
        <v>1113</v>
      </c>
      <c r="I4761" t="s">
        <v>1114</v>
      </c>
      <c r="J4761">
        <v>1001</v>
      </c>
      <c r="K4761">
        <v>5016</v>
      </c>
      <c r="L4761" s="3">
        <v>0</v>
      </c>
      <c r="M4761" s="3">
        <v>7395</v>
      </c>
      <c r="N4761">
        <v>0</v>
      </c>
      <c r="O4761">
        <v>0</v>
      </c>
      <c r="P4761">
        <v>7395</v>
      </c>
      <c r="Q4761" t="s">
        <v>30</v>
      </c>
      <c r="R4761" t="s">
        <v>93</v>
      </c>
      <c r="S4761" t="str">
        <v>#N/A</v>
      </c>
      <c r="T4761" t="str">
        <v>31</v>
      </c>
    </row>
    <row r="4762" spans="1:20" ht="13.7" customHeight="1" x14ac:dyDescent="0.25">
      <c r="A4762" t="s">
        <v>26</v>
      </c>
      <c r="B4762" t="s">
        <v>27</v>
      </c>
      <c r="C4762" t="s">
        <v>39</v>
      </c>
      <c r="D4762">
        <v>23</v>
      </c>
      <c r="E4762" s="5">
        <v>43720</v>
      </c>
      <c r="F4762">
        <v>73451502</v>
      </c>
      <c r="G4762" t="s">
        <v>637</v>
      </c>
      <c r="H4762" t="s">
        <v>1113</v>
      </c>
      <c r="I4762" t="s">
        <v>1114</v>
      </c>
      <c r="J4762">
        <v>1001</v>
      </c>
      <c r="K4762">
        <v>5016</v>
      </c>
      <c r="L4762" s="3">
        <v>7395</v>
      </c>
      <c r="M4762" s="3">
        <v>102185</v>
      </c>
      <c r="N4762">
        <v>0</v>
      </c>
      <c r="O4762">
        <v>0</v>
      </c>
      <c r="P4762">
        <v>109580</v>
      </c>
      <c r="Q4762" t="s">
        <v>30</v>
      </c>
      <c r="R4762" t="s">
        <v>637</v>
      </c>
      <c r="S4762" t="str">
        <v>#N/A</v>
      </c>
      <c r="T4762" t="str">
        <v>31</v>
      </c>
    </row>
    <row r="4763" spans="1:20" ht="13.7" customHeight="1" x14ac:dyDescent="0.25">
      <c r="E4763" s="5">
        <v>43465</v>
      </c>
      <c r="F4763">
        <v>73451502</v>
      </c>
      <c r="G4763" t="s">
        <v>637</v>
      </c>
      <c r="H4763" t="s">
        <v>1621</v>
      </c>
      <c r="I4763" t="s">
        <v>1622</v>
      </c>
      <c r="J4763">
        <v>0</v>
      </c>
      <c r="K4763">
        <v>0</v>
      </c>
      <c r="L4763" s="3">
        <v>3782</v>
      </c>
      <c r="M4763" s="3">
        <v>0</v>
      </c>
      <c r="N4763">
        <v>0</v>
      </c>
      <c r="O4763">
        <v>0</v>
      </c>
      <c r="P4763">
        <v>3782</v>
      </c>
      <c r="R4763" t="s">
        <v>1100</v>
      </c>
      <c r="S4763" t="str">
        <v>#N/A</v>
      </c>
      <c r="T4763" t="str">
        <v>#N/A</v>
      </c>
    </row>
    <row r="4764" spans="1:20" ht="13.7" customHeight="1" x14ac:dyDescent="0.25">
      <c r="E4764" s="5">
        <v>43465</v>
      </c>
      <c r="F4764">
        <v>73451502</v>
      </c>
      <c r="G4764" t="s">
        <v>637</v>
      </c>
      <c r="H4764" t="s">
        <v>1449</v>
      </c>
      <c r="I4764" t="s">
        <v>1450</v>
      </c>
      <c r="J4764">
        <v>0</v>
      </c>
      <c r="K4764">
        <v>0</v>
      </c>
      <c r="L4764" s="3">
        <v>910000</v>
      </c>
      <c r="M4764" s="3">
        <v>0</v>
      </c>
      <c r="N4764">
        <v>0</v>
      </c>
      <c r="O4764">
        <v>0</v>
      </c>
      <c r="P4764">
        <v>910000</v>
      </c>
      <c r="R4764" t="s">
        <v>1100</v>
      </c>
      <c r="S4764" t="str">
        <v>#N/A</v>
      </c>
      <c r="T4764" t="str">
        <v>13</v>
      </c>
    </row>
    <row r="4765" spans="1:20" ht="13.7" customHeight="1" x14ac:dyDescent="0.25">
      <c r="A4765" t="s">
        <v>26</v>
      </c>
      <c r="B4765" t="s">
        <v>27</v>
      </c>
      <c r="C4765" t="s">
        <v>28</v>
      </c>
      <c r="D4765">
        <v>73</v>
      </c>
      <c r="E4765" s="5">
        <v>43493</v>
      </c>
      <c r="F4765">
        <v>73451502</v>
      </c>
      <c r="G4765" t="s">
        <v>637</v>
      </c>
      <c r="H4765" t="s">
        <v>1449</v>
      </c>
      <c r="I4765" t="s">
        <v>1450</v>
      </c>
      <c r="J4765">
        <v>1001</v>
      </c>
      <c r="K4765">
        <v>5016</v>
      </c>
      <c r="L4765" s="3">
        <v>910000</v>
      </c>
      <c r="M4765" s="3">
        <v>420000</v>
      </c>
      <c r="N4765">
        <v>0</v>
      </c>
      <c r="O4765">
        <v>0</v>
      </c>
      <c r="P4765">
        <v>1330000</v>
      </c>
      <c r="Q4765" t="s">
        <v>30</v>
      </c>
      <c r="R4765" t="s">
        <v>205</v>
      </c>
      <c r="S4765" t="str">
        <v>#N/A</v>
      </c>
      <c r="T4765" t="str">
        <v>13</v>
      </c>
    </row>
    <row r="4766" spans="1:20" ht="13.7" customHeight="1" x14ac:dyDescent="0.25">
      <c r="A4766" t="s">
        <v>26</v>
      </c>
      <c r="B4766" t="s">
        <v>27</v>
      </c>
      <c r="C4766" t="s">
        <v>35</v>
      </c>
      <c r="D4766">
        <v>14</v>
      </c>
      <c r="E4766" s="5">
        <v>43588</v>
      </c>
      <c r="F4766">
        <v>73451502</v>
      </c>
      <c r="G4766" t="s">
        <v>637</v>
      </c>
      <c r="H4766" t="s">
        <v>1449</v>
      </c>
      <c r="I4766" t="s">
        <v>1450</v>
      </c>
      <c r="J4766">
        <v>1001</v>
      </c>
      <c r="K4766">
        <v>5016</v>
      </c>
      <c r="L4766" s="3">
        <v>1330000</v>
      </c>
      <c r="M4766" s="3">
        <v>440000</v>
      </c>
      <c r="N4766">
        <v>0</v>
      </c>
      <c r="O4766">
        <v>0</v>
      </c>
      <c r="P4766">
        <v>1770000</v>
      </c>
      <c r="Q4766" t="s">
        <v>30</v>
      </c>
      <c r="R4766" t="s">
        <v>205</v>
      </c>
      <c r="S4766" t="str">
        <v>#N/A</v>
      </c>
      <c r="T4766" t="str">
        <v>13</v>
      </c>
    </row>
    <row r="4767" spans="1:20" ht="13.7" customHeight="1" x14ac:dyDescent="0.25">
      <c r="A4767" t="s">
        <v>26</v>
      </c>
      <c r="B4767" t="s">
        <v>27</v>
      </c>
      <c r="C4767" t="s">
        <v>35</v>
      </c>
      <c r="D4767">
        <v>21</v>
      </c>
      <c r="E4767" s="5">
        <v>43591</v>
      </c>
      <c r="F4767">
        <v>73451502</v>
      </c>
      <c r="G4767" t="s">
        <v>637</v>
      </c>
      <c r="H4767" t="s">
        <v>1449</v>
      </c>
      <c r="I4767" t="s">
        <v>1450</v>
      </c>
      <c r="J4767">
        <v>1001</v>
      </c>
      <c r="K4767">
        <v>5016</v>
      </c>
      <c r="L4767" s="3">
        <v>1770000</v>
      </c>
      <c r="M4767" s="3">
        <v>260000</v>
      </c>
      <c r="N4767">
        <v>0</v>
      </c>
      <c r="O4767">
        <v>0</v>
      </c>
      <c r="P4767">
        <v>2030000</v>
      </c>
      <c r="Q4767" t="s">
        <v>30</v>
      </c>
      <c r="R4767" t="s">
        <v>205</v>
      </c>
      <c r="S4767" t="str">
        <v>#N/A</v>
      </c>
      <c r="T4767" t="str">
        <v>13</v>
      </c>
    </row>
    <row r="4768" spans="1:20" ht="13.7" customHeight="1" x14ac:dyDescent="0.25">
      <c r="A4768" t="s">
        <v>26</v>
      </c>
      <c r="B4768" t="s">
        <v>27</v>
      </c>
      <c r="C4768" t="s">
        <v>35</v>
      </c>
      <c r="D4768">
        <v>22</v>
      </c>
      <c r="E4768" s="5">
        <v>43591</v>
      </c>
      <c r="F4768">
        <v>73451502</v>
      </c>
      <c r="G4768" t="s">
        <v>637</v>
      </c>
      <c r="H4768" t="s">
        <v>1449</v>
      </c>
      <c r="I4768" t="s">
        <v>1450</v>
      </c>
      <c r="J4768">
        <v>1001</v>
      </c>
      <c r="K4768">
        <v>5016</v>
      </c>
      <c r="L4768" s="3">
        <v>2030000</v>
      </c>
      <c r="M4768" s="3">
        <v>850000</v>
      </c>
      <c r="N4768">
        <v>0</v>
      </c>
      <c r="O4768">
        <v>0</v>
      </c>
      <c r="P4768">
        <v>2880000</v>
      </c>
      <c r="Q4768" t="s">
        <v>30</v>
      </c>
      <c r="R4768" t="s">
        <v>205</v>
      </c>
      <c r="S4768" t="str">
        <v>#N/A</v>
      </c>
      <c r="T4768" t="str">
        <v>13</v>
      </c>
    </row>
    <row r="4769" spans="1:20" ht="13.7" customHeight="1" x14ac:dyDescent="0.25">
      <c r="A4769" t="s">
        <v>26</v>
      </c>
      <c r="B4769" t="s">
        <v>27</v>
      </c>
      <c r="C4769" t="s">
        <v>36</v>
      </c>
      <c r="D4769">
        <v>40</v>
      </c>
      <c r="E4769" s="5">
        <v>43634</v>
      </c>
      <c r="F4769">
        <v>73451502</v>
      </c>
      <c r="G4769" t="s">
        <v>637</v>
      </c>
      <c r="H4769" t="s">
        <v>1449</v>
      </c>
      <c r="I4769" t="s">
        <v>1450</v>
      </c>
      <c r="J4769">
        <v>1001</v>
      </c>
      <c r="K4769">
        <v>5016</v>
      </c>
      <c r="L4769" s="3">
        <v>2880000</v>
      </c>
      <c r="M4769" s="3">
        <v>240000</v>
      </c>
      <c r="N4769">
        <v>0</v>
      </c>
      <c r="O4769">
        <v>0</v>
      </c>
      <c r="P4769">
        <v>3120000</v>
      </c>
      <c r="Q4769" t="s">
        <v>30</v>
      </c>
      <c r="R4769" t="s">
        <v>271</v>
      </c>
      <c r="S4769" t="str">
        <v>#N/A</v>
      </c>
      <c r="T4769" t="str">
        <v>13</v>
      </c>
    </row>
    <row r="4770" spans="1:20" ht="13.7" customHeight="1" x14ac:dyDescent="0.25">
      <c r="A4770" t="s">
        <v>26</v>
      </c>
      <c r="B4770" t="s">
        <v>27</v>
      </c>
      <c r="C4770" t="s">
        <v>39</v>
      </c>
      <c r="D4770">
        <v>38</v>
      </c>
      <c r="E4770" s="5">
        <v>43725</v>
      </c>
      <c r="F4770">
        <v>73451502</v>
      </c>
      <c r="G4770" t="s">
        <v>637</v>
      </c>
      <c r="H4770" t="s">
        <v>1449</v>
      </c>
      <c r="I4770" t="s">
        <v>1450</v>
      </c>
      <c r="J4770">
        <v>1001</v>
      </c>
      <c r="K4770">
        <v>5016</v>
      </c>
      <c r="L4770" s="3">
        <v>3120000</v>
      </c>
      <c r="M4770" s="3">
        <v>660000</v>
      </c>
      <c r="N4770">
        <v>0</v>
      </c>
      <c r="O4770">
        <v>0</v>
      </c>
      <c r="P4770">
        <v>3780000</v>
      </c>
      <c r="Q4770" t="s">
        <v>30</v>
      </c>
      <c r="R4770" t="s">
        <v>205</v>
      </c>
      <c r="S4770" t="str">
        <v>#N/A</v>
      </c>
      <c r="T4770" t="str">
        <v>13</v>
      </c>
    </row>
    <row r="4771" spans="1:20" ht="13.7" customHeight="1" x14ac:dyDescent="0.25">
      <c r="E4771" s="5">
        <v>43465</v>
      </c>
      <c r="F4771">
        <v>73501001</v>
      </c>
      <c r="G4771" t="e">
        <v>#N/A</v>
      </c>
      <c r="H4771" t="s">
        <v>1625</v>
      </c>
      <c r="I4771" t="s">
        <v>1626</v>
      </c>
      <c r="J4771">
        <v>0</v>
      </c>
      <c r="K4771">
        <v>0</v>
      </c>
      <c r="L4771" s="3">
        <v>0</v>
      </c>
      <c r="M4771" s="3">
        <v>0</v>
      </c>
      <c r="N4771">
        <v>0</v>
      </c>
      <c r="O4771">
        <v>0</v>
      </c>
      <c r="P4771">
        <v>0</v>
      </c>
      <c r="R4771" t="s">
        <v>1100</v>
      </c>
      <c r="S4771" t="str">
        <v>#N/A</v>
      </c>
      <c r="T4771" t="str">
        <v>#N/A</v>
      </c>
    </row>
    <row r="4772" spans="1:20" ht="13.7" customHeight="1" x14ac:dyDescent="0.25">
      <c r="A4772" t="s">
        <v>26</v>
      </c>
      <c r="B4772" t="s">
        <v>27</v>
      </c>
      <c r="C4772" t="s">
        <v>38</v>
      </c>
      <c r="D4772">
        <v>14</v>
      </c>
      <c r="E4772" s="5">
        <v>43686</v>
      </c>
      <c r="F4772">
        <v>73501001</v>
      </c>
      <c r="G4772" t="e">
        <v>#N/A</v>
      </c>
      <c r="H4772" t="s">
        <v>1625</v>
      </c>
      <c r="I4772" t="s">
        <v>1626</v>
      </c>
      <c r="J4772">
        <v>1001</v>
      </c>
      <c r="K4772">
        <v>5016</v>
      </c>
      <c r="L4772" s="3">
        <v>0</v>
      </c>
      <c r="M4772" s="3">
        <v>35000</v>
      </c>
      <c r="N4772">
        <v>0</v>
      </c>
      <c r="O4772">
        <v>0</v>
      </c>
      <c r="P4772">
        <v>35000</v>
      </c>
      <c r="Q4772" t="s">
        <v>30</v>
      </c>
      <c r="R4772" t="s">
        <v>155</v>
      </c>
      <c r="S4772" t="str">
        <v>#N/A</v>
      </c>
      <c r="T4772" t="str">
        <v>#N/A</v>
      </c>
    </row>
    <row r="4773" spans="1:20" ht="13.7" customHeight="1" x14ac:dyDescent="0.25">
      <c r="E4773" s="5">
        <v>43465</v>
      </c>
      <c r="F4773">
        <v>73952501</v>
      </c>
      <c r="G4773" t="s">
        <v>1091</v>
      </c>
      <c r="H4773" t="s">
        <v>1455</v>
      </c>
      <c r="I4773" t="s">
        <v>1456</v>
      </c>
      <c r="J4773">
        <v>0</v>
      </c>
      <c r="K4773">
        <v>0</v>
      </c>
      <c r="L4773" s="3">
        <v>10500</v>
      </c>
      <c r="M4773" s="3">
        <v>0</v>
      </c>
      <c r="N4773">
        <v>0</v>
      </c>
      <c r="O4773">
        <v>0</v>
      </c>
      <c r="P4773">
        <v>10500</v>
      </c>
      <c r="R4773" t="s">
        <v>1100</v>
      </c>
      <c r="S4773" t="str">
        <v>#N/A</v>
      </c>
      <c r="T4773" t="str">
        <v>#N/A</v>
      </c>
    </row>
    <row r="4774" spans="1:20" ht="13.7" customHeight="1" x14ac:dyDescent="0.25">
      <c r="A4774" t="s">
        <v>26</v>
      </c>
      <c r="B4774" t="s">
        <v>27</v>
      </c>
      <c r="C4774" t="s">
        <v>37</v>
      </c>
      <c r="D4774">
        <v>52</v>
      </c>
      <c r="E4774" s="5">
        <v>43670</v>
      </c>
      <c r="F4774">
        <v>73952501</v>
      </c>
      <c r="G4774" t="s">
        <v>1091</v>
      </c>
      <c r="H4774" t="s">
        <v>1455</v>
      </c>
      <c r="I4774" t="s">
        <v>1456</v>
      </c>
      <c r="J4774">
        <v>1001</v>
      </c>
      <c r="K4774">
        <v>5016</v>
      </c>
      <c r="L4774" s="3">
        <v>10500</v>
      </c>
      <c r="M4774" s="3">
        <v>3000</v>
      </c>
      <c r="N4774">
        <v>0</v>
      </c>
      <c r="O4774">
        <v>0</v>
      </c>
      <c r="P4774">
        <v>13500</v>
      </c>
      <c r="Q4774" t="s">
        <v>30</v>
      </c>
      <c r="R4774" t="s">
        <v>59</v>
      </c>
      <c r="S4774" t="str">
        <v>#N/A</v>
      </c>
      <c r="T4774" t="str">
        <v>#N/A</v>
      </c>
    </row>
    <row r="4775" spans="1:20" ht="13.7" customHeight="1" x14ac:dyDescent="0.25">
      <c r="A4775" t="s">
        <v>26</v>
      </c>
      <c r="B4775" t="s">
        <v>27</v>
      </c>
      <c r="C4775" t="s">
        <v>37</v>
      </c>
      <c r="D4775">
        <v>53</v>
      </c>
      <c r="E4775" s="5">
        <v>43670</v>
      </c>
      <c r="F4775">
        <v>73952501</v>
      </c>
      <c r="G4775" t="s">
        <v>1091</v>
      </c>
      <c r="H4775" t="s">
        <v>1455</v>
      </c>
      <c r="I4775" t="s">
        <v>1456</v>
      </c>
      <c r="J4775">
        <v>1001</v>
      </c>
      <c r="K4775">
        <v>5016</v>
      </c>
      <c r="L4775" s="3">
        <v>13500</v>
      </c>
      <c r="M4775" s="3">
        <v>5500</v>
      </c>
      <c r="N4775">
        <v>0</v>
      </c>
      <c r="O4775">
        <v>0</v>
      </c>
      <c r="P4775">
        <v>19000</v>
      </c>
      <c r="Q4775" t="s">
        <v>30</v>
      </c>
      <c r="R4775" t="s">
        <v>59</v>
      </c>
      <c r="S4775" t="str">
        <v>#N/A</v>
      </c>
      <c r="T4775" t="str">
        <v>#N/A</v>
      </c>
    </row>
    <row r="4776" spans="1:20" ht="13.7" customHeight="1" x14ac:dyDescent="0.25">
      <c r="E4776" s="5">
        <v>43465</v>
      </c>
      <c r="F4776">
        <v>73952501</v>
      </c>
      <c r="G4776" t="s">
        <v>1091</v>
      </c>
      <c r="H4776" t="s">
        <v>1465</v>
      </c>
      <c r="I4776" t="s">
        <v>1466</v>
      </c>
      <c r="J4776">
        <v>0</v>
      </c>
      <c r="K4776">
        <v>0</v>
      </c>
      <c r="L4776" s="3">
        <v>0</v>
      </c>
      <c r="M4776" s="3">
        <v>0</v>
      </c>
      <c r="N4776">
        <v>0</v>
      </c>
      <c r="O4776">
        <v>0</v>
      </c>
      <c r="P4776">
        <v>0</v>
      </c>
      <c r="R4776" t="s">
        <v>1100</v>
      </c>
      <c r="S4776" t="str">
        <v>#N/A</v>
      </c>
      <c r="T4776" t="str">
        <v>#N/A</v>
      </c>
    </row>
    <row r="4777" spans="1:20" ht="13.7" customHeight="1" x14ac:dyDescent="0.25">
      <c r="A4777" t="s">
        <v>26</v>
      </c>
      <c r="B4777" t="s">
        <v>27</v>
      </c>
      <c r="C4777" t="s">
        <v>37</v>
      </c>
      <c r="D4777">
        <v>14</v>
      </c>
      <c r="E4777" s="5">
        <v>43652</v>
      </c>
      <c r="F4777">
        <v>73952501</v>
      </c>
      <c r="G4777" t="s">
        <v>1091</v>
      </c>
      <c r="H4777" t="s">
        <v>1465</v>
      </c>
      <c r="I4777" t="s">
        <v>1466</v>
      </c>
      <c r="J4777">
        <v>1001</v>
      </c>
      <c r="K4777">
        <v>5016</v>
      </c>
      <c r="L4777" s="3">
        <v>0</v>
      </c>
      <c r="M4777" s="3">
        <v>4100</v>
      </c>
      <c r="N4777">
        <v>0</v>
      </c>
      <c r="O4777">
        <v>0</v>
      </c>
      <c r="P4777">
        <v>4100</v>
      </c>
      <c r="Q4777" t="s">
        <v>30</v>
      </c>
      <c r="R4777" t="s">
        <v>149</v>
      </c>
      <c r="S4777" t="str">
        <v>#N/A</v>
      </c>
      <c r="T4777" t="str">
        <v>#N/A</v>
      </c>
    </row>
    <row r="4778" spans="1:20" ht="13.7" customHeight="1" x14ac:dyDescent="0.25">
      <c r="E4778" s="5">
        <v>43465</v>
      </c>
      <c r="F4778">
        <v>73952501</v>
      </c>
      <c r="G4778" t="s">
        <v>1091</v>
      </c>
      <c r="H4778" t="s">
        <v>1217</v>
      </c>
      <c r="I4778" t="s">
        <v>1218</v>
      </c>
      <c r="J4778">
        <v>0</v>
      </c>
      <c r="K4778">
        <v>0</v>
      </c>
      <c r="L4778" s="3">
        <v>42600</v>
      </c>
      <c r="M4778" s="3">
        <v>0</v>
      </c>
      <c r="N4778">
        <v>0</v>
      </c>
      <c r="O4778">
        <v>0</v>
      </c>
      <c r="P4778">
        <v>42600</v>
      </c>
      <c r="R4778" t="s">
        <v>1100</v>
      </c>
      <c r="S4778" t="str">
        <v>#N/A</v>
      </c>
      <c r="T4778" t="str">
        <v>#N/A</v>
      </c>
    </row>
    <row r="4779" spans="1:20" ht="13.7" customHeight="1" x14ac:dyDescent="0.25">
      <c r="A4779" t="s">
        <v>26</v>
      </c>
      <c r="B4779" t="s">
        <v>27</v>
      </c>
      <c r="C4779" t="s">
        <v>32</v>
      </c>
      <c r="D4779">
        <v>28</v>
      </c>
      <c r="E4779" s="5">
        <v>43510</v>
      </c>
      <c r="F4779">
        <v>73952501</v>
      </c>
      <c r="G4779" t="s">
        <v>1091</v>
      </c>
      <c r="H4779" t="s">
        <v>1217</v>
      </c>
      <c r="I4779" t="s">
        <v>1218</v>
      </c>
      <c r="J4779">
        <v>1001</v>
      </c>
      <c r="K4779">
        <v>5016</v>
      </c>
      <c r="L4779" s="3">
        <v>42600</v>
      </c>
      <c r="M4779" s="3">
        <v>5000</v>
      </c>
      <c r="N4779">
        <v>0</v>
      </c>
      <c r="O4779">
        <v>0</v>
      </c>
      <c r="P4779">
        <v>47600</v>
      </c>
      <c r="Q4779" t="s">
        <v>30</v>
      </c>
      <c r="R4779" t="s">
        <v>59</v>
      </c>
      <c r="S4779" t="str">
        <v>#N/A</v>
      </c>
      <c r="T4779" t="str">
        <v>#N/A</v>
      </c>
    </row>
    <row r="4780" spans="1:20" ht="13.7" customHeight="1" x14ac:dyDescent="0.25">
      <c r="A4780" t="s">
        <v>26</v>
      </c>
      <c r="B4780" t="s">
        <v>27</v>
      </c>
      <c r="C4780" t="s">
        <v>91</v>
      </c>
      <c r="D4780">
        <v>21</v>
      </c>
      <c r="E4780" s="5">
        <v>43529</v>
      </c>
      <c r="F4780">
        <v>73952501</v>
      </c>
      <c r="G4780" t="s">
        <v>1091</v>
      </c>
      <c r="H4780" t="s">
        <v>1217</v>
      </c>
      <c r="I4780" t="s">
        <v>1218</v>
      </c>
      <c r="J4780">
        <v>1001</v>
      </c>
      <c r="K4780">
        <v>5016</v>
      </c>
      <c r="L4780" s="3">
        <v>47600</v>
      </c>
      <c r="M4780" s="3">
        <v>5400</v>
      </c>
      <c r="N4780">
        <v>0</v>
      </c>
      <c r="O4780">
        <v>0</v>
      </c>
      <c r="P4780">
        <v>53000</v>
      </c>
      <c r="Q4780" t="s">
        <v>30</v>
      </c>
      <c r="R4780" t="s">
        <v>59</v>
      </c>
      <c r="S4780" t="str">
        <v>#N/A</v>
      </c>
      <c r="T4780" t="str">
        <v>#N/A</v>
      </c>
    </row>
    <row r="4781" spans="1:20" ht="13.7" customHeight="1" x14ac:dyDescent="0.25">
      <c r="E4781" s="5">
        <v>43465</v>
      </c>
      <c r="F4781">
        <v>73952501</v>
      </c>
      <c r="G4781" t="s">
        <v>1091</v>
      </c>
      <c r="H4781" t="s">
        <v>1391</v>
      </c>
      <c r="I4781" t="s">
        <v>1392</v>
      </c>
      <c r="J4781">
        <v>0</v>
      </c>
      <c r="K4781">
        <v>0</v>
      </c>
      <c r="L4781" s="3">
        <v>11800</v>
      </c>
      <c r="M4781" s="3">
        <v>0</v>
      </c>
      <c r="N4781">
        <v>0</v>
      </c>
      <c r="O4781">
        <v>0</v>
      </c>
      <c r="P4781">
        <v>11800</v>
      </c>
      <c r="R4781" t="s">
        <v>1100</v>
      </c>
      <c r="S4781" t="str">
        <v>#N/A</v>
      </c>
      <c r="T4781" t="str">
        <v>#N/A</v>
      </c>
    </row>
    <row r="4782" spans="1:20" ht="13.7" customHeight="1" x14ac:dyDescent="0.25">
      <c r="E4782" s="5">
        <v>43465</v>
      </c>
      <c r="F4782">
        <v>73952501</v>
      </c>
      <c r="G4782" t="s">
        <v>1091</v>
      </c>
      <c r="H4782" t="s">
        <v>1115</v>
      </c>
      <c r="I4782" t="s">
        <v>1116</v>
      </c>
      <c r="J4782">
        <v>0</v>
      </c>
      <c r="K4782">
        <v>0</v>
      </c>
      <c r="L4782" s="3">
        <v>-4600</v>
      </c>
      <c r="M4782" s="3">
        <v>0</v>
      </c>
      <c r="N4782">
        <v>0</v>
      </c>
      <c r="O4782">
        <v>0</v>
      </c>
      <c r="P4782">
        <v>-4600</v>
      </c>
      <c r="R4782" t="s">
        <v>1100</v>
      </c>
      <c r="S4782" t="str">
        <v>#N/A</v>
      </c>
      <c r="T4782" t="str">
        <v>13</v>
      </c>
    </row>
    <row r="4783" spans="1:20" ht="13.7" customHeight="1" x14ac:dyDescent="0.25">
      <c r="E4783" s="5">
        <v>43465</v>
      </c>
      <c r="F4783">
        <v>73952501</v>
      </c>
      <c r="G4783" t="s">
        <v>1091</v>
      </c>
      <c r="H4783" t="s">
        <v>1457</v>
      </c>
      <c r="I4783" t="s">
        <v>1458</v>
      </c>
      <c r="J4783">
        <v>0</v>
      </c>
      <c r="K4783">
        <v>0</v>
      </c>
      <c r="L4783" s="3">
        <v>0</v>
      </c>
      <c r="M4783" s="3">
        <v>0</v>
      </c>
      <c r="N4783">
        <v>0</v>
      </c>
      <c r="O4783">
        <v>0</v>
      </c>
      <c r="P4783">
        <v>0</v>
      </c>
      <c r="R4783" t="s">
        <v>1100</v>
      </c>
      <c r="S4783" t="str">
        <v>#N/A</v>
      </c>
      <c r="T4783" t="str">
        <v>#N/A</v>
      </c>
    </row>
    <row r="4784" spans="1:20" ht="13.7" customHeight="1" x14ac:dyDescent="0.25">
      <c r="A4784" t="s">
        <v>26</v>
      </c>
      <c r="B4784" t="s">
        <v>27</v>
      </c>
      <c r="C4784" t="s">
        <v>28</v>
      </c>
      <c r="D4784">
        <v>20</v>
      </c>
      <c r="E4784" s="5">
        <v>43476</v>
      </c>
      <c r="F4784">
        <v>73952501</v>
      </c>
      <c r="G4784" t="s">
        <v>1091</v>
      </c>
      <c r="H4784" t="s">
        <v>1457</v>
      </c>
      <c r="I4784" t="s">
        <v>1458</v>
      </c>
      <c r="J4784">
        <v>1001</v>
      </c>
      <c r="K4784">
        <v>5016</v>
      </c>
      <c r="L4784" s="3">
        <v>0</v>
      </c>
      <c r="M4784" s="3">
        <v>10000</v>
      </c>
      <c r="N4784">
        <v>0</v>
      </c>
      <c r="O4784">
        <v>0</v>
      </c>
      <c r="P4784">
        <v>10000</v>
      </c>
      <c r="Q4784" t="s">
        <v>30</v>
      </c>
      <c r="R4784" t="s">
        <v>47</v>
      </c>
      <c r="S4784" t="str">
        <v>#N/A</v>
      </c>
      <c r="T4784" t="str">
        <v>#N/A</v>
      </c>
    </row>
    <row r="4785" spans="1:20" ht="13.7" customHeight="1" x14ac:dyDescent="0.25">
      <c r="A4785" t="s">
        <v>26</v>
      </c>
      <c r="B4785" t="s">
        <v>27</v>
      </c>
      <c r="C4785" t="s">
        <v>28</v>
      </c>
      <c r="D4785">
        <v>57</v>
      </c>
      <c r="E4785" s="5">
        <v>43487</v>
      </c>
      <c r="F4785">
        <v>73952501</v>
      </c>
      <c r="G4785" t="s">
        <v>1091</v>
      </c>
      <c r="H4785" t="s">
        <v>1457</v>
      </c>
      <c r="I4785" t="s">
        <v>1458</v>
      </c>
      <c r="J4785">
        <v>1001</v>
      </c>
      <c r="K4785">
        <v>5016</v>
      </c>
      <c r="L4785" s="3">
        <v>10000</v>
      </c>
      <c r="M4785" s="3">
        <v>10000</v>
      </c>
      <c r="N4785">
        <v>0</v>
      </c>
      <c r="O4785">
        <v>0</v>
      </c>
      <c r="P4785">
        <v>20000</v>
      </c>
      <c r="Q4785" t="s">
        <v>30</v>
      </c>
      <c r="R4785" t="s">
        <v>47</v>
      </c>
      <c r="S4785" t="str">
        <v>#N/A</v>
      </c>
      <c r="T4785" t="str">
        <v>#N/A</v>
      </c>
    </row>
    <row r="4786" spans="1:20" ht="13.7" customHeight="1" x14ac:dyDescent="0.25">
      <c r="E4786" s="5">
        <v>43465</v>
      </c>
      <c r="F4786">
        <v>73952501</v>
      </c>
      <c r="G4786" t="s">
        <v>1091</v>
      </c>
      <c r="H4786" t="s">
        <v>1787</v>
      </c>
      <c r="I4786" t="s">
        <v>1788</v>
      </c>
      <c r="J4786">
        <v>0</v>
      </c>
      <c r="K4786">
        <v>0</v>
      </c>
      <c r="L4786" s="3">
        <v>18200</v>
      </c>
      <c r="M4786" s="3">
        <v>0</v>
      </c>
      <c r="N4786">
        <v>0</v>
      </c>
      <c r="O4786">
        <v>0</v>
      </c>
      <c r="P4786">
        <v>18200</v>
      </c>
      <c r="R4786" t="s">
        <v>1100</v>
      </c>
      <c r="S4786" t="str">
        <v>#N/A</v>
      </c>
      <c r="T4786" t="str">
        <v>#N/A</v>
      </c>
    </row>
    <row r="4787" spans="1:20" ht="13.7" customHeight="1" x14ac:dyDescent="0.25">
      <c r="E4787" s="5">
        <v>43465</v>
      </c>
      <c r="F4787">
        <v>73952501</v>
      </c>
      <c r="G4787" t="s">
        <v>1091</v>
      </c>
      <c r="H4787" t="s">
        <v>1197</v>
      </c>
      <c r="I4787" t="s">
        <v>1198</v>
      </c>
      <c r="J4787">
        <v>0</v>
      </c>
      <c r="K4787">
        <v>0</v>
      </c>
      <c r="L4787" s="3">
        <v>188900</v>
      </c>
      <c r="M4787" s="3">
        <v>0</v>
      </c>
      <c r="N4787">
        <v>0</v>
      </c>
      <c r="O4787">
        <v>0</v>
      </c>
      <c r="P4787">
        <v>188900</v>
      </c>
      <c r="R4787" t="s">
        <v>1100</v>
      </c>
      <c r="S4787" t="str">
        <v>#N/A</v>
      </c>
      <c r="T4787" t="str">
        <v>13</v>
      </c>
    </row>
    <row r="4788" spans="1:20" ht="13.7" customHeight="1" x14ac:dyDescent="0.25">
      <c r="A4788" t="s">
        <v>26</v>
      </c>
      <c r="B4788" t="s">
        <v>27</v>
      </c>
      <c r="C4788" t="s">
        <v>28</v>
      </c>
      <c r="D4788">
        <v>42</v>
      </c>
      <c r="E4788" s="5">
        <v>43482</v>
      </c>
      <c r="F4788">
        <v>73952501</v>
      </c>
      <c r="G4788" t="s">
        <v>1091</v>
      </c>
      <c r="H4788" t="s">
        <v>1197</v>
      </c>
      <c r="I4788" t="s">
        <v>1198</v>
      </c>
      <c r="J4788">
        <v>1001</v>
      </c>
      <c r="K4788">
        <v>5016</v>
      </c>
      <c r="L4788" s="3">
        <v>188900</v>
      </c>
      <c r="M4788" s="3">
        <v>7800</v>
      </c>
      <c r="N4788">
        <v>0</v>
      </c>
      <c r="O4788">
        <v>0</v>
      </c>
      <c r="P4788">
        <v>196700</v>
      </c>
      <c r="Q4788" t="s">
        <v>30</v>
      </c>
      <c r="R4788" t="s">
        <v>59</v>
      </c>
      <c r="S4788" t="str">
        <v>#N/A</v>
      </c>
      <c r="T4788" t="str">
        <v>13</v>
      </c>
    </row>
    <row r="4789" spans="1:20" ht="13.7" customHeight="1" x14ac:dyDescent="0.25">
      <c r="A4789" t="s">
        <v>26</v>
      </c>
      <c r="B4789" t="s">
        <v>27</v>
      </c>
      <c r="C4789" t="s">
        <v>28</v>
      </c>
      <c r="D4789">
        <v>45</v>
      </c>
      <c r="E4789" s="5">
        <v>43483</v>
      </c>
      <c r="F4789">
        <v>73952501</v>
      </c>
      <c r="G4789" t="s">
        <v>1091</v>
      </c>
      <c r="H4789" t="s">
        <v>1197</v>
      </c>
      <c r="I4789" t="s">
        <v>1198</v>
      </c>
      <c r="J4789">
        <v>1001</v>
      </c>
      <c r="K4789">
        <v>5016</v>
      </c>
      <c r="L4789" s="3">
        <v>196700</v>
      </c>
      <c r="M4789" s="3">
        <v>7800</v>
      </c>
      <c r="N4789">
        <v>0</v>
      </c>
      <c r="O4789">
        <v>0</v>
      </c>
      <c r="P4789">
        <v>204500</v>
      </c>
      <c r="Q4789" t="s">
        <v>30</v>
      </c>
      <c r="R4789" t="s">
        <v>59</v>
      </c>
      <c r="S4789" t="str">
        <v>#N/A</v>
      </c>
      <c r="T4789" t="str">
        <v>13</v>
      </c>
    </row>
    <row r="4790" spans="1:20" ht="13.7" customHeight="1" x14ac:dyDescent="0.25">
      <c r="A4790" t="s">
        <v>26</v>
      </c>
      <c r="B4790" t="s">
        <v>27</v>
      </c>
      <c r="C4790" t="s">
        <v>28</v>
      </c>
      <c r="D4790">
        <v>62</v>
      </c>
      <c r="E4790" s="5">
        <v>43488</v>
      </c>
      <c r="F4790">
        <v>73952501</v>
      </c>
      <c r="G4790" t="s">
        <v>1091</v>
      </c>
      <c r="H4790" t="s">
        <v>1197</v>
      </c>
      <c r="I4790" t="s">
        <v>1198</v>
      </c>
      <c r="J4790">
        <v>1001</v>
      </c>
      <c r="K4790">
        <v>5016</v>
      </c>
      <c r="L4790" s="3">
        <v>204500</v>
      </c>
      <c r="M4790" s="3">
        <v>7400</v>
      </c>
      <c r="N4790">
        <v>0</v>
      </c>
      <c r="O4790">
        <v>0</v>
      </c>
      <c r="P4790">
        <v>211900</v>
      </c>
      <c r="Q4790" t="s">
        <v>30</v>
      </c>
      <c r="R4790" t="s">
        <v>59</v>
      </c>
      <c r="S4790" t="str">
        <v>#N/A</v>
      </c>
      <c r="T4790" t="str">
        <v>13</v>
      </c>
    </row>
    <row r="4791" spans="1:20" ht="13.7" customHeight="1" x14ac:dyDescent="0.25">
      <c r="A4791" t="s">
        <v>26</v>
      </c>
      <c r="B4791" t="s">
        <v>27</v>
      </c>
      <c r="C4791" t="s">
        <v>32</v>
      </c>
      <c r="D4791">
        <v>3</v>
      </c>
      <c r="E4791" s="5">
        <v>43497</v>
      </c>
      <c r="F4791">
        <v>73952501</v>
      </c>
      <c r="G4791" t="s">
        <v>1091</v>
      </c>
      <c r="H4791" t="s">
        <v>1197</v>
      </c>
      <c r="I4791" t="s">
        <v>1198</v>
      </c>
      <c r="J4791">
        <v>1001</v>
      </c>
      <c r="K4791">
        <v>5016</v>
      </c>
      <c r="L4791" s="3">
        <v>211900</v>
      </c>
      <c r="M4791" s="3">
        <v>6300</v>
      </c>
      <c r="N4791">
        <v>0</v>
      </c>
      <c r="O4791">
        <v>0</v>
      </c>
      <c r="P4791">
        <v>218200</v>
      </c>
      <c r="Q4791" t="s">
        <v>30</v>
      </c>
      <c r="R4791" t="s">
        <v>59</v>
      </c>
      <c r="S4791" t="str">
        <v>#N/A</v>
      </c>
      <c r="T4791" t="str">
        <v>13</v>
      </c>
    </row>
    <row r="4792" spans="1:20" ht="13.7" customHeight="1" x14ac:dyDescent="0.25">
      <c r="A4792" t="s">
        <v>26</v>
      </c>
      <c r="B4792" t="s">
        <v>27</v>
      </c>
      <c r="C4792" t="s">
        <v>32</v>
      </c>
      <c r="D4792">
        <v>25</v>
      </c>
      <c r="E4792" s="5">
        <v>43509</v>
      </c>
      <c r="F4792">
        <v>73952501</v>
      </c>
      <c r="G4792" t="s">
        <v>1091</v>
      </c>
      <c r="H4792" t="s">
        <v>1197</v>
      </c>
      <c r="I4792" t="s">
        <v>1198</v>
      </c>
      <c r="J4792">
        <v>1001</v>
      </c>
      <c r="K4792">
        <v>5016</v>
      </c>
      <c r="L4792" s="3">
        <v>218200</v>
      </c>
      <c r="M4792" s="3">
        <v>10200</v>
      </c>
      <c r="N4792">
        <v>0</v>
      </c>
      <c r="O4792">
        <v>0</v>
      </c>
      <c r="P4792">
        <v>228400</v>
      </c>
      <c r="Q4792" t="s">
        <v>30</v>
      </c>
      <c r="R4792" t="s">
        <v>59</v>
      </c>
      <c r="S4792" t="str">
        <v>#N/A</v>
      </c>
      <c r="T4792" t="str">
        <v>13</v>
      </c>
    </row>
    <row r="4793" spans="1:20" ht="13.7" customHeight="1" x14ac:dyDescent="0.25">
      <c r="A4793" t="s">
        <v>26</v>
      </c>
      <c r="B4793" t="s">
        <v>27</v>
      </c>
      <c r="C4793" t="s">
        <v>32</v>
      </c>
      <c r="D4793">
        <v>37</v>
      </c>
      <c r="E4793" s="5">
        <v>43514</v>
      </c>
      <c r="F4793">
        <v>73952501</v>
      </c>
      <c r="G4793" t="s">
        <v>1091</v>
      </c>
      <c r="H4793" t="s">
        <v>1197</v>
      </c>
      <c r="I4793" t="s">
        <v>1198</v>
      </c>
      <c r="J4793">
        <v>1001</v>
      </c>
      <c r="K4793">
        <v>5016</v>
      </c>
      <c r="L4793" s="3">
        <v>228400</v>
      </c>
      <c r="M4793" s="3">
        <v>3400</v>
      </c>
      <c r="N4793">
        <v>0</v>
      </c>
      <c r="O4793">
        <v>0</v>
      </c>
      <c r="P4793">
        <v>231800</v>
      </c>
      <c r="Q4793" t="s">
        <v>30</v>
      </c>
      <c r="R4793" t="s">
        <v>59</v>
      </c>
      <c r="S4793" t="str">
        <v>#N/A</v>
      </c>
      <c r="T4793" t="str">
        <v>13</v>
      </c>
    </row>
    <row r="4794" spans="1:20" ht="13.7" customHeight="1" x14ac:dyDescent="0.25">
      <c r="A4794" t="s">
        <v>26</v>
      </c>
      <c r="B4794" t="s">
        <v>27</v>
      </c>
      <c r="C4794" t="s">
        <v>91</v>
      </c>
      <c r="D4794">
        <v>25</v>
      </c>
      <c r="E4794" s="5">
        <v>43532</v>
      </c>
      <c r="F4794">
        <v>73952501</v>
      </c>
      <c r="G4794" t="s">
        <v>1091</v>
      </c>
      <c r="H4794" t="s">
        <v>1197</v>
      </c>
      <c r="I4794" t="s">
        <v>1198</v>
      </c>
      <c r="J4794">
        <v>1001</v>
      </c>
      <c r="K4794">
        <v>5016</v>
      </c>
      <c r="L4794" s="3">
        <v>231800</v>
      </c>
      <c r="M4794" s="3">
        <v>8457</v>
      </c>
      <c r="N4794">
        <v>0</v>
      </c>
      <c r="O4794">
        <v>0</v>
      </c>
      <c r="P4794">
        <v>240257</v>
      </c>
      <c r="Q4794" t="s">
        <v>30</v>
      </c>
      <c r="R4794" t="s">
        <v>59</v>
      </c>
      <c r="S4794" t="str">
        <v>#N/A</v>
      </c>
      <c r="T4794" t="str">
        <v>13</v>
      </c>
    </row>
    <row r="4795" spans="1:20" ht="13.7" customHeight="1" x14ac:dyDescent="0.25">
      <c r="A4795" t="s">
        <v>26</v>
      </c>
      <c r="B4795" t="s">
        <v>27</v>
      </c>
      <c r="C4795" t="s">
        <v>34</v>
      </c>
      <c r="D4795">
        <v>1</v>
      </c>
      <c r="E4795" s="5">
        <v>43557</v>
      </c>
      <c r="F4795">
        <v>73952501</v>
      </c>
      <c r="G4795" t="s">
        <v>1091</v>
      </c>
      <c r="H4795" t="s">
        <v>1197</v>
      </c>
      <c r="I4795" t="s">
        <v>1198</v>
      </c>
      <c r="J4795">
        <v>1001</v>
      </c>
      <c r="K4795">
        <v>5016</v>
      </c>
      <c r="L4795" s="3">
        <v>240257</v>
      </c>
      <c r="M4795" s="3">
        <v>9120</v>
      </c>
      <c r="N4795">
        <v>0</v>
      </c>
      <c r="O4795">
        <v>0</v>
      </c>
      <c r="P4795">
        <v>249377</v>
      </c>
      <c r="Q4795" t="s">
        <v>30</v>
      </c>
      <c r="R4795" t="s">
        <v>59</v>
      </c>
      <c r="S4795" t="str">
        <v>#N/A</v>
      </c>
      <c r="T4795" t="str">
        <v>13</v>
      </c>
    </row>
    <row r="4796" spans="1:20" ht="13.7" customHeight="1" x14ac:dyDescent="0.25">
      <c r="A4796" t="s">
        <v>26</v>
      </c>
      <c r="B4796" t="s">
        <v>27</v>
      </c>
      <c r="C4796" t="s">
        <v>34</v>
      </c>
      <c r="D4796">
        <v>10</v>
      </c>
      <c r="E4796" s="5">
        <v>43559</v>
      </c>
      <c r="F4796">
        <v>73952501</v>
      </c>
      <c r="G4796" t="s">
        <v>1091</v>
      </c>
      <c r="H4796" t="s">
        <v>1197</v>
      </c>
      <c r="I4796" t="s">
        <v>1198</v>
      </c>
      <c r="J4796">
        <v>1001</v>
      </c>
      <c r="K4796">
        <v>5016</v>
      </c>
      <c r="L4796" s="3">
        <v>249377</v>
      </c>
      <c r="M4796" s="3">
        <v>8149</v>
      </c>
      <c r="N4796">
        <v>0</v>
      </c>
      <c r="O4796">
        <v>0</v>
      </c>
      <c r="P4796">
        <v>257526</v>
      </c>
      <c r="Q4796" t="s">
        <v>30</v>
      </c>
      <c r="R4796" t="s">
        <v>59</v>
      </c>
      <c r="S4796" t="str">
        <v>#N/A</v>
      </c>
      <c r="T4796" t="str">
        <v>13</v>
      </c>
    </row>
    <row r="4797" spans="1:20" ht="13.7" customHeight="1" x14ac:dyDescent="0.25">
      <c r="A4797" t="s">
        <v>26</v>
      </c>
      <c r="B4797" t="s">
        <v>27</v>
      </c>
      <c r="C4797" t="s">
        <v>34</v>
      </c>
      <c r="D4797">
        <v>36</v>
      </c>
      <c r="E4797" s="5">
        <v>43570</v>
      </c>
      <c r="F4797">
        <v>73952501</v>
      </c>
      <c r="G4797" t="s">
        <v>1091</v>
      </c>
      <c r="H4797" t="s">
        <v>1197</v>
      </c>
      <c r="I4797" t="s">
        <v>1198</v>
      </c>
      <c r="J4797">
        <v>1001</v>
      </c>
      <c r="K4797">
        <v>5016</v>
      </c>
      <c r="L4797" s="3">
        <v>257526</v>
      </c>
      <c r="M4797" s="3">
        <v>8857</v>
      </c>
      <c r="N4797">
        <v>0</v>
      </c>
      <c r="O4797">
        <v>0</v>
      </c>
      <c r="P4797">
        <v>266383</v>
      </c>
      <c r="Q4797" t="s">
        <v>30</v>
      </c>
      <c r="R4797" t="s">
        <v>59</v>
      </c>
      <c r="S4797" t="str">
        <v>#N/A</v>
      </c>
      <c r="T4797" t="str">
        <v>13</v>
      </c>
    </row>
    <row r="4798" spans="1:20" ht="13.7" customHeight="1" x14ac:dyDescent="0.25">
      <c r="A4798" t="s">
        <v>26</v>
      </c>
      <c r="B4798" t="s">
        <v>27</v>
      </c>
      <c r="C4798" t="s">
        <v>34</v>
      </c>
      <c r="D4798">
        <v>47</v>
      </c>
      <c r="E4798" s="5">
        <v>43575</v>
      </c>
      <c r="F4798">
        <v>73952501</v>
      </c>
      <c r="G4798" t="s">
        <v>1091</v>
      </c>
      <c r="H4798" t="s">
        <v>1197</v>
      </c>
      <c r="I4798" t="s">
        <v>1198</v>
      </c>
      <c r="J4798">
        <v>1001</v>
      </c>
      <c r="K4798">
        <v>5016</v>
      </c>
      <c r="L4798" s="3">
        <v>266383</v>
      </c>
      <c r="M4798" s="3">
        <v>3847</v>
      </c>
      <c r="N4798">
        <v>0</v>
      </c>
      <c r="O4798">
        <v>0</v>
      </c>
      <c r="P4798">
        <v>270230</v>
      </c>
      <c r="Q4798" t="s">
        <v>30</v>
      </c>
      <c r="R4798" t="s">
        <v>59</v>
      </c>
      <c r="S4798" t="str">
        <v>#N/A</v>
      </c>
      <c r="T4798" t="str">
        <v>13</v>
      </c>
    </row>
    <row r="4799" spans="1:20" ht="13.7" customHeight="1" x14ac:dyDescent="0.25">
      <c r="A4799" t="s">
        <v>26</v>
      </c>
      <c r="B4799" t="s">
        <v>27</v>
      </c>
      <c r="C4799" t="s">
        <v>34</v>
      </c>
      <c r="D4799">
        <v>55</v>
      </c>
      <c r="E4799" s="5">
        <v>43578</v>
      </c>
      <c r="F4799">
        <v>73952501</v>
      </c>
      <c r="G4799" t="s">
        <v>1091</v>
      </c>
      <c r="H4799" t="s">
        <v>1197</v>
      </c>
      <c r="I4799" t="s">
        <v>1198</v>
      </c>
      <c r="J4799">
        <v>1001</v>
      </c>
      <c r="K4799">
        <v>5016</v>
      </c>
      <c r="L4799" s="3">
        <v>270230</v>
      </c>
      <c r="M4799" s="3">
        <v>8369</v>
      </c>
      <c r="N4799">
        <v>0</v>
      </c>
      <c r="O4799">
        <v>0</v>
      </c>
      <c r="P4799">
        <v>278599</v>
      </c>
      <c r="Q4799" t="s">
        <v>30</v>
      </c>
      <c r="R4799" t="s">
        <v>59</v>
      </c>
      <c r="S4799" t="str">
        <v>#N/A</v>
      </c>
      <c r="T4799" t="str">
        <v>13</v>
      </c>
    </row>
    <row r="4800" spans="1:20" ht="13.7" customHeight="1" x14ac:dyDescent="0.25">
      <c r="A4800" t="s">
        <v>26</v>
      </c>
      <c r="B4800" t="s">
        <v>27</v>
      </c>
      <c r="C4800" t="s">
        <v>34</v>
      </c>
      <c r="D4800">
        <v>56</v>
      </c>
      <c r="E4800" s="5">
        <v>43579</v>
      </c>
      <c r="F4800">
        <v>73952501</v>
      </c>
      <c r="G4800" t="s">
        <v>1091</v>
      </c>
      <c r="H4800" t="s">
        <v>1197</v>
      </c>
      <c r="I4800" t="s">
        <v>1198</v>
      </c>
      <c r="J4800">
        <v>1001</v>
      </c>
      <c r="K4800">
        <v>5016</v>
      </c>
      <c r="L4800" s="3">
        <v>278599</v>
      </c>
      <c r="M4800" s="3">
        <v>11857</v>
      </c>
      <c r="N4800">
        <v>0</v>
      </c>
      <c r="O4800">
        <v>0</v>
      </c>
      <c r="P4800">
        <v>290456</v>
      </c>
      <c r="Q4800" t="s">
        <v>30</v>
      </c>
      <c r="R4800" t="s">
        <v>59</v>
      </c>
      <c r="S4800" t="str">
        <v>#N/A</v>
      </c>
      <c r="T4800" t="str">
        <v>13</v>
      </c>
    </row>
    <row r="4801" spans="1:20" ht="13.7" customHeight="1" x14ac:dyDescent="0.25">
      <c r="A4801" t="s">
        <v>26</v>
      </c>
      <c r="B4801" t="s">
        <v>27</v>
      </c>
      <c r="C4801" t="s">
        <v>34</v>
      </c>
      <c r="D4801">
        <v>59</v>
      </c>
      <c r="E4801" s="5">
        <v>43581</v>
      </c>
      <c r="F4801">
        <v>73952501</v>
      </c>
      <c r="G4801" t="s">
        <v>1091</v>
      </c>
      <c r="H4801" t="s">
        <v>1197</v>
      </c>
      <c r="I4801" t="s">
        <v>1198</v>
      </c>
      <c r="J4801">
        <v>1001</v>
      </c>
      <c r="K4801">
        <v>5016</v>
      </c>
      <c r="L4801" s="3">
        <v>290456</v>
      </c>
      <c r="M4801" s="3">
        <v>4849</v>
      </c>
      <c r="N4801">
        <v>0</v>
      </c>
      <c r="O4801">
        <v>0</v>
      </c>
      <c r="P4801">
        <v>295305</v>
      </c>
      <c r="Q4801" t="s">
        <v>30</v>
      </c>
      <c r="R4801" t="s">
        <v>59</v>
      </c>
      <c r="S4801" t="str">
        <v>#N/A</v>
      </c>
      <c r="T4801" t="str">
        <v>13</v>
      </c>
    </row>
    <row r="4802" spans="1:20" ht="13.7" customHeight="1" x14ac:dyDescent="0.25">
      <c r="A4802" t="s">
        <v>26</v>
      </c>
      <c r="B4802" t="s">
        <v>27</v>
      </c>
      <c r="C4802" t="s">
        <v>34</v>
      </c>
      <c r="D4802">
        <v>67</v>
      </c>
      <c r="E4802" s="5">
        <v>43585</v>
      </c>
      <c r="F4802">
        <v>73952501</v>
      </c>
      <c r="G4802" t="s">
        <v>1091</v>
      </c>
      <c r="H4802" t="s">
        <v>1197</v>
      </c>
      <c r="I4802" t="s">
        <v>1198</v>
      </c>
      <c r="J4802">
        <v>1001</v>
      </c>
      <c r="K4802">
        <v>5016</v>
      </c>
      <c r="L4802" s="3">
        <v>295305</v>
      </c>
      <c r="M4802" s="3">
        <v>4989</v>
      </c>
      <c r="N4802">
        <v>0</v>
      </c>
      <c r="O4802">
        <v>0</v>
      </c>
      <c r="P4802">
        <v>300294</v>
      </c>
      <c r="Q4802" t="s">
        <v>30</v>
      </c>
      <c r="R4802" t="s">
        <v>59</v>
      </c>
      <c r="S4802" t="str">
        <v>#N/A</v>
      </c>
      <c r="T4802" t="str">
        <v>13</v>
      </c>
    </row>
    <row r="4803" spans="1:20" ht="13.7" customHeight="1" x14ac:dyDescent="0.25">
      <c r="A4803" t="s">
        <v>26</v>
      </c>
      <c r="B4803" t="s">
        <v>27</v>
      </c>
      <c r="C4803" t="s">
        <v>35</v>
      </c>
      <c r="D4803">
        <v>11</v>
      </c>
      <c r="E4803" s="5">
        <v>43588</v>
      </c>
      <c r="F4803">
        <v>73952501</v>
      </c>
      <c r="G4803" t="s">
        <v>1091</v>
      </c>
      <c r="H4803" t="s">
        <v>1197</v>
      </c>
      <c r="I4803" t="s">
        <v>1198</v>
      </c>
      <c r="J4803">
        <v>1001</v>
      </c>
      <c r="K4803">
        <v>5016</v>
      </c>
      <c r="L4803" s="3">
        <v>300294</v>
      </c>
      <c r="M4803" s="3">
        <v>10042</v>
      </c>
      <c r="N4803">
        <v>0</v>
      </c>
      <c r="O4803">
        <v>0</v>
      </c>
      <c r="P4803">
        <v>310336</v>
      </c>
      <c r="Q4803" t="s">
        <v>30</v>
      </c>
      <c r="R4803" t="s">
        <v>125</v>
      </c>
      <c r="S4803" t="str">
        <v>#N/A</v>
      </c>
      <c r="T4803" t="str">
        <v>13</v>
      </c>
    </row>
    <row r="4804" spans="1:20" ht="13.7" customHeight="1" x14ac:dyDescent="0.25">
      <c r="A4804" t="s">
        <v>26</v>
      </c>
      <c r="B4804" t="s">
        <v>27</v>
      </c>
      <c r="C4804" t="s">
        <v>35</v>
      </c>
      <c r="D4804">
        <v>12</v>
      </c>
      <c r="E4804" s="5">
        <v>43588</v>
      </c>
      <c r="F4804">
        <v>73952501</v>
      </c>
      <c r="G4804" t="s">
        <v>1091</v>
      </c>
      <c r="H4804" t="s">
        <v>1197</v>
      </c>
      <c r="I4804" t="s">
        <v>1198</v>
      </c>
      <c r="J4804">
        <v>1001</v>
      </c>
      <c r="K4804">
        <v>5016</v>
      </c>
      <c r="L4804" s="3">
        <v>310336</v>
      </c>
      <c r="M4804" s="3">
        <v>13049</v>
      </c>
      <c r="N4804">
        <v>0</v>
      </c>
      <c r="O4804">
        <v>0</v>
      </c>
      <c r="P4804">
        <v>323385</v>
      </c>
      <c r="Q4804" t="s">
        <v>30</v>
      </c>
      <c r="R4804" t="s">
        <v>125</v>
      </c>
      <c r="S4804" t="str">
        <v>#N/A</v>
      </c>
      <c r="T4804" t="str">
        <v>13</v>
      </c>
    </row>
    <row r="4805" spans="1:20" ht="13.7" customHeight="1" x14ac:dyDescent="0.25">
      <c r="A4805" t="s">
        <v>26</v>
      </c>
      <c r="B4805" t="s">
        <v>27</v>
      </c>
      <c r="C4805" t="s">
        <v>35</v>
      </c>
      <c r="D4805">
        <v>24</v>
      </c>
      <c r="E4805" s="5">
        <v>43592</v>
      </c>
      <c r="F4805">
        <v>73952501</v>
      </c>
      <c r="G4805" t="s">
        <v>1091</v>
      </c>
      <c r="H4805" t="s">
        <v>1197</v>
      </c>
      <c r="I4805" t="s">
        <v>1198</v>
      </c>
      <c r="J4805">
        <v>1001</v>
      </c>
      <c r="K4805">
        <v>5016</v>
      </c>
      <c r="L4805" s="3">
        <v>323385</v>
      </c>
      <c r="M4805" s="3">
        <v>7429</v>
      </c>
      <c r="N4805">
        <v>0</v>
      </c>
      <c r="O4805">
        <v>0</v>
      </c>
      <c r="P4805">
        <v>330814</v>
      </c>
      <c r="Q4805" t="s">
        <v>30</v>
      </c>
      <c r="R4805" t="s">
        <v>59</v>
      </c>
      <c r="S4805" t="str">
        <v>#N/A</v>
      </c>
      <c r="T4805" t="str">
        <v>13</v>
      </c>
    </row>
    <row r="4806" spans="1:20" ht="13.7" customHeight="1" x14ac:dyDescent="0.25">
      <c r="A4806" t="s">
        <v>26</v>
      </c>
      <c r="B4806" t="s">
        <v>27</v>
      </c>
      <c r="C4806" t="s">
        <v>35</v>
      </c>
      <c r="D4806">
        <v>30</v>
      </c>
      <c r="E4806" s="5">
        <v>43594</v>
      </c>
      <c r="F4806">
        <v>73952501</v>
      </c>
      <c r="G4806" t="s">
        <v>1091</v>
      </c>
      <c r="H4806" t="s">
        <v>1197</v>
      </c>
      <c r="I4806" t="s">
        <v>1198</v>
      </c>
      <c r="J4806">
        <v>1001</v>
      </c>
      <c r="K4806">
        <v>5016</v>
      </c>
      <c r="L4806" s="3">
        <v>330814</v>
      </c>
      <c r="M4806" s="3">
        <v>10849</v>
      </c>
      <c r="N4806">
        <v>0</v>
      </c>
      <c r="O4806">
        <v>0</v>
      </c>
      <c r="P4806">
        <v>341663</v>
      </c>
      <c r="Q4806" t="s">
        <v>30</v>
      </c>
      <c r="R4806" t="s">
        <v>59</v>
      </c>
      <c r="S4806" t="str">
        <v>#N/A</v>
      </c>
      <c r="T4806" t="str">
        <v>13</v>
      </c>
    </row>
    <row r="4807" spans="1:20" ht="13.7" customHeight="1" x14ac:dyDescent="0.25">
      <c r="A4807" t="s">
        <v>26</v>
      </c>
      <c r="B4807" t="s">
        <v>27</v>
      </c>
      <c r="C4807" t="s">
        <v>35</v>
      </c>
      <c r="D4807">
        <v>32</v>
      </c>
      <c r="E4807" s="5">
        <v>43595</v>
      </c>
      <c r="F4807">
        <v>73952501</v>
      </c>
      <c r="G4807" t="s">
        <v>1091</v>
      </c>
      <c r="H4807" t="s">
        <v>1197</v>
      </c>
      <c r="I4807" t="s">
        <v>1198</v>
      </c>
      <c r="J4807">
        <v>1001</v>
      </c>
      <c r="K4807">
        <v>5016</v>
      </c>
      <c r="L4807" s="3">
        <v>341663</v>
      </c>
      <c r="M4807" s="3">
        <v>2700</v>
      </c>
      <c r="N4807">
        <v>0</v>
      </c>
      <c r="O4807">
        <v>0</v>
      </c>
      <c r="P4807">
        <v>344363</v>
      </c>
      <c r="Q4807" t="s">
        <v>30</v>
      </c>
      <c r="R4807" t="s">
        <v>59</v>
      </c>
      <c r="S4807" t="str">
        <v>#N/A</v>
      </c>
      <c r="T4807" t="str">
        <v>13</v>
      </c>
    </row>
    <row r="4808" spans="1:20" ht="13.7" customHeight="1" x14ac:dyDescent="0.25">
      <c r="A4808" t="s">
        <v>26</v>
      </c>
      <c r="B4808" t="s">
        <v>27</v>
      </c>
      <c r="C4808" t="s">
        <v>35</v>
      </c>
      <c r="D4808">
        <v>33</v>
      </c>
      <c r="E4808" s="5">
        <v>43595</v>
      </c>
      <c r="F4808">
        <v>73952501</v>
      </c>
      <c r="G4808" t="s">
        <v>1091</v>
      </c>
      <c r="H4808" t="s">
        <v>1197</v>
      </c>
      <c r="I4808" t="s">
        <v>1198</v>
      </c>
      <c r="J4808">
        <v>1001</v>
      </c>
      <c r="K4808">
        <v>5016</v>
      </c>
      <c r="L4808" s="3">
        <v>344363</v>
      </c>
      <c r="M4808" s="3">
        <v>8189</v>
      </c>
      <c r="N4808">
        <v>0</v>
      </c>
      <c r="O4808">
        <v>0</v>
      </c>
      <c r="P4808">
        <v>352552</v>
      </c>
      <c r="Q4808" t="s">
        <v>30</v>
      </c>
      <c r="R4808" t="s">
        <v>59</v>
      </c>
      <c r="S4808" t="str">
        <v>#N/A</v>
      </c>
      <c r="T4808" t="str">
        <v>13</v>
      </c>
    </row>
    <row r="4809" spans="1:20" ht="13.7" customHeight="1" x14ac:dyDescent="0.25">
      <c r="A4809" t="s">
        <v>26</v>
      </c>
      <c r="B4809" t="s">
        <v>27</v>
      </c>
      <c r="C4809" t="s">
        <v>35</v>
      </c>
      <c r="D4809">
        <v>41</v>
      </c>
      <c r="E4809" s="5">
        <v>43598</v>
      </c>
      <c r="F4809">
        <v>73952501</v>
      </c>
      <c r="G4809" t="s">
        <v>1091</v>
      </c>
      <c r="H4809" t="s">
        <v>1197</v>
      </c>
      <c r="I4809" t="s">
        <v>1198</v>
      </c>
      <c r="J4809">
        <v>1001</v>
      </c>
      <c r="K4809">
        <v>5016</v>
      </c>
      <c r="L4809" s="3">
        <v>352552</v>
      </c>
      <c r="M4809" s="3">
        <v>8949</v>
      </c>
      <c r="N4809">
        <v>0</v>
      </c>
      <c r="O4809">
        <v>0</v>
      </c>
      <c r="P4809">
        <v>361501</v>
      </c>
      <c r="Q4809" t="s">
        <v>30</v>
      </c>
      <c r="R4809" t="s">
        <v>59</v>
      </c>
      <c r="S4809" t="str">
        <v>#N/A</v>
      </c>
      <c r="T4809" t="str">
        <v>13</v>
      </c>
    </row>
    <row r="4810" spans="1:20" ht="13.7" customHeight="1" x14ac:dyDescent="0.25">
      <c r="A4810" t="s">
        <v>26</v>
      </c>
      <c r="B4810" t="s">
        <v>27</v>
      </c>
      <c r="C4810" t="s">
        <v>35</v>
      </c>
      <c r="D4810">
        <v>53</v>
      </c>
      <c r="E4810" s="5">
        <v>43601</v>
      </c>
      <c r="F4810">
        <v>73952501</v>
      </c>
      <c r="G4810" t="s">
        <v>1091</v>
      </c>
      <c r="H4810" t="s">
        <v>1197</v>
      </c>
      <c r="I4810" t="s">
        <v>1198</v>
      </c>
      <c r="J4810">
        <v>1001</v>
      </c>
      <c r="K4810">
        <v>5016</v>
      </c>
      <c r="L4810" s="3">
        <v>361501</v>
      </c>
      <c r="M4810" s="3">
        <v>7857</v>
      </c>
      <c r="N4810">
        <v>0</v>
      </c>
      <c r="O4810">
        <v>0</v>
      </c>
      <c r="P4810">
        <v>369358</v>
      </c>
      <c r="Q4810" t="s">
        <v>30</v>
      </c>
      <c r="R4810" t="s">
        <v>59</v>
      </c>
      <c r="S4810" t="str">
        <v>#N/A</v>
      </c>
      <c r="T4810" t="str">
        <v>13</v>
      </c>
    </row>
    <row r="4811" spans="1:20" ht="13.7" customHeight="1" x14ac:dyDescent="0.25">
      <c r="A4811" t="s">
        <v>26</v>
      </c>
      <c r="B4811" t="s">
        <v>27</v>
      </c>
      <c r="C4811" t="s">
        <v>35</v>
      </c>
      <c r="D4811">
        <v>55</v>
      </c>
      <c r="E4811" s="5">
        <v>43602</v>
      </c>
      <c r="F4811">
        <v>73952501</v>
      </c>
      <c r="G4811" t="s">
        <v>1091</v>
      </c>
      <c r="H4811" t="s">
        <v>1197</v>
      </c>
      <c r="I4811" t="s">
        <v>1198</v>
      </c>
      <c r="J4811">
        <v>1001</v>
      </c>
      <c r="K4811">
        <v>5016</v>
      </c>
      <c r="L4811" s="3">
        <v>369358</v>
      </c>
      <c r="M4811" s="3">
        <v>8549</v>
      </c>
      <c r="N4811">
        <v>0</v>
      </c>
      <c r="O4811">
        <v>0</v>
      </c>
      <c r="P4811">
        <v>377907</v>
      </c>
      <c r="Q4811" t="s">
        <v>30</v>
      </c>
      <c r="R4811" t="s">
        <v>59</v>
      </c>
      <c r="S4811" t="str">
        <v>#N/A</v>
      </c>
      <c r="T4811" t="str">
        <v>13</v>
      </c>
    </row>
    <row r="4812" spans="1:20" ht="13.7" customHeight="1" x14ac:dyDescent="0.25">
      <c r="A4812" t="s">
        <v>26</v>
      </c>
      <c r="B4812" t="s">
        <v>27</v>
      </c>
      <c r="C4812" t="s">
        <v>35</v>
      </c>
      <c r="D4812">
        <v>61</v>
      </c>
      <c r="E4812" s="5">
        <v>43603</v>
      </c>
      <c r="F4812">
        <v>73952501</v>
      </c>
      <c r="G4812" t="s">
        <v>1091</v>
      </c>
      <c r="H4812" t="s">
        <v>1197</v>
      </c>
      <c r="I4812" t="s">
        <v>1198</v>
      </c>
      <c r="J4812">
        <v>1001</v>
      </c>
      <c r="K4812">
        <v>5016</v>
      </c>
      <c r="L4812" s="3">
        <v>377907</v>
      </c>
      <c r="M4812" s="3">
        <v>11469</v>
      </c>
      <c r="N4812">
        <v>0</v>
      </c>
      <c r="O4812">
        <v>0</v>
      </c>
      <c r="P4812">
        <v>389376</v>
      </c>
      <c r="Q4812" t="s">
        <v>30</v>
      </c>
      <c r="R4812" t="s">
        <v>59</v>
      </c>
      <c r="S4812" t="str">
        <v>#N/A</v>
      </c>
      <c r="T4812" t="str">
        <v>13</v>
      </c>
    </row>
    <row r="4813" spans="1:20" ht="13.7" customHeight="1" x14ac:dyDescent="0.25">
      <c r="A4813" t="s">
        <v>26</v>
      </c>
      <c r="B4813" t="s">
        <v>27</v>
      </c>
      <c r="C4813" t="s">
        <v>35</v>
      </c>
      <c r="D4813">
        <v>67</v>
      </c>
      <c r="E4813" s="5">
        <v>43605</v>
      </c>
      <c r="F4813">
        <v>73952501</v>
      </c>
      <c r="G4813" t="s">
        <v>1091</v>
      </c>
      <c r="H4813" t="s">
        <v>1197</v>
      </c>
      <c r="I4813" t="s">
        <v>1198</v>
      </c>
      <c r="J4813">
        <v>1001</v>
      </c>
      <c r="K4813">
        <v>5016</v>
      </c>
      <c r="L4813" s="3">
        <v>389376</v>
      </c>
      <c r="M4813" s="3">
        <v>7249</v>
      </c>
      <c r="N4813">
        <v>0</v>
      </c>
      <c r="O4813">
        <v>0</v>
      </c>
      <c r="P4813">
        <v>396625</v>
      </c>
      <c r="Q4813" t="s">
        <v>30</v>
      </c>
      <c r="R4813" t="s">
        <v>59</v>
      </c>
      <c r="S4813" t="str">
        <v>#N/A</v>
      </c>
      <c r="T4813" t="str">
        <v>13</v>
      </c>
    </row>
    <row r="4814" spans="1:20" ht="13.7" customHeight="1" x14ac:dyDescent="0.25">
      <c r="A4814" t="s">
        <v>26</v>
      </c>
      <c r="B4814" t="s">
        <v>27</v>
      </c>
      <c r="C4814" t="s">
        <v>35</v>
      </c>
      <c r="D4814">
        <v>71</v>
      </c>
      <c r="E4814" s="5">
        <v>43606</v>
      </c>
      <c r="F4814">
        <v>73952501</v>
      </c>
      <c r="G4814" t="s">
        <v>1091</v>
      </c>
      <c r="H4814" t="s">
        <v>1197</v>
      </c>
      <c r="I4814" t="s">
        <v>1198</v>
      </c>
      <c r="J4814">
        <v>1001</v>
      </c>
      <c r="K4814">
        <v>5016</v>
      </c>
      <c r="L4814" s="3">
        <v>396625</v>
      </c>
      <c r="M4814" s="3">
        <v>1772</v>
      </c>
      <c r="N4814">
        <v>0</v>
      </c>
      <c r="O4814">
        <v>0</v>
      </c>
      <c r="P4814">
        <v>398397</v>
      </c>
      <c r="Q4814" t="s">
        <v>30</v>
      </c>
      <c r="R4814" t="s">
        <v>59</v>
      </c>
      <c r="S4814" t="str">
        <v>#N/A</v>
      </c>
      <c r="T4814" t="str">
        <v>13</v>
      </c>
    </row>
    <row r="4815" spans="1:20" ht="13.7" customHeight="1" x14ac:dyDescent="0.25">
      <c r="A4815" t="s">
        <v>26</v>
      </c>
      <c r="B4815" t="s">
        <v>27</v>
      </c>
      <c r="C4815" t="s">
        <v>35</v>
      </c>
      <c r="D4815">
        <v>74</v>
      </c>
      <c r="E4815" s="5">
        <v>43606</v>
      </c>
      <c r="F4815">
        <v>73952501</v>
      </c>
      <c r="G4815" t="s">
        <v>1091</v>
      </c>
      <c r="H4815" t="s">
        <v>1197</v>
      </c>
      <c r="I4815" t="s">
        <v>1198</v>
      </c>
      <c r="J4815">
        <v>1001</v>
      </c>
      <c r="K4815">
        <v>5016</v>
      </c>
      <c r="L4815" s="3">
        <v>398397</v>
      </c>
      <c r="M4815" s="3">
        <v>8889</v>
      </c>
      <c r="N4815">
        <v>0</v>
      </c>
      <c r="O4815">
        <v>0</v>
      </c>
      <c r="P4815">
        <v>407286</v>
      </c>
      <c r="Q4815" t="s">
        <v>30</v>
      </c>
      <c r="R4815" t="s">
        <v>59</v>
      </c>
      <c r="S4815" t="str">
        <v>#N/A</v>
      </c>
      <c r="T4815" t="str">
        <v>13</v>
      </c>
    </row>
    <row r="4816" spans="1:20" ht="13.7" customHeight="1" x14ac:dyDescent="0.25">
      <c r="A4816" t="s">
        <v>26</v>
      </c>
      <c r="B4816" t="s">
        <v>27</v>
      </c>
      <c r="C4816" t="s">
        <v>35</v>
      </c>
      <c r="D4816">
        <v>75</v>
      </c>
      <c r="E4816" s="5">
        <v>43607</v>
      </c>
      <c r="F4816">
        <v>73952501</v>
      </c>
      <c r="G4816" t="s">
        <v>1091</v>
      </c>
      <c r="H4816" t="s">
        <v>1197</v>
      </c>
      <c r="I4816" t="s">
        <v>1198</v>
      </c>
      <c r="J4816">
        <v>1001</v>
      </c>
      <c r="K4816">
        <v>5016</v>
      </c>
      <c r="L4816" s="3">
        <v>407286</v>
      </c>
      <c r="M4816" s="3">
        <v>5000</v>
      </c>
      <c r="N4816">
        <v>0</v>
      </c>
      <c r="O4816">
        <v>0</v>
      </c>
      <c r="P4816">
        <v>412286</v>
      </c>
      <c r="Q4816" t="s">
        <v>30</v>
      </c>
      <c r="R4816" t="s">
        <v>59</v>
      </c>
      <c r="S4816" t="str">
        <v>#N/A</v>
      </c>
      <c r="T4816" t="str">
        <v>13</v>
      </c>
    </row>
    <row r="4817" spans="1:20" ht="13.7" customHeight="1" x14ac:dyDescent="0.25">
      <c r="A4817" t="s">
        <v>26</v>
      </c>
      <c r="B4817" t="s">
        <v>27</v>
      </c>
      <c r="C4817" t="s">
        <v>35</v>
      </c>
      <c r="D4817">
        <v>79</v>
      </c>
      <c r="E4817" s="5">
        <v>43609</v>
      </c>
      <c r="F4817">
        <v>73952501</v>
      </c>
      <c r="G4817" t="s">
        <v>1091</v>
      </c>
      <c r="H4817" t="s">
        <v>1197</v>
      </c>
      <c r="I4817" t="s">
        <v>1198</v>
      </c>
      <c r="J4817">
        <v>1001</v>
      </c>
      <c r="K4817">
        <v>5016</v>
      </c>
      <c r="L4817" s="3">
        <v>412286</v>
      </c>
      <c r="M4817" s="3">
        <v>6000</v>
      </c>
      <c r="N4817">
        <v>0</v>
      </c>
      <c r="O4817">
        <v>0</v>
      </c>
      <c r="P4817">
        <v>418286</v>
      </c>
      <c r="Q4817" t="s">
        <v>30</v>
      </c>
      <c r="R4817" t="s">
        <v>59</v>
      </c>
      <c r="S4817" t="str">
        <v>#N/A</v>
      </c>
      <c r="T4817" t="str">
        <v>13</v>
      </c>
    </row>
    <row r="4818" spans="1:20" ht="13.7" customHeight="1" x14ac:dyDescent="0.25">
      <c r="A4818" t="s">
        <v>26</v>
      </c>
      <c r="B4818" t="s">
        <v>27</v>
      </c>
      <c r="C4818" t="s">
        <v>35</v>
      </c>
      <c r="D4818">
        <v>81</v>
      </c>
      <c r="E4818" s="5">
        <v>43609</v>
      </c>
      <c r="F4818">
        <v>73952501</v>
      </c>
      <c r="G4818" t="s">
        <v>1091</v>
      </c>
      <c r="H4818" t="s">
        <v>1197</v>
      </c>
      <c r="I4818" t="s">
        <v>1198</v>
      </c>
      <c r="J4818">
        <v>1001</v>
      </c>
      <c r="K4818">
        <v>5016</v>
      </c>
      <c r="L4818" s="3">
        <v>418286</v>
      </c>
      <c r="M4818" s="3">
        <v>3449</v>
      </c>
      <c r="N4818">
        <v>0</v>
      </c>
      <c r="O4818">
        <v>0</v>
      </c>
      <c r="P4818">
        <v>421735</v>
      </c>
      <c r="Q4818" t="s">
        <v>30</v>
      </c>
      <c r="R4818" t="s">
        <v>59</v>
      </c>
      <c r="S4818" t="str">
        <v>#N/A</v>
      </c>
      <c r="T4818" t="str">
        <v>13</v>
      </c>
    </row>
    <row r="4819" spans="1:20" ht="13.7" customHeight="1" x14ac:dyDescent="0.25">
      <c r="A4819" t="s">
        <v>26</v>
      </c>
      <c r="B4819" t="s">
        <v>27</v>
      </c>
      <c r="C4819" t="s">
        <v>35</v>
      </c>
      <c r="D4819">
        <v>82</v>
      </c>
      <c r="E4819" s="5">
        <v>43610</v>
      </c>
      <c r="F4819">
        <v>73952501</v>
      </c>
      <c r="G4819" t="s">
        <v>1091</v>
      </c>
      <c r="H4819" t="s">
        <v>1197</v>
      </c>
      <c r="I4819" t="s">
        <v>1198</v>
      </c>
      <c r="J4819">
        <v>1001</v>
      </c>
      <c r="K4819">
        <v>5016</v>
      </c>
      <c r="L4819" s="3">
        <v>421735</v>
      </c>
      <c r="M4819" s="3">
        <v>4849</v>
      </c>
      <c r="N4819">
        <v>0</v>
      </c>
      <c r="O4819">
        <v>0</v>
      </c>
      <c r="P4819">
        <v>426584</v>
      </c>
      <c r="Q4819" t="s">
        <v>30</v>
      </c>
      <c r="R4819" t="s">
        <v>59</v>
      </c>
      <c r="S4819" t="str">
        <v>#N/A</v>
      </c>
      <c r="T4819" t="str">
        <v>13</v>
      </c>
    </row>
    <row r="4820" spans="1:20" ht="13.7" customHeight="1" x14ac:dyDescent="0.25">
      <c r="A4820" t="s">
        <v>26</v>
      </c>
      <c r="B4820" t="s">
        <v>27</v>
      </c>
      <c r="C4820" t="s">
        <v>35</v>
      </c>
      <c r="D4820">
        <v>88</v>
      </c>
      <c r="E4820" s="5">
        <v>43612</v>
      </c>
      <c r="F4820">
        <v>73952501</v>
      </c>
      <c r="G4820" t="s">
        <v>1091</v>
      </c>
      <c r="H4820" t="s">
        <v>1197</v>
      </c>
      <c r="I4820" t="s">
        <v>1198</v>
      </c>
      <c r="J4820">
        <v>1001</v>
      </c>
      <c r="K4820">
        <v>5016</v>
      </c>
      <c r="L4820" s="3">
        <v>426584</v>
      </c>
      <c r="M4820" s="3">
        <v>5000</v>
      </c>
      <c r="N4820">
        <v>0</v>
      </c>
      <c r="O4820">
        <v>0</v>
      </c>
      <c r="P4820">
        <v>431584</v>
      </c>
      <c r="Q4820" t="s">
        <v>30</v>
      </c>
      <c r="R4820" t="s">
        <v>59</v>
      </c>
      <c r="S4820" t="str">
        <v>#N/A</v>
      </c>
      <c r="T4820" t="str">
        <v>13</v>
      </c>
    </row>
    <row r="4821" spans="1:20" ht="13.7" customHeight="1" x14ac:dyDescent="0.25">
      <c r="A4821" t="s">
        <v>26</v>
      </c>
      <c r="B4821" t="s">
        <v>27</v>
      </c>
      <c r="C4821" t="s">
        <v>35</v>
      </c>
      <c r="D4821">
        <v>95</v>
      </c>
      <c r="E4821" s="5">
        <v>43616</v>
      </c>
      <c r="F4821">
        <v>73952501</v>
      </c>
      <c r="G4821" t="s">
        <v>1091</v>
      </c>
      <c r="H4821" t="s">
        <v>1197</v>
      </c>
      <c r="I4821" t="s">
        <v>1198</v>
      </c>
      <c r="J4821">
        <v>1001</v>
      </c>
      <c r="K4821">
        <v>5016</v>
      </c>
      <c r="L4821" s="3">
        <v>431584</v>
      </c>
      <c r="M4821" s="3">
        <v>3649</v>
      </c>
      <c r="N4821">
        <v>0</v>
      </c>
      <c r="O4821">
        <v>0</v>
      </c>
      <c r="P4821">
        <v>435233</v>
      </c>
      <c r="Q4821" t="s">
        <v>30</v>
      </c>
      <c r="R4821" t="s">
        <v>59</v>
      </c>
      <c r="S4821" t="str">
        <v>#N/A</v>
      </c>
      <c r="T4821" t="str">
        <v>13</v>
      </c>
    </row>
    <row r="4822" spans="1:20" ht="13.7" customHeight="1" x14ac:dyDescent="0.25">
      <c r="A4822" t="s">
        <v>26</v>
      </c>
      <c r="B4822" t="s">
        <v>27</v>
      </c>
      <c r="C4822" t="s">
        <v>36</v>
      </c>
      <c r="D4822">
        <v>3</v>
      </c>
      <c r="E4822" s="5">
        <v>43617</v>
      </c>
      <c r="F4822">
        <v>73952501</v>
      </c>
      <c r="G4822" t="s">
        <v>1091</v>
      </c>
      <c r="H4822" t="s">
        <v>1197</v>
      </c>
      <c r="I4822" t="s">
        <v>1198</v>
      </c>
      <c r="J4822">
        <v>1001</v>
      </c>
      <c r="K4822">
        <v>5016</v>
      </c>
      <c r="L4822" s="3">
        <v>435233</v>
      </c>
      <c r="M4822" s="3">
        <v>6489</v>
      </c>
      <c r="N4822">
        <v>0</v>
      </c>
      <c r="O4822">
        <v>0</v>
      </c>
      <c r="P4822">
        <v>441722</v>
      </c>
      <c r="Q4822" t="s">
        <v>30</v>
      </c>
      <c r="R4822" t="s">
        <v>59</v>
      </c>
      <c r="S4822" t="str">
        <v>#N/A</v>
      </c>
      <c r="T4822" t="str">
        <v>13</v>
      </c>
    </row>
    <row r="4823" spans="1:20" ht="13.7" customHeight="1" x14ac:dyDescent="0.25">
      <c r="A4823" t="s">
        <v>26</v>
      </c>
      <c r="B4823" t="s">
        <v>27</v>
      </c>
      <c r="C4823" t="s">
        <v>36</v>
      </c>
      <c r="D4823">
        <v>15</v>
      </c>
      <c r="E4823" s="5">
        <v>43622</v>
      </c>
      <c r="F4823">
        <v>73952501</v>
      </c>
      <c r="G4823" t="s">
        <v>1091</v>
      </c>
      <c r="H4823" t="s">
        <v>1197</v>
      </c>
      <c r="I4823" t="s">
        <v>1198</v>
      </c>
      <c r="J4823">
        <v>1001</v>
      </c>
      <c r="K4823">
        <v>5016</v>
      </c>
      <c r="L4823" s="3">
        <v>441722</v>
      </c>
      <c r="M4823" s="3">
        <v>2849</v>
      </c>
      <c r="N4823">
        <v>0</v>
      </c>
      <c r="O4823">
        <v>0</v>
      </c>
      <c r="P4823">
        <v>444571</v>
      </c>
      <c r="Q4823" t="s">
        <v>30</v>
      </c>
      <c r="R4823" t="s">
        <v>59</v>
      </c>
      <c r="S4823" t="str">
        <v>#N/A</v>
      </c>
      <c r="T4823" t="str">
        <v>13</v>
      </c>
    </row>
    <row r="4824" spans="1:20" ht="13.7" customHeight="1" x14ac:dyDescent="0.25">
      <c r="A4824" t="s">
        <v>26</v>
      </c>
      <c r="B4824" t="s">
        <v>27</v>
      </c>
      <c r="C4824" t="s">
        <v>36</v>
      </c>
      <c r="D4824">
        <v>23</v>
      </c>
      <c r="E4824" s="5">
        <v>43629</v>
      </c>
      <c r="F4824">
        <v>73952501</v>
      </c>
      <c r="G4824" t="s">
        <v>1091</v>
      </c>
      <c r="H4824" t="s">
        <v>1197</v>
      </c>
      <c r="I4824" t="s">
        <v>1198</v>
      </c>
      <c r="J4824">
        <v>1001</v>
      </c>
      <c r="K4824">
        <v>5016</v>
      </c>
      <c r="L4824" s="3">
        <v>444571</v>
      </c>
      <c r="M4824" s="3">
        <v>7149</v>
      </c>
      <c r="N4824">
        <v>0</v>
      </c>
      <c r="O4824">
        <v>0</v>
      </c>
      <c r="P4824">
        <v>451720</v>
      </c>
      <c r="Q4824" t="s">
        <v>30</v>
      </c>
      <c r="R4824" t="s">
        <v>59</v>
      </c>
      <c r="S4824" t="str">
        <v>#N/A</v>
      </c>
      <c r="T4824" t="str">
        <v>13</v>
      </c>
    </row>
    <row r="4825" spans="1:20" ht="13.7" customHeight="1" x14ac:dyDescent="0.25">
      <c r="A4825" t="s">
        <v>26</v>
      </c>
      <c r="B4825" t="s">
        <v>27</v>
      </c>
      <c r="C4825" t="s">
        <v>36</v>
      </c>
      <c r="D4825">
        <v>29</v>
      </c>
      <c r="E4825" s="5">
        <v>43630</v>
      </c>
      <c r="F4825">
        <v>73952501</v>
      </c>
      <c r="G4825" t="s">
        <v>1091</v>
      </c>
      <c r="H4825" t="s">
        <v>1197</v>
      </c>
      <c r="I4825" t="s">
        <v>1198</v>
      </c>
      <c r="J4825">
        <v>1001</v>
      </c>
      <c r="K4825">
        <v>5016</v>
      </c>
      <c r="L4825" s="3">
        <v>451720</v>
      </c>
      <c r="M4825" s="3">
        <v>3561</v>
      </c>
      <c r="N4825">
        <v>0</v>
      </c>
      <c r="O4825">
        <v>0</v>
      </c>
      <c r="P4825">
        <v>455281</v>
      </c>
      <c r="Q4825" t="s">
        <v>30</v>
      </c>
      <c r="R4825" t="s">
        <v>59</v>
      </c>
      <c r="S4825" t="str">
        <v>#N/A</v>
      </c>
      <c r="T4825" t="str">
        <v>13</v>
      </c>
    </row>
    <row r="4826" spans="1:20" ht="13.7" customHeight="1" x14ac:dyDescent="0.25">
      <c r="A4826" t="s">
        <v>26</v>
      </c>
      <c r="B4826" t="s">
        <v>27</v>
      </c>
      <c r="C4826" t="s">
        <v>36</v>
      </c>
      <c r="D4826">
        <v>36</v>
      </c>
      <c r="E4826" s="5">
        <v>43633</v>
      </c>
      <c r="F4826">
        <v>73952501</v>
      </c>
      <c r="G4826" t="s">
        <v>1091</v>
      </c>
      <c r="H4826" t="s">
        <v>1197</v>
      </c>
      <c r="I4826" t="s">
        <v>1198</v>
      </c>
      <c r="J4826">
        <v>1001</v>
      </c>
      <c r="K4826">
        <v>5016</v>
      </c>
      <c r="L4826" s="3">
        <v>455281</v>
      </c>
      <c r="M4826" s="3">
        <v>4300</v>
      </c>
      <c r="N4826">
        <v>0</v>
      </c>
      <c r="O4826">
        <v>0</v>
      </c>
      <c r="P4826">
        <v>459581</v>
      </c>
      <c r="Q4826" t="s">
        <v>30</v>
      </c>
      <c r="R4826" t="s">
        <v>59</v>
      </c>
      <c r="S4826" t="str">
        <v>#N/A</v>
      </c>
      <c r="T4826" t="str">
        <v>13</v>
      </c>
    </row>
    <row r="4827" spans="1:20" ht="13.7" customHeight="1" x14ac:dyDescent="0.25">
      <c r="A4827" t="s">
        <v>26</v>
      </c>
      <c r="B4827" t="s">
        <v>27</v>
      </c>
      <c r="C4827" t="s">
        <v>36</v>
      </c>
      <c r="D4827">
        <v>44</v>
      </c>
      <c r="E4827" s="5">
        <v>43636</v>
      </c>
      <c r="F4827">
        <v>73952501</v>
      </c>
      <c r="G4827" t="s">
        <v>1091</v>
      </c>
      <c r="H4827" t="s">
        <v>1197</v>
      </c>
      <c r="I4827" t="s">
        <v>1198</v>
      </c>
      <c r="J4827">
        <v>1001</v>
      </c>
      <c r="K4827">
        <v>5016</v>
      </c>
      <c r="L4827" s="3">
        <v>459581</v>
      </c>
      <c r="M4827" s="3">
        <v>4149</v>
      </c>
      <c r="N4827">
        <v>0</v>
      </c>
      <c r="O4827">
        <v>0</v>
      </c>
      <c r="P4827">
        <v>463730</v>
      </c>
      <c r="Q4827" t="s">
        <v>30</v>
      </c>
      <c r="R4827" t="s">
        <v>59</v>
      </c>
      <c r="S4827" t="str">
        <v>#N/A</v>
      </c>
      <c r="T4827" t="str">
        <v>13</v>
      </c>
    </row>
    <row r="4828" spans="1:20" ht="13.7" customHeight="1" x14ac:dyDescent="0.25">
      <c r="A4828" t="s">
        <v>26</v>
      </c>
      <c r="B4828" t="s">
        <v>27</v>
      </c>
      <c r="C4828" t="s">
        <v>36</v>
      </c>
      <c r="D4828">
        <v>46</v>
      </c>
      <c r="E4828" s="5">
        <v>43637</v>
      </c>
      <c r="F4828">
        <v>73952501</v>
      </c>
      <c r="G4828" t="s">
        <v>1091</v>
      </c>
      <c r="H4828" t="s">
        <v>1197</v>
      </c>
      <c r="I4828" t="s">
        <v>1198</v>
      </c>
      <c r="J4828">
        <v>1001</v>
      </c>
      <c r="K4828">
        <v>5016</v>
      </c>
      <c r="L4828" s="3">
        <v>463730</v>
      </c>
      <c r="M4828" s="3">
        <v>6589</v>
      </c>
      <c r="N4828">
        <v>0</v>
      </c>
      <c r="O4828">
        <v>0</v>
      </c>
      <c r="P4828">
        <v>470319</v>
      </c>
      <c r="Q4828" t="s">
        <v>30</v>
      </c>
      <c r="R4828" t="s">
        <v>549</v>
      </c>
      <c r="S4828" t="str">
        <v>#N/A</v>
      </c>
      <c r="T4828" t="str">
        <v>13</v>
      </c>
    </row>
    <row r="4829" spans="1:20" ht="13.7" customHeight="1" x14ac:dyDescent="0.25">
      <c r="A4829" t="s">
        <v>26</v>
      </c>
      <c r="B4829" t="s">
        <v>27</v>
      </c>
      <c r="C4829" t="s">
        <v>36</v>
      </c>
      <c r="D4829">
        <v>61</v>
      </c>
      <c r="E4829" s="5">
        <v>43643</v>
      </c>
      <c r="F4829">
        <v>73952501</v>
      </c>
      <c r="G4829" t="s">
        <v>1091</v>
      </c>
      <c r="H4829" t="s">
        <v>1197</v>
      </c>
      <c r="I4829" t="s">
        <v>1198</v>
      </c>
      <c r="J4829">
        <v>1001</v>
      </c>
      <c r="K4829">
        <v>5016</v>
      </c>
      <c r="L4829" s="3">
        <v>470319</v>
      </c>
      <c r="M4829" s="3">
        <v>4549</v>
      </c>
      <c r="N4829">
        <v>0</v>
      </c>
      <c r="O4829">
        <v>0</v>
      </c>
      <c r="P4829">
        <v>474868</v>
      </c>
      <c r="Q4829" t="s">
        <v>30</v>
      </c>
      <c r="R4829" t="s">
        <v>59</v>
      </c>
      <c r="S4829" t="str">
        <v>#N/A</v>
      </c>
      <c r="T4829" t="str">
        <v>13</v>
      </c>
    </row>
    <row r="4830" spans="1:20" ht="13.7" customHeight="1" x14ac:dyDescent="0.25">
      <c r="A4830" t="s">
        <v>26</v>
      </c>
      <c r="B4830" t="s">
        <v>27</v>
      </c>
      <c r="C4830" t="s">
        <v>37</v>
      </c>
      <c r="D4830">
        <v>1</v>
      </c>
      <c r="E4830" s="5">
        <v>43648</v>
      </c>
      <c r="F4830">
        <v>73952501</v>
      </c>
      <c r="G4830" t="s">
        <v>1091</v>
      </c>
      <c r="H4830" t="s">
        <v>1197</v>
      </c>
      <c r="I4830" t="s">
        <v>1198</v>
      </c>
      <c r="J4830">
        <v>1001</v>
      </c>
      <c r="K4830">
        <v>5016</v>
      </c>
      <c r="L4830" s="3">
        <v>474868</v>
      </c>
      <c r="M4830" s="3">
        <v>5149</v>
      </c>
      <c r="N4830">
        <v>0</v>
      </c>
      <c r="O4830">
        <v>0</v>
      </c>
      <c r="P4830">
        <v>480017</v>
      </c>
      <c r="Q4830" t="s">
        <v>30</v>
      </c>
      <c r="R4830" t="s">
        <v>59</v>
      </c>
      <c r="S4830" t="str">
        <v>#N/A</v>
      </c>
      <c r="T4830" t="str">
        <v>13</v>
      </c>
    </row>
    <row r="4831" spans="1:20" ht="13.7" customHeight="1" x14ac:dyDescent="0.25">
      <c r="A4831" t="s">
        <v>26</v>
      </c>
      <c r="B4831" t="s">
        <v>27</v>
      </c>
      <c r="C4831" t="s">
        <v>37</v>
      </c>
      <c r="D4831">
        <v>7</v>
      </c>
      <c r="E4831" s="5">
        <v>43649</v>
      </c>
      <c r="F4831">
        <v>73952501</v>
      </c>
      <c r="G4831" t="s">
        <v>1091</v>
      </c>
      <c r="H4831" t="s">
        <v>1197</v>
      </c>
      <c r="I4831" t="s">
        <v>1198</v>
      </c>
      <c r="J4831">
        <v>1001</v>
      </c>
      <c r="K4831">
        <v>5016</v>
      </c>
      <c r="L4831" s="3">
        <v>480017</v>
      </c>
      <c r="M4831" s="3">
        <v>6000</v>
      </c>
      <c r="N4831">
        <v>0</v>
      </c>
      <c r="O4831">
        <v>0</v>
      </c>
      <c r="P4831">
        <v>486017</v>
      </c>
      <c r="Q4831" t="s">
        <v>30</v>
      </c>
      <c r="R4831" t="s">
        <v>59</v>
      </c>
      <c r="S4831" t="str">
        <v>#N/A</v>
      </c>
      <c r="T4831" t="str">
        <v>13</v>
      </c>
    </row>
    <row r="4832" spans="1:20" ht="13.7" customHeight="1" x14ac:dyDescent="0.25">
      <c r="A4832" t="s">
        <v>26</v>
      </c>
      <c r="B4832" t="s">
        <v>27</v>
      </c>
      <c r="C4832" t="s">
        <v>37</v>
      </c>
      <c r="D4832">
        <v>9</v>
      </c>
      <c r="E4832" s="5">
        <v>43650</v>
      </c>
      <c r="F4832">
        <v>73952501</v>
      </c>
      <c r="G4832" t="s">
        <v>1091</v>
      </c>
      <c r="H4832" t="s">
        <v>1197</v>
      </c>
      <c r="I4832" t="s">
        <v>1198</v>
      </c>
      <c r="J4832">
        <v>1001</v>
      </c>
      <c r="K4832">
        <v>5016</v>
      </c>
      <c r="L4832" s="3">
        <v>486017</v>
      </c>
      <c r="M4832" s="3">
        <v>4149</v>
      </c>
      <c r="N4832">
        <v>0</v>
      </c>
      <c r="O4832">
        <v>0</v>
      </c>
      <c r="P4832">
        <v>490166</v>
      </c>
      <c r="Q4832" t="s">
        <v>30</v>
      </c>
      <c r="R4832" t="s">
        <v>59</v>
      </c>
      <c r="S4832" t="str">
        <v>#N/A</v>
      </c>
      <c r="T4832" t="str">
        <v>13</v>
      </c>
    </row>
    <row r="4833" spans="1:20" ht="13.7" customHeight="1" x14ac:dyDescent="0.25">
      <c r="A4833" t="s">
        <v>26</v>
      </c>
      <c r="B4833" t="s">
        <v>27</v>
      </c>
      <c r="C4833" t="s">
        <v>37</v>
      </c>
      <c r="D4833">
        <v>10</v>
      </c>
      <c r="E4833" s="5">
        <v>43651</v>
      </c>
      <c r="F4833">
        <v>73952501</v>
      </c>
      <c r="G4833" t="s">
        <v>1091</v>
      </c>
      <c r="H4833" t="s">
        <v>1197</v>
      </c>
      <c r="I4833" t="s">
        <v>1198</v>
      </c>
      <c r="J4833">
        <v>1001</v>
      </c>
      <c r="K4833">
        <v>5016</v>
      </c>
      <c r="L4833" s="3">
        <v>490166</v>
      </c>
      <c r="M4833" s="3">
        <v>5400</v>
      </c>
      <c r="N4833">
        <v>0</v>
      </c>
      <c r="O4833">
        <v>0</v>
      </c>
      <c r="P4833">
        <v>495566</v>
      </c>
      <c r="Q4833" t="s">
        <v>30</v>
      </c>
      <c r="R4833" t="s">
        <v>59</v>
      </c>
      <c r="S4833" t="str">
        <v>#N/A</v>
      </c>
      <c r="T4833" t="str">
        <v>13</v>
      </c>
    </row>
    <row r="4834" spans="1:20" ht="13.7" customHeight="1" x14ac:dyDescent="0.25">
      <c r="A4834" t="s">
        <v>26</v>
      </c>
      <c r="B4834" t="s">
        <v>27</v>
      </c>
      <c r="C4834" t="s">
        <v>37</v>
      </c>
      <c r="D4834">
        <v>11</v>
      </c>
      <c r="E4834" s="5">
        <v>43651</v>
      </c>
      <c r="F4834">
        <v>73952501</v>
      </c>
      <c r="G4834" t="s">
        <v>1091</v>
      </c>
      <c r="H4834" t="s">
        <v>1197</v>
      </c>
      <c r="I4834" t="s">
        <v>1198</v>
      </c>
      <c r="J4834">
        <v>1001</v>
      </c>
      <c r="K4834">
        <v>5016</v>
      </c>
      <c r="L4834" s="3">
        <v>495566</v>
      </c>
      <c r="M4834" s="3">
        <v>3949</v>
      </c>
      <c r="N4834">
        <v>0</v>
      </c>
      <c r="O4834">
        <v>0</v>
      </c>
      <c r="P4834">
        <v>499515</v>
      </c>
      <c r="Q4834" t="s">
        <v>30</v>
      </c>
      <c r="R4834" t="s">
        <v>59</v>
      </c>
      <c r="S4834" t="str">
        <v>#N/A</v>
      </c>
      <c r="T4834" t="str">
        <v>13</v>
      </c>
    </row>
    <row r="4835" spans="1:20" ht="13.7" customHeight="1" x14ac:dyDescent="0.25">
      <c r="A4835" t="s">
        <v>26</v>
      </c>
      <c r="B4835" t="s">
        <v>27</v>
      </c>
      <c r="C4835" t="s">
        <v>37</v>
      </c>
      <c r="D4835">
        <v>25</v>
      </c>
      <c r="E4835" s="5">
        <v>43655</v>
      </c>
      <c r="F4835">
        <v>73952501</v>
      </c>
      <c r="G4835" t="s">
        <v>1091</v>
      </c>
      <c r="H4835" t="s">
        <v>1197</v>
      </c>
      <c r="I4835" t="s">
        <v>1198</v>
      </c>
      <c r="J4835">
        <v>1001</v>
      </c>
      <c r="K4835">
        <v>5016</v>
      </c>
      <c r="L4835" s="3">
        <v>499515</v>
      </c>
      <c r="M4835" s="3">
        <v>3549</v>
      </c>
      <c r="N4835">
        <v>0</v>
      </c>
      <c r="O4835">
        <v>0</v>
      </c>
      <c r="P4835">
        <v>503064</v>
      </c>
      <c r="Q4835" t="s">
        <v>30</v>
      </c>
      <c r="R4835" t="s">
        <v>59</v>
      </c>
      <c r="S4835" t="str">
        <v>#N/A</v>
      </c>
      <c r="T4835" t="str">
        <v>13</v>
      </c>
    </row>
    <row r="4836" spans="1:20" ht="13.7" customHeight="1" x14ac:dyDescent="0.25">
      <c r="A4836" t="s">
        <v>26</v>
      </c>
      <c r="B4836" t="s">
        <v>27</v>
      </c>
      <c r="C4836" t="s">
        <v>37</v>
      </c>
      <c r="D4836">
        <v>27</v>
      </c>
      <c r="E4836" s="5">
        <v>43656</v>
      </c>
      <c r="F4836">
        <v>73952501</v>
      </c>
      <c r="G4836" t="s">
        <v>1091</v>
      </c>
      <c r="H4836" t="s">
        <v>1197</v>
      </c>
      <c r="I4836" t="s">
        <v>1198</v>
      </c>
      <c r="J4836">
        <v>1001</v>
      </c>
      <c r="K4836">
        <v>5016</v>
      </c>
      <c r="L4836" s="3">
        <v>503064</v>
      </c>
      <c r="M4836" s="3">
        <v>3361</v>
      </c>
      <c r="N4836">
        <v>0</v>
      </c>
      <c r="O4836">
        <v>0</v>
      </c>
      <c r="P4836">
        <v>506425</v>
      </c>
      <c r="Q4836" t="s">
        <v>30</v>
      </c>
      <c r="R4836" t="s">
        <v>59</v>
      </c>
      <c r="S4836" t="str">
        <v>#N/A</v>
      </c>
      <c r="T4836" t="str">
        <v>13</v>
      </c>
    </row>
    <row r="4837" spans="1:20" ht="13.7" customHeight="1" x14ac:dyDescent="0.25">
      <c r="A4837" t="s">
        <v>26</v>
      </c>
      <c r="B4837" t="s">
        <v>27</v>
      </c>
      <c r="C4837" t="s">
        <v>37</v>
      </c>
      <c r="D4837">
        <v>30</v>
      </c>
      <c r="E4837" s="5">
        <v>43657</v>
      </c>
      <c r="F4837">
        <v>73952501</v>
      </c>
      <c r="G4837" t="s">
        <v>1091</v>
      </c>
      <c r="H4837" t="s">
        <v>1197</v>
      </c>
      <c r="I4837" t="s">
        <v>1198</v>
      </c>
      <c r="J4837">
        <v>1001</v>
      </c>
      <c r="K4837">
        <v>5016</v>
      </c>
      <c r="L4837" s="3">
        <v>506425</v>
      </c>
      <c r="M4837" s="3">
        <v>3949</v>
      </c>
      <c r="N4837">
        <v>0</v>
      </c>
      <c r="O4837">
        <v>0</v>
      </c>
      <c r="P4837">
        <v>510374</v>
      </c>
      <c r="Q4837" t="s">
        <v>30</v>
      </c>
      <c r="R4837" t="s">
        <v>59</v>
      </c>
      <c r="S4837" t="str">
        <v>#N/A</v>
      </c>
      <c r="T4837" t="str">
        <v>13</v>
      </c>
    </row>
    <row r="4838" spans="1:20" ht="13.7" customHeight="1" x14ac:dyDescent="0.25">
      <c r="A4838" t="s">
        <v>26</v>
      </c>
      <c r="B4838" t="s">
        <v>27</v>
      </c>
      <c r="C4838" t="s">
        <v>37</v>
      </c>
      <c r="D4838">
        <v>33</v>
      </c>
      <c r="E4838" s="5">
        <v>43658</v>
      </c>
      <c r="F4838">
        <v>73952501</v>
      </c>
      <c r="G4838" t="s">
        <v>1091</v>
      </c>
      <c r="H4838" t="s">
        <v>1197</v>
      </c>
      <c r="I4838" t="s">
        <v>1198</v>
      </c>
      <c r="J4838">
        <v>1001</v>
      </c>
      <c r="K4838">
        <v>5016</v>
      </c>
      <c r="L4838" s="3">
        <v>510374</v>
      </c>
      <c r="M4838" s="3">
        <v>3961</v>
      </c>
      <c r="N4838">
        <v>0</v>
      </c>
      <c r="O4838">
        <v>0</v>
      </c>
      <c r="P4838">
        <v>514335</v>
      </c>
      <c r="Q4838" t="s">
        <v>30</v>
      </c>
      <c r="R4838" t="s">
        <v>59</v>
      </c>
      <c r="S4838" t="str">
        <v>#N/A</v>
      </c>
      <c r="T4838" t="str">
        <v>13</v>
      </c>
    </row>
    <row r="4839" spans="1:20" ht="13.7" customHeight="1" x14ac:dyDescent="0.25">
      <c r="A4839" t="s">
        <v>26</v>
      </c>
      <c r="B4839" t="s">
        <v>27</v>
      </c>
      <c r="C4839" t="s">
        <v>37</v>
      </c>
      <c r="D4839">
        <v>39</v>
      </c>
      <c r="E4839" s="5">
        <v>43661</v>
      </c>
      <c r="F4839">
        <v>73952501</v>
      </c>
      <c r="G4839" t="s">
        <v>1091</v>
      </c>
      <c r="H4839" t="s">
        <v>1197</v>
      </c>
      <c r="I4839" t="s">
        <v>1198</v>
      </c>
      <c r="J4839">
        <v>1001</v>
      </c>
      <c r="K4839">
        <v>5016</v>
      </c>
      <c r="L4839" s="3">
        <v>514335</v>
      </c>
      <c r="M4839" s="3">
        <v>2700</v>
      </c>
      <c r="N4839">
        <v>0</v>
      </c>
      <c r="O4839">
        <v>0</v>
      </c>
      <c r="P4839">
        <v>517035</v>
      </c>
      <c r="Q4839" t="s">
        <v>30</v>
      </c>
      <c r="R4839" t="s">
        <v>59</v>
      </c>
      <c r="S4839" t="str">
        <v>#N/A</v>
      </c>
      <c r="T4839" t="str">
        <v>13</v>
      </c>
    </row>
    <row r="4840" spans="1:20" ht="13.7" customHeight="1" x14ac:dyDescent="0.25">
      <c r="A4840" t="s">
        <v>26</v>
      </c>
      <c r="B4840" t="s">
        <v>27</v>
      </c>
      <c r="C4840" t="s">
        <v>37</v>
      </c>
      <c r="D4840">
        <v>40</v>
      </c>
      <c r="E4840" s="5">
        <v>43661</v>
      </c>
      <c r="F4840">
        <v>73952501</v>
      </c>
      <c r="G4840" t="s">
        <v>1091</v>
      </c>
      <c r="H4840" t="s">
        <v>1197</v>
      </c>
      <c r="I4840" t="s">
        <v>1198</v>
      </c>
      <c r="J4840">
        <v>1001</v>
      </c>
      <c r="K4840">
        <v>5016</v>
      </c>
      <c r="L4840" s="3">
        <v>517035</v>
      </c>
      <c r="M4840" s="3">
        <v>5849</v>
      </c>
      <c r="N4840">
        <v>0</v>
      </c>
      <c r="O4840">
        <v>0</v>
      </c>
      <c r="P4840">
        <v>522884</v>
      </c>
      <c r="Q4840" t="s">
        <v>30</v>
      </c>
      <c r="R4840" t="s">
        <v>59</v>
      </c>
      <c r="S4840" t="str">
        <v>#N/A</v>
      </c>
      <c r="T4840" t="str">
        <v>13</v>
      </c>
    </row>
    <row r="4841" spans="1:20" ht="13.7" customHeight="1" x14ac:dyDescent="0.25">
      <c r="A4841" t="s">
        <v>26</v>
      </c>
      <c r="B4841" t="s">
        <v>27</v>
      </c>
      <c r="C4841" t="s">
        <v>37</v>
      </c>
      <c r="D4841">
        <v>42</v>
      </c>
      <c r="E4841" s="5">
        <v>43662</v>
      </c>
      <c r="F4841">
        <v>73952501</v>
      </c>
      <c r="G4841" t="s">
        <v>1091</v>
      </c>
      <c r="H4841" t="s">
        <v>1197</v>
      </c>
      <c r="I4841" t="s">
        <v>1198</v>
      </c>
      <c r="J4841">
        <v>1001</v>
      </c>
      <c r="K4841">
        <v>5016</v>
      </c>
      <c r="L4841" s="3">
        <v>522884</v>
      </c>
      <c r="M4841" s="3">
        <v>5349</v>
      </c>
      <c r="N4841">
        <v>0</v>
      </c>
      <c r="O4841">
        <v>0</v>
      </c>
      <c r="P4841">
        <v>528233</v>
      </c>
      <c r="Q4841" t="s">
        <v>30</v>
      </c>
      <c r="R4841" t="s">
        <v>59</v>
      </c>
      <c r="S4841" t="str">
        <v>#N/A</v>
      </c>
      <c r="T4841" t="str">
        <v>13</v>
      </c>
    </row>
    <row r="4842" spans="1:20" ht="13.7" customHeight="1" x14ac:dyDescent="0.25">
      <c r="A4842" t="s">
        <v>26</v>
      </c>
      <c r="B4842" t="s">
        <v>27</v>
      </c>
      <c r="C4842" t="s">
        <v>37</v>
      </c>
      <c r="D4842">
        <v>43</v>
      </c>
      <c r="E4842" s="5">
        <v>43662</v>
      </c>
      <c r="F4842">
        <v>73952501</v>
      </c>
      <c r="G4842" t="s">
        <v>1091</v>
      </c>
      <c r="H4842" t="s">
        <v>1197</v>
      </c>
      <c r="I4842" t="s">
        <v>1198</v>
      </c>
      <c r="J4842">
        <v>1001</v>
      </c>
      <c r="K4842">
        <v>5016</v>
      </c>
      <c r="L4842" s="3">
        <v>528233</v>
      </c>
      <c r="M4842" s="3">
        <v>672</v>
      </c>
      <c r="N4842">
        <v>0</v>
      </c>
      <c r="O4842">
        <v>0</v>
      </c>
      <c r="P4842">
        <v>528905</v>
      </c>
      <c r="Q4842" t="s">
        <v>30</v>
      </c>
      <c r="R4842" t="s">
        <v>59</v>
      </c>
      <c r="S4842" t="str">
        <v>#N/A</v>
      </c>
      <c r="T4842" t="str">
        <v>13</v>
      </c>
    </row>
    <row r="4843" spans="1:20" ht="13.7" customHeight="1" x14ac:dyDescent="0.25">
      <c r="A4843" t="s">
        <v>26</v>
      </c>
      <c r="B4843" t="s">
        <v>27</v>
      </c>
      <c r="C4843" t="s">
        <v>37</v>
      </c>
      <c r="D4843">
        <v>58</v>
      </c>
      <c r="E4843" s="5">
        <v>43672</v>
      </c>
      <c r="F4843">
        <v>73952501</v>
      </c>
      <c r="G4843" t="s">
        <v>1091</v>
      </c>
      <c r="H4843" t="s">
        <v>1197</v>
      </c>
      <c r="I4843" t="s">
        <v>1198</v>
      </c>
      <c r="J4843">
        <v>1001</v>
      </c>
      <c r="K4843">
        <v>5016</v>
      </c>
      <c r="L4843" s="3">
        <v>528905</v>
      </c>
      <c r="M4843" s="3">
        <v>5461</v>
      </c>
      <c r="N4843">
        <v>0</v>
      </c>
      <c r="O4843">
        <v>0</v>
      </c>
      <c r="P4843">
        <v>534366</v>
      </c>
      <c r="Q4843" t="s">
        <v>30</v>
      </c>
      <c r="R4843" t="s">
        <v>59</v>
      </c>
      <c r="S4843" t="str">
        <v>#N/A</v>
      </c>
      <c r="T4843" t="str">
        <v>13</v>
      </c>
    </row>
    <row r="4844" spans="1:20" ht="13.7" customHeight="1" x14ac:dyDescent="0.25">
      <c r="A4844" t="s">
        <v>26</v>
      </c>
      <c r="B4844" t="s">
        <v>27</v>
      </c>
      <c r="C4844" t="s">
        <v>38</v>
      </c>
      <c r="D4844">
        <v>26</v>
      </c>
      <c r="E4844" s="5">
        <v>43692</v>
      </c>
      <c r="F4844">
        <v>73952501</v>
      </c>
      <c r="G4844" t="s">
        <v>1091</v>
      </c>
      <c r="H4844" t="s">
        <v>1197</v>
      </c>
      <c r="I4844" t="s">
        <v>1198</v>
      </c>
      <c r="J4844">
        <v>1001</v>
      </c>
      <c r="K4844">
        <v>5016</v>
      </c>
      <c r="L4844" s="3">
        <v>534366</v>
      </c>
      <c r="M4844" s="3">
        <v>2849</v>
      </c>
      <c r="N4844">
        <v>0</v>
      </c>
      <c r="O4844">
        <v>0</v>
      </c>
      <c r="P4844">
        <v>537215</v>
      </c>
      <c r="Q4844" t="s">
        <v>30</v>
      </c>
      <c r="R4844" t="s">
        <v>555</v>
      </c>
      <c r="S4844" t="str">
        <v>#N/A</v>
      </c>
      <c r="T4844" t="str">
        <v>13</v>
      </c>
    </row>
    <row r="4845" spans="1:20" ht="13.7" customHeight="1" x14ac:dyDescent="0.25">
      <c r="A4845" t="s">
        <v>26</v>
      </c>
      <c r="B4845" t="s">
        <v>27</v>
      </c>
      <c r="C4845" t="s">
        <v>38</v>
      </c>
      <c r="D4845">
        <v>28</v>
      </c>
      <c r="E4845" s="5">
        <v>43693</v>
      </c>
      <c r="F4845">
        <v>73952501</v>
      </c>
      <c r="G4845" t="s">
        <v>1091</v>
      </c>
      <c r="H4845" t="s">
        <v>1197</v>
      </c>
      <c r="I4845" t="s">
        <v>1198</v>
      </c>
      <c r="J4845">
        <v>1001</v>
      </c>
      <c r="K4845">
        <v>5016</v>
      </c>
      <c r="L4845" s="3">
        <v>537215</v>
      </c>
      <c r="M4845" s="3">
        <v>5949</v>
      </c>
      <c r="N4845">
        <v>0</v>
      </c>
      <c r="O4845">
        <v>0</v>
      </c>
      <c r="P4845">
        <v>543164</v>
      </c>
      <c r="Q4845" t="s">
        <v>30</v>
      </c>
      <c r="R4845" t="s">
        <v>59</v>
      </c>
      <c r="S4845" t="str">
        <v>#N/A</v>
      </c>
      <c r="T4845" t="str">
        <v>13</v>
      </c>
    </row>
    <row r="4846" spans="1:20" ht="13.7" customHeight="1" x14ac:dyDescent="0.25">
      <c r="A4846" t="s">
        <v>26</v>
      </c>
      <c r="B4846" t="s">
        <v>27</v>
      </c>
      <c r="C4846" t="s">
        <v>38</v>
      </c>
      <c r="D4846">
        <v>29</v>
      </c>
      <c r="E4846" s="5">
        <v>43693</v>
      </c>
      <c r="F4846">
        <v>73952501</v>
      </c>
      <c r="G4846" t="s">
        <v>1091</v>
      </c>
      <c r="H4846" t="s">
        <v>1197</v>
      </c>
      <c r="I4846" t="s">
        <v>1198</v>
      </c>
      <c r="J4846">
        <v>1001</v>
      </c>
      <c r="K4846">
        <v>5016</v>
      </c>
      <c r="L4846" s="3">
        <v>543164</v>
      </c>
      <c r="M4846" s="3">
        <v>4500</v>
      </c>
      <c r="N4846">
        <v>0</v>
      </c>
      <c r="O4846">
        <v>0</v>
      </c>
      <c r="P4846">
        <v>547664</v>
      </c>
      <c r="Q4846" t="s">
        <v>30</v>
      </c>
      <c r="R4846" t="s">
        <v>59</v>
      </c>
      <c r="S4846" t="str">
        <v>#N/A</v>
      </c>
      <c r="T4846" t="str">
        <v>13</v>
      </c>
    </row>
    <row r="4847" spans="1:20" ht="13.7" customHeight="1" x14ac:dyDescent="0.25">
      <c r="A4847" t="s">
        <v>26</v>
      </c>
      <c r="B4847" t="s">
        <v>27</v>
      </c>
      <c r="C4847" t="s">
        <v>40</v>
      </c>
      <c r="D4847">
        <v>1</v>
      </c>
      <c r="E4847" s="5">
        <v>43740</v>
      </c>
      <c r="F4847">
        <v>73952501</v>
      </c>
      <c r="G4847" t="s">
        <v>1091</v>
      </c>
      <c r="H4847" t="s">
        <v>1197</v>
      </c>
      <c r="I4847" t="s">
        <v>1198</v>
      </c>
      <c r="J4847">
        <v>1001</v>
      </c>
      <c r="K4847">
        <v>5016</v>
      </c>
      <c r="L4847" s="3">
        <v>547664</v>
      </c>
      <c r="M4847" s="3">
        <v>2100</v>
      </c>
      <c r="N4847">
        <v>0</v>
      </c>
      <c r="O4847">
        <v>0</v>
      </c>
      <c r="P4847">
        <v>549764</v>
      </c>
      <c r="Q4847" t="s">
        <v>30</v>
      </c>
      <c r="R4847" t="s">
        <v>59</v>
      </c>
      <c r="S4847" t="str">
        <v>#N/A</v>
      </c>
      <c r="T4847" t="str">
        <v>13</v>
      </c>
    </row>
    <row r="4848" spans="1:20" ht="13.7" customHeight="1" x14ac:dyDescent="0.25">
      <c r="A4848" t="s">
        <v>26</v>
      </c>
      <c r="B4848" t="s">
        <v>27</v>
      </c>
      <c r="C4848" t="s">
        <v>41</v>
      </c>
      <c r="D4848">
        <v>27</v>
      </c>
      <c r="E4848" s="5">
        <v>43782</v>
      </c>
      <c r="F4848">
        <v>73952501</v>
      </c>
      <c r="G4848" t="s">
        <v>1091</v>
      </c>
      <c r="H4848" t="s">
        <v>1197</v>
      </c>
      <c r="I4848" t="s">
        <v>1198</v>
      </c>
      <c r="J4848">
        <v>1001</v>
      </c>
      <c r="K4848">
        <v>5016</v>
      </c>
      <c r="L4848" s="3">
        <v>549764</v>
      </c>
      <c r="M4848" s="3">
        <v>4000</v>
      </c>
      <c r="N4848">
        <v>0</v>
      </c>
      <c r="O4848">
        <v>0</v>
      </c>
      <c r="P4848">
        <v>553764</v>
      </c>
      <c r="Q4848" t="s">
        <v>30</v>
      </c>
      <c r="R4848" t="s">
        <v>59</v>
      </c>
      <c r="S4848" t="str">
        <v>#N/A</v>
      </c>
      <c r="T4848" t="str">
        <v>13</v>
      </c>
    </row>
    <row r="4849" spans="1:20" ht="13.7" customHeight="1" x14ac:dyDescent="0.25">
      <c r="A4849" t="s">
        <v>26</v>
      </c>
      <c r="B4849" t="s">
        <v>27</v>
      </c>
      <c r="C4849" t="s">
        <v>41</v>
      </c>
      <c r="D4849">
        <v>35</v>
      </c>
      <c r="E4849" s="5">
        <v>43784</v>
      </c>
      <c r="F4849">
        <v>73952501</v>
      </c>
      <c r="G4849" t="s">
        <v>1091</v>
      </c>
      <c r="H4849" t="s">
        <v>1197</v>
      </c>
      <c r="I4849" t="s">
        <v>1198</v>
      </c>
      <c r="J4849">
        <v>1001</v>
      </c>
      <c r="K4849">
        <v>5016</v>
      </c>
      <c r="L4849" s="3">
        <v>553764</v>
      </c>
      <c r="M4849" s="3">
        <v>4000</v>
      </c>
      <c r="N4849">
        <v>0</v>
      </c>
      <c r="O4849">
        <v>0</v>
      </c>
      <c r="P4849">
        <v>557764</v>
      </c>
      <c r="Q4849" t="s">
        <v>30</v>
      </c>
      <c r="R4849" t="s">
        <v>59</v>
      </c>
      <c r="S4849" t="str">
        <v>#N/A</v>
      </c>
      <c r="T4849" t="str">
        <v>13</v>
      </c>
    </row>
    <row r="4850" spans="1:20" ht="13.7" customHeight="1" x14ac:dyDescent="0.25">
      <c r="A4850" t="s">
        <v>26</v>
      </c>
      <c r="B4850" t="s">
        <v>27</v>
      </c>
      <c r="C4850" t="s">
        <v>41</v>
      </c>
      <c r="D4850">
        <v>67</v>
      </c>
      <c r="E4850" s="5">
        <v>43795</v>
      </c>
      <c r="F4850">
        <v>73952501</v>
      </c>
      <c r="G4850" t="s">
        <v>1091</v>
      </c>
      <c r="H4850" t="s">
        <v>1197</v>
      </c>
      <c r="I4850" t="s">
        <v>1198</v>
      </c>
      <c r="J4850">
        <v>1001</v>
      </c>
      <c r="K4850">
        <v>5016</v>
      </c>
      <c r="L4850" s="3">
        <v>557764</v>
      </c>
      <c r="M4850" s="3">
        <v>4000</v>
      </c>
      <c r="N4850">
        <v>0</v>
      </c>
      <c r="O4850">
        <v>0</v>
      </c>
      <c r="P4850">
        <v>561764</v>
      </c>
      <c r="Q4850" t="s">
        <v>30</v>
      </c>
      <c r="R4850" t="s">
        <v>59</v>
      </c>
      <c r="S4850" t="str">
        <v>#N/A</v>
      </c>
      <c r="T4850" t="str">
        <v>13</v>
      </c>
    </row>
    <row r="4851" spans="1:20" ht="13.7" customHeight="1" x14ac:dyDescent="0.25">
      <c r="A4851" t="s">
        <v>26</v>
      </c>
      <c r="B4851" t="s">
        <v>27</v>
      </c>
      <c r="C4851" t="s">
        <v>180</v>
      </c>
      <c r="D4851">
        <v>3</v>
      </c>
      <c r="E4851" s="5">
        <v>43801</v>
      </c>
      <c r="F4851">
        <v>73952501</v>
      </c>
      <c r="G4851" t="s">
        <v>1091</v>
      </c>
      <c r="H4851" t="s">
        <v>1197</v>
      </c>
      <c r="I4851" t="s">
        <v>1198</v>
      </c>
      <c r="J4851">
        <v>1001</v>
      </c>
      <c r="K4851">
        <v>5016</v>
      </c>
      <c r="L4851" s="3">
        <v>561764</v>
      </c>
      <c r="M4851" s="3">
        <v>4000</v>
      </c>
      <c r="N4851">
        <v>0</v>
      </c>
      <c r="O4851">
        <v>0</v>
      </c>
      <c r="P4851">
        <v>565764</v>
      </c>
      <c r="Q4851" t="s">
        <v>30</v>
      </c>
      <c r="R4851" t="s">
        <v>59</v>
      </c>
      <c r="S4851" t="str">
        <v>#N/A</v>
      </c>
      <c r="T4851" t="str">
        <v>13</v>
      </c>
    </row>
    <row r="4852" spans="1:20" ht="13.7" customHeight="1" x14ac:dyDescent="0.25">
      <c r="A4852" t="s">
        <v>26</v>
      </c>
      <c r="B4852" t="s">
        <v>27</v>
      </c>
      <c r="C4852" t="s">
        <v>180</v>
      </c>
      <c r="D4852">
        <v>11</v>
      </c>
      <c r="E4852" s="5">
        <v>43811</v>
      </c>
      <c r="F4852">
        <v>73952501</v>
      </c>
      <c r="G4852" t="s">
        <v>1091</v>
      </c>
      <c r="H4852" t="s">
        <v>1197</v>
      </c>
      <c r="I4852" t="s">
        <v>1198</v>
      </c>
      <c r="J4852">
        <v>1001</v>
      </c>
      <c r="K4852">
        <v>5016</v>
      </c>
      <c r="L4852" s="3">
        <v>565764</v>
      </c>
      <c r="M4852" s="3">
        <v>5000</v>
      </c>
      <c r="N4852">
        <v>0</v>
      </c>
      <c r="O4852">
        <v>0</v>
      </c>
      <c r="P4852">
        <v>570764</v>
      </c>
      <c r="Q4852" t="s">
        <v>30</v>
      </c>
      <c r="R4852" t="s">
        <v>59</v>
      </c>
      <c r="S4852" t="str">
        <v>#N/A</v>
      </c>
      <c r="T4852" t="str">
        <v>13</v>
      </c>
    </row>
    <row r="4853" spans="1:20" ht="13.7" customHeight="1" x14ac:dyDescent="0.25">
      <c r="A4853" t="s">
        <v>26</v>
      </c>
      <c r="B4853" t="s">
        <v>27</v>
      </c>
      <c r="C4853" t="s">
        <v>180</v>
      </c>
      <c r="D4853">
        <v>39</v>
      </c>
      <c r="E4853" s="5">
        <v>43815</v>
      </c>
      <c r="F4853">
        <v>73952501</v>
      </c>
      <c r="G4853" t="s">
        <v>1091</v>
      </c>
      <c r="H4853" t="s">
        <v>1197</v>
      </c>
      <c r="I4853" t="s">
        <v>1198</v>
      </c>
      <c r="J4853">
        <v>1001</v>
      </c>
      <c r="K4853">
        <v>5016</v>
      </c>
      <c r="L4853" s="3">
        <v>570764</v>
      </c>
      <c r="M4853" s="3">
        <v>4000</v>
      </c>
      <c r="N4853">
        <v>0</v>
      </c>
      <c r="O4853">
        <v>0</v>
      </c>
      <c r="P4853">
        <v>574764</v>
      </c>
      <c r="Q4853" t="s">
        <v>30</v>
      </c>
      <c r="R4853" t="s">
        <v>59</v>
      </c>
      <c r="S4853" t="str">
        <v>#N/A</v>
      </c>
      <c r="T4853" t="str">
        <v>13</v>
      </c>
    </row>
    <row r="4854" spans="1:20" ht="13.7" customHeight="1" x14ac:dyDescent="0.25">
      <c r="A4854" t="s">
        <v>26</v>
      </c>
      <c r="B4854" t="s">
        <v>27</v>
      </c>
      <c r="C4854" t="s">
        <v>180</v>
      </c>
      <c r="D4854">
        <v>51</v>
      </c>
      <c r="E4854" s="5">
        <v>43817</v>
      </c>
      <c r="F4854">
        <v>73952501</v>
      </c>
      <c r="G4854" t="s">
        <v>1091</v>
      </c>
      <c r="H4854" t="s">
        <v>1197</v>
      </c>
      <c r="I4854" t="s">
        <v>1198</v>
      </c>
      <c r="J4854">
        <v>1001</v>
      </c>
      <c r="K4854">
        <v>5016</v>
      </c>
      <c r="L4854" s="3">
        <v>574764</v>
      </c>
      <c r="M4854" s="3">
        <v>5400</v>
      </c>
      <c r="N4854">
        <v>0</v>
      </c>
      <c r="O4854">
        <v>0</v>
      </c>
      <c r="P4854">
        <v>580164</v>
      </c>
      <c r="Q4854" t="s">
        <v>30</v>
      </c>
      <c r="R4854" t="s">
        <v>59</v>
      </c>
      <c r="S4854" t="str">
        <v>#N/A</v>
      </c>
      <c r="T4854" t="str">
        <v>13</v>
      </c>
    </row>
    <row r="4855" spans="1:20" ht="13.7" customHeight="1" x14ac:dyDescent="0.25">
      <c r="E4855" s="5">
        <v>43465</v>
      </c>
      <c r="F4855">
        <v>73952501</v>
      </c>
      <c r="G4855" t="s">
        <v>1091</v>
      </c>
      <c r="H4855" t="s">
        <v>1215</v>
      </c>
      <c r="I4855" t="s">
        <v>1216</v>
      </c>
      <c r="J4855">
        <v>0</v>
      </c>
      <c r="K4855">
        <v>0</v>
      </c>
      <c r="L4855" s="3">
        <v>0</v>
      </c>
      <c r="M4855" s="3">
        <v>0</v>
      </c>
      <c r="N4855">
        <v>0</v>
      </c>
      <c r="O4855">
        <v>0</v>
      </c>
      <c r="P4855">
        <v>0</v>
      </c>
      <c r="R4855" t="s">
        <v>1100</v>
      </c>
      <c r="S4855" t="str">
        <v>#N/A</v>
      </c>
      <c r="T4855" t="str">
        <v>#N/A</v>
      </c>
    </row>
    <row r="4856" spans="1:20" ht="13.7" customHeight="1" x14ac:dyDescent="0.25">
      <c r="A4856" t="s">
        <v>26</v>
      </c>
      <c r="B4856" t="s">
        <v>27</v>
      </c>
      <c r="C4856" t="s">
        <v>37</v>
      </c>
      <c r="D4856">
        <v>19</v>
      </c>
      <c r="E4856" s="5">
        <v>43652</v>
      </c>
      <c r="F4856">
        <v>73952501</v>
      </c>
      <c r="G4856" t="s">
        <v>1091</v>
      </c>
      <c r="H4856" t="s">
        <v>1215</v>
      </c>
      <c r="I4856" t="s">
        <v>1216</v>
      </c>
      <c r="J4856">
        <v>1001</v>
      </c>
      <c r="K4856">
        <v>5016</v>
      </c>
      <c r="L4856" s="3">
        <v>0</v>
      </c>
      <c r="M4856" s="3">
        <v>5733</v>
      </c>
      <c r="N4856">
        <v>0</v>
      </c>
      <c r="O4856">
        <v>0</v>
      </c>
      <c r="P4856">
        <v>5733</v>
      </c>
      <c r="Q4856" t="s">
        <v>30</v>
      </c>
      <c r="R4856" t="s">
        <v>59</v>
      </c>
      <c r="S4856" t="str">
        <v>#N/A</v>
      </c>
      <c r="T4856" t="str">
        <v>#N/A</v>
      </c>
    </row>
    <row r="4857" spans="1:20" ht="13.7" customHeight="1" x14ac:dyDescent="0.25">
      <c r="A4857" t="s">
        <v>26</v>
      </c>
      <c r="B4857" t="s">
        <v>27</v>
      </c>
      <c r="C4857" t="s">
        <v>37</v>
      </c>
      <c r="D4857">
        <v>20</v>
      </c>
      <c r="E4857" s="5">
        <v>43652</v>
      </c>
      <c r="F4857">
        <v>73952501</v>
      </c>
      <c r="G4857" t="s">
        <v>1091</v>
      </c>
      <c r="H4857" t="s">
        <v>1215</v>
      </c>
      <c r="I4857" t="s">
        <v>1216</v>
      </c>
      <c r="J4857">
        <v>1001</v>
      </c>
      <c r="K4857">
        <v>5016</v>
      </c>
      <c r="L4857" s="3">
        <v>5733</v>
      </c>
      <c r="M4857" s="3">
        <v>1933</v>
      </c>
      <c r="N4857">
        <v>0</v>
      </c>
      <c r="O4857">
        <v>0</v>
      </c>
      <c r="P4857">
        <v>7666</v>
      </c>
      <c r="Q4857" t="s">
        <v>30</v>
      </c>
      <c r="R4857" t="s">
        <v>59</v>
      </c>
      <c r="S4857" t="str">
        <v>#N/A</v>
      </c>
      <c r="T4857" t="str">
        <v>#N/A</v>
      </c>
    </row>
    <row r="4858" spans="1:20" ht="13.7" customHeight="1" x14ac:dyDescent="0.25">
      <c r="E4858" s="5">
        <v>43465</v>
      </c>
      <c r="F4858">
        <v>73952501</v>
      </c>
      <c r="G4858" t="s">
        <v>1091</v>
      </c>
      <c r="H4858" t="s">
        <v>1317</v>
      </c>
      <c r="I4858" t="s">
        <v>1318</v>
      </c>
      <c r="J4858">
        <v>0</v>
      </c>
      <c r="K4858">
        <v>0</v>
      </c>
      <c r="L4858" s="3">
        <v>296000</v>
      </c>
      <c r="M4858" s="3">
        <v>0</v>
      </c>
      <c r="N4858">
        <v>0</v>
      </c>
      <c r="O4858">
        <v>0</v>
      </c>
      <c r="P4858">
        <v>296000</v>
      </c>
      <c r="R4858" t="s">
        <v>1100</v>
      </c>
      <c r="S4858" t="str">
        <v>#N/A</v>
      </c>
      <c r="T4858" t="str">
        <v>13</v>
      </c>
    </row>
    <row r="4859" spans="1:20" ht="13.7" customHeight="1" x14ac:dyDescent="0.25">
      <c r="E4859" s="5">
        <v>43465</v>
      </c>
      <c r="F4859">
        <v>73952501</v>
      </c>
      <c r="G4859" t="s">
        <v>1091</v>
      </c>
      <c r="H4859" t="s">
        <v>1307</v>
      </c>
      <c r="I4859" t="s">
        <v>1308</v>
      </c>
      <c r="J4859">
        <v>0</v>
      </c>
      <c r="K4859">
        <v>0</v>
      </c>
      <c r="L4859" s="3">
        <v>0</v>
      </c>
      <c r="M4859" s="3">
        <v>0</v>
      </c>
      <c r="N4859">
        <v>0</v>
      </c>
      <c r="O4859">
        <v>0</v>
      </c>
      <c r="P4859">
        <v>0</v>
      </c>
      <c r="R4859" t="s">
        <v>1100</v>
      </c>
      <c r="S4859" t="str">
        <v>#N/A</v>
      </c>
      <c r="T4859" t="str">
        <v>#N/A</v>
      </c>
    </row>
    <row r="4860" spans="1:20" ht="13.7" customHeight="1" x14ac:dyDescent="0.25">
      <c r="A4860" t="s">
        <v>26</v>
      </c>
      <c r="B4860" t="s">
        <v>27</v>
      </c>
      <c r="C4860" t="s">
        <v>37</v>
      </c>
      <c r="D4860">
        <v>60</v>
      </c>
      <c r="E4860" s="5">
        <v>43674</v>
      </c>
      <c r="F4860">
        <v>73952501</v>
      </c>
      <c r="G4860" t="s">
        <v>1091</v>
      </c>
      <c r="H4860" t="s">
        <v>1307</v>
      </c>
      <c r="I4860" t="s">
        <v>1308</v>
      </c>
      <c r="J4860">
        <v>1001</v>
      </c>
      <c r="K4860">
        <v>5016</v>
      </c>
      <c r="L4860" s="3">
        <v>0</v>
      </c>
      <c r="M4860" s="3">
        <v>31900</v>
      </c>
      <c r="N4860">
        <v>0</v>
      </c>
      <c r="O4860">
        <v>0</v>
      </c>
      <c r="P4860">
        <v>31900</v>
      </c>
      <c r="Q4860" t="s">
        <v>30</v>
      </c>
      <c r="R4860" t="s">
        <v>70</v>
      </c>
      <c r="S4860" t="str">
        <v>#N/A</v>
      </c>
      <c r="T4860" t="str">
        <v>#N/A</v>
      </c>
    </row>
    <row r="4861" spans="1:20" ht="13.7" customHeight="1" x14ac:dyDescent="0.25">
      <c r="E4861" s="5">
        <v>43465</v>
      </c>
      <c r="F4861">
        <v>73952501</v>
      </c>
      <c r="G4861" t="s">
        <v>1091</v>
      </c>
      <c r="H4861" t="s">
        <v>1459</v>
      </c>
      <c r="I4861" t="s">
        <v>1460</v>
      </c>
      <c r="J4861">
        <v>0</v>
      </c>
      <c r="K4861">
        <v>0</v>
      </c>
      <c r="L4861" s="3">
        <v>121800</v>
      </c>
      <c r="M4861" s="3">
        <v>0</v>
      </c>
      <c r="N4861">
        <v>0</v>
      </c>
      <c r="O4861">
        <v>0</v>
      </c>
      <c r="P4861">
        <v>121800</v>
      </c>
      <c r="R4861" t="s">
        <v>1100</v>
      </c>
      <c r="S4861" t="str">
        <v>#N/A</v>
      </c>
      <c r="T4861" t="str">
        <v>#N/A</v>
      </c>
    </row>
    <row r="4862" spans="1:20" ht="13.7" customHeight="1" x14ac:dyDescent="0.25">
      <c r="A4862" t="s">
        <v>26</v>
      </c>
      <c r="B4862" t="s">
        <v>27</v>
      </c>
      <c r="C4862" t="s">
        <v>28</v>
      </c>
      <c r="D4862">
        <v>50</v>
      </c>
      <c r="E4862" s="5">
        <v>43484</v>
      </c>
      <c r="F4862">
        <v>73952501</v>
      </c>
      <c r="G4862" t="s">
        <v>1091</v>
      </c>
      <c r="H4862" t="s">
        <v>1459</v>
      </c>
      <c r="I4862" t="s">
        <v>1460</v>
      </c>
      <c r="J4862">
        <v>1001</v>
      </c>
      <c r="K4862">
        <v>5016</v>
      </c>
      <c r="L4862" s="3">
        <v>121800</v>
      </c>
      <c r="M4862" s="3">
        <v>19800</v>
      </c>
      <c r="N4862">
        <v>0</v>
      </c>
      <c r="O4862">
        <v>0</v>
      </c>
      <c r="P4862">
        <v>141600</v>
      </c>
      <c r="Q4862" t="s">
        <v>30</v>
      </c>
      <c r="R4862" t="s">
        <v>47</v>
      </c>
      <c r="S4862" t="str">
        <v>#N/A</v>
      </c>
      <c r="T4862" t="str">
        <v>#N/A</v>
      </c>
    </row>
    <row r="4863" spans="1:20" ht="13.7" customHeight="1" x14ac:dyDescent="0.25">
      <c r="A4863" t="s">
        <v>26</v>
      </c>
      <c r="B4863" t="s">
        <v>27</v>
      </c>
      <c r="C4863" t="s">
        <v>32</v>
      </c>
      <c r="D4863">
        <v>12</v>
      </c>
      <c r="E4863" s="5">
        <v>43502</v>
      </c>
      <c r="F4863">
        <v>73952501</v>
      </c>
      <c r="G4863" t="s">
        <v>1091</v>
      </c>
      <c r="H4863" t="s">
        <v>1459</v>
      </c>
      <c r="I4863" t="s">
        <v>1460</v>
      </c>
      <c r="J4863">
        <v>1001</v>
      </c>
      <c r="K4863">
        <v>5016</v>
      </c>
      <c r="L4863" s="3">
        <v>141600</v>
      </c>
      <c r="M4863" s="3">
        <v>19100</v>
      </c>
      <c r="N4863">
        <v>0</v>
      </c>
      <c r="O4863">
        <v>0</v>
      </c>
      <c r="P4863">
        <v>160700</v>
      </c>
      <c r="Q4863" t="s">
        <v>30</v>
      </c>
      <c r="R4863" t="s">
        <v>47</v>
      </c>
      <c r="S4863" t="str">
        <v>#N/A</v>
      </c>
      <c r="T4863" t="str">
        <v>#N/A</v>
      </c>
    </row>
    <row r="4864" spans="1:20" ht="13.7" customHeight="1" x14ac:dyDescent="0.25">
      <c r="A4864" t="s">
        <v>26</v>
      </c>
      <c r="B4864" t="s">
        <v>27</v>
      </c>
      <c r="C4864" t="s">
        <v>32</v>
      </c>
      <c r="D4864">
        <v>32</v>
      </c>
      <c r="E4864" s="5">
        <v>43511</v>
      </c>
      <c r="F4864">
        <v>73952501</v>
      </c>
      <c r="G4864" t="s">
        <v>1091</v>
      </c>
      <c r="H4864" t="s">
        <v>1459</v>
      </c>
      <c r="I4864" t="s">
        <v>1460</v>
      </c>
      <c r="J4864">
        <v>1001</v>
      </c>
      <c r="K4864">
        <v>5016</v>
      </c>
      <c r="L4864" s="3">
        <v>160700</v>
      </c>
      <c r="M4864" s="3">
        <v>22500</v>
      </c>
      <c r="N4864">
        <v>0</v>
      </c>
      <c r="O4864">
        <v>0</v>
      </c>
      <c r="P4864">
        <v>183200</v>
      </c>
      <c r="Q4864" t="s">
        <v>30</v>
      </c>
      <c r="R4864" t="s">
        <v>47</v>
      </c>
      <c r="S4864" t="str">
        <v>#N/A</v>
      </c>
      <c r="T4864" t="str">
        <v>#N/A</v>
      </c>
    </row>
    <row r="4865" spans="1:20" ht="13.7" customHeight="1" x14ac:dyDescent="0.25">
      <c r="A4865" t="s">
        <v>26</v>
      </c>
      <c r="B4865" t="s">
        <v>27</v>
      </c>
      <c r="C4865" t="s">
        <v>32</v>
      </c>
      <c r="D4865">
        <v>55</v>
      </c>
      <c r="E4865" s="5">
        <v>43524</v>
      </c>
      <c r="F4865">
        <v>73952501</v>
      </c>
      <c r="G4865" t="s">
        <v>1091</v>
      </c>
      <c r="H4865" t="s">
        <v>1459</v>
      </c>
      <c r="I4865" t="s">
        <v>1460</v>
      </c>
      <c r="J4865">
        <v>1001</v>
      </c>
      <c r="K4865">
        <v>5016</v>
      </c>
      <c r="L4865" s="3">
        <v>183200</v>
      </c>
      <c r="M4865" s="3">
        <v>17500</v>
      </c>
      <c r="N4865">
        <v>0</v>
      </c>
      <c r="O4865">
        <v>0</v>
      </c>
      <c r="P4865">
        <v>200700</v>
      </c>
      <c r="Q4865" t="s">
        <v>30</v>
      </c>
      <c r="R4865" t="s">
        <v>47</v>
      </c>
      <c r="S4865" t="str">
        <v>#N/A</v>
      </c>
      <c r="T4865" t="str">
        <v>#N/A</v>
      </c>
    </row>
    <row r="4866" spans="1:20" ht="13.7" customHeight="1" x14ac:dyDescent="0.25">
      <c r="A4866" t="s">
        <v>26</v>
      </c>
      <c r="B4866" t="s">
        <v>27</v>
      </c>
      <c r="C4866" t="s">
        <v>91</v>
      </c>
      <c r="D4866">
        <v>77</v>
      </c>
      <c r="E4866" s="5">
        <v>43552</v>
      </c>
      <c r="F4866">
        <v>73952501</v>
      </c>
      <c r="G4866" t="s">
        <v>1091</v>
      </c>
      <c r="H4866" t="s">
        <v>1459</v>
      </c>
      <c r="I4866" t="s">
        <v>1460</v>
      </c>
      <c r="J4866">
        <v>1001</v>
      </c>
      <c r="K4866">
        <v>5016</v>
      </c>
      <c r="L4866" s="3">
        <v>200700</v>
      </c>
      <c r="M4866" s="3">
        <v>21500</v>
      </c>
      <c r="N4866">
        <v>0</v>
      </c>
      <c r="O4866">
        <v>0</v>
      </c>
      <c r="P4866">
        <v>222200</v>
      </c>
      <c r="Q4866" t="s">
        <v>30</v>
      </c>
      <c r="R4866" t="s">
        <v>47</v>
      </c>
      <c r="S4866" t="str">
        <v>#N/A</v>
      </c>
      <c r="T4866" t="str">
        <v>#N/A</v>
      </c>
    </row>
    <row r="4867" spans="1:20" ht="13.7" customHeight="1" x14ac:dyDescent="0.25">
      <c r="A4867" t="s">
        <v>26</v>
      </c>
      <c r="B4867" t="s">
        <v>27</v>
      </c>
      <c r="C4867" t="s">
        <v>34</v>
      </c>
      <c r="D4867">
        <v>11</v>
      </c>
      <c r="E4867" s="5">
        <v>43560</v>
      </c>
      <c r="F4867">
        <v>73952501</v>
      </c>
      <c r="G4867" t="s">
        <v>1091</v>
      </c>
      <c r="H4867" t="s">
        <v>1459</v>
      </c>
      <c r="I4867" t="s">
        <v>1460</v>
      </c>
      <c r="J4867">
        <v>1001</v>
      </c>
      <c r="K4867">
        <v>5016</v>
      </c>
      <c r="L4867" s="3">
        <v>222200</v>
      </c>
      <c r="M4867" s="3">
        <v>12500</v>
      </c>
      <c r="N4867">
        <v>0</v>
      </c>
      <c r="O4867">
        <v>0</v>
      </c>
      <c r="P4867">
        <v>234700</v>
      </c>
      <c r="Q4867" t="s">
        <v>30</v>
      </c>
      <c r="R4867" t="s">
        <v>47</v>
      </c>
      <c r="S4867" t="str">
        <v>#N/A</v>
      </c>
      <c r="T4867" t="str">
        <v>#N/A</v>
      </c>
    </row>
    <row r="4868" spans="1:20" ht="13.7" customHeight="1" x14ac:dyDescent="0.25">
      <c r="A4868" t="s">
        <v>26</v>
      </c>
      <c r="B4868" t="s">
        <v>27</v>
      </c>
      <c r="C4868" t="s">
        <v>34</v>
      </c>
      <c r="D4868">
        <v>40</v>
      </c>
      <c r="E4868" s="5">
        <v>43571</v>
      </c>
      <c r="F4868">
        <v>73952501</v>
      </c>
      <c r="G4868" t="s">
        <v>1091</v>
      </c>
      <c r="H4868" t="s">
        <v>1459</v>
      </c>
      <c r="I4868" t="s">
        <v>1460</v>
      </c>
      <c r="J4868">
        <v>1001</v>
      </c>
      <c r="K4868">
        <v>5016</v>
      </c>
      <c r="L4868" s="3">
        <v>234700</v>
      </c>
      <c r="M4868" s="3">
        <v>38500</v>
      </c>
      <c r="N4868">
        <v>0</v>
      </c>
      <c r="O4868">
        <v>0</v>
      </c>
      <c r="P4868">
        <v>273200</v>
      </c>
      <c r="Q4868" t="s">
        <v>30</v>
      </c>
      <c r="R4868" t="s">
        <v>47</v>
      </c>
      <c r="S4868" t="str">
        <v>#N/A</v>
      </c>
      <c r="T4868" t="str">
        <v>#N/A</v>
      </c>
    </row>
    <row r="4869" spans="1:20" ht="13.7" customHeight="1" x14ac:dyDescent="0.25">
      <c r="A4869" t="s">
        <v>26</v>
      </c>
      <c r="B4869" t="s">
        <v>27</v>
      </c>
      <c r="C4869" t="s">
        <v>35</v>
      </c>
      <c r="D4869">
        <v>47</v>
      </c>
      <c r="E4869" s="5">
        <v>43599</v>
      </c>
      <c r="F4869">
        <v>73952501</v>
      </c>
      <c r="G4869" t="s">
        <v>1091</v>
      </c>
      <c r="H4869" t="s">
        <v>1459</v>
      </c>
      <c r="I4869" t="s">
        <v>1460</v>
      </c>
      <c r="J4869">
        <v>1001</v>
      </c>
      <c r="K4869">
        <v>5016</v>
      </c>
      <c r="L4869" s="3">
        <v>273200</v>
      </c>
      <c r="M4869" s="3">
        <v>22500</v>
      </c>
      <c r="N4869">
        <v>0</v>
      </c>
      <c r="O4869">
        <v>0</v>
      </c>
      <c r="P4869">
        <v>295700</v>
      </c>
      <c r="Q4869" t="s">
        <v>30</v>
      </c>
      <c r="R4869" t="s">
        <v>47</v>
      </c>
      <c r="S4869" t="str">
        <v>#N/A</v>
      </c>
      <c r="T4869" t="str">
        <v>#N/A</v>
      </c>
    </row>
    <row r="4870" spans="1:20" ht="13.7" customHeight="1" x14ac:dyDescent="0.25">
      <c r="A4870" t="s">
        <v>26</v>
      </c>
      <c r="B4870" t="s">
        <v>27</v>
      </c>
      <c r="C4870" t="s">
        <v>36</v>
      </c>
      <c r="D4870">
        <v>16</v>
      </c>
      <c r="E4870" s="5">
        <v>43622</v>
      </c>
      <c r="F4870">
        <v>73952501</v>
      </c>
      <c r="G4870" t="s">
        <v>1091</v>
      </c>
      <c r="H4870" t="s">
        <v>1459</v>
      </c>
      <c r="I4870" t="s">
        <v>1460</v>
      </c>
      <c r="J4870">
        <v>1001</v>
      </c>
      <c r="K4870">
        <v>5016</v>
      </c>
      <c r="L4870" s="3">
        <v>295700</v>
      </c>
      <c r="M4870" s="3">
        <v>40000</v>
      </c>
      <c r="N4870">
        <v>0</v>
      </c>
      <c r="O4870">
        <v>0</v>
      </c>
      <c r="P4870">
        <v>335700</v>
      </c>
      <c r="Q4870" t="s">
        <v>30</v>
      </c>
      <c r="R4870" t="s">
        <v>47</v>
      </c>
      <c r="S4870" t="str">
        <v>#N/A</v>
      </c>
      <c r="T4870" t="str">
        <v>#N/A</v>
      </c>
    </row>
    <row r="4871" spans="1:20" ht="13.7" customHeight="1" x14ac:dyDescent="0.25">
      <c r="A4871" t="s">
        <v>26</v>
      </c>
      <c r="B4871" t="s">
        <v>27</v>
      </c>
      <c r="C4871" t="s">
        <v>37</v>
      </c>
      <c r="D4871">
        <v>3</v>
      </c>
      <c r="E4871" s="5">
        <v>43648</v>
      </c>
      <c r="F4871">
        <v>73952501</v>
      </c>
      <c r="G4871" t="s">
        <v>1091</v>
      </c>
      <c r="H4871" t="s">
        <v>1459</v>
      </c>
      <c r="I4871" t="s">
        <v>1460</v>
      </c>
      <c r="J4871">
        <v>1001</v>
      </c>
      <c r="K4871">
        <v>5016</v>
      </c>
      <c r="L4871" s="3">
        <v>335700</v>
      </c>
      <c r="M4871" s="3">
        <v>12500</v>
      </c>
      <c r="N4871">
        <v>0</v>
      </c>
      <c r="O4871">
        <v>0</v>
      </c>
      <c r="P4871">
        <v>348200</v>
      </c>
      <c r="Q4871" t="s">
        <v>30</v>
      </c>
      <c r="R4871" t="s">
        <v>47</v>
      </c>
      <c r="S4871" t="str">
        <v>#N/A</v>
      </c>
      <c r="T4871" t="str">
        <v>#N/A</v>
      </c>
    </row>
    <row r="4872" spans="1:20" ht="13.7" customHeight="1" x14ac:dyDescent="0.25">
      <c r="A4872" t="s">
        <v>26</v>
      </c>
      <c r="B4872" t="s">
        <v>27</v>
      </c>
      <c r="C4872" t="s">
        <v>37</v>
      </c>
      <c r="D4872">
        <v>63</v>
      </c>
      <c r="E4872" s="5">
        <v>43676</v>
      </c>
      <c r="F4872">
        <v>73952501</v>
      </c>
      <c r="G4872" t="s">
        <v>1091</v>
      </c>
      <c r="H4872" t="s">
        <v>1459</v>
      </c>
      <c r="I4872" t="s">
        <v>1460</v>
      </c>
      <c r="J4872">
        <v>1001</v>
      </c>
      <c r="K4872">
        <v>5016</v>
      </c>
      <c r="L4872" s="3">
        <v>348200</v>
      </c>
      <c r="M4872" s="3">
        <v>12500</v>
      </c>
      <c r="N4872">
        <v>0</v>
      </c>
      <c r="O4872">
        <v>0</v>
      </c>
      <c r="P4872">
        <v>360700</v>
      </c>
      <c r="Q4872" t="s">
        <v>30</v>
      </c>
      <c r="R4872" t="s">
        <v>47</v>
      </c>
      <c r="S4872" t="str">
        <v>#N/A</v>
      </c>
      <c r="T4872" t="str">
        <v>#N/A</v>
      </c>
    </row>
    <row r="4873" spans="1:20" ht="13.7" customHeight="1" x14ac:dyDescent="0.25">
      <c r="A4873" t="s">
        <v>26</v>
      </c>
      <c r="B4873" t="s">
        <v>27</v>
      </c>
      <c r="C4873" t="s">
        <v>38</v>
      </c>
      <c r="D4873">
        <v>8</v>
      </c>
      <c r="E4873" s="5">
        <v>43683</v>
      </c>
      <c r="F4873">
        <v>73952501</v>
      </c>
      <c r="G4873" t="s">
        <v>1091</v>
      </c>
      <c r="H4873" t="s">
        <v>1459</v>
      </c>
      <c r="I4873" t="s">
        <v>1460</v>
      </c>
      <c r="J4873">
        <v>1001</v>
      </c>
      <c r="K4873">
        <v>5016</v>
      </c>
      <c r="L4873" s="3">
        <v>360700</v>
      </c>
      <c r="M4873" s="3">
        <v>12500</v>
      </c>
      <c r="N4873">
        <v>0</v>
      </c>
      <c r="O4873">
        <v>0</v>
      </c>
      <c r="P4873">
        <v>373200</v>
      </c>
      <c r="Q4873" t="s">
        <v>30</v>
      </c>
      <c r="R4873" t="s">
        <v>70</v>
      </c>
      <c r="S4873" t="str">
        <v>#N/A</v>
      </c>
      <c r="T4873" t="str">
        <v>#N/A</v>
      </c>
    </row>
    <row r="4874" spans="1:20" ht="13.7" customHeight="1" x14ac:dyDescent="0.25">
      <c r="A4874" t="s">
        <v>26</v>
      </c>
      <c r="B4874" t="s">
        <v>27</v>
      </c>
      <c r="C4874" t="s">
        <v>38</v>
      </c>
      <c r="D4874">
        <v>24</v>
      </c>
      <c r="E4874" s="5">
        <v>43692</v>
      </c>
      <c r="F4874">
        <v>73952501</v>
      </c>
      <c r="G4874" t="s">
        <v>1091</v>
      </c>
      <c r="H4874" t="s">
        <v>1459</v>
      </c>
      <c r="I4874" t="s">
        <v>1460</v>
      </c>
      <c r="J4874">
        <v>1001</v>
      </c>
      <c r="K4874">
        <v>5016</v>
      </c>
      <c r="L4874" s="3">
        <v>373200</v>
      </c>
      <c r="M4874" s="3">
        <v>25000</v>
      </c>
      <c r="N4874">
        <v>0</v>
      </c>
      <c r="O4874">
        <v>0</v>
      </c>
      <c r="P4874">
        <v>398200</v>
      </c>
      <c r="Q4874" t="s">
        <v>30</v>
      </c>
      <c r="R4874" t="s">
        <v>47</v>
      </c>
      <c r="S4874" t="str">
        <v>#N/A</v>
      </c>
      <c r="T4874" t="str">
        <v>#N/A</v>
      </c>
    </row>
    <row r="4875" spans="1:20" ht="13.7" customHeight="1" x14ac:dyDescent="0.25">
      <c r="A4875" t="s">
        <v>26</v>
      </c>
      <c r="B4875" t="s">
        <v>27</v>
      </c>
      <c r="C4875" t="s">
        <v>38</v>
      </c>
      <c r="D4875">
        <v>46</v>
      </c>
      <c r="E4875" s="5">
        <v>43704</v>
      </c>
      <c r="F4875">
        <v>73952501</v>
      </c>
      <c r="G4875" t="s">
        <v>1091</v>
      </c>
      <c r="H4875" t="s">
        <v>1459</v>
      </c>
      <c r="I4875" t="s">
        <v>1460</v>
      </c>
      <c r="J4875">
        <v>1001</v>
      </c>
      <c r="K4875">
        <v>5016</v>
      </c>
      <c r="L4875" s="3">
        <v>398200</v>
      </c>
      <c r="M4875" s="3">
        <v>12500</v>
      </c>
      <c r="N4875">
        <v>0</v>
      </c>
      <c r="O4875">
        <v>0</v>
      </c>
      <c r="P4875">
        <v>410700</v>
      </c>
      <c r="Q4875" t="s">
        <v>30</v>
      </c>
      <c r="R4875" t="s">
        <v>47</v>
      </c>
      <c r="S4875" t="str">
        <v>#N/A</v>
      </c>
      <c r="T4875" t="str">
        <v>#N/A</v>
      </c>
    </row>
    <row r="4876" spans="1:20" ht="13.7" customHeight="1" x14ac:dyDescent="0.25">
      <c r="A4876" t="s">
        <v>26</v>
      </c>
      <c r="B4876" t="s">
        <v>27</v>
      </c>
      <c r="C4876" t="s">
        <v>39</v>
      </c>
      <c r="D4876">
        <v>37</v>
      </c>
      <c r="E4876" s="5">
        <v>43725</v>
      </c>
      <c r="F4876">
        <v>73952501</v>
      </c>
      <c r="G4876" t="s">
        <v>1091</v>
      </c>
      <c r="H4876" t="s">
        <v>1459</v>
      </c>
      <c r="I4876" t="s">
        <v>1460</v>
      </c>
      <c r="J4876">
        <v>1001</v>
      </c>
      <c r="K4876">
        <v>5016</v>
      </c>
      <c r="L4876" s="3">
        <v>410700</v>
      </c>
      <c r="M4876" s="3">
        <v>12500</v>
      </c>
      <c r="N4876">
        <v>0</v>
      </c>
      <c r="O4876">
        <v>0</v>
      </c>
      <c r="P4876">
        <v>423200</v>
      </c>
      <c r="Q4876" t="s">
        <v>30</v>
      </c>
      <c r="R4876" t="s">
        <v>47</v>
      </c>
      <c r="S4876" t="str">
        <v>#N/A</v>
      </c>
      <c r="T4876" t="str">
        <v>#N/A</v>
      </c>
    </row>
    <row r="4877" spans="1:20" ht="13.7" customHeight="1" x14ac:dyDescent="0.25">
      <c r="A4877" t="s">
        <v>26</v>
      </c>
      <c r="B4877" t="s">
        <v>27</v>
      </c>
      <c r="C4877" t="s">
        <v>40</v>
      </c>
      <c r="D4877">
        <v>15</v>
      </c>
      <c r="E4877" s="5">
        <v>43746</v>
      </c>
      <c r="F4877">
        <v>73952501</v>
      </c>
      <c r="G4877" t="s">
        <v>1091</v>
      </c>
      <c r="H4877" t="s">
        <v>1459</v>
      </c>
      <c r="I4877" t="s">
        <v>1460</v>
      </c>
      <c r="J4877">
        <v>1001</v>
      </c>
      <c r="K4877">
        <v>5016</v>
      </c>
      <c r="L4877" s="3">
        <v>423200</v>
      </c>
      <c r="M4877" s="3">
        <v>21000</v>
      </c>
      <c r="N4877">
        <v>0</v>
      </c>
      <c r="O4877">
        <v>0</v>
      </c>
      <c r="P4877">
        <v>444200</v>
      </c>
      <c r="Q4877" t="s">
        <v>30</v>
      </c>
      <c r="R4877" t="s">
        <v>47</v>
      </c>
      <c r="S4877" t="str">
        <v>#N/A</v>
      </c>
      <c r="T4877" t="str">
        <v>#N/A</v>
      </c>
    </row>
    <row r="4878" spans="1:20" ht="13.7" customHeight="1" x14ac:dyDescent="0.25">
      <c r="A4878" t="s">
        <v>26</v>
      </c>
      <c r="B4878" t="s">
        <v>27</v>
      </c>
      <c r="C4878" t="s">
        <v>40</v>
      </c>
      <c r="D4878">
        <v>57</v>
      </c>
      <c r="E4878" s="5">
        <v>43769</v>
      </c>
      <c r="F4878">
        <v>73952501</v>
      </c>
      <c r="G4878" t="s">
        <v>1091</v>
      </c>
      <c r="H4878" t="s">
        <v>1459</v>
      </c>
      <c r="I4878" t="s">
        <v>1460</v>
      </c>
      <c r="J4878">
        <v>1001</v>
      </c>
      <c r="K4878">
        <v>5016</v>
      </c>
      <c r="L4878" s="3">
        <v>444200</v>
      </c>
      <c r="M4878" s="3">
        <v>25550</v>
      </c>
      <c r="N4878">
        <v>0</v>
      </c>
      <c r="O4878">
        <v>0</v>
      </c>
      <c r="P4878">
        <v>469750</v>
      </c>
      <c r="Q4878" t="s">
        <v>30</v>
      </c>
      <c r="R4878" t="s">
        <v>47</v>
      </c>
      <c r="S4878" t="str">
        <v>#N/A</v>
      </c>
      <c r="T4878" t="str">
        <v>#N/A</v>
      </c>
    </row>
    <row r="4879" spans="1:20" ht="13.7" customHeight="1" x14ac:dyDescent="0.25">
      <c r="A4879" t="s">
        <v>26</v>
      </c>
      <c r="B4879" t="s">
        <v>27</v>
      </c>
      <c r="C4879" t="s">
        <v>41</v>
      </c>
      <c r="D4879">
        <v>23</v>
      </c>
      <c r="E4879" s="5">
        <v>43781</v>
      </c>
      <c r="F4879">
        <v>73952501</v>
      </c>
      <c r="G4879" t="s">
        <v>1091</v>
      </c>
      <c r="H4879" t="s">
        <v>1459</v>
      </c>
      <c r="I4879" t="s">
        <v>1460</v>
      </c>
      <c r="J4879">
        <v>1001</v>
      </c>
      <c r="K4879">
        <v>5016</v>
      </c>
      <c r="L4879" s="3">
        <v>469750</v>
      </c>
      <c r="M4879" s="3">
        <v>12500</v>
      </c>
      <c r="N4879">
        <v>0</v>
      </c>
      <c r="O4879">
        <v>0</v>
      </c>
      <c r="P4879">
        <v>482250</v>
      </c>
      <c r="Q4879" t="s">
        <v>30</v>
      </c>
      <c r="R4879" t="s">
        <v>47</v>
      </c>
      <c r="S4879" t="str">
        <v>#N/A</v>
      </c>
      <c r="T4879" t="str">
        <v>#N/A</v>
      </c>
    </row>
    <row r="4880" spans="1:20" ht="13.7" customHeight="1" x14ac:dyDescent="0.25">
      <c r="A4880" t="s">
        <v>26</v>
      </c>
      <c r="B4880" t="s">
        <v>27</v>
      </c>
      <c r="C4880" t="s">
        <v>180</v>
      </c>
      <c r="D4880">
        <v>20</v>
      </c>
      <c r="E4880" s="5">
        <v>43809</v>
      </c>
      <c r="F4880">
        <v>73952501</v>
      </c>
      <c r="G4880" t="s">
        <v>1091</v>
      </c>
      <c r="H4880" t="s">
        <v>1459</v>
      </c>
      <c r="I4880" t="s">
        <v>1460</v>
      </c>
      <c r="J4880">
        <v>1001</v>
      </c>
      <c r="K4880">
        <v>5016</v>
      </c>
      <c r="L4880" s="3">
        <v>482250</v>
      </c>
      <c r="M4880" s="3">
        <v>22500</v>
      </c>
      <c r="N4880">
        <v>0</v>
      </c>
      <c r="O4880">
        <v>0</v>
      </c>
      <c r="P4880">
        <v>504750</v>
      </c>
      <c r="Q4880" t="s">
        <v>30</v>
      </c>
      <c r="R4880" t="s">
        <v>47</v>
      </c>
      <c r="S4880" t="str">
        <v>#N/A</v>
      </c>
      <c r="T4880" t="str">
        <v>#N/A</v>
      </c>
    </row>
    <row r="4881" spans="1:20" ht="13.7" customHeight="1" x14ac:dyDescent="0.25">
      <c r="A4881" t="s">
        <v>26</v>
      </c>
      <c r="B4881" t="s">
        <v>27</v>
      </c>
      <c r="C4881" t="s">
        <v>180</v>
      </c>
      <c r="D4881">
        <v>33</v>
      </c>
      <c r="E4881" s="5">
        <v>43812</v>
      </c>
      <c r="F4881">
        <v>73952501</v>
      </c>
      <c r="G4881" t="s">
        <v>1091</v>
      </c>
      <c r="H4881" t="s">
        <v>1459</v>
      </c>
      <c r="I4881" t="s">
        <v>1460</v>
      </c>
      <c r="J4881">
        <v>1001</v>
      </c>
      <c r="K4881">
        <v>5016</v>
      </c>
      <c r="L4881" s="3">
        <v>504750</v>
      </c>
      <c r="M4881" s="3">
        <v>38500</v>
      </c>
      <c r="N4881">
        <v>0</v>
      </c>
      <c r="O4881">
        <v>0</v>
      </c>
      <c r="P4881">
        <v>543250</v>
      </c>
      <c r="Q4881" t="s">
        <v>30</v>
      </c>
      <c r="R4881" t="s">
        <v>47</v>
      </c>
      <c r="S4881" t="str">
        <v>#N/A</v>
      </c>
      <c r="T4881" t="str">
        <v>#N/A</v>
      </c>
    </row>
    <row r="4882" spans="1:20" ht="13.7" customHeight="1" x14ac:dyDescent="0.25">
      <c r="E4882" s="5">
        <v>43465</v>
      </c>
      <c r="F4882">
        <v>73952501</v>
      </c>
      <c r="G4882" t="s">
        <v>1091</v>
      </c>
      <c r="H4882" t="s">
        <v>1463</v>
      </c>
      <c r="I4882" t="s">
        <v>1464</v>
      </c>
      <c r="J4882">
        <v>0</v>
      </c>
      <c r="K4882">
        <v>0</v>
      </c>
      <c r="L4882" s="3">
        <v>112547</v>
      </c>
      <c r="M4882" s="3">
        <v>0</v>
      </c>
      <c r="N4882">
        <v>0</v>
      </c>
      <c r="O4882">
        <v>0</v>
      </c>
      <c r="P4882">
        <v>112547</v>
      </c>
      <c r="R4882" t="s">
        <v>1100</v>
      </c>
      <c r="S4882" t="str">
        <v>#N/A</v>
      </c>
      <c r="T4882" t="str">
        <v>13</v>
      </c>
    </row>
    <row r="4883" spans="1:20" ht="13.7" customHeight="1" x14ac:dyDescent="0.25">
      <c r="A4883" t="s">
        <v>26</v>
      </c>
      <c r="B4883" t="s">
        <v>27</v>
      </c>
      <c r="C4883" t="s">
        <v>91</v>
      </c>
      <c r="D4883">
        <v>24</v>
      </c>
      <c r="E4883" s="5">
        <v>43531</v>
      </c>
      <c r="F4883">
        <v>73952501</v>
      </c>
      <c r="G4883" t="s">
        <v>1091</v>
      </c>
      <c r="H4883" t="s">
        <v>1463</v>
      </c>
      <c r="I4883" t="s">
        <v>1464</v>
      </c>
      <c r="J4883">
        <v>1001</v>
      </c>
      <c r="K4883">
        <v>5016</v>
      </c>
      <c r="L4883" s="3">
        <v>112547</v>
      </c>
      <c r="M4883" s="3">
        <v>15132</v>
      </c>
      <c r="N4883">
        <v>0</v>
      </c>
      <c r="O4883">
        <v>0</v>
      </c>
      <c r="P4883">
        <v>127679</v>
      </c>
      <c r="Q4883" t="s">
        <v>30</v>
      </c>
      <c r="R4883" t="s">
        <v>59</v>
      </c>
      <c r="S4883" t="str">
        <v>#N/A</v>
      </c>
      <c r="T4883" t="str">
        <v>13</v>
      </c>
    </row>
    <row r="4884" spans="1:20" ht="13.7" customHeight="1" x14ac:dyDescent="0.25">
      <c r="A4884" t="s">
        <v>26</v>
      </c>
      <c r="B4884" t="s">
        <v>27</v>
      </c>
      <c r="C4884" t="s">
        <v>34</v>
      </c>
      <c r="D4884">
        <v>13</v>
      </c>
      <c r="E4884" s="5">
        <v>43560</v>
      </c>
      <c r="F4884">
        <v>73952501</v>
      </c>
      <c r="G4884" t="s">
        <v>1091</v>
      </c>
      <c r="H4884" t="s">
        <v>1463</v>
      </c>
      <c r="I4884" t="s">
        <v>1464</v>
      </c>
      <c r="J4884">
        <v>1001</v>
      </c>
      <c r="K4884">
        <v>5016</v>
      </c>
      <c r="L4884" s="3">
        <v>127679</v>
      </c>
      <c r="M4884" s="3">
        <v>29412</v>
      </c>
      <c r="N4884">
        <v>0</v>
      </c>
      <c r="O4884">
        <v>0</v>
      </c>
      <c r="P4884">
        <v>157091</v>
      </c>
      <c r="Q4884" t="s">
        <v>30</v>
      </c>
      <c r="R4884" t="s">
        <v>115</v>
      </c>
      <c r="S4884" t="str">
        <v>#N/A</v>
      </c>
      <c r="T4884" t="str">
        <v>13</v>
      </c>
    </row>
    <row r="4885" spans="1:20" ht="13.7" customHeight="1" x14ac:dyDescent="0.25">
      <c r="A4885" t="s">
        <v>26</v>
      </c>
      <c r="B4885" t="s">
        <v>27</v>
      </c>
      <c r="C4885" t="s">
        <v>34</v>
      </c>
      <c r="D4885">
        <v>22</v>
      </c>
      <c r="E4885" s="5">
        <v>43566</v>
      </c>
      <c r="F4885">
        <v>73952501</v>
      </c>
      <c r="G4885" t="s">
        <v>1091</v>
      </c>
      <c r="H4885" t="s">
        <v>1463</v>
      </c>
      <c r="I4885" t="s">
        <v>1464</v>
      </c>
      <c r="J4885">
        <v>1001</v>
      </c>
      <c r="K4885">
        <v>5016</v>
      </c>
      <c r="L4885" s="3">
        <v>157091</v>
      </c>
      <c r="M4885" s="3">
        <v>8361</v>
      </c>
      <c r="N4885">
        <v>0</v>
      </c>
      <c r="O4885">
        <v>0</v>
      </c>
      <c r="P4885">
        <v>165452</v>
      </c>
      <c r="Q4885" t="s">
        <v>30</v>
      </c>
      <c r="R4885" t="s">
        <v>59</v>
      </c>
      <c r="S4885" t="str">
        <v>#N/A</v>
      </c>
      <c r="T4885" t="str">
        <v>13</v>
      </c>
    </row>
    <row r="4886" spans="1:20" ht="13.7" customHeight="1" x14ac:dyDescent="0.25">
      <c r="A4886" t="s">
        <v>26</v>
      </c>
      <c r="B4886" t="s">
        <v>27</v>
      </c>
      <c r="C4886" t="s">
        <v>34</v>
      </c>
      <c r="D4886">
        <v>44</v>
      </c>
      <c r="E4886" s="5">
        <v>43575</v>
      </c>
      <c r="F4886">
        <v>73952501</v>
      </c>
      <c r="G4886" t="s">
        <v>1091</v>
      </c>
      <c r="H4886" t="s">
        <v>1463</v>
      </c>
      <c r="I4886" t="s">
        <v>1464</v>
      </c>
      <c r="J4886">
        <v>1001</v>
      </c>
      <c r="K4886">
        <v>5016</v>
      </c>
      <c r="L4886" s="3">
        <v>165452</v>
      </c>
      <c r="M4886" s="3">
        <v>10000</v>
      </c>
      <c r="N4886">
        <v>0</v>
      </c>
      <c r="O4886">
        <v>0</v>
      </c>
      <c r="P4886">
        <v>175452</v>
      </c>
      <c r="Q4886" t="s">
        <v>30</v>
      </c>
      <c r="R4886" t="s">
        <v>59</v>
      </c>
      <c r="S4886" t="str">
        <v>#N/A</v>
      </c>
      <c r="T4886" t="str">
        <v>13</v>
      </c>
    </row>
    <row r="4887" spans="1:20" ht="13.7" customHeight="1" x14ac:dyDescent="0.25">
      <c r="A4887" t="s">
        <v>26</v>
      </c>
      <c r="B4887" t="s">
        <v>27</v>
      </c>
      <c r="C4887" t="s">
        <v>35</v>
      </c>
      <c r="D4887">
        <v>20</v>
      </c>
      <c r="E4887" s="5">
        <v>43591</v>
      </c>
      <c r="F4887">
        <v>73952501</v>
      </c>
      <c r="G4887" t="s">
        <v>1091</v>
      </c>
      <c r="H4887" t="s">
        <v>1463</v>
      </c>
      <c r="I4887" t="s">
        <v>1464</v>
      </c>
      <c r="J4887">
        <v>1001</v>
      </c>
      <c r="K4887">
        <v>5016</v>
      </c>
      <c r="L4887" s="3">
        <v>175452</v>
      </c>
      <c r="M4887" s="3">
        <v>5000</v>
      </c>
      <c r="N4887">
        <v>0</v>
      </c>
      <c r="O4887">
        <v>0</v>
      </c>
      <c r="P4887">
        <v>180452</v>
      </c>
      <c r="Q4887" t="s">
        <v>30</v>
      </c>
      <c r="R4887" t="s">
        <v>59</v>
      </c>
      <c r="S4887" t="str">
        <v>#N/A</v>
      </c>
      <c r="T4887" t="str">
        <v>13</v>
      </c>
    </row>
    <row r="4888" spans="1:20" ht="13.7" customHeight="1" x14ac:dyDescent="0.25">
      <c r="A4888" t="s">
        <v>26</v>
      </c>
      <c r="B4888" t="s">
        <v>27</v>
      </c>
      <c r="C4888" t="s">
        <v>35</v>
      </c>
      <c r="D4888">
        <v>26</v>
      </c>
      <c r="E4888" s="5">
        <v>43593</v>
      </c>
      <c r="F4888">
        <v>73952501</v>
      </c>
      <c r="G4888" t="s">
        <v>1091</v>
      </c>
      <c r="H4888" t="s">
        <v>1463</v>
      </c>
      <c r="I4888" t="s">
        <v>1464</v>
      </c>
      <c r="J4888">
        <v>1001</v>
      </c>
      <c r="K4888">
        <v>5016</v>
      </c>
      <c r="L4888" s="3">
        <v>180452</v>
      </c>
      <c r="M4888" s="3">
        <v>8361</v>
      </c>
      <c r="N4888">
        <v>0</v>
      </c>
      <c r="O4888">
        <v>0</v>
      </c>
      <c r="P4888">
        <v>188813</v>
      </c>
      <c r="Q4888" t="s">
        <v>30</v>
      </c>
      <c r="R4888" t="s">
        <v>59</v>
      </c>
      <c r="S4888" t="str">
        <v>#N/A</v>
      </c>
      <c r="T4888" t="str">
        <v>13</v>
      </c>
    </row>
    <row r="4889" spans="1:20" ht="13.7" customHeight="1" x14ac:dyDescent="0.25">
      <c r="A4889" t="s">
        <v>26</v>
      </c>
      <c r="B4889" t="s">
        <v>27</v>
      </c>
      <c r="C4889" t="s">
        <v>38</v>
      </c>
      <c r="D4889">
        <v>3</v>
      </c>
      <c r="E4889" s="5">
        <v>43679</v>
      </c>
      <c r="F4889">
        <v>73952501</v>
      </c>
      <c r="G4889" t="s">
        <v>1091</v>
      </c>
      <c r="H4889" t="s">
        <v>1463</v>
      </c>
      <c r="I4889" t="s">
        <v>1464</v>
      </c>
      <c r="J4889">
        <v>1001</v>
      </c>
      <c r="K4889">
        <v>5016</v>
      </c>
      <c r="L4889" s="3">
        <v>188813</v>
      </c>
      <c r="M4889" s="3">
        <v>5000</v>
      </c>
      <c r="N4889">
        <v>0</v>
      </c>
      <c r="O4889">
        <v>0</v>
      </c>
      <c r="P4889">
        <v>193813</v>
      </c>
      <c r="Q4889" t="s">
        <v>30</v>
      </c>
      <c r="R4889" t="s">
        <v>59</v>
      </c>
      <c r="S4889" t="str">
        <v>#N/A</v>
      </c>
      <c r="T4889" t="str">
        <v>13</v>
      </c>
    </row>
    <row r="4890" spans="1:20" ht="13.7" customHeight="1" x14ac:dyDescent="0.25">
      <c r="A4890" t="s">
        <v>26</v>
      </c>
      <c r="B4890" t="s">
        <v>27</v>
      </c>
      <c r="C4890" t="s">
        <v>38</v>
      </c>
      <c r="D4890">
        <v>4</v>
      </c>
      <c r="E4890" s="5">
        <v>43679</v>
      </c>
      <c r="F4890">
        <v>73952501</v>
      </c>
      <c r="G4890" t="s">
        <v>1091</v>
      </c>
      <c r="H4890" t="s">
        <v>1463</v>
      </c>
      <c r="I4890" t="s">
        <v>1464</v>
      </c>
      <c r="J4890">
        <v>1001</v>
      </c>
      <c r="K4890">
        <v>5016</v>
      </c>
      <c r="L4890" s="3">
        <v>193813</v>
      </c>
      <c r="M4890" s="3">
        <v>1500</v>
      </c>
      <c r="N4890">
        <v>0</v>
      </c>
      <c r="O4890">
        <v>0</v>
      </c>
      <c r="P4890">
        <v>195313</v>
      </c>
      <c r="Q4890" t="s">
        <v>30</v>
      </c>
      <c r="R4890" t="s">
        <v>59</v>
      </c>
      <c r="S4890" t="str">
        <v>#N/A</v>
      </c>
      <c r="T4890" t="str">
        <v>13</v>
      </c>
    </row>
    <row r="4891" spans="1:20" ht="13.7" customHeight="1" x14ac:dyDescent="0.25">
      <c r="A4891" t="s">
        <v>26</v>
      </c>
      <c r="B4891" t="s">
        <v>27</v>
      </c>
      <c r="C4891" t="s">
        <v>180</v>
      </c>
      <c r="D4891">
        <v>56</v>
      </c>
      <c r="E4891" s="5">
        <v>43819</v>
      </c>
      <c r="F4891">
        <v>73952501</v>
      </c>
      <c r="G4891" t="s">
        <v>1091</v>
      </c>
      <c r="H4891" t="s">
        <v>1463</v>
      </c>
      <c r="I4891" t="s">
        <v>1464</v>
      </c>
      <c r="J4891">
        <v>1001</v>
      </c>
      <c r="K4891">
        <v>5016</v>
      </c>
      <c r="L4891" s="3">
        <v>195313</v>
      </c>
      <c r="M4891" s="3">
        <v>7540</v>
      </c>
      <c r="N4891">
        <v>0</v>
      </c>
      <c r="O4891">
        <v>0</v>
      </c>
      <c r="P4891">
        <v>202853</v>
      </c>
      <c r="Q4891" t="s">
        <v>30</v>
      </c>
      <c r="R4891" t="s">
        <v>59</v>
      </c>
      <c r="S4891" t="str">
        <v>#N/A</v>
      </c>
      <c r="T4891" t="str">
        <v>13</v>
      </c>
    </row>
    <row r="4892" spans="1:20" ht="13.7" customHeight="1" x14ac:dyDescent="0.25">
      <c r="E4892" s="5">
        <v>43465</v>
      </c>
      <c r="F4892">
        <v>73952501</v>
      </c>
      <c r="G4892" t="s">
        <v>1091</v>
      </c>
      <c r="H4892" t="s">
        <v>1789</v>
      </c>
      <c r="I4892" t="s">
        <v>1790</v>
      </c>
      <c r="J4892">
        <v>0</v>
      </c>
      <c r="K4892">
        <v>0</v>
      </c>
      <c r="L4892" s="3">
        <v>0</v>
      </c>
      <c r="M4892" s="3">
        <v>0</v>
      </c>
      <c r="N4892">
        <v>0</v>
      </c>
      <c r="O4892">
        <v>0</v>
      </c>
      <c r="P4892">
        <v>0</v>
      </c>
      <c r="R4892" t="s">
        <v>1100</v>
      </c>
      <c r="S4892" t="str">
        <v>#N/A</v>
      </c>
      <c r="T4892" t="str">
        <v>#N/A</v>
      </c>
    </row>
    <row r="4893" spans="1:20" ht="13.7" customHeight="1" x14ac:dyDescent="0.25">
      <c r="A4893" t="s">
        <v>26</v>
      </c>
      <c r="B4893" t="s">
        <v>27</v>
      </c>
      <c r="C4893" t="s">
        <v>41</v>
      </c>
      <c r="D4893">
        <v>16</v>
      </c>
      <c r="E4893" s="5">
        <v>43779</v>
      </c>
      <c r="F4893">
        <v>73952501</v>
      </c>
      <c r="G4893" t="s">
        <v>1091</v>
      </c>
      <c r="H4893" t="s">
        <v>1789</v>
      </c>
      <c r="I4893" t="s">
        <v>1790</v>
      </c>
      <c r="J4893">
        <v>1001</v>
      </c>
      <c r="K4893">
        <v>5016</v>
      </c>
      <c r="L4893" s="3">
        <v>0</v>
      </c>
      <c r="M4893" s="3">
        <v>54000</v>
      </c>
      <c r="N4893">
        <v>0</v>
      </c>
      <c r="O4893">
        <v>0</v>
      </c>
      <c r="P4893">
        <v>54000</v>
      </c>
      <c r="Q4893" t="s">
        <v>30</v>
      </c>
      <c r="R4893" t="s">
        <v>572</v>
      </c>
      <c r="S4893" t="str">
        <v>#N/A</v>
      </c>
      <c r="T4893" t="str">
        <v>#N/A</v>
      </c>
    </row>
    <row r="4894" spans="1:20" ht="13.7" customHeight="1" x14ac:dyDescent="0.25">
      <c r="E4894" s="5">
        <v>43465</v>
      </c>
      <c r="F4894">
        <v>73952501</v>
      </c>
      <c r="G4894" t="s">
        <v>1091</v>
      </c>
      <c r="H4894" t="s">
        <v>1293</v>
      </c>
      <c r="I4894" t="s">
        <v>1294</v>
      </c>
      <c r="J4894">
        <v>0</v>
      </c>
      <c r="K4894">
        <v>0</v>
      </c>
      <c r="L4894" s="3">
        <v>0</v>
      </c>
      <c r="M4894" s="3">
        <v>0</v>
      </c>
      <c r="N4894">
        <v>0</v>
      </c>
      <c r="O4894">
        <v>0</v>
      </c>
      <c r="P4894">
        <v>0</v>
      </c>
      <c r="R4894" t="s">
        <v>1100</v>
      </c>
      <c r="S4894" t="str">
        <v>#N/A</v>
      </c>
      <c r="T4894" t="str">
        <v>#N/A</v>
      </c>
    </row>
    <row r="4895" spans="1:20" ht="13.7" customHeight="1" x14ac:dyDescent="0.25">
      <c r="A4895" t="s">
        <v>26</v>
      </c>
      <c r="B4895" t="s">
        <v>27</v>
      </c>
      <c r="C4895" t="s">
        <v>180</v>
      </c>
      <c r="D4895">
        <v>40</v>
      </c>
      <c r="E4895" s="5">
        <v>43815</v>
      </c>
      <c r="F4895">
        <v>73952501</v>
      </c>
      <c r="G4895" t="s">
        <v>1091</v>
      </c>
      <c r="H4895" t="s">
        <v>1293</v>
      </c>
      <c r="I4895" t="s">
        <v>1294</v>
      </c>
      <c r="J4895">
        <v>1001</v>
      </c>
      <c r="K4895">
        <v>5016</v>
      </c>
      <c r="L4895" s="3">
        <v>0</v>
      </c>
      <c r="M4895" s="3">
        <v>3000</v>
      </c>
      <c r="N4895">
        <v>0</v>
      </c>
      <c r="O4895">
        <v>0</v>
      </c>
      <c r="P4895">
        <v>3000</v>
      </c>
      <c r="Q4895" t="s">
        <v>30</v>
      </c>
      <c r="R4895" t="s">
        <v>184</v>
      </c>
      <c r="S4895" t="str">
        <v>#N/A</v>
      </c>
      <c r="T4895" t="str">
        <v>#N/A</v>
      </c>
    </row>
    <row r="4896" spans="1:20" ht="13.7" customHeight="1" x14ac:dyDescent="0.25">
      <c r="E4896" s="5">
        <v>43465</v>
      </c>
      <c r="F4896">
        <v>73952501</v>
      </c>
      <c r="G4896" t="s">
        <v>1091</v>
      </c>
      <c r="H4896" t="s">
        <v>1207</v>
      </c>
      <c r="I4896" t="s">
        <v>1208</v>
      </c>
      <c r="J4896">
        <v>0</v>
      </c>
      <c r="K4896">
        <v>0</v>
      </c>
      <c r="L4896" s="3">
        <v>40336</v>
      </c>
      <c r="M4896" s="3">
        <v>0</v>
      </c>
      <c r="N4896">
        <v>0</v>
      </c>
      <c r="O4896">
        <v>0</v>
      </c>
      <c r="P4896">
        <v>40336</v>
      </c>
      <c r="R4896" t="s">
        <v>1100</v>
      </c>
      <c r="S4896" t="str">
        <v>#N/A</v>
      </c>
      <c r="T4896" t="str">
        <v>#N/A</v>
      </c>
    </row>
    <row r="4897" spans="1:20" ht="13.7" customHeight="1" x14ac:dyDescent="0.25">
      <c r="A4897" t="s">
        <v>26</v>
      </c>
      <c r="B4897" t="s">
        <v>27</v>
      </c>
      <c r="C4897" t="s">
        <v>32</v>
      </c>
      <c r="D4897">
        <v>27</v>
      </c>
      <c r="E4897" s="5">
        <v>43505</v>
      </c>
      <c r="F4897">
        <v>73952501</v>
      </c>
      <c r="G4897" t="s">
        <v>1091</v>
      </c>
      <c r="H4897" t="s">
        <v>1207</v>
      </c>
      <c r="I4897" t="s">
        <v>1208</v>
      </c>
      <c r="J4897">
        <v>1001</v>
      </c>
      <c r="K4897">
        <v>5016</v>
      </c>
      <c r="L4897" s="3">
        <v>40336</v>
      </c>
      <c r="M4897" s="3">
        <v>20168</v>
      </c>
      <c r="N4897">
        <v>0</v>
      </c>
      <c r="O4897">
        <v>0</v>
      </c>
      <c r="P4897">
        <v>60504</v>
      </c>
      <c r="Q4897" t="s">
        <v>30</v>
      </c>
      <c r="R4897" t="s">
        <v>76</v>
      </c>
      <c r="S4897" t="str">
        <v>#N/A</v>
      </c>
      <c r="T4897" t="str">
        <v>#N/A</v>
      </c>
    </row>
    <row r="4898" spans="1:20" ht="13.7" customHeight="1" x14ac:dyDescent="0.25">
      <c r="A4898" t="s">
        <v>26</v>
      </c>
      <c r="B4898" t="s">
        <v>27</v>
      </c>
      <c r="C4898" t="s">
        <v>32</v>
      </c>
      <c r="D4898">
        <v>48</v>
      </c>
      <c r="E4898" s="5">
        <v>43519</v>
      </c>
      <c r="F4898">
        <v>73952501</v>
      </c>
      <c r="G4898" t="s">
        <v>1091</v>
      </c>
      <c r="H4898" t="s">
        <v>1207</v>
      </c>
      <c r="I4898" t="s">
        <v>1208</v>
      </c>
      <c r="J4898">
        <v>1001</v>
      </c>
      <c r="K4898">
        <v>5016</v>
      </c>
      <c r="L4898" s="3">
        <v>60504</v>
      </c>
      <c r="M4898" s="3">
        <v>20168</v>
      </c>
      <c r="N4898">
        <v>0</v>
      </c>
      <c r="O4898">
        <v>0</v>
      </c>
      <c r="P4898">
        <v>80672</v>
      </c>
      <c r="Q4898" t="s">
        <v>30</v>
      </c>
      <c r="R4898" t="s">
        <v>76</v>
      </c>
      <c r="S4898" t="str">
        <v>#N/A</v>
      </c>
      <c r="T4898" t="str">
        <v>#N/A</v>
      </c>
    </row>
    <row r="4899" spans="1:20" ht="13.7" customHeight="1" x14ac:dyDescent="0.25">
      <c r="A4899" t="s">
        <v>26</v>
      </c>
      <c r="B4899" t="s">
        <v>27</v>
      </c>
      <c r="C4899" t="s">
        <v>34</v>
      </c>
      <c r="D4899">
        <v>61</v>
      </c>
      <c r="E4899" s="5">
        <v>43582</v>
      </c>
      <c r="F4899">
        <v>73952501</v>
      </c>
      <c r="G4899" t="s">
        <v>1091</v>
      </c>
      <c r="H4899" t="s">
        <v>1207</v>
      </c>
      <c r="I4899" t="s">
        <v>1208</v>
      </c>
      <c r="J4899">
        <v>1001</v>
      </c>
      <c r="K4899">
        <v>5016</v>
      </c>
      <c r="L4899" s="3">
        <v>80672</v>
      </c>
      <c r="M4899" s="3">
        <v>20168</v>
      </c>
      <c r="N4899">
        <v>0</v>
      </c>
      <c r="O4899">
        <v>0</v>
      </c>
      <c r="P4899">
        <v>100840</v>
      </c>
      <c r="Q4899" t="s">
        <v>30</v>
      </c>
      <c r="R4899" t="s">
        <v>76</v>
      </c>
      <c r="S4899" t="str">
        <v>#N/A</v>
      </c>
      <c r="T4899" t="str">
        <v>#N/A</v>
      </c>
    </row>
    <row r="4900" spans="1:20" ht="13.7" customHeight="1" x14ac:dyDescent="0.25">
      <c r="A4900" t="s">
        <v>26</v>
      </c>
      <c r="B4900" t="s">
        <v>27</v>
      </c>
      <c r="C4900" t="s">
        <v>38</v>
      </c>
      <c r="D4900">
        <v>55</v>
      </c>
      <c r="E4900" s="5">
        <v>43708</v>
      </c>
      <c r="F4900">
        <v>73952501</v>
      </c>
      <c r="G4900" t="s">
        <v>1091</v>
      </c>
      <c r="H4900" t="s">
        <v>1207</v>
      </c>
      <c r="I4900" t="s">
        <v>1208</v>
      </c>
      <c r="J4900">
        <v>1001</v>
      </c>
      <c r="K4900">
        <v>5016</v>
      </c>
      <c r="L4900" s="3">
        <v>100840</v>
      </c>
      <c r="M4900" s="3">
        <v>20168</v>
      </c>
      <c r="N4900">
        <v>0</v>
      </c>
      <c r="O4900">
        <v>0</v>
      </c>
      <c r="P4900">
        <v>121008</v>
      </c>
      <c r="Q4900" t="s">
        <v>30</v>
      </c>
      <c r="R4900" t="s">
        <v>76</v>
      </c>
      <c r="S4900" t="str">
        <v>#N/A</v>
      </c>
      <c r="T4900" t="str">
        <v>#N/A</v>
      </c>
    </row>
    <row r="4901" spans="1:20" ht="13.7" customHeight="1" x14ac:dyDescent="0.25">
      <c r="E4901" s="5">
        <v>43465</v>
      </c>
      <c r="F4901">
        <v>73952501</v>
      </c>
      <c r="G4901" t="s">
        <v>1091</v>
      </c>
      <c r="H4901" t="s">
        <v>1199</v>
      </c>
      <c r="I4901" t="s">
        <v>1200</v>
      </c>
      <c r="J4901">
        <v>0</v>
      </c>
      <c r="K4901">
        <v>0</v>
      </c>
      <c r="L4901" s="3">
        <v>0</v>
      </c>
      <c r="M4901" s="3">
        <v>0</v>
      </c>
      <c r="N4901">
        <v>0</v>
      </c>
      <c r="O4901">
        <v>0</v>
      </c>
      <c r="P4901">
        <v>0</v>
      </c>
      <c r="R4901" t="s">
        <v>1100</v>
      </c>
      <c r="S4901" t="str">
        <v>#N/A</v>
      </c>
      <c r="T4901" t="str">
        <v>13</v>
      </c>
    </row>
    <row r="4902" spans="1:20" ht="13.7" customHeight="1" x14ac:dyDescent="0.25">
      <c r="A4902" t="s">
        <v>26</v>
      </c>
      <c r="B4902" t="s">
        <v>27</v>
      </c>
      <c r="C4902" t="s">
        <v>32</v>
      </c>
      <c r="D4902">
        <v>13</v>
      </c>
      <c r="E4902" s="5">
        <v>43502</v>
      </c>
      <c r="F4902">
        <v>73952501</v>
      </c>
      <c r="G4902" t="s">
        <v>1091</v>
      </c>
      <c r="H4902" t="s">
        <v>1199</v>
      </c>
      <c r="I4902" t="s">
        <v>1200</v>
      </c>
      <c r="J4902">
        <v>1001</v>
      </c>
      <c r="K4902">
        <v>5016</v>
      </c>
      <c r="L4902" s="3">
        <v>0</v>
      </c>
      <c r="M4902" s="3">
        <v>6639</v>
      </c>
      <c r="N4902">
        <v>0</v>
      </c>
      <c r="O4902">
        <v>0</v>
      </c>
      <c r="P4902">
        <v>6639</v>
      </c>
      <c r="Q4902" t="s">
        <v>30</v>
      </c>
      <c r="R4902" t="s">
        <v>74</v>
      </c>
      <c r="S4902" t="str">
        <v>#N/A</v>
      </c>
      <c r="T4902" t="str">
        <v>13</v>
      </c>
    </row>
    <row r="4903" spans="1:20" ht="13.7" customHeight="1" x14ac:dyDescent="0.25">
      <c r="A4903" t="s">
        <v>26</v>
      </c>
      <c r="B4903" t="s">
        <v>27</v>
      </c>
      <c r="C4903" t="s">
        <v>32</v>
      </c>
      <c r="D4903">
        <v>18</v>
      </c>
      <c r="E4903" s="5">
        <v>43507</v>
      </c>
      <c r="F4903">
        <v>73952501</v>
      </c>
      <c r="G4903" t="s">
        <v>1091</v>
      </c>
      <c r="H4903" t="s">
        <v>1199</v>
      </c>
      <c r="I4903" t="s">
        <v>1200</v>
      </c>
      <c r="J4903">
        <v>1001</v>
      </c>
      <c r="K4903">
        <v>5016</v>
      </c>
      <c r="L4903" s="3">
        <v>6639</v>
      </c>
      <c r="M4903" s="3">
        <v>6639</v>
      </c>
      <c r="N4903">
        <v>0</v>
      </c>
      <c r="O4903">
        <v>0</v>
      </c>
      <c r="P4903">
        <v>13278</v>
      </c>
      <c r="Q4903" t="s">
        <v>30</v>
      </c>
      <c r="R4903" t="s">
        <v>74</v>
      </c>
      <c r="S4903" t="str">
        <v>#N/A</v>
      </c>
      <c r="T4903" t="str">
        <v>13</v>
      </c>
    </row>
    <row r="4904" spans="1:20" ht="13.7" customHeight="1" x14ac:dyDescent="0.25">
      <c r="A4904" t="s">
        <v>26</v>
      </c>
      <c r="B4904" t="s">
        <v>27</v>
      </c>
      <c r="C4904" t="s">
        <v>91</v>
      </c>
      <c r="D4904">
        <v>13</v>
      </c>
      <c r="E4904" s="5">
        <v>43528</v>
      </c>
      <c r="F4904">
        <v>73952501</v>
      </c>
      <c r="G4904" t="s">
        <v>1091</v>
      </c>
      <c r="H4904" t="s">
        <v>1199</v>
      </c>
      <c r="I4904" t="s">
        <v>1200</v>
      </c>
      <c r="J4904">
        <v>1001</v>
      </c>
      <c r="K4904">
        <v>5016</v>
      </c>
      <c r="L4904" s="3">
        <v>13278</v>
      </c>
      <c r="M4904" s="3">
        <v>11579</v>
      </c>
      <c r="N4904">
        <v>0</v>
      </c>
      <c r="O4904">
        <v>0</v>
      </c>
      <c r="P4904">
        <v>24857</v>
      </c>
      <c r="Q4904" t="s">
        <v>30</v>
      </c>
      <c r="R4904" t="s">
        <v>74</v>
      </c>
      <c r="S4904" t="str">
        <v>#N/A</v>
      </c>
      <c r="T4904" t="str">
        <v>13</v>
      </c>
    </row>
    <row r="4905" spans="1:20" ht="13.7" customHeight="1" x14ac:dyDescent="0.25">
      <c r="A4905" t="s">
        <v>26</v>
      </c>
      <c r="B4905" t="s">
        <v>27</v>
      </c>
      <c r="C4905" t="s">
        <v>34</v>
      </c>
      <c r="D4905">
        <v>7</v>
      </c>
      <c r="E4905" s="5">
        <v>43558</v>
      </c>
      <c r="F4905">
        <v>73952501</v>
      </c>
      <c r="G4905" t="s">
        <v>1091</v>
      </c>
      <c r="H4905" t="s">
        <v>1199</v>
      </c>
      <c r="I4905" t="s">
        <v>1200</v>
      </c>
      <c r="J4905">
        <v>1001</v>
      </c>
      <c r="K4905">
        <v>5016</v>
      </c>
      <c r="L4905" s="3">
        <v>24857</v>
      </c>
      <c r="M4905" s="3">
        <v>12101</v>
      </c>
      <c r="N4905">
        <v>0</v>
      </c>
      <c r="O4905">
        <v>0</v>
      </c>
      <c r="P4905">
        <v>36958</v>
      </c>
      <c r="Q4905" t="s">
        <v>30</v>
      </c>
      <c r="R4905" t="s">
        <v>74</v>
      </c>
      <c r="S4905" t="str">
        <v>#N/A</v>
      </c>
      <c r="T4905" t="str">
        <v>13</v>
      </c>
    </row>
    <row r="4906" spans="1:20" ht="13.7" customHeight="1" x14ac:dyDescent="0.25">
      <c r="A4906" t="s">
        <v>26</v>
      </c>
      <c r="B4906" t="s">
        <v>27</v>
      </c>
      <c r="C4906" t="s">
        <v>34</v>
      </c>
      <c r="D4906">
        <v>19</v>
      </c>
      <c r="E4906" s="5">
        <v>43564</v>
      </c>
      <c r="F4906">
        <v>73952501</v>
      </c>
      <c r="G4906" t="s">
        <v>1091</v>
      </c>
      <c r="H4906" t="s">
        <v>1199</v>
      </c>
      <c r="I4906" t="s">
        <v>1200</v>
      </c>
      <c r="J4906">
        <v>1001</v>
      </c>
      <c r="K4906">
        <v>5016</v>
      </c>
      <c r="L4906" s="3">
        <v>36958</v>
      </c>
      <c r="M4906" s="3">
        <v>12269</v>
      </c>
      <c r="N4906">
        <v>0</v>
      </c>
      <c r="O4906">
        <v>0</v>
      </c>
      <c r="P4906">
        <v>49227</v>
      </c>
      <c r="Q4906" t="s">
        <v>30</v>
      </c>
      <c r="R4906" t="s">
        <v>74</v>
      </c>
      <c r="S4906" t="str">
        <v>#N/A</v>
      </c>
      <c r="T4906" t="str">
        <v>13</v>
      </c>
    </row>
    <row r="4907" spans="1:20" ht="13.7" customHeight="1" x14ac:dyDescent="0.25">
      <c r="A4907" t="s">
        <v>26</v>
      </c>
      <c r="B4907" t="s">
        <v>27</v>
      </c>
      <c r="C4907" t="s">
        <v>34</v>
      </c>
      <c r="D4907">
        <v>68</v>
      </c>
      <c r="E4907" s="5">
        <v>43585</v>
      </c>
      <c r="F4907">
        <v>73952501</v>
      </c>
      <c r="G4907" t="s">
        <v>1091</v>
      </c>
      <c r="H4907" t="s">
        <v>1199</v>
      </c>
      <c r="I4907" t="s">
        <v>1200</v>
      </c>
      <c r="J4907">
        <v>1001</v>
      </c>
      <c r="K4907">
        <v>5016</v>
      </c>
      <c r="L4907" s="3">
        <v>49227</v>
      </c>
      <c r="M4907" s="3">
        <v>10084</v>
      </c>
      <c r="N4907">
        <v>0</v>
      </c>
      <c r="O4907">
        <v>0</v>
      </c>
      <c r="P4907">
        <v>59311</v>
      </c>
      <c r="Q4907" t="s">
        <v>30</v>
      </c>
      <c r="R4907" t="s">
        <v>74</v>
      </c>
      <c r="S4907" t="str">
        <v>#N/A</v>
      </c>
      <c r="T4907" t="str">
        <v>13</v>
      </c>
    </row>
    <row r="4908" spans="1:20" ht="13.7" customHeight="1" x14ac:dyDescent="0.25">
      <c r="A4908" t="s">
        <v>26</v>
      </c>
      <c r="B4908" t="s">
        <v>27</v>
      </c>
      <c r="C4908" t="s">
        <v>36</v>
      </c>
      <c r="D4908">
        <v>62</v>
      </c>
      <c r="E4908" s="5">
        <v>43643</v>
      </c>
      <c r="F4908">
        <v>73952501</v>
      </c>
      <c r="G4908" t="s">
        <v>1091</v>
      </c>
      <c r="H4908" t="s">
        <v>1199</v>
      </c>
      <c r="I4908" t="s">
        <v>1200</v>
      </c>
      <c r="J4908">
        <v>1001</v>
      </c>
      <c r="K4908">
        <v>5016</v>
      </c>
      <c r="L4908" s="3">
        <v>59311</v>
      </c>
      <c r="M4908" s="3">
        <v>5126</v>
      </c>
      <c r="N4908">
        <v>0</v>
      </c>
      <c r="O4908">
        <v>0</v>
      </c>
      <c r="P4908">
        <v>64437</v>
      </c>
      <c r="Q4908" t="s">
        <v>30</v>
      </c>
      <c r="R4908" t="s">
        <v>74</v>
      </c>
      <c r="S4908" t="str">
        <v>#N/A</v>
      </c>
      <c r="T4908" t="str">
        <v>13</v>
      </c>
    </row>
    <row r="4909" spans="1:20" ht="13.7" customHeight="1" x14ac:dyDescent="0.25">
      <c r="A4909" t="s">
        <v>26</v>
      </c>
      <c r="B4909" t="s">
        <v>27</v>
      </c>
      <c r="C4909" t="s">
        <v>36</v>
      </c>
      <c r="D4909">
        <v>1</v>
      </c>
      <c r="E4909" s="5">
        <v>43654</v>
      </c>
      <c r="F4909">
        <v>73952501</v>
      </c>
      <c r="G4909" t="s">
        <v>1091</v>
      </c>
      <c r="H4909" t="s">
        <v>1199</v>
      </c>
      <c r="I4909" t="s">
        <v>1200</v>
      </c>
      <c r="J4909">
        <v>1001</v>
      </c>
      <c r="K4909">
        <v>5016</v>
      </c>
      <c r="L4909" s="3">
        <v>64437</v>
      </c>
      <c r="M4909" s="3">
        <v>5126</v>
      </c>
      <c r="N4909">
        <v>0</v>
      </c>
      <c r="O4909">
        <v>0</v>
      </c>
      <c r="P4909">
        <v>69563</v>
      </c>
      <c r="Q4909" t="s">
        <v>30</v>
      </c>
      <c r="R4909" t="s">
        <v>151</v>
      </c>
      <c r="S4909" t="str">
        <v>#N/A</v>
      </c>
      <c r="T4909" t="str">
        <v>13</v>
      </c>
    </row>
    <row r="4910" spans="1:20" ht="13.7" customHeight="1" x14ac:dyDescent="0.25">
      <c r="A4910" t="s">
        <v>26</v>
      </c>
      <c r="B4910" t="s">
        <v>27</v>
      </c>
      <c r="C4910" t="s">
        <v>37</v>
      </c>
      <c r="D4910">
        <v>28</v>
      </c>
      <c r="E4910" s="5">
        <v>43656</v>
      </c>
      <c r="F4910">
        <v>73952501</v>
      </c>
      <c r="G4910" t="s">
        <v>1091</v>
      </c>
      <c r="H4910" t="s">
        <v>1199</v>
      </c>
      <c r="I4910" t="s">
        <v>1200</v>
      </c>
      <c r="J4910">
        <v>1001</v>
      </c>
      <c r="K4910">
        <v>5016</v>
      </c>
      <c r="L4910" s="3">
        <v>69563</v>
      </c>
      <c r="M4910" s="3">
        <v>5126</v>
      </c>
      <c r="N4910">
        <v>0</v>
      </c>
      <c r="O4910">
        <v>0</v>
      </c>
      <c r="P4910">
        <v>74689</v>
      </c>
      <c r="Q4910" t="s">
        <v>30</v>
      </c>
      <c r="R4910" t="s">
        <v>74</v>
      </c>
      <c r="S4910" t="str">
        <v>#N/A</v>
      </c>
      <c r="T4910" t="str">
        <v>13</v>
      </c>
    </row>
    <row r="4911" spans="1:20" ht="13.7" customHeight="1" x14ac:dyDescent="0.25">
      <c r="A4911" t="s">
        <v>26</v>
      </c>
      <c r="B4911" t="s">
        <v>27</v>
      </c>
      <c r="C4911" t="s">
        <v>37</v>
      </c>
      <c r="D4911">
        <v>37</v>
      </c>
      <c r="E4911" s="5">
        <v>43659</v>
      </c>
      <c r="F4911">
        <v>73952501</v>
      </c>
      <c r="G4911" t="s">
        <v>1091</v>
      </c>
      <c r="H4911" t="s">
        <v>1199</v>
      </c>
      <c r="I4911" t="s">
        <v>1200</v>
      </c>
      <c r="J4911">
        <v>1001</v>
      </c>
      <c r="K4911">
        <v>5016</v>
      </c>
      <c r="L4911" s="3">
        <v>74689</v>
      </c>
      <c r="M4911" s="3">
        <v>17395</v>
      </c>
      <c r="N4911">
        <v>0</v>
      </c>
      <c r="O4911">
        <v>0</v>
      </c>
      <c r="P4911">
        <v>92084</v>
      </c>
      <c r="Q4911" t="s">
        <v>30</v>
      </c>
      <c r="R4911" t="s">
        <v>151</v>
      </c>
      <c r="S4911" t="str">
        <v>#N/A</v>
      </c>
      <c r="T4911" t="str">
        <v>13</v>
      </c>
    </row>
    <row r="4912" spans="1:20" ht="13.7" customHeight="1" x14ac:dyDescent="0.25">
      <c r="A4912" t="s">
        <v>26</v>
      </c>
      <c r="B4912" t="s">
        <v>27</v>
      </c>
      <c r="C4912" t="s">
        <v>39</v>
      </c>
      <c r="D4912">
        <v>16</v>
      </c>
      <c r="E4912" s="5">
        <v>43715</v>
      </c>
      <c r="F4912">
        <v>73952501</v>
      </c>
      <c r="G4912" t="s">
        <v>1091</v>
      </c>
      <c r="H4912" t="s">
        <v>1199</v>
      </c>
      <c r="I4912" t="s">
        <v>1200</v>
      </c>
      <c r="J4912">
        <v>1001</v>
      </c>
      <c r="K4912">
        <v>5016</v>
      </c>
      <c r="L4912" s="3">
        <v>92084</v>
      </c>
      <c r="M4912" s="3">
        <v>12101</v>
      </c>
      <c r="N4912">
        <v>0</v>
      </c>
      <c r="O4912">
        <v>0</v>
      </c>
      <c r="P4912">
        <v>104185</v>
      </c>
      <c r="Q4912" t="s">
        <v>30</v>
      </c>
      <c r="R4912" t="s">
        <v>74</v>
      </c>
      <c r="S4912" t="str">
        <v>#N/A</v>
      </c>
      <c r="T4912" t="str">
        <v>13</v>
      </c>
    </row>
    <row r="4913" spans="1:20" ht="13.7" customHeight="1" x14ac:dyDescent="0.25">
      <c r="A4913" t="s">
        <v>26</v>
      </c>
      <c r="B4913" t="s">
        <v>27</v>
      </c>
      <c r="C4913" t="s">
        <v>180</v>
      </c>
      <c r="D4913">
        <v>36</v>
      </c>
      <c r="E4913" s="5">
        <v>43813</v>
      </c>
      <c r="F4913">
        <v>73952501</v>
      </c>
      <c r="G4913" t="s">
        <v>1091</v>
      </c>
      <c r="H4913" t="s">
        <v>1199</v>
      </c>
      <c r="I4913" t="s">
        <v>1200</v>
      </c>
      <c r="J4913">
        <v>1001</v>
      </c>
      <c r="K4913">
        <v>5016</v>
      </c>
      <c r="L4913" s="3">
        <v>104185</v>
      </c>
      <c r="M4913" s="3">
        <v>7143</v>
      </c>
      <c r="N4913">
        <v>0</v>
      </c>
      <c r="O4913">
        <v>0</v>
      </c>
      <c r="P4913">
        <v>111328</v>
      </c>
      <c r="Q4913" t="s">
        <v>30</v>
      </c>
      <c r="R4913" t="s">
        <v>74</v>
      </c>
      <c r="S4913" t="str">
        <v>#N/A</v>
      </c>
      <c r="T4913" t="str">
        <v>13</v>
      </c>
    </row>
    <row r="4914" spans="1:20" ht="13.7" customHeight="1" x14ac:dyDescent="0.25">
      <c r="E4914" s="5">
        <v>43465</v>
      </c>
      <c r="F4914">
        <v>73952501</v>
      </c>
      <c r="G4914" t="s">
        <v>1091</v>
      </c>
      <c r="H4914" t="s">
        <v>1791</v>
      </c>
      <c r="I4914" t="s">
        <v>1792</v>
      </c>
      <c r="J4914">
        <v>0</v>
      </c>
      <c r="K4914">
        <v>0</v>
      </c>
      <c r="L4914" s="3">
        <v>0</v>
      </c>
      <c r="M4914" s="3">
        <v>0</v>
      </c>
      <c r="N4914">
        <v>0</v>
      </c>
      <c r="O4914">
        <v>0</v>
      </c>
      <c r="P4914">
        <v>0</v>
      </c>
      <c r="R4914" t="s">
        <v>1100</v>
      </c>
      <c r="S4914" t="str">
        <v>#N/A</v>
      </c>
      <c r="T4914" t="str">
        <v>#N/A</v>
      </c>
    </row>
    <row r="4915" spans="1:20" ht="13.7" customHeight="1" x14ac:dyDescent="0.25">
      <c r="A4915" t="s">
        <v>26</v>
      </c>
      <c r="B4915" t="s">
        <v>27</v>
      </c>
      <c r="C4915" t="s">
        <v>34</v>
      </c>
      <c r="D4915">
        <v>21</v>
      </c>
      <c r="E4915" s="5">
        <v>43565</v>
      </c>
      <c r="F4915">
        <v>73952501</v>
      </c>
      <c r="G4915" t="s">
        <v>1091</v>
      </c>
      <c r="H4915" t="s">
        <v>1791</v>
      </c>
      <c r="I4915" t="s">
        <v>1792</v>
      </c>
      <c r="J4915">
        <v>1001</v>
      </c>
      <c r="K4915">
        <v>5016</v>
      </c>
      <c r="L4915" s="3">
        <v>0</v>
      </c>
      <c r="M4915" s="3">
        <v>6600</v>
      </c>
      <c r="N4915">
        <v>0</v>
      </c>
      <c r="O4915">
        <v>0</v>
      </c>
      <c r="P4915">
        <v>6600</v>
      </c>
      <c r="Q4915" t="s">
        <v>30</v>
      </c>
      <c r="R4915" t="s">
        <v>59</v>
      </c>
      <c r="S4915" t="str">
        <v>#N/A</v>
      </c>
      <c r="T4915" t="str">
        <v>#N/A</v>
      </c>
    </row>
    <row r="4916" spans="1:20" ht="13.7" customHeight="1" x14ac:dyDescent="0.25">
      <c r="E4916" s="5">
        <v>43465</v>
      </c>
      <c r="F4916">
        <v>73952501</v>
      </c>
      <c r="G4916" t="s">
        <v>1091</v>
      </c>
      <c r="H4916" t="s">
        <v>1793</v>
      </c>
      <c r="I4916" t="s">
        <v>1794</v>
      </c>
      <c r="J4916">
        <v>0</v>
      </c>
      <c r="K4916">
        <v>0</v>
      </c>
      <c r="L4916" s="3">
        <v>0</v>
      </c>
      <c r="M4916" s="3">
        <v>0</v>
      </c>
      <c r="N4916">
        <v>0</v>
      </c>
      <c r="O4916">
        <v>0</v>
      </c>
      <c r="P4916">
        <v>0</v>
      </c>
      <c r="R4916" t="s">
        <v>1100</v>
      </c>
      <c r="S4916" t="str">
        <v>#N/A</v>
      </c>
      <c r="T4916" t="str">
        <v>#N/A</v>
      </c>
    </row>
    <row r="4917" spans="1:20" ht="13.7" customHeight="1" x14ac:dyDescent="0.25">
      <c r="A4917" t="s">
        <v>26</v>
      </c>
      <c r="B4917" t="s">
        <v>27</v>
      </c>
      <c r="C4917" t="s">
        <v>35</v>
      </c>
      <c r="D4917">
        <v>50</v>
      </c>
      <c r="E4917" s="5">
        <v>43600</v>
      </c>
      <c r="F4917">
        <v>73952501</v>
      </c>
      <c r="G4917" t="s">
        <v>1091</v>
      </c>
      <c r="H4917" t="s">
        <v>1793</v>
      </c>
      <c r="I4917" t="s">
        <v>1794</v>
      </c>
      <c r="J4917">
        <v>1001</v>
      </c>
      <c r="K4917">
        <v>5016</v>
      </c>
      <c r="L4917" s="3">
        <v>0</v>
      </c>
      <c r="M4917" s="3">
        <v>10000</v>
      </c>
      <c r="N4917">
        <v>0</v>
      </c>
      <c r="O4917">
        <v>0</v>
      </c>
      <c r="P4917">
        <v>10000</v>
      </c>
      <c r="Q4917" t="s">
        <v>30</v>
      </c>
      <c r="R4917" t="s">
        <v>133</v>
      </c>
      <c r="S4917" t="str">
        <v>#N/A</v>
      </c>
      <c r="T4917" t="str">
        <v>#N/A</v>
      </c>
    </row>
    <row r="4918" spans="1:20" ht="13.7" customHeight="1" x14ac:dyDescent="0.25">
      <c r="E4918" s="5">
        <v>43465</v>
      </c>
      <c r="F4918">
        <v>73952501</v>
      </c>
      <c r="G4918" t="s">
        <v>1091</v>
      </c>
      <c r="H4918" t="s">
        <v>1579</v>
      </c>
      <c r="I4918" t="s">
        <v>1580</v>
      </c>
      <c r="J4918">
        <v>0</v>
      </c>
      <c r="K4918">
        <v>0</v>
      </c>
      <c r="L4918" s="3">
        <v>0</v>
      </c>
      <c r="M4918" s="3">
        <v>0</v>
      </c>
      <c r="N4918">
        <v>0</v>
      </c>
      <c r="O4918">
        <v>0</v>
      </c>
      <c r="P4918">
        <v>0</v>
      </c>
      <c r="R4918" t="s">
        <v>1100</v>
      </c>
      <c r="S4918" t="str">
        <v>#N/A</v>
      </c>
      <c r="T4918" t="str">
        <v>#N/A</v>
      </c>
    </row>
    <row r="4919" spans="1:20" ht="13.7" customHeight="1" x14ac:dyDescent="0.25">
      <c r="A4919" t="s">
        <v>26</v>
      </c>
      <c r="B4919" t="s">
        <v>27</v>
      </c>
      <c r="C4919" t="s">
        <v>28</v>
      </c>
      <c r="D4919">
        <v>61</v>
      </c>
      <c r="E4919" s="5">
        <v>43488</v>
      </c>
      <c r="F4919">
        <v>73952501</v>
      </c>
      <c r="G4919" t="s">
        <v>1091</v>
      </c>
      <c r="H4919" t="s">
        <v>1579</v>
      </c>
      <c r="I4919" t="s">
        <v>1580</v>
      </c>
      <c r="J4919">
        <v>1001</v>
      </c>
      <c r="K4919">
        <v>5016</v>
      </c>
      <c r="L4919" s="3">
        <v>0</v>
      </c>
      <c r="M4919" s="3">
        <v>7425</v>
      </c>
      <c r="N4919">
        <v>0</v>
      </c>
      <c r="O4919">
        <v>0</v>
      </c>
      <c r="P4919">
        <v>7425</v>
      </c>
      <c r="Q4919" t="s">
        <v>30</v>
      </c>
      <c r="R4919" t="s">
        <v>149</v>
      </c>
      <c r="S4919" t="str">
        <v>#N/A</v>
      </c>
      <c r="T4919" t="str">
        <v>#N/A</v>
      </c>
    </row>
    <row r="4920" spans="1:20" ht="13.7" customHeight="1" x14ac:dyDescent="0.25">
      <c r="E4920" s="5">
        <v>43465</v>
      </c>
      <c r="F4920">
        <v>73952501</v>
      </c>
      <c r="G4920" t="s">
        <v>1091</v>
      </c>
      <c r="H4920" t="s">
        <v>1469</v>
      </c>
      <c r="I4920" t="s">
        <v>1470</v>
      </c>
      <c r="J4920">
        <v>0</v>
      </c>
      <c r="K4920">
        <v>0</v>
      </c>
      <c r="L4920" s="3">
        <v>0</v>
      </c>
      <c r="M4920" s="3">
        <v>0</v>
      </c>
      <c r="N4920">
        <v>0</v>
      </c>
      <c r="O4920">
        <v>0</v>
      </c>
      <c r="P4920">
        <v>0</v>
      </c>
      <c r="R4920" t="s">
        <v>1100</v>
      </c>
      <c r="S4920" t="str">
        <v>#N/A</v>
      </c>
      <c r="T4920" t="str">
        <v>#N/A</v>
      </c>
    </row>
    <row r="4921" spans="1:20" ht="13.7" customHeight="1" x14ac:dyDescent="0.25">
      <c r="A4921" t="s">
        <v>26</v>
      </c>
      <c r="B4921" t="s">
        <v>27</v>
      </c>
      <c r="C4921" t="s">
        <v>34</v>
      </c>
      <c r="D4921">
        <v>15</v>
      </c>
      <c r="E4921" s="5">
        <v>43563</v>
      </c>
      <c r="F4921">
        <v>73952501</v>
      </c>
      <c r="G4921" t="s">
        <v>1091</v>
      </c>
      <c r="H4921" t="s">
        <v>1469</v>
      </c>
      <c r="I4921" t="s">
        <v>1470</v>
      </c>
      <c r="J4921">
        <v>1001</v>
      </c>
      <c r="K4921">
        <v>5016</v>
      </c>
      <c r="L4921" s="3">
        <v>0</v>
      </c>
      <c r="M4921" s="3">
        <v>23900</v>
      </c>
      <c r="N4921">
        <v>0</v>
      </c>
      <c r="O4921">
        <v>0</v>
      </c>
      <c r="P4921">
        <v>23900</v>
      </c>
      <c r="Q4921" t="s">
        <v>30</v>
      </c>
      <c r="R4921" t="s">
        <v>542</v>
      </c>
      <c r="S4921" t="str">
        <v>#N/A</v>
      </c>
      <c r="T4921" t="str">
        <v>#N/A</v>
      </c>
    </row>
    <row r="4922" spans="1:20" ht="13.7" customHeight="1" x14ac:dyDescent="0.25">
      <c r="A4922" t="s">
        <v>26</v>
      </c>
      <c r="B4922" t="s">
        <v>27</v>
      </c>
      <c r="C4922" t="s">
        <v>39</v>
      </c>
      <c r="D4922">
        <v>34</v>
      </c>
      <c r="E4922" s="5">
        <v>43723</v>
      </c>
      <c r="F4922">
        <v>73952501</v>
      </c>
      <c r="G4922" t="s">
        <v>1091</v>
      </c>
      <c r="H4922" t="s">
        <v>1469</v>
      </c>
      <c r="I4922" t="s">
        <v>1470</v>
      </c>
      <c r="J4922">
        <v>1001</v>
      </c>
      <c r="K4922">
        <v>5016</v>
      </c>
      <c r="L4922" s="3">
        <v>23900</v>
      </c>
      <c r="M4922" s="3">
        <v>8800</v>
      </c>
      <c r="N4922">
        <v>0</v>
      </c>
      <c r="O4922">
        <v>0</v>
      </c>
      <c r="P4922">
        <v>32700</v>
      </c>
      <c r="Q4922" t="s">
        <v>30</v>
      </c>
      <c r="R4922" t="s">
        <v>542</v>
      </c>
      <c r="S4922" t="str">
        <v>#N/A</v>
      </c>
      <c r="T4922" t="str">
        <v>#N/A</v>
      </c>
    </row>
    <row r="4923" spans="1:20" ht="13.7" customHeight="1" x14ac:dyDescent="0.25">
      <c r="E4923" s="5">
        <v>43465</v>
      </c>
      <c r="F4923">
        <v>73952501</v>
      </c>
      <c r="G4923" t="s">
        <v>1091</v>
      </c>
      <c r="H4923" t="s">
        <v>1413</v>
      </c>
      <c r="I4923" t="s">
        <v>1414</v>
      </c>
      <c r="J4923">
        <v>0</v>
      </c>
      <c r="K4923">
        <v>0</v>
      </c>
      <c r="L4923" s="3">
        <v>73348</v>
      </c>
      <c r="M4923" s="3">
        <v>0</v>
      </c>
      <c r="N4923">
        <v>0</v>
      </c>
      <c r="O4923">
        <v>0</v>
      </c>
      <c r="P4923">
        <v>73348</v>
      </c>
      <c r="R4923" t="s">
        <v>1100</v>
      </c>
      <c r="S4923" t="str">
        <v>#N/A</v>
      </c>
      <c r="T4923" t="str">
        <v>#N/A</v>
      </c>
    </row>
    <row r="4924" spans="1:20" ht="13.7" customHeight="1" x14ac:dyDescent="0.25">
      <c r="E4924" s="5">
        <v>43465</v>
      </c>
      <c r="F4924">
        <v>73952501</v>
      </c>
      <c r="G4924" t="s">
        <v>1091</v>
      </c>
      <c r="H4924" t="s">
        <v>1286</v>
      </c>
      <c r="I4924" t="s">
        <v>1287</v>
      </c>
      <c r="J4924">
        <v>0</v>
      </c>
      <c r="K4924">
        <v>0</v>
      </c>
      <c r="L4924" s="3">
        <v>0</v>
      </c>
      <c r="M4924" s="3">
        <v>0</v>
      </c>
      <c r="N4924">
        <v>0</v>
      </c>
      <c r="O4924">
        <v>0</v>
      </c>
      <c r="P4924">
        <v>0</v>
      </c>
      <c r="R4924" t="s">
        <v>1100</v>
      </c>
      <c r="S4924" t="str">
        <v>#N/A</v>
      </c>
      <c r="T4924" t="str">
        <v>#N/A</v>
      </c>
    </row>
    <row r="4925" spans="1:20" ht="13.7" customHeight="1" x14ac:dyDescent="0.25">
      <c r="A4925" t="s">
        <v>26</v>
      </c>
      <c r="B4925" t="s">
        <v>27</v>
      </c>
      <c r="C4925" t="s">
        <v>91</v>
      </c>
      <c r="D4925">
        <v>48</v>
      </c>
      <c r="E4925" s="5">
        <v>43543</v>
      </c>
      <c r="F4925">
        <v>73952501</v>
      </c>
      <c r="G4925" t="s">
        <v>1091</v>
      </c>
      <c r="H4925" t="s">
        <v>1286</v>
      </c>
      <c r="I4925" t="s">
        <v>1287</v>
      </c>
      <c r="J4925">
        <v>1001</v>
      </c>
      <c r="K4925">
        <v>5016</v>
      </c>
      <c r="L4925" s="3">
        <v>0</v>
      </c>
      <c r="M4925" s="3">
        <v>36563</v>
      </c>
      <c r="N4925">
        <v>0</v>
      </c>
      <c r="O4925">
        <v>0</v>
      </c>
      <c r="P4925">
        <v>36563</v>
      </c>
      <c r="Q4925" t="s">
        <v>30</v>
      </c>
      <c r="R4925" t="s">
        <v>103</v>
      </c>
      <c r="S4925" t="str">
        <v>#N/A</v>
      </c>
      <c r="T4925" t="str">
        <v>#N/A</v>
      </c>
    </row>
    <row r="4926" spans="1:20" ht="13.7" customHeight="1" x14ac:dyDescent="0.25">
      <c r="A4926" t="s">
        <v>26</v>
      </c>
      <c r="B4926" t="s">
        <v>27</v>
      </c>
      <c r="C4926" t="s">
        <v>35</v>
      </c>
      <c r="D4926">
        <v>42</v>
      </c>
      <c r="E4926" s="5">
        <v>43598</v>
      </c>
      <c r="F4926">
        <v>73952501</v>
      </c>
      <c r="G4926" t="s">
        <v>1091</v>
      </c>
      <c r="H4926" t="s">
        <v>1286</v>
      </c>
      <c r="I4926" t="s">
        <v>1287</v>
      </c>
      <c r="J4926">
        <v>1001</v>
      </c>
      <c r="K4926">
        <v>5016</v>
      </c>
      <c r="L4926" s="3">
        <v>36563</v>
      </c>
      <c r="M4926" s="3">
        <v>17263</v>
      </c>
      <c r="N4926">
        <v>0</v>
      </c>
      <c r="O4926">
        <v>0</v>
      </c>
      <c r="P4926">
        <v>53826</v>
      </c>
      <c r="Q4926" t="s">
        <v>30</v>
      </c>
      <c r="R4926" t="s">
        <v>149</v>
      </c>
      <c r="S4926" t="str">
        <v>#N/A</v>
      </c>
      <c r="T4926" t="str">
        <v>#N/A</v>
      </c>
    </row>
    <row r="4927" spans="1:20" ht="13.7" customHeight="1" x14ac:dyDescent="0.25">
      <c r="A4927" t="s">
        <v>26</v>
      </c>
      <c r="B4927" t="s">
        <v>27</v>
      </c>
      <c r="C4927" t="s">
        <v>41</v>
      </c>
      <c r="D4927">
        <v>22</v>
      </c>
      <c r="E4927" s="5">
        <v>43781</v>
      </c>
      <c r="F4927">
        <v>73952501</v>
      </c>
      <c r="G4927" t="s">
        <v>1091</v>
      </c>
      <c r="H4927" t="s">
        <v>1286</v>
      </c>
      <c r="I4927" t="s">
        <v>1287</v>
      </c>
      <c r="J4927">
        <v>1001</v>
      </c>
      <c r="K4927">
        <v>5016</v>
      </c>
      <c r="L4927" s="3">
        <v>53826</v>
      </c>
      <c r="M4927" s="3">
        <v>51145</v>
      </c>
      <c r="N4927">
        <v>0</v>
      </c>
      <c r="O4927">
        <v>0</v>
      </c>
      <c r="P4927">
        <v>104971</v>
      </c>
      <c r="Q4927" t="s">
        <v>30</v>
      </c>
      <c r="R4927" t="s">
        <v>152</v>
      </c>
      <c r="S4927" t="str">
        <v>#N/A</v>
      </c>
      <c r="T4927" t="str">
        <v>#N/A</v>
      </c>
    </row>
    <row r="4928" spans="1:20" ht="13.7" customHeight="1" x14ac:dyDescent="0.25">
      <c r="E4928" s="5">
        <v>43465</v>
      </c>
      <c r="F4928">
        <v>73952501</v>
      </c>
      <c r="G4928" t="s">
        <v>1091</v>
      </c>
      <c r="H4928" t="s">
        <v>1467</v>
      </c>
      <c r="I4928" t="s">
        <v>1468</v>
      </c>
      <c r="J4928">
        <v>0</v>
      </c>
      <c r="K4928">
        <v>0</v>
      </c>
      <c r="L4928" s="3">
        <v>32850</v>
      </c>
      <c r="M4928" s="3">
        <v>0</v>
      </c>
      <c r="N4928">
        <v>0</v>
      </c>
      <c r="O4928">
        <v>0</v>
      </c>
      <c r="P4928">
        <v>32850</v>
      </c>
      <c r="R4928" t="s">
        <v>1100</v>
      </c>
      <c r="S4928" t="str">
        <v>#N/A</v>
      </c>
      <c r="T4928" t="str">
        <v>#N/A</v>
      </c>
    </row>
    <row r="4929" spans="1:20" ht="13.7" customHeight="1" x14ac:dyDescent="0.25">
      <c r="A4929" t="s">
        <v>26</v>
      </c>
      <c r="B4929" t="s">
        <v>27</v>
      </c>
      <c r="C4929" t="s">
        <v>34</v>
      </c>
      <c r="D4929">
        <v>25</v>
      </c>
      <c r="E4929" s="5">
        <v>43567</v>
      </c>
      <c r="F4929">
        <v>73952501</v>
      </c>
      <c r="G4929" t="s">
        <v>1091</v>
      </c>
      <c r="H4929" t="s">
        <v>1467</v>
      </c>
      <c r="I4929" t="s">
        <v>1468</v>
      </c>
      <c r="J4929">
        <v>1001</v>
      </c>
      <c r="K4929">
        <v>5016</v>
      </c>
      <c r="L4929" s="3">
        <v>32850</v>
      </c>
      <c r="M4929" s="3">
        <v>33400</v>
      </c>
      <c r="N4929">
        <v>0</v>
      </c>
      <c r="O4929">
        <v>0</v>
      </c>
      <c r="P4929">
        <v>66250</v>
      </c>
      <c r="Q4929" t="s">
        <v>30</v>
      </c>
      <c r="R4929" t="s">
        <v>59</v>
      </c>
      <c r="S4929" t="str">
        <v>#N/A</v>
      </c>
      <c r="T4929" t="str">
        <v>#N/A</v>
      </c>
    </row>
    <row r="4930" spans="1:20" ht="13.7" customHeight="1" x14ac:dyDescent="0.25">
      <c r="A4930" t="s">
        <v>26</v>
      </c>
      <c r="B4930" t="s">
        <v>27</v>
      </c>
      <c r="C4930" t="s">
        <v>34</v>
      </c>
      <c r="D4930">
        <v>37</v>
      </c>
      <c r="E4930" s="5">
        <v>43571</v>
      </c>
      <c r="F4930">
        <v>73952501</v>
      </c>
      <c r="G4930" t="s">
        <v>1091</v>
      </c>
      <c r="H4930" t="s">
        <v>1467</v>
      </c>
      <c r="I4930" t="s">
        <v>1468</v>
      </c>
      <c r="J4930">
        <v>1001</v>
      </c>
      <c r="K4930">
        <v>5016</v>
      </c>
      <c r="L4930" s="3">
        <v>66250</v>
      </c>
      <c r="M4930" s="3">
        <v>20400</v>
      </c>
      <c r="N4930">
        <v>0</v>
      </c>
      <c r="O4930">
        <v>0</v>
      </c>
      <c r="P4930">
        <v>86650</v>
      </c>
      <c r="Q4930" t="s">
        <v>30</v>
      </c>
      <c r="R4930" t="s">
        <v>59</v>
      </c>
      <c r="S4930" t="str">
        <v>#N/A</v>
      </c>
      <c r="T4930" t="str">
        <v>#N/A</v>
      </c>
    </row>
    <row r="4931" spans="1:20" ht="13.7" customHeight="1" x14ac:dyDescent="0.25">
      <c r="A4931" t="s">
        <v>26</v>
      </c>
      <c r="B4931" t="s">
        <v>27</v>
      </c>
      <c r="C4931" t="s">
        <v>34</v>
      </c>
      <c r="D4931">
        <v>38</v>
      </c>
      <c r="E4931" s="5">
        <v>43571</v>
      </c>
      <c r="F4931">
        <v>73952501</v>
      </c>
      <c r="G4931" t="s">
        <v>1091</v>
      </c>
      <c r="H4931" t="s">
        <v>1467</v>
      </c>
      <c r="I4931" t="s">
        <v>1468</v>
      </c>
      <c r="J4931">
        <v>1001</v>
      </c>
      <c r="K4931">
        <v>5016</v>
      </c>
      <c r="L4931" s="3">
        <v>86650</v>
      </c>
      <c r="M4931" s="3">
        <v>7450</v>
      </c>
      <c r="N4931">
        <v>0</v>
      </c>
      <c r="O4931">
        <v>0</v>
      </c>
      <c r="P4931">
        <v>94100</v>
      </c>
      <c r="Q4931" t="s">
        <v>30</v>
      </c>
      <c r="R4931" t="s">
        <v>59</v>
      </c>
      <c r="S4931" t="str">
        <v>#N/A</v>
      </c>
      <c r="T4931" t="str">
        <v>#N/A</v>
      </c>
    </row>
    <row r="4932" spans="1:20" ht="13.7" customHeight="1" x14ac:dyDescent="0.25">
      <c r="A4932" t="s">
        <v>26</v>
      </c>
      <c r="B4932" t="s">
        <v>27</v>
      </c>
      <c r="C4932" t="s">
        <v>35</v>
      </c>
      <c r="D4932">
        <v>10</v>
      </c>
      <c r="E4932" s="5">
        <v>43587</v>
      </c>
      <c r="F4932">
        <v>73952501</v>
      </c>
      <c r="G4932" t="s">
        <v>1091</v>
      </c>
      <c r="H4932" t="s">
        <v>1467</v>
      </c>
      <c r="I4932" t="s">
        <v>1468</v>
      </c>
      <c r="J4932">
        <v>1001</v>
      </c>
      <c r="K4932">
        <v>5016</v>
      </c>
      <c r="L4932" s="3">
        <v>94100</v>
      </c>
      <c r="M4932" s="3">
        <v>6900</v>
      </c>
      <c r="N4932">
        <v>0</v>
      </c>
      <c r="O4932">
        <v>0</v>
      </c>
      <c r="P4932">
        <v>101000</v>
      </c>
      <c r="Q4932" t="s">
        <v>30</v>
      </c>
      <c r="R4932" t="s">
        <v>125</v>
      </c>
      <c r="S4932" t="str">
        <v>#N/A</v>
      </c>
      <c r="T4932" t="str">
        <v>#N/A</v>
      </c>
    </row>
    <row r="4933" spans="1:20" ht="13.7" customHeight="1" x14ac:dyDescent="0.25">
      <c r="A4933" t="s">
        <v>26</v>
      </c>
      <c r="B4933" t="s">
        <v>27</v>
      </c>
      <c r="C4933" t="s">
        <v>35</v>
      </c>
      <c r="D4933">
        <v>76</v>
      </c>
      <c r="E4933" s="5">
        <v>43608</v>
      </c>
      <c r="F4933">
        <v>73952501</v>
      </c>
      <c r="G4933" t="s">
        <v>1091</v>
      </c>
      <c r="H4933" t="s">
        <v>1467</v>
      </c>
      <c r="I4933" t="s">
        <v>1468</v>
      </c>
      <c r="J4933">
        <v>1001</v>
      </c>
      <c r="K4933">
        <v>5016</v>
      </c>
      <c r="L4933" s="3">
        <v>101000</v>
      </c>
      <c r="M4933" s="3">
        <v>16400</v>
      </c>
      <c r="N4933">
        <v>0</v>
      </c>
      <c r="O4933">
        <v>0</v>
      </c>
      <c r="P4933">
        <v>117400</v>
      </c>
      <c r="Q4933" t="s">
        <v>30</v>
      </c>
      <c r="R4933" t="s">
        <v>59</v>
      </c>
      <c r="S4933" t="str">
        <v>#N/A</v>
      </c>
      <c r="T4933" t="str">
        <v>#N/A</v>
      </c>
    </row>
    <row r="4934" spans="1:20" ht="13.7" customHeight="1" x14ac:dyDescent="0.25">
      <c r="A4934" t="s">
        <v>26</v>
      </c>
      <c r="B4934" t="s">
        <v>27</v>
      </c>
      <c r="C4934" t="s">
        <v>35</v>
      </c>
      <c r="D4934">
        <v>77</v>
      </c>
      <c r="E4934" s="5">
        <v>43608</v>
      </c>
      <c r="F4934">
        <v>73952501</v>
      </c>
      <c r="G4934" t="s">
        <v>1091</v>
      </c>
      <c r="H4934" t="s">
        <v>1467</v>
      </c>
      <c r="I4934" t="s">
        <v>1468</v>
      </c>
      <c r="J4934">
        <v>1001</v>
      </c>
      <c r="K4934">
        <v>5016</v>
      </c>
      <c r="L4934" s="3">
        <v>117400</v>
      </c>
      <c r="M4934" s="3">
        <v>2500</v>
      </c>
      <c r="N4934">
        <v>0</v>
      </c>
      <c r="O4934">
        <v>0</v>
      </c>
      <c r="P4934">
        <v>119900</v>
      </c>
      <c r="Q4934" t="s">
        <v>30</v>
      </c>
      <c r="R4934" t="s">
        <v>59</v>
      </c>
      <c r="S4934" t="str">
        <v>#N/A</v>
      </c>
      <c r="T4934" t="str">
        <v>#N/A</v>
      </c>
    </row>
    <row r="4935" spans="1:20" ht="13.7" customHeight="1" x14ac:dyDescent="0.25">
      <c r="A4935" t="s">
        <v>26</v>
      </c>
      <c r="B4935" t="s">
        <v>27</v>
      </c>
      <c r="C4935" t="s">
        <v>35</v>
      </c>
      <c r="D4935">
        <v>90</v>
      </c>
      <c r="E4935" s="5">
        <v>43614</v>
      </c>
      <c r="F4935">
        <v>73952501</v>
      </c>
      <c r="G4935" t="s">
        <v>1091</v>
      </c>
      <c r="H4935" t="s">
        <v>1467</v>
      </c>
      <c r="I4935" t="s">
        <v>1468</v>
      </c>
      <c r="J4935">
        <v>1001</v>
      </c>
      <c r="K4935">
        <v>5016</v>
      </c>
      <c r="L4935" s="3">
        <v>119900</v>
      </c>
      <c r="M4935" s="3">
        <v>2700</v>
      </c>
      <c r="N4935">
        <v>0</v>
      </c>
      <c r="O4935">
        <v>0</v>
      </c>
      <c r="P4935">
        <v>122600</v>
      </c>
      <c r="Q4935" t="s">
        <v>30</v>
      </c>
      <c r="R4935" t="s">
        <v>59</v>
      </c>
      <c r="S4935" t="str">
        <v>#N/A</v>
      </c>
      <c r="T4935" t="str">
        <v>#N/A</v>
      </c>
    </row>
    <row r="4936" spans="1:20" ht="13.7" customHeight="1" x14ac:dyDescent="0.25">
      <c r="A4936" t="s">
        <v>26</v>
      </c>
      <c r="B4936" t="s">
        <v>27</v>
      </c>
      <c r="C4936" t="s">
        <v>35</v>
      </c>
      <c r="D4936">
        <v>91</v>
      </c>
      <c r="E4936" s="5">
        <v>43614</v>
      </c>
      <c r="F4936">
        <v>73952501</v>
      </c>
      <c r="G4936" t="s">
        <v>1091</v>
      </c>
      <c r="H4936" t="s">
        <v>1467</v>
      </c>
      <c r="I4936" t="s">
        <v>1468</v>
      </c>
      <c r="J4936">
        <v>1001</v>
      </c>
      <c r="K4936">
        <v>5016</v>
      </c>
      <c r="L4936" s="3">
        <v>122600</v>
      </c>
      <c r="M4936" s="3">
        <v>17100</v>
      </c>
      <c r="N4936">
        <v>0</v>
      </c>
      <c r="O4936">
        <v>0</v>
      </c>
      <c r="P4936">
        <v>139700</v>
      </c>
      <c r="Q4936" t="s">
        <v>30</v>
      </c>
      <c r="R4936" t="s">
        <v>59</v>
      </c>
      <c r="S4936" t="str">
        <v>#N/A</v>
      </c>
      <c r="T4936" t="str">
        <v>#N/A</v>
      </c>
    </row>
    <row r="4937" spans="1:20" ht="13.7" customHeight="1" x14ac:dyDescent="0.25">
      <c r="A4937" t="s">
        <v>26</v>
      </c>
      <c r="B4937" t="s">
        <v>27</v>
      </c>
      <c r="C4937" t="s">
        <v>35</v>
      </c>
      <c r="D4937">
        <v>93</v>
      </c>
      <c r="E4937" s="5">
        <v>43615</v>
      </c>
      <c r="F4937">
        <v>73952501</v>
      </c>
      <c r="G4937" t="s">
        <v>1091</v>
      </c>
      <c r="H4937" t="s">
        <v>1467</v>
      </c>
      <c r="I4937" t="s">
        <v>1468</v>
      </c>
      <c r="J4937">
        <v>1001</v>
      </c>
      <c r="K4937">
        <v>5016</v>
      </c>
      <c r="L4937" s="3">
        <v>139700</v>
      </c>
      <c r="M4937" s="3">
        <v>12300</v>
      </c>
      <c r="N4937">
        <v>0</v>
      </c>
      <c r="O4937">
        <v>0</v>
      </c>
      <c r="P4937">
        <v>152000</v>
      </c>
      <c r="Q4937" t="s">
        <v>30</v>
      </c>
      <c r="R4937" t="s">
        <v>59</v>
      </c>
      <c r="S4937" t="str">
        <v>#N/A</v>
      </c>
      <c r="T4937" t="str">
        <v>#N/A</v>
      </c>
    </row>
    <row r="4938" spans="1:20" ht="13.7" customHeight="1" x14ac:dyDescent="0.25">
      <c r="A4938" t="s">
        <v>26</v>
      </c>
      <c r="B4938" t="s">
        <v>27</v>
      </c>
      <c r="C4938" t="s">
        <v>36</v>
      </c>
      <c r="D4938">
        <v>14</v>
      </c>
      <c r="E4938" s="5">
        <v>43621</v>
      </c>
      <c r="F4938">
        <v>73952501</v>
      </c>
      <c r="G4938" t="s">
        <v>1091</v>
      </c>
      <c r="H4938" t="s">
        <v>1467</v>
      </c>
      <c r="I4938" t="s">
        <v>1468</v>
      </c>
      <c r="J4938">
        <v>1001</v>
      </c>
      <c r="K4938">
        <v>5016</v>
      </c>
      <c r="L4938" s="3">
        <v>152000</v>
      </c>
      <c r="M4938" s="3">
        <v>16500</v>
      </c>
      <c r="N4938">
        <v>0</v>
      </c>
      <c r="O4938">
        <v>0</v>
      </c>
      <c r="P4938">
        <v>168500</v>
      </c>
      <c r="Q4938" t="s">
        <v>30</v>
      </c>
      <c r="R4938" t="s">
        <v>59</v>
      </c>
      <c r="S4938" t="str">
        <v>#N/A</v>
      </c>
      <c r="T4938" t="str">
        <v>#N/A</v>
      </c>
    </row>
    <row r="4939" spans="1:20" ht="13.7" customHeight="1" x14ac:dyDescent="0.25">
      <c r="A4939" t="s">
        <v>26</v>
      </c>
      <c r="B4939" t="s">
        <v>27</v>
      </c>
      <c r="C4939" t="s">
        <v>37</v>
      </c>
      <c r="D4939">
        <v>6</v>
      </c>
      <c r="E4939" s="5">
        <v>43649</v>
      </c>
      <c r="F4939">
        <v>73952501</v>
      </c>
      <c r="G4939" t="s">
        <v>1091</v>
      </c>
      <c r="H4939" t="s">
        <v>1467</v>
      </c>
      <c r="I4939" t="s">
        <v>1468</v>
      </c>
      <c r="J4939">
        <v>1001</v>
      </c>
      <c r="K4939">
        <v>5016</v>
      </c>
      <c r="L4939" s="3">
        <v>168500</v>
      </c>
      <c r="M4939" s="3">
        <v>25850</v>
      </c>
      <c r="N4939">
        <v>0</v>
      </c>
      <c r="O4939">
        <v>0</v>
      </c>
      <c r="P4939">
        <v>194350</v>
      </c>
      <c r="Q4939" t="s">
        <v>30</v>
      </c>
      <c r="R4939" t="s">
        <v>59</v>
      </c>
      <c r="S4939" t="str">
        <v>#N/A</v>
      </c>
      <c r="T4939" t="str">
        <v>#N/A</v>
      </c>
    </row>
    <row r="4940" spans="1:20" ht="13.7" customHeight="1" x14ac:dyDescent="0.25">
      <c r="A4940" t="s">
        <v>26</v>
      </c>
      <c r="B4940" t="s">
        <v>27</v>
      </c>
      <c r="C4940" t="s">
        <v>38</v>
      </c>
      <c r="D4940">
        <v>27</v>
      </c>
      <c r="E4940" s="5">
        <v>43691</v>
      </c>
      <c r="F4940">
        <v>73952501</v>
      </c>
      <c r="G4940" t="s">
        <v>1091</v>
      </c>
      <c r="H4940" t="s">
        <v>1467</v>
      </c>
      <c r="I4940" t="s">
        <v>1468</v>
      </c>
      <c r="J4940">
        <v>1001</v>
      </c>
      <c r="K4940">
        <v>5016</v>
      </c>
      <c r="L4940" s="3">
        <v>194350</v>
      </c>
      <c r="M4940" s="3">
        <v>18400</v>
      </c>
      <c r="N4940">
        <v>0</v>
      </c>
      <c r="O4940">
        <v>0</v>
      </c>
      <c r="P4940">
        <v>212750</v>
      </c>
      <c r="Q4940" t="s">
        <v>30</v>
      </c>
      <c r="R4940" t="s">
        <v>59</v>
      </c>
      <c r="S4940" t="str">
        <v>#N/A</v>
      </c>
      <c r="T4940" t="str">
        <v>#N/A</v>
      </c>
    </row>
    <row r="4941" spans="1:20" ht="13.7" customHeight="1" x14ac:dyDescent="0.25">
      <c r="A4941" t="s">
        <v>26</v>
      </c>
      <c r="B4941" t="s">
        <v>27</v>
      </c>
      <c r="C4941" t="s">
        <v>38</v>
      </c>
      <c r="D4941">
        <v>41</v>
      </c>
      <c r="E4941" s="5">
        <v>43700</v>
      </c>
      <c r="F4941">
        <v>73952501</v>
      </c>
      <c r="G4941" t="s">
        <v>1091</v>
      </c>
      <c r="H4941" t="s">
        <v>1467</v>
      </c>
      <c r="I4941" t="s">
        <v>1468</v>
      </c>
      <c r="J4941">
        <v>1001</v>
      </c>
      <c r="K4941">
        <v>5016</v>
      </c>
      <c r="L4941" s="3">
        <v>212750</v>
      </c>
      <c r="M4941" s="3">
        <v>5700</v>
      </c>
      <c r="N4941">
        <v>0</v>
      </c>
      <c r="O4941">
        <v>0</v>
      </c>
      <c r="P4941">
        <v>218450</v>
      </c>
      <c r="Q4941" t="s">
        <v>30</v>
      </c>
      <c r="R4941" t="s">
        <v>59</v>
      </c>
      <c r="S4941" t="str">
        <v>#N/A</v>
      </c>
      <c r="T4941" t="str">
        <v>#N/A</v>
      </c>
    </row>
    <row r="4942" spans="1:20" ht="13.7" customHeight="1" x14ac:dyDescent="0.25">
      <c r="A4942" t="s">
        <v>26</v>
      </c>
      <c r="B4942" t="s">
        <v>27</v>
      </c>
      <c r="C4942" t="s">
        <v>38</v>
      </c>
      <c r="D4942">
        <v>47</v>
      </c>
      <c r="E4942" s="5">
        <v>43704</v>
      </c>
      <c r="F4942">
        <v>73952501</v>
      </c>
      <c r="G4942" t="s">
        <v>1091</v>
      </c>
      <c r="H4942" t="s">
        <v>1467</v>
      </c>
      <c r="I4942" t="s">
        <v>1468</v>
      </c>
      <c r="J4942">
        <v>1001</v>
      </c>
      <c r="K4942">
        <v>5016</v>
      </c>
      <c r="L4942" s="3">
        <v>218450</v>
      </c>
      <c r="M4942" s="3">
        <v>11500</v>
      </c>
      <c r="N4942">
        <v>0</v>
      </c>
      <c r="O4942">
        <v>0</v>
      </c>
      <c r="P4942">
        <v>229950</v>
      </c>
      <c r="Q4942" t="s">
        <v>30</v>
      </c>
      <c r="R4942" t="s">
        <v>59</v>
      </c>
      <c r="S4942" t="str">
        <v>#N/A</v>
      </c>
      <c r="T4942" t="str">
        <v>#N/A</v>
      </c>
    </row>
    <row r="4943" spans="1:20" ht="13.7" customHeight="1" x14ac:dyDescent="0.25">
      <c r="A4943" t="s">
        <v>26</v>
      </c>
      <c r="B4943" t="s">
        <v>27</v>
      </c>
      <c r="C4943" t="s">
        <v>39</v>
      </c>
      <c r="D4943">
        <v>3</v>
      </c>
      <c r="E4943" s="5">
        <v>43710</v>
      </c>
      <c r="F4943">
        <v>73952501</v>
      </c>
      <c r="G4943" t="s">
        <v>1091</v>
      </c>
      <c r="H4943" t="s">
        <v>1467</v>
      </c>
      <c r="I4943" t="s">
        <v>1468</v>
      </c>
      <c r="J4943">
        <v>1001</v>
      </c>
      <c r="K4943">
        <v>5016</v>
      </c>
      <c r="L4943" s="3">
        <v>229950</v>
      </c>
      <c r="M4943" s="3">
        <v>6900</v>
      </c>
      <c r="N4943">
        <v>0</v>
      </c>
      <c r="O4943">
        <v>0</v>
      </c>
      <c r="P4943">
        <v>236850</v>
      </c>
      <c r="Q4943" t="s">
        <v>30</v>
      </c>
      <c r="R4943" t="s">
        <v>59</v>
      </c>
      <c r="S4943" t="str">
        <v>#N/A</v>
      </c>
      <c r="T4943" t="str">
        <v>#N/A</v>
      </c>
    </row>
    <row r="4944" spans="1:20" ht="13.7" customHeight="1" x14ac:dyDescent="0.25">
      <c r="A4944" t="s">
        <v>26</v>
      </c>
      <c r="B4944" t="s">
        <v>27</v>
      </c>
      <c r="C4944" t="s">
        <v>39</v>
      </c>
      <c r="D4944">
        <v>4</v>
      </c>
      <c r="E4944" s="5">
        <v>43710</v>
      </c>
      <c r="F4944">
        <v>73952501</v>
      </c>
      <c r="G4944" t="s">
        <v>1091</v>
      </c>
      <c r="H4944" t="s">
        <v>1467</v>
      </c>
      <c r="I4944" t="s">
        <v>1468</v>
      </c>
      <c r="J4944">
        <v>1001</v>
      </c>
      <c r="K4944">
        <v>5016</v>
      </c>
      <c r="L4944" s="3">
        <v>236850</v>
      </c>
      <c r="M4944" s="3">
        <v>13800</v>
      </c>
      <c r="N4944">
        <v>0</v>
      </c>
      <c r="O4944">
        <v>0</v>
      </c>
      <c r="P4944">
        <v>250650</v>
      </c>
      <c r="Q4944" t="s">
        <v>30</v>
      </c>
      <c r="R4944" t="s">
        <v>59</v>
      </c>
      <c r="S4944" t="str">
        <v>#N/A</v>
      </c>
      <c r="T4944" t="str">
        <v>#N/A</v>
      </c>
    </row>
    <row r="4945" spans="1:20" ht="13.7" customHeight="1" x14ac:dyDescent="0.25">
      <c r="A4945" t="s">
        <v>26</v>
      </c>
      <c r="B4945" t="s">
        <v>27</v>
      </c>
      <c r="C4945" t="s">
        <v>39</v>
      </c>
      <c r="D4945">
        <v>11</v>
      </c>
      <c r="E4945" s="5">
        <v>43713</v>
      </c>
      <c r="F4945">
        <v>73952501</v>
      </c>
      <c r="G4945" t="s">
        <v>1091</v>
      </c>
      <c r="H4945" t="s">
        <v>1467</v>
      </c>
      <c r="I4945" t="s">
        <v>1468</v>
      </c>
      <c r="J4945">
        <v>1001</v>
      </c>
      <c r="K4945">
        <v>5016</v>
      </c>
      <c r="L4945" s="3">
        <v>250650</v>
      </c>
      <c r="M4945" s="3">
        <v>13800</v>
      </c>
      <c r="N4945">
        <v>0</v>
      </c>
      <c r="O4945">
        <v>0</v>
      </c>
      <c r="P4945">
        <v>264450</v>
      </c>
      <c r="Q4945" t="s">
        <v>30</v>
      </c>
      <c r="R4945" t="s">
        <v>59</v>
      </c>
      <c r="S4945" t="str">
        <v>#N/A</v>
      </c>
      <c r="T4945" t="str">
        <v>#N/A</v>
      </c>
    </row>
    <row r="4946" spans="1:20" ht="13.7" customHeight="1" x14ac:dyDescent="0.25">
      <c r="A4946" t="s">
        <v>26</v>
      </c>
      <c r="B4946" t="s">
        <v>27</v>
      </c>
      <c r="C4946" t="s">
        <v>39</v>
      </c>
      <c r="D4946">
        <v>20</v>
      </c>
      <c r="E4946" s="5">
        <v>43719</v>
      </c>
      <c r="F4946">
        <v>73952501</v>
      </c>
      <c r="G4946" t="s">
        <v>1091</v>
      </c>
      <c r="H4946" t="s">
        <v>1467</v>
      </c>
      <c r="I4946" t="s">
        <v>1468</v>
      </c>
      <c r="J4946">
        <v>1001</v>
      </c>
      <c r="K4946">
        <v>5016</v>
      </c>
      <c r="L4946" s="3">
        <v>264450</v>
      </c>
      <c r="M4946" s="3">
        <v>11000</v>
      </c>
      <c r="N4946">
        <v>0</v>
      </c>
      <c r="O4946">
        <v>0</v>
      </c>
      <c r="P4946">
        <v>275450</v>
      </c>
      <c r="Q4946" t="s">
        <v>30</v>
      </c>
      <c r="R4946" t="s">
        <v>59</v>
      </c>
      <c r="S4946" t="str">
        <v>#N/A</v>
      </c>
      <c r="T4946" t="str">
        <v>#N/A</v>
      </c>
    </row>
    <row r="4947" spans="1:20" ht="13.7" customHeight="1" x14ac:dyDescent="0.25">
      <c r="A4947" t="s">
        <v>26</v>
      </c>
      <c r="B4947" t="s">
        <v>27</v>
      </c>
      <c r="C4947" t="s">
        <v>39</v>
      </c>
      <c r="D4947">
        <v>21</v>
      </c>
      <c r="E4947" s="5">
        <v>43719</v>
      </c>
      <c r="F4947">
        <v>73952501</v>
      </c>
      <c r="G4947" t="s">
        <v>1091</v>
      </c>
      <c r="H4947" t="s">
        <v>1467</v>
      </c>
      <c r="I4947" t="s">
        <v>1468</v>
      </c>
      <c r="J4947">
        <v>1001</v>
      </c>
      <c r="K4947">
        <v>5016</v>
      </c>
      <c r="L4947" s="3">
        <v>275450</v>
      </c>
      <c r="M4947" s="3">
        <v>12100</v>
      </c>
      <c r="N4947">
        <v>0</v>
      </c>
      <c r="O4947">
        <v>0</v>
      </c>
      <c r="P4947">
        <v>287550</v>
      </c>
      <c r="Q4947" t="s">
        <v>30</v>
      </c>
      <c r="R4947" t="s">
        <v>59</v>
      </c>
      <c r="S4947" t="str">
        <v>#N/A</v>
      </c>
      <c r="T4947" t="str">
        <v>#N/A</v>
      </c>
    </row>
    <row r="4948" spans="1:20" ht="13.7" customHeight="1" x14ac:dyDescent="0.25">
      <c r="A4948" t="s">
        <v>26</v>
      </c>
      <c r="B4948" t="s">
        <v>27</v>
      </c>
      <c r="C4948" t="s">
        <v>39</v>
      </c>
      <c r="D4948">
        <v>24</v>
      </c>
      <c r="E4948" s="5">
        <v>43721</v>
      </c>
      <c r="F4948">
        <v>73952501</v>
      </c>
      <c r="G4948" t="s">
        <v>1091</v>
      </c>
      <c r="H4948" t="s">
        <v>1467</v>
      </c>
      <c r="I4948" t="s">
        <v>1468</v>
      </c>
      <c r="J4948">
        <v>1001</v>
      </c>
      <c r="K4948">
        <v>5016</v>
      </c>
      <c r="L4948" s="3">
        <v>287550</v>
      </c>
      <c r="M4948" s="3">
        <v>13800</v>
      </c>
      <c r="N4948">
        <v>0</v>
      </c>
      <c r="O4948">
        <v>0</v>
      </c>
      <c r="P4948">
        <v>301350</v>
      </c>
      <c r="Q4948" t="s">
        <v>30</v>
      </c>
      <c r="R4948" t="s">
        <v>59</v>
      </c>
      <c r="S4948" t="str">
        <v>#N/A</v>
      </c>
      <c r="T4948" t="str">
        <v>#N/A</v>
      </c>
    </row>
    <row r="4949" spans="1:20" ht="13.7" customHeight="1" x14ac:dyDescent="0.25">
      <c r="A4949" t="s">
        <v>26</v>
      </c>
      <c r="B4949" t="s">
        <v>27</v>
      </c>
      <c r="C4949" t="s">
        <v>39</v>
      </c>
      <c r="D4949">
        <v>25</v>
      </c>
      <c r="E4949" s="5">
        <v>43721</v>
      </c>
      <c r="F4949">
        <v>73952501</v>
      </c>
      <c r="G4949" t="s">
        <v>1091</v>
      </c>
      <c r="H4949" t="s">
        <v>1467</v>
      </c>
      <c r="I4949" t="s">
        <v>1468</v>
      </c>
      <c r="J4949">
        <v>1001</v>
      </c>
      <c r="K4949">
        <v>5016</v>
      </c>
      <c r="L4949" s="3">
        <v>301350</v>
      </c>
      <c r="M4949" s="3">
        <v>1550</v>
      </c>
      <c r="N4949">
        <v>0</v>
      </c>
      <c r="O4949">
        <v>0</v>
      </c>
      <c r="P4949">
        <v>302900</v>
      </c>
      <c r="Q4949" t="s">
        <v>30</v>
      </c>
      <c r="R4949" t="s">
        <v>59</v>
      </c>
      <c r="S4949" t="str">
        <v>#N/A</v>
      </c>
      <c r="T4949" t="str">
        <v>#N/A</v>
      </c>
    </row>
    <row r="4950" spans="1:20" ht="13.7" customHeight="1" x14ac:dyDescent="0.25">
      <c r="A4950" t="s">
        <v>26</v>
      </c>
      <c r="B4950" t="s">
        <v>27</v>
      </c>
      <c r="C4950" t="s">
        <v>40</v>
      </c>
      <c r="D4950">
        <v>10</v>
      </c>
      <c r="E4950" s="5">
        <v>43745</v>
      </c>
      <c r="F4950">
        <v>73952501</v>
      </c>
      <c r="G4950" t="s">
        <v>1091</v>
      </c>
      <c r="H4950" t="s">
        <v>1467</v>
      </c>
      <c r="I4950" t="s">
        <v>1468</v>
      </c>
      <c r="J4950">
        <v>1001</v>
      </c>
      <c r="K4950">
        <v>5016</v>
      </c>
      <c r="L4950" s="3">
        <v>302900</v>
      </c>
      <c r="M4950" s="3">
        <v>6800</v>
      </c>
      <c r="N4950">
        <v>0</v>
      </c>
      <c r="O4950">
        <v>0</v>
      </c>
      <c r="P4950">
        <v>309700</v>
      </c>
      <c r="Q4950" t="s">
        <v>30</v>
      </c>
      <c r="R4950" t="s">
        <v>59</v>
      </c>
      <c r="S4950" t="str">
        <v>#N/A</v>
      </c>
      <c r="T4950" t="str">
        <v>#N/A</v>
      </c>
    </row>
    <row r="4951" spans="1:20" ht="13.7" customHeight="1" x14ac:dyDescent="0.25">
      <c r="A4951" t="s">
        <v>26</v>
      </c>
      <c r="B4951" t="s">
        <v>27</v>
      </c>
      <c r="C4951" t="s">
        <v>40</v>
      </c>
      <c r="D4951">
        <v>28</v>
      </c>
      <c r="E4951" s="5">
        <v>43754</v>
      </c>
      <c r="F4951">
        <v>73952501</v>
      </c>
      <c r="G4951" t="s">
        <v>1091</v>
      </c>
      <c r="H4951" t="s">
        <v>1467</v>
      </c>
      <c r="I4951" t="s">
        <v>1468</v>
      </c>
      <c r="J4951">
        <v>1001</v>
      </c>
      <c r="K4951">
        <v>5016</v>
      </c>
      <c r="L4951" s="3">
        <v>309700</v>
      </c>
      <c r="M4951" s="3">
        <v>32450</v>
      </c>
      <c r="N4951">
        <v>0</v>
      </c>
      <c r="O4951">
        <v>0</v>
      </c>
      <c r="P4951">
        <v>342150</v>
      </c>
      <c r="Q4951" t="s">
        <v>30</v>
      </c>
      <c r="R4951" t="s">
        <v>59</v>
      </c>
      <c r="S4951" t="str">
        <v>#N/A</v>
      </c>
      <c r="T4951" t="str">
        <v>#N/A</v>
      </c>
    </row>
    <row r="4952" spans="1:20" ht="13.7" customHeight="1" x14ac:dyDescent="0.25">
      <c r="A4952" t="s">
        <v>26</v>
      </c>
      <c r="B4952" t="s">
        <v>27</v>
      </c>
      <c r="C4952" t="s">
        <v>40</v>
      </c>
      <c r="D4952">
        <v>36</v>
      </c>
      <c r="E4952" s="5">
        <v>43756</v>
      </c>
      <c r="F4952">
        <v>73952501</v>
      </c>
      <c r="G4952" t="s">
        <v>1091</v>
      </c>
      <c r="H4952" t="s">
        <v>1467</v>
      </c>
      <c r="I4952" t="s">
        <v>1468</v>
      </c>
      <c r="J4952">
        <v>1001</v>
      </c>
      <c r="K4952">
        <v>5016</v>
      </c>
      <c r="L4952" s="3">
        <v>342150</v>
      </c>
      <c r="M4952" s="3">
        <v>11750</v>
      </c>
      <c r="N4952">
        <v>0</v>
      </c>
      <c r="O4952">
        <v>0</v>
      </c>
      <c r="P4952">
        <v>353900</v>
      </c>
      <c r="Q4952" t="s">
        <v>30</v>
      </c>
      <c r="R4952" t="s">
        <v>59</v>
      </c>
      <c r="S4952" t="str">
        <v>#N/A</v>
      </c>
      <c r="T4952" t="str">
        <v>#N/A</v>
      </c>
    </row>
    <row r="4953" spans="1:20" ht="13.7" customHeight="1" x14ac:dyDescent="0.25">
      <c r="A4953" t="s">
        <v>26</v>
      </c>
      <c r="B4953" t="s">
        <v>27</v>
      </c>
      <c r="C4953" t="s">
        <v>40</v>
      </c>
      <c r="D4953">
        <v>53</v>
      </c>
      <c r="E4953" s="5">
        <v>43766</v>
      </c>
      <c r="F4953">
        <v>73952501</v>
      </c>
      <c r="G4953" t="s">
        <v>1091</v>
      </c>
      <c r="H4953" t="s">
        <v>1467</v>
      </c>
      <c r="I4953" t="s">
        <v>1468</v>
      </c>
      <c r="J4953">
        <v>1001</v>
      </c>
      <c r="K4953">
        <v>5016</v>
      </c>
      <c r="L4953" s="3">
        <v>353900</v>
      </c>
      <c r="M4953" s="3">
        <v>2500</v>
      </c>
      <c r="N4953">
        <v>0</v>
      </c>
      <c r="O4953">
        <v>0</v>
      </c>
      <c r="P4953">
        <v>356400</v>
      </c>
      <c r="Q4953" t="s">
        <v>30</v>
      </c>
      <c r="R4953" t="s">
        <v>59</v>
      </c>
      <c r="S4953" t="str">
        <v>#N/A</v>
      </c>
      <c r="T4953" t="str">
        <v>#N/A</v>
      </c>
    </row>
    <row r="4954" spans="1:20" ht="13.7" customHeight="1" x14ac:dyDescent="0.25">
      <c r="A4954" t="s">
        <v>26</v>
      </c>
      <c r="B4954" t="s">
        <v>27</v>
      </c>
      <c r="C4954" t="s">
        <v>41</v>
      </c>
      <c r="D4954">
        <v>12</v>
      </c>
      <c r="E4954" s="5">
        <v>43775</v>
      </c>
      <c r="F4954">
        <v>73952501</v>
      </c>
      <c r="G4954" t="s">
        <v>1091</v>
      </c>
      <c r="H4954" t="s">
        <v>1467</v>
      </c>
      <c r="I4954" t="s">
        <v>1468</v>
      </c>
      <c r="J4954">
        <v>1001</v>
      </c>
      <c r="K4954">
        <v>5016</v>
      </c>
      <c r="L4954" s="3">
        <v>356400</v>
      </c>
      <c r="M4954" s="3">
        <v>18350</v>
      </c>
      <c r="N4954">
        <v>0</v>
      </c>
      <c r="O4954">
        <v>0</v>
      </c>
      <c r="P4954">
        <v>374750</v>
      </c>
      <c r="Q4954" t="s">
        <v>30</v>
      </c>
      <c r="R4954" t="s">
        <v>59</v>
      </c>
      <c r="S4954" t="str">
        <v>#N/A</v>
      </c>
      <c r="T4954" t="str">
        <v>#N/A</v>
      </c>
    </row>
    <row r="4955" spans="1:20" ht="13.7" customHeight="1" x14ac:dyDescent="0.25">
      <c r="A4955" t="s">
        <v>26</v>
      </c>
      <c r="B4955" t="s">
        <v>27</v>
      </c>
      <c r="C4955" t="s">
        <v>41</v>
      </c>
      <c r="D4955">
        <v>34</v>
      </c>
      <c r="E4955" s="5">
        <v>43783</v>
      </c>
      <c r="F4955">
        <v>73952501</v>
      </c>
      <c r="G4955" t="s">
        <v>1091</v>
      </c>
      <c r="H4955" t="s">
        <v>1467</v>
      </c>
      <c r="I4955" t="s">
        <v>1468</v>
      </c>
      <c r="J4955">
        <v>1001</v>
      </c>
      <c r="K4955">
        <v>5016</v>
      </c>
      <c r="L4955" s="3">
        <v>374750</v>
      </c>
      <c r="M4955" s="3">
        <v>5000</v>
      </c>
      <c r="N4955">
        <v>0</v>
      </c>
      <c r="O4955">
        <v>0</v>
      </c>
      <c r="P4955">
        <v>379750</v>
      </c>
      <c r="Q4955" t="s">
        <v>30</v>
      </c>
      <c r="R4955" t="s">
        <v>59</v>
      </c>
      <c r="S4955" t="str">
        <v>#N/A</v>
      </c>
      <c r="T4955" t="str">
        <v>#N/A</v>
      </c>
    </row>
    <row r="4956" spans="1:20" ht="13.7" customHeight="1" x14ac:dyDescent="0.25">
      <c r="A4956" t="s">
        <v>26</v>
      </c>
      <c r="B4956" t="s">
        <v>27</v>
      </c>
      <c r="C4956" t="s">
        <v>41</v>
      </c>
      <c r="D4956">
        <v>44</v>
      </c>
      <c r="E4956" s="5">
        <v>43787</v>
      </c>
      <c r="F4956">
        <v>73952501</v>
      </c>
      <c r="G4956" t="s">
        <v>1091</v>
      </c>
      <c r="H4956" t="s">
        <v>1467</v>
      </c>
      <c r="I4956" t="s">
        <v>1468</v>
      </c>
      <c r="J4956">
        <v>1001</v>
      </c>
      <c r="K4956">
        <v>5016</v>
      </c>
      <c r="L4956" s="3">
        <v>379750</v>
      </c>
      <c r="M4956" s="3">
        <v>17700</v>
      </c>
      <c r="N4956">
        <v>0</v>
      </c>
      <c r="O4956">
        <v>0</v>
      </c>
      <c r="P4956">
        <v>397450</v>
      </c>
      <c r="Q4956" t="s">
        <v>30</v>
      </c>
      <c r="R4956" t="s">
        <v>59</v>
      </c>
      <c r="S4956" t="str">
        <v>#N/A</v>
      </c>
      <c r="T4956" t="str">
        <v>#N/A</v>
      </c>
    </row>
    <row r="4957" spans="1:20" ht="13.7" customHeight="1" x14ac:dyDescent="0.25">
      <c r="A4957" t="s">
        <v>26</v>
      </c>
      <c r="B4957" t="s">
        <v>27</v>
      </c>
      <c r="C4957" t="s">
        <v>41</v>
      </c>
      <c r="D4957">
        <v>53</v>
      </c>
      <c r="E4957" s="5">
        <v>43789</v>
      </c>
      <c r="F4957">
        <v>73952501</v>
      </c>
      <c r="G4957" t="s">
        <v>1091</v>
      </c>
      <c r="H4957" t="s">
        <v>1467</v>
      </c>
      <c r="I4957" t="s">
        <v>1468</v>
      </c>
      <c r="J4957">
        <v>1001</v>
      </c>
      <c r="K4957">
        <v>5016</v>
      </c>
      <c r="L4957" s="3">
        <v>397450</v>
      </c>
      <c r="M4957" s="3">
        <v>20500</v>
      </c>
      <c r="N4957">
        <v>0</v>
      </c>
      <c r="O4957">
        <v>0</v>
      </c>
      <c r="P4957">
        <v>417950</v>
      </c>
      <c r="Q4957" t="s">
        <v>30</v>
      </c>
      <c r="R4957" t="s">
        <v>59</v>
      </c>
      <c r="S4957" t="str">
        <v>#N/A</v>
      </c>
      <c r="T4957" t="str">
        <v>#N/A</v>
      </c>
    </row>
    <row r="4958" spans="1:20" ht="13.7" customHeight="1" x14ac:dyDescent="0.25">
      <c r="A4958" t="s">
        <v>26</v>
      </c>
      <c r="B4958" t="s">
        <v>27</v>
      </c>
      <c r="C4958" t="s">
        <v>41</v>
      </c>
      <c r="D4958">
        <v>73</v>
      </c>
      <c r="E4958" s="5">
        <v>43792</v>
      </c>
      <c r="F4958">
        <v>73952501</v>
      </c>
      <c r="G4958" t="s">
        <v>1091</v>
      </c>
      <c r="H4958" t="s">
        <v>1467</v>
      </c>
      <c r="I4958" t="s">
        <v>1468</v>
      </c>
      <c r="J4958">
        <v>1001</v>
      </c>
      <c r="K4958">
        <v>5016</v>
      </c>
      <c r="L4958" s="3">
        <v>417950</v>
      </c>
      <c r="M4958" s="3">
        <v>7200</v>
      </c>
      <c r="N4958">
        <v>0</v>
      </c>
      <c r="O4958">
        <v>0</v>
      </c>
      <c r="P4958">
        <v>425150</v>
      </c>
      <c r="Q4958" t="s">
        <v>30</v>
      </c>
      <c r="R4958" t="s">
        <v>576</v>
      </c>
      <c r="S4958" t="str">
        <v>#N/A</v>
      </c>
      <c r="T4958" t="str">
        <v>#N/A</v>
      </c>
    </row>
    <row r="4959" spans="1:20" ht="13.7" customHeight="1" x14ac:dyDescent="0.25">
      <c r="A4959" t="s">
        <v>26</v>
      </c>
      <c r="B4959" t="s">
        <v>27</v>
      </c>
      <c r="C4959" t="s">
        <v>180</v>
      </c>
      <c r="D4959">
        <v>41</v>
      </c>
      <c r="E4959" s="5">
        <v>43815</v>
      </c>
      <c r="F4959">
        <v>73952501</v>
      </c>
      <c r="G4959" t="s">
        <v>1091</v>
      </c>
      <c r="H4959" t="s">
        <v>1467</v>
      </c>
      <c r="I4959" t="s">
        <v>1468</v>
      </c>
      <c r="J4959">
        <v>1001</v>
      </c>
      <c r="K4959">
        <v>5016</v>
      </c>
      <c r="L4959" s="3">
        <v>425150</v>
      </c>
      <c r="M4959" s="3">
        <v>11200</v>
      </c>
      <c r="N4959">
        <v>0</v>
      </c>
      <c r="O4959">
        <v>0</v>
      </c>
      <c r="P4959">
        <v>436350</v>
      </c>
      <c r="Q4959" t="s">
        <v>30</v>
      </c>
      <c r="R4959" t="s">
        <v>59</v>
      </c>
      <c r="S4959" t="str">
        <v>#N/A</v>
      </c>
      <c r="T4959" t="str">
        <v>#N/A</v>
      </c>
    </row>
    <row r="4960" spans="1:20" ht="13.7" customHeight="1" x14ac:dyDescent="0.25">
      <c r="E4960" s="5">
        <v>43465</v>
      </c>
      <c r="F4960">
        <v>73952501</v>
      </c>
      <c r="G4960" t="s">
        <v>1091</v>
      </c>
      <c r="H4960" t="s">
        <v>1123</v>
      </c>
      <c r="I4960" t="s">
        <v>1124</v>
      </c>
      <c r="J4960">
        <v>0</v>
      </c>
      <c r="K4960">
        <v>0</v>
      </c>
      <c r="L4960" s="3">
        <v>2941</v>
      </c>
      <c r="M4960" s="3">
        <v>0</v>
      </c>
      <c r="N4960">
        <v>0</v>
      </c>
      <c r="O4960">
        <v>0</v>
      </c>
      <c r="P4960">
        <v>2941</v>
      </c>
      <c r="R4960" t="s">
        <v>1100</v>
      </c>
      <c r="S4960" t="str">
        <v>#N/A</v>
      </c>
      <c r="T4960" t="str">
        <v>31</v>
      </c>
    </row>
    <row r="4961" spans="1:20" ht="13.7" customHeight="1" x14ac:dyDescent="0.25">
      <c r="E4961" s="5">
        <v>43465</v>
      </c>
      <c r="F4961">
        <v>73952501</v>
      </c>
      <c r="G4961" t="s">
        <v>1091</v>
      </c>
      <c r="H4961" t="s">
        <v>1513</v>
      </c>
      <c r="I4961" t="s">
        <v>1514</v>
      </c>
      <c r="J4961">
        <v>0</v>
      </c>
      <c r="K4961">
        <v>0</v>
      </c>
      <c r="L4961" s="3">
        <v>38738</v>
      </c>
      <c r="M4961" s="3">
        <v>0</v>
      </c>
      <c r="N4961">
        <v>0</v>
      </c>
      <c r="O4961">
        <v>0</v>
      </c>
      <c r="P4961">
        <v>38738</v>
      </c>
      <c r="R4961" t="s">
        <v>1100</v>
      </c>
      <c r="S4961" t="str">
        <v>#N/A</v>
      </c>
      <c r="T4961" t="str">
        <v>#N/A</v>
      </c>
    </row>
    <row r="4962" spans="1:20" ht="13.7" customHeight="1" x14ac:dyDescent="0.25">
      <c r="E4962" s="5">
        <v>43465</v>
      </c>
      <c r="F4962">
        <v>73952501</v>
      </c>
      <c r="G4962" t="s">
        <v>1091</v>
      </c>
      <c r="H4962" t="s">
        <v>1795</v>
      </c>
      <c r="I4962" t="s">
        <v>1796</v>
      </c>
      <c r="J4962">
        <v>0</v>
      </c>
      <c r="K4962">
        <v>0</v>
      </c>
      <c r="L4962" s="3">
        <v>0</v>
      </c>
      <c r="M4962" s="3">
        <v>0</v>
      </c>
      <c r="N4962">
        <v>0</v>
      </c>
      <c r="O4962">
        <v>0</v>
      </c>
      <c r="P4962">
        <v>0</v>
      </c>
      <c r="R4962" t="s">
        <v>1100</v>
      </c>
      <c r="S4962" t="str">
        <v>#N/A</v>
      </c>
      <c r="T4962" t="str">
        <v>#N/A</v>
      </c>
    </row>
    <row r="4963" spans="1:20" ht="13.7" customHeight="1" x14ac:dyDescent="0.25">
      <c r="A4963" t="s">
        <v>26</v>
      </c>
      <c r="B4963" t="s">
        <v>27</v>
      </c>
      <c r="C4963" t="s">
        <v>180</v>
      </c>
      <c r="D4963">
        <v>6</v>
      </c>
      <c r="E4963" s="5">
        <v>43803</v>
      </c>
      <c r="F4963">
        <v>73952501</v>
      </c>
      <c r="G4963" t="s">
        <v>1091</v>
      </c>
      <c r="H4963" t="s">
        <v>1795</v>
      </c>
      <c r="I4963" t="s">
        <v>1796</v>
      </c>
      <c r="J4963">
        <v>1001</v>
      </c>
      <c r="K4963">
        <v>5016</v>
      </c>
      <c r="L4963" s="3">
        <v>0</v>
      </c>
      <c r="M4963" s="3">
        <v>2200</v>
      </c>
      <c r="N4963">
        <v>0</v>
      </c>
      <c r="O4963">
        <v>0</v>
      </c>
      <c r="P4963">
        <v>2200</v>
      </c>
      <c r="Q4963" t="s">
        <v>30</v>
      </c>
      <c r="R4963" t="s">
        <v>542</v>
      </c>
      <c r="S4963" t="str">
        <v>#N/A</v>
      </c>
      <c r="T4963" t="str">
        <v>#N/A</v>
      </c>
    </row>
    <row r="4964" spans="1:20" ht="13.7" customHeight="1" x14ac:dyDescent="0.25">
      <c r="E4964" s="5">
        <v>43465</v>
      </c>
      <c r="F4964">
        <v>73952501</v>
      </c>
      <c r="G4964" t="s">
        <v>1091</v>
      </c>
      <c r="H4964" t="s">
        <v>1797</v>
      </c>
      <c r="I4964" t="s">
        <v>1798</v>
      </c>
      <c r="J4964">
        <v>0</v>
      </c>
      <c r="K4964">
        <v>0</v>
      </c>
      <c r="L4964" s="3">
        <v>3072</v>
      </c>
      <c r="M4964" s="3">
        <v>0</v>
      </c>
      <c r="N4964">
        <v>0</v>
      </c>
      <c r="O4964">
        <v>0</v>
      </c>
      <c r="P4964">
        <v>3072</v>
      </c>
      <c r="R4964" t="s">
        <v>1100</v>
      </c>
      <c r="S4964" t="str">
        <v>#N/A</v>
      </c>
      <c r="T4964" t="str">
        <v>#N/A</v>
      </c>
    </row>
    <row r="4965" spans="1:20" ht="13.7" customHeight="1" x14ac:dyDescent="0.25">
      <c r="E4965" s="5">
        <v>43465</v>
      </c>
      <c r="F4965">
        <v>73952501</v>
      </c>
      <c r="G4965" t="s">
        <v>1091</v>
      </c>
      <c r="H4965" t="s">
        <v>1461</v>
      </c>
      <c r="I4965" t="s">
        <v>1462</v>
      </c>
      <c r="J4965">
        <v>0</v>
      </c>
      <c r="K4965">
        <v>0</v>
      </c>
      <c r="L4965" s="3">
        <v>10800</v>
      </c>
      <c r="M4965" s="3">
        <v>0</v>
      </c>
      <c r="N4965">
        <v>0</v>
      </c>
      <c r="O4965">
        <v>0</v>
      </c>
      <c r="P4965">
        <v>10800</v>
      </c>
      <c r="R4965" t="s">
        <v>1100</v>
      </c>
      <c r="S4965" t="str">
        <v>#N/A</v>
      </c>
      <c r="T4965" t="str">
        <v>#N/A</v>
      </c>
    </row>
    <row r="4966" spans="1:20" ht="13.7" customHeight="1" x14ac:dyDescent="0.25">
      <c r="A4966" t="s">
        <v>26</v>
      </c>
      <c r="B4966" t="s">
        <v>27</v>
      </c>
      <c r="C4966" t="s">
        <v>28</v>
      </c>
      <c r="D4966">
        <v>54</v>
      </c>
      <c r="E4966" s="5">
        <v>43484</v>
      </c>
      <c r="F4966">
        <v>73952501</v>
      </c>
      <c r="G4966" t="s">
        <v>1091</v>
      </c>
      <c r="H4966" t="s">
        <v>1461</v>
      </c>
      <c r="I4966" t="s">
        <v>1462</v>
      </c>
      <c r="J4966">
        <v>1001</v>
      </c>
      <c r="K4966">
        <v>5016</v>
      </c>
      <c r="L4966" s="3">
        <v>10800</v>
      </c>
      <c r="M4966" s="3">
        <v>11200</v>
      </c>
      <c r="N4966">
        <v>0</v>
      </c>
      <c r="O4966">
        <v>0</v>
      </c>
      <c r="P4966">
        <v>22000</v>
      </c>
      <c r="Q4966" t="s">
        <v>30</v>
      </c>
      <c r="R4966" t="s">
        <v>59</v>
      </c>
      <c r="S4966" t="str">
        <v>#N/A</v>
      </c>
      <c r="T4966" t="str">
        <v>#N/A</v>
      </c>
    </row>
    <row r="4967" spans="1:20" ht="13.7" customHeight="1" x14ac:dyDescent="0.25">
      <c r="A4967" t="s">
        <v>26</v>
      </c>
      <c r="B4967" t="s">
        <v>27</v>
      </c>
      <c r="C4967" t="s">
        <v>35</v>
      </c>
      <c r="D4967">
        <v>34</v>
      </c>
      <c r="E4967" s="5">
        <v>43595</v>
      </c>
      <c r="F4967">
        <v>73952501</v>
      </c>
      <c r="G4967" t="s">
        <v>1091</v>
      </c>
      <c r="H4967" t="s">
        <v>1461</v>
      </c>
      <c r="I4967" t="s">
        <v>1462</v>
      </c>
      <c r="J4967">
        <v>1001</v>
      </c>
      <c r="K4967">
        <v>5016</v>
      </c>
      <c r="L4967" s="3">
        <v>22000</v>
      </c>
      <c r="M4967" s="3">
        <v>9100</v>
      </c>
      <c r="N4967">
        <v>0</v>
      </c>
      <c r="O4967">
        <v>0</v>
      </c>
      <c r="P4967">
        <v>31100</v>
      </c>
      <c r="Q4967" t="s">
        <v>30</v>
      </c>
      <c r="R4967" t="s">
        <v>59</v>
      </c>
      <c r="S4967" t="str">
        <v>#N/A</v>
      </c>
      <c r="T4967" t="str">
        <v>#N/A</v>
      </c>
    </row>
    <row r="4968" spans="1:20" ht="13.7" customHeight="1" x14ac:dyDescent="0.25">
      <c r="E4968" s="5">
        <v>43465</v>
      </c>
      <c r="F4968">
        <v>73952501</v>
      </c>
      <c r="G4968" t="s">
        <v>1091</v>
      </c>
      <c r="H4968" t="s">
        <v>1515</v>
      </c>
      <c r="I4968" t="s">
        <v>1516</v>
      </c>
      <c r="J4968">
        <v>0</v>
      </c>
      <c r="K4968">
        <v>0</v>
      </c>
      <c r="L4968" s="3">
        <v>36330</v>
      </c>
      <c r="M4968" s="3">
        <v>0</v>
      </c>
      <c r="N4968">
        <v>0</v>
      </c>
      <c r="O4968">
        <v>0</v>
      </c>
      <c r="P4968">
        <v>36330</v>
      </c>
      <c r="R4968" t="s">
        <v>1100</v>
      </c>
      <c r="S4968" t="str">
        <v>#N/A</v>
      </c>
      <c r="T4968" t="str">
        <v>#N/A</v>
      </c>
    </row>
    <row r="4969" spans="1:20" ht="13.7" customHeight="1" x14ac:dyDescent="0.25">
      <c r="A4969" t="s">
        <v>26</v>
      </c>
      <c r="B4969" t="s">
        <v>27</v>
      </c>
      <c r="C4969" t="s">
        <v>91</v>
      </c>
      <c r="D4969">
        <v>41</v>
      </c>
      <c r="E4969" s="5">
        <v>43540</v>
      </c>
      <c r="F4969">
        <v>73952501</v>
      </c>
      <c r="G4969" t="s">
        <v>1091</v>
      </c>
      <c r="H4969" t="s">
        <v>1515</v>
      </c>
      <c r="I4969" t="s">
        <v>1516</v>
      </c>
      <c r="J4969">
        <v>1001</v>
      </c>
      <c r="K4969">
        <v>5016</v>
      </c>
      <c r="L4969" s="3">
        <v>36330</v>
      </c>
      <c r="M4969" s="3">
        <v>12850</v>
      </c>
      <c r="N4969">
        <v>0</v>
      </c>
      <c r="O4969">
        <v>0</v>
      </c>
      <c r="P4969">
        <v>49180</v>
      </c>
      <c r="Q4969" t="s">
        <v>30</v>
      </c>
      <c r="R4969" t="s">
        <v>101</v>
      </c>
      <c r="S4969" t="str">
        <v>#N/A</v>
      </c>
      <c r="T4969" t="str">
        <v>#N/A</v>
      </c>
    </row>
    <row r="4970" spans="1:20" ht="13.7" customHeight="1" x14ac:dyDescent="0.25">
      <c r="A4970" t="s">
        <v>26</v>
      </c>
      <c r="B4970" t="s">
        <v>27</v>
      </c>
      <c r="C4970" t="s">
        <v>35</v>
      </c>
      <c r="D4970">
        <v>19</v>
      </c>
      <c r="E4970" s="5">
        <v>43590</v>
      </c>
      <c r="F4970">
        <v>73952501</v>
      </c>
      <c r="G4970" t="s">
        <v>1091</v>
      </c>
      <c r="H4970" t="s">
        <v>1515</v>
      </c>
      <c r="I4970" t="s">
        <v>1516</v>
      </c>
      <c r="J4970">
        <v>1001</v>
      </c>
      <c r="K4970">
        <v>5016</v>
      </c>
      <c r="L4970" s="3">
        <v>49180</v>
      </c>
      <c r="M4970" s="3">
        <v>3900</v>
      </c>
      <c r="N4970">
        <v>0</v>
      </c>
      <c r="O4970">
        <v>0</v>
      </c>
      <c r="P4970">
        <v>53080</v>
      </c>
      <c r="Q4970" t="s">
        <v>30</v>
      </c>
      <c r="R4970" t="s">
        <v>149</v>
      </c>
      <c r="S4970" t="str">
        <v>#N/A</v>
      </c>
      <c r="T4970" t="str">
        <v>#N/A</v>
      </c>
    </row>
    <row r="4971" spans="1:20" ht="13.7" customHeight="1" x14ac:dyDescent="0.25">
      <c r="A4971" t="s">
        <v>26</v>
      </c>
      <c r="B4971" t="s">
        <v>27</v>
      </c>
      <c r="C4971" t="s">
        <v>35</v>
      </c>
      <c r="D4971">
        <v>25</v>
      </c>
      <c r="E4971" s="5">
        <v>43592</v>
      </c>
      <c r="F4971">
        <v>73952501</v>
      </c>
      <c r="G4971" t="s">
        <v>1091</v>
      </c>
      <c r="H4971" t="s">
        <v>1515</v>
      </c>
      <c r="I4971" t="s">
        <v>1516</v>
      </c>
      <c r="J4971">
        <v>1001</v>
      </c>
      <c r="K4971">
        <v>5016</v>
      </c>
      <c r="L4971" s="3">
        <v>53080</v>
      </c>
      <c r="M4971" s="3">
        <v>5538</v>
      </c>
      <c r="N4971">
        <v>0</v>
      </c>
      <c r="O4971">
        <v>0</v>
      </c>
      <c r="P4971">
        <v>58618</v>
      </c>
      <c r="Q4971" t="s">
        <v>30</v>
      </c>
      <c r="R4971" t="s">
        <v>149</v>
      </c>
      <c r="S4971" t="str">
        <v>#N/A</v>
      </c>
      <c r="T4971" t="str">
        <v>#N/A</v>
      </c>
    </row>
    <row r="4972" spans="1:20" ht="13.7" customHeight="1" x14ac:dyDescent="0.25">
      <c r="A4972" t="s">
        <v>26</v>
      </c>
      <c r="B4972" t="s">
        <v>27</v>
      </c>
      <c r="C4972" t="s">
        <v>36</v>
      </c>
      <c r="D4972">
        <v>68</v>
      </c>
      <c r="E4972" s="5">
        <v>43644</v>
      </c>
      <c r="F4972">
        <v>73952501</v>
      </c>
      <c r="G4972" t="s">
        <v>1091</v>
      </c>
      <c r="H4972" t="s">
        <v>1515</v>
      </c>
      <c r="I4972" t="s">
        <v>1516</v>
      </c>
      <c r="J4972">
        <v>1001</v>
      </c>
      <c r="K4972">
        <v>5016</v>
      </c>
      <c r="L4972" s="3">
        <v>58618</v>
      </c>
      <c r="M4972" s="3">
        <v>40337</v>
      </c>
      <c r="N4972">
        <v>0</v>
      </c>
      <c r="O4972">
        <v>0</v>
      </c>
      <c r="P4972">
        <v>98955</v>
      </c>
      <c r="Q4972" t="s">
        <v>30</v>
      </c>
      <c r="R4972" t="s">
        <v>149</v>
      </c>
      <c r="S4972" t="str">
        <v>#N/A</v>
      </c>
      <c r="T4972" t="str">
        <v>#N/A</v>
      </c>
    </row>
    <row r="4973" spans="1:20" ht="13.7" customHeight="1" x14ac:dyDescent="0.25">
      <c r="A4973" t="s">
        <v>26</v>
      </c>
      <c r="B4973" t="s">
        <v>27</v>
      </c>
      <c r="C4973" t="s">
        <v>37</v>
      </c>
      <c r="D4973">
        <v>29</v>
      </c>
      <c r="E4973" s="5">
        <v>43656</v>
      </c>
      <c r="F4973">
        <v>73952501</v>
      </c>
      <c r="G4973" t="s">
        <v>1091</v>
      </c>
      <c r="H4973" t="s">
        <v>1515</v>
      </c>
      <c r="I4973" t="s">
        <v>1516</v>
      </c>
      <c r="J4973">
        <v>1001</v>
      </c>
      <c r="K4973">
        <v>5016</v>
      </c>
      <c r="L4973" s="3">
        <v>98955</v>
      </c>
      <c r="M4973" s="3">
        <v>10888</v>
      </c>
      <c r="N4973">
        <v>0</v>
      </c>
      <c r="O4973">
        <v>0</v>
      </c>
      <c r="P4973">
        <v>109843</v>
      </c>
      <c r="Q4973" t="s">
        <v>30</v>
      </c>
      <c r="R4973" t="s">
        <v>149</v>
      </c>
      <c r="S4973" t="str">
        <v>#N/A</v>
      </c>
      <c r="T4973" t="str">
        <v>#N/A</v>
      </c>
    </row>
    <row r="4974" spans="1:20" ht="13.7" customHeight="1" x14ac:dyDescent="0.25">
      <c r="A4974" t="s">
        <v>26</v>
      </c>
      <c r="B4974" t="s">
        <v>27</v>
      </c>
      <c r="C4974" t="s">
        <v>41</v>
      </c>
      <c r="D4974">
        <v>11</v>
      </c>
      <c r="E4974" s="5">
        <v>43773</v>
      </c>
      <c r="F4974">
        <v>73952501</v>
      </c>
      <c r="G4974" t="s">
        <v>1091</v>
      </c>
      <c r="H4974" t="s">
        <v>1515</v>
      </c>
      <c r="I4974" t="s">
        <v>1516</v>
      </c>
      <c r="J4974">
        <v>1001</v>
      </c>
      <c r="K4974">
        <v>5016</v>
      </c>
      <c r="L4974" s="3">
        <v>109843</v>
      </c>
      <c r="M4974" s="3">
        <v>4797</v>
      </c>
      <c r="N4974">
        <v>0</v>
      </c>
      <c r="O4974">
        <v>0</v>
      </c>
      <c r="P4974">
        <v>114640</v>
      </c>
      <c r="Q4974" t="s">
        <v>30</v>
      </c>
      <c r="R4974" t="s">
        <v>152</v>
      </c>
      <c r="S4974" t="str">
        <v>#N/A</v>
      </c>
      <c r="T4974" t="str">
        <v>#N/A</v>
      </c>
    </row>
    <row r="4975" spans="1:20" ht="13.7" customHeight="1" x14ac:dyDescent="0.25">
      <c r="A4975" t="s">
        <v>26</v>
      </c>
      <c r="B4975" t="s">
        <v>27</v>
      </c>
      <c r="C4975" t="s">
        <v>41</v>
      </c>
      <c r="D4975">
        <v>15</v>
      </c>
      <c r="E4975" s="5">
        <v>43778</v>
      </c>
      <c r="F4975">
        <v>73952501</v>
      </c>
      <c r="G4975" t="s">
        <v>1091</v>
      </c>
      <c r="H4975" t="s">
        <v>1515</v>
      </c>
      <c r="I4975" t="s">
        <v>1516</v>
      </c>
      <c r="J4975">
        <v>1001</v>
      </c>
      <c r="K4975">
        <v>5016</v>
      </c>
      <c r="L4975" s="3">
        <v>114640</v>
      </c>
      <c r="M4975" s="3">
        <v>7651</v>
      </c>
      <c r="N4975">
        <v>0</v>
      </c>
      <c r="O4975">
        <v>0</v>
      </c>
      <c r="P4975">
        <v>122291</v>
      </c>
      <c r="Q4975" t="s">
        <v>30</v>
      </c>
      <c r="R4975" t="s">
        <v>149</v>
      </c>
      <c r="S4975" t="str">
        <v>#N/A</v>
      </c>
      <c r="T4975" t="str">
        <v>#N/A</v>
      </c>
    </row>
    <row r="4976" spans="1:20" ht="13.7" customHeight="1" x14ac:dyDescent="0.25">
      <c r="E4976" s="5">
        <v>43465</v>
      </c>
      <c r="F4976">
        <v>73952501</v>
      </c>
      <c r="G4976" t="s">
        <v>1091</v>
      </c>
      <c r="H4976" t="s">
        <v>1471</v>
      </c>
      <c r="I4976" t="s">
        <v>1472</v>
      </c>
      <c r="J4976">
        <v>0</v>
      </c>
      <c r="K4976">
        <v>0</v>
      </c>
      <c r="L4976" s="3">
        <v>203500</v>
      </c>
      <c r="M4976" s="3">
        <v>0</v>
      </c>
      <c r="N4976">
        <v>0</v>
      </c>
      <c r="O4976">
        <v>0</v>
      </c>
      <c r="P4976">
        <v>203500</v>
      </c>
      <c r="R4976" t="s">
        <v>1100</v>
      </c>
      <c r="S4976" t="str">
        <v>#N/A</v>
      </c>
      <c r="T4976" t="str">
        <v>#N/A</v>
      </c>
    </row>
    <row r="4977" spans="1:20" ht="13.7" customHeight="1" x14ac:dyDescent="0.25">
      <c r="A4977" t="s">
        <v>26</v>
      </c>
      <c r="B4977" t="s">
        <v>27</v>
      </c>
      <c r="C4977" t="s">
        <v>91</v>
      </c>
      <c r="D4977">
        <v>18</v>
      </c>
      <c r="E4977" s="5">
        <v>43529</v>
      </c>
      <c r="F4977">
        <v>73952501</v>
      </c>
      <c r="G4977" t="s">
        <v>1091</v>
      </c>
      <c r="H4977" t="s">
        <v>1471</v>
      </c>
      <c r="I4977" t="s">
        <v>1472</v>
      </c>
      <c r="J4977">
        <v>1001</v>
      </c>
      <c r="K4977">
        <v>5016</v>
      </c>
      <c r="L4977" s="3">
        <v>203500</v>
      </c>
      <c r="M4977" s="3">
        <v>8000</v>
      </c>
      <c r="N4977">
        <v>0</v>
      </c>
      <c r="O4977">
        <v>0</v>
      </c>
      <c r="P4977">
        <v>211500</v>
      </c>
      <c r="Q4977" t="s">
        <v>30</v>
      </c>
      <c r="R4977" t="s">
        <v>59</v>
      </c>
      <c r="S4977" t="str">
        <v>#N/A</v>
      </c>
      <c r="T4977" t="str">
        <v>#N/A</v>
      </c>
    </row>
    <row r="4978" spans="1:20" ht="13.7" customHeight="1" x14ac:dyDescent="0.25">
      <c r="A4978" t="s">
        <v>26</v>
      </c>
      <c r="B4978" t="s">
        <v>27</v>
      </c>
      <c r="C4978" t="s">
        <v>35</v>
      </c>
      <c r="D4978">
        <v>9</v>
      </c>
      <c r="E4978" s="5">
        <v>43587</v>
      </c>
      <c r="F4978">
        <v>73952501</v>
      </c>
      <c r="G4978" t="s">
        <v>1091</v>
      </c>
      <c r="H4978" t="s">
        <v>1471</v>
      </c>
      <c r="I4978" t="s">
        <v>1472</v>
      </c>
      <c r="J4978">
        <v>1001</v>
      </c>
      <c r="K4978">
        <v>5016</v>
      </c>
      <c r="L4978" s="3">
        <v>211500</v>
      </c>
      <c r="M4978" s="3">
        <v>8000</v>
      </c>
      <c r="N4978">
        <v>0</v>
      </c>
      <c r="O4978">
        <v>0</v>
      </c>
      <c r="P4978">
        <v>219500</v>
      </c>
      <c r="Q4978" t="s">
        <v>30</v>
      </c>
      <c r="R4978" t="s">
        <v>125</v>
      </c>
      <c r="S4978" t="str">
        <v>#N/A</v>
      </c>
      <c r="T4978" t="str">
        <v>#N/A</v>
      </c>
    </row>
    <row r="4979" spans="1:20" ht="13.7" customHeight="1" x14ac:dyDescent="0.25">
      <c r="A4979" t="s">
        <v>26</v>
      </c>
      <c r="B4979" t="s">
        <v>27</v>
      </c>
      <c r="C4979" t="s">
        <v>35</v>
      </c>
      <c r="D4979">
        <v>54</v>
      </c>
      <c r="E4979" s="5">
        <v>43601</v>
      </c>
      <c r="F4979">
        <v>73952501</v>
      </c>
      <c r="G4979" t="s">
        <v>1091</v>
      </c>
      <c r="H4979" t="s">
        <v>1471</v>
      </c>
      <c r="I4979" t="s">
        <v>1472</v>
      </c>
      <c r="J4979">
        <v>1001</v>
      </c>
      <c r="K4979">
        <v>5016</v>
      </c>
      <c r="L4979" s="3">
        <v>219500</v>
      </c>
      <c r="M4979" s="3">
        <v>5100</v>
      </c>
      <c r="N4979">
        <v>0</v>
      </c>
      <c r="O4979">
        <v>0</v>
      </c>
      <c r="P4979">
        <v>224600</v>
      </c>
      <c r="Q4979" t="s">
        <v>30</v>
      </c>
      <c r="R4979" t="s">
        <v>59</v>
      </c>
      <c r="S4979" t="str">
        <v>#N/A</v>
      </c>
      <c r="T4979" t="str">
        <v>#N/A</v>
      </c>
    </row>
    <row r="4980" spans="1:20" ht="13.7" customHeight="1" x14ac:dyDescent="0.25">
      <c r="A4980" t="s">
        <v>26</v>
      </c>
      <c r="B4980" t="s">
        <v>27</v>
      </c>
      <c r="C4980" t="s">
        <v>35</v>
      </c>
      <c r="D4980">
        <v>92</v>
      </c>
      <c r="E4980" s="5">
        <v>43615</v>
      </c>
      <c r="F4980">
        <v>73952501</v>
      </c>
      <c r="G4980" t="s">
        <v>1091</v>
      </c>
      <c r="H4980" t="s">
        <v>1471</v>
      </c>
      <c r="I4980" t="s">
        <v>1472</v>
      </c>
      <c r="J4980">
        <v>1001</v>
      </c>
      <c r="K4980">
        <v>5016</v>
      </c>
      <c r="L4980" s="3">
        <v>224600</v>
      </c>
      <c r="M4980" s="3">
        <v>5900</v>
      </c>
      <c r="N4980">
        <v>0</v>
      </c>
      <c r="O4980">
        <v>0</v>
      </c>
      <c r="P4980">
        <v>230500</v>
      </c>
      <c r="Q4980" t="s">
        <v>30</v>
      </c>
      <c r="R4980" t="s">
        <v>59</v>
      </c>
      <c r="S4980" t="str">
        <v>#N/A</v>
      </c>
      <c r="T4980" t="str">
        <v>#N/A</v>
      </c>
    </row>
    <row r="4981" spans="1:20" ht="13.7" customHeight="1" x14ac:dyDescent="0.25">
      <c r="A4981" t="s">
        <v>26</v>
      </c>
      <c r="B4981" t="s">
        <v>27</v>
      </c>
      <c r="C4981" t="s">
        <v>36</v>
      </c>
      <c r="D4981">
        <v>54</v>
      </c>
      <c r="E4981" s="5">
        <v>43641</v>
      </c>
      <c r="F4981">
        <v>73952501</v>
      </c>
      <c r="G4981" t="s">
        <v>1091</v>
      </c>
      <c r="H4981" t="s">
        <v>1471</v>
      </c>
      <c r="I4981" t="s">
        <v>1472</v>
      </c>
      <c r="J4981">
        <v>1001</v>
      </c>
      <c r="K4981">
        <v>5016</v>
      </c>
      <c r="L4981" s="3">
        <v>230500</v>
      </c>
      <c r="M4981" s="3">
        <v>7000</v>
      </c>
      <c r="N4981">
        <v>0</v>
      </c>
      <c r="O4981">
        <v>0</v>
      </c>
      <c r="P4981">
        <v>237500</v>
      </c>
      <c r="Q4981" t="s">
        <v>30</v>
      </c>
      <c r="R4981" t="s">
        <v>59</v>
      </c>
      <c r="S4981" t="str">
        <v>#N/A</v>
      </c>
      <c r="T4981" t="str">
        <v>#N/A</v>
      </c>
    </row>
    <row r="4982" spans="1:20" ht="13.7" customHeight="1" x14ac:dyDescent="0.25">
      <c r="E4982" s="5">
        <v>43465</v>
      </c>
      <c r="F4982">
        <v>73952501</v>
      </c>
      <c r="G4982" t="s">
        <v>1091</v>
      </c>
      <c r="H4982" t="s">
        <v>1615</v>
      </c>
      <c r="I4982" t="s">
        <v>1616</v>
      </c>
      <c r="J4982">
        <v>0</v>
      </c>
      <c r="K4982">
        <v>0</v>
      </c>
      <c r="L4982" s="3">
        <v>0</v>
      </c>
      <c r="M4982" s="3">
        <v>0</v>
      </c>
      <c r="N4982">
        <v>0</v>
      </c>
      <c r="O4982">
        <v>0</v>
      </c>
      <c r="P4982">
        <v>0</v>
      </c>
      <c r="R4982" t="s">
        <v>1100</v>
      </c>
      <c r="S4982" t="str">
        <v>#N/A</v>
      </c>
      <c r="T4982" t="str">
        <v>#N/A</v>
      </c>
    </row>
    <row r="4983" spans="1:20" ht="13.7" customHeight="1" x14ac:dyDescent="0.25">
      <c r="A4983" t="s">
        <v>26</v>
      </c>
      <c r="B4983" t="s">
        <v>27</v>
      </c>
      <c r="C4983" t="s">
        <v>37</v>
      </c>
      <c r="D4983">
        <v>57</v>
      </c>
      <c r="E4983" s="5">
        <v>43672</v>
      </c>
      <c r="F4983">
        <v>73952501</v>
      </c>
      <c r="G4983" t="s">
        <v>1091</v>
      </c>
      <c r="H4983" t="s">
        <v>1615</v>
      </c>
      <c r="I4983" t="s">
        <v>1616</v>
      </c>
      <c r="J4983">
        <v>1001</v>
      </c>
      <c r="K4983">
        <v>5016</v>
      </c>
      <c r="L4983" s="3">
        <v>0</v>
      </c>
      <c r="M4983" s="3">
        <v>8403</v>
      </c>
      <c r="N4983">
        <v>0</v>
      </c>
      <c r="O4983">
        <v>0</v>
      </c>
      <c r="P4983">
        <v>8403</v>
      </c>
      <c r="Q4983" t="s">
        <v>30</v>
      </c>
      <c r="R4983" t="s">
        <v>157</v>
      </c>
      <c r="S4983" t="str">
        <v>#N/A</v>
      </c>
      <c r="T4983" t="str">
        <v>#N/A</v>
      </c>
    </row>
    <row r="4984" spans="1:20" ht="13.7" customHeight="1" x14ac:dyDescent="0.25">
      <c r="E4984" s="5">
        <v>43465</v>
      </c>
      <c r="F4984">
        <v>73952501</v>
      </c>
      <c r="G4984" t="s">
        <v>1091</v>
      </c>
      <c r="H4984" t="s">
        <v>1229</v>
      </c>
      <c r="I4984" t="s">
        <v>1230</v>
      </c>
      <c r="J4984">
        <v>0</v>
      </c>
      <c r="K4984">
        <v>0</v>
      </c>
      <c r="L4984" s="3">
        <v>55213</v>
      </c>
      <c r="M4984" s="3">
        <v>0</v>
      </c>
      <c r="N4984">
        <v>0</v>
      </c>
      <c r="O4984">
        <v>0</v>
      </c>
      <c r="P4984">
        <v>55213</v>
      </c>
      <c r="R4984" t="s">
        <v>1100</v>
      </c>
      <c r="S4984" t="str">
        <v>#N/A</v>
      </c>
      <c r="T4984" t="str">
        <v>#N/A</v>
      </c>
    </row>
    <row r="4985" spans="1:20" ht="13.7" customHeight="1" x14ac:dyDescent="0.25">
      <c r="A4985" t="s">
        <v>26</v>
      </c>
      <c r="B4985" t="s">
        <v>27</v>
      </c>
      <c r="C4985" t="s">
        <v>32</v>
      </c>
      <c r="D4985">
        <v>17</v>
      </c>
      <c r="E4985" s="5">
        <v>43505</v>
      </c>
      <c r="F4985">
        <v>73952501</v>
      </c>
      <c r="G4985" t="s">
        <v>1091</v>
      </c>
      <c r="H4985" t="s">
        <v>1229</v>
      </c>
      <c r="I4985" t="s">
        <v>1230</v>
      </c>
      <c r="J4985">
        <v>1001</v>
      </c>
      <c r="K4985">
        <v>5016</v>
      </c>
      <c r="L4985" s="3">
        <v>55213</v>
      </c>
      <c r="M4985" s="3">
        <v>19685</v>
      </c>
      <c r="N4985">
        <v>0</v>
      </c>
      <c r="O4985">
        <v>0</v>
      </c>
      <c r="P4985">
        <v>74898</v>
      </c>
      <c r="Q4985" t="s">
        <v>30</v>
      </c>
      <c r="R4985" t="s">
        <v>538</v>
      </c>
      <c r="S4985" t="str">
        <v>#N/A</v>
      </c>
      <c r="T4985" t="str">
        <v>#N/A</v>
      </c>
    </row>
    <row r="4986" spans="1:20" ht="13.7" customHeight="1" x14ac:dyDescent="0.25">
      <c r="A4986" t="s">
        <v>26</v>
      </c>
      <c r="B4986" t="s">
        <v>27</v>
      </c>
      <c r="C4986" t="s">
        <v>91</v>
      </c>
      <c r="D4986">
        <v>14</v>
      </c>
      <c r="E4986" s="5">
        <v>43528</v>
      </c>
      <c r="F4986">
        <v>73952501</v>
      </c>
      <c r="G4986" t="s">
        <v>1091</v>
      </c>
      <c r="H4986" t="s">
        <v>1229</v>
      </c>
      <c r="I4986" t="s">
        <v>1230</v>
      </c>
      <c r="J4986">
        <v>1001</v>
      </c>
      <c r="K4986">
        <v>5016</v>
      </c>
      <c r="L4986" s="3">
        <v>74898</v>
      </c>
      <c r="M4986" s="3">
        <v>2521</v>
      </c>
      <c r="N4986">
        <v>0</v>
      </c>
      <c r="O4986">
        <v>0</v>
      </c>
      <c r="P4986">
        <v>77419</v>
      </c>
      <c r="Q4986" t="s">
        <v>30</v>
      </c>
      <c r="R4986" t="s">
        <v>538</v>
      </c>
      <c r="S4986" t="str">
        <v>#N/A</v>
      </c>
      <c r="T4986" t="str">
        <v>#N/A</v>
      </c>
    </row>
    <row r="4987" spans="1:20" ht="13.7" customHeight="1" x14ac:dyDescent="0.25">
      <c r="A4987" t="s">
        <v>26</v>
      </c>
      <c r="B4987" t="s">
        <v>27</v>
      </c>
      <c r="C4987" t="s">
        <v>91</v>
      </c>
      <c r="D4987">
        <v>51</v>
      </c>
      <c r="E4987" s="5">
        <v>43547</v>
      </c>
      <c r="F4987">
        <v>73952501</v>
      </c>
      <c r="G4987" t="s">
        <v>1091</v>
      </c>
      <c r="H4987" t="s">
        <v>1229</v>
      </c>
      <c r="I4987" t="s">
        <v>1230</v>
      </c>
      <c r="J4987">
        <v>1001</v>
      </c>
      <c r="K4987">
        <v>5016</v>
      </c>
      <c r="L4987" s="3">
        <v>77419</v>
      </c>
      <c r="M4987" s="3">
        <v>5400</v>
      </c>
      <c r="N4987">
        <v>0</v>
      </c>
      <c r="O4987">
        <v>0</v>
      </c>
      <c r="P4987">
        <v>82819</v>
      </c>
      <c r="Q4987" t="s">
        <v>30</v>
      </c>
      <c r="R4987" t="s">
        <v>101</v>
      </c>
      <c r="S4987" t="str">
        <v>#N/A</v>
      </c>
      <c r="T4987" t="str">
        <v>#N/A</v>
      </c>
    </row>
    <row r="4988" spans="1:20" ht="13.7" customHeight="1" x14ac:dyDescent="0.25">
      <c r="A4988" t="s">
        <v>26</v>
      </c>
      <c r="B4988" t="s">
        <v>27</v>
      </c>
      <c r="C4988" t="s">
        <v>34</v>
      </c>
      <c r="D4988">
        <v>69</v>
      </c>
      <c r="E4988" s="5">
        <v>43585</v>
      </c>
      <c r="F4988">
        <v>73952501</v>
      </c>
      <c r="G4988" t="s">
        <v>1091</v>
      </c>
      <c r="H4988" t="s">
        <v>1229</v>
      </c>
      <c r="I4988" t="s">
        <v>1230</v>
      </c>
      <c r="J4988">
        <v>1001</v>
      </c>
      <c r="K4988">
        <v>5016</v>
      </c>
      <c r="L4988" s="3">
        <v>82819</v>
      </c>
      <c r="M4988" s="3">
        <v>28705</v>
      </c>
      <c r="N4988">
        <v>0</v>
      </c>
      <c r="O4988">
        <v>0</v>
      </c>
      <c r="P4988">
        <v>111524</v>
      </c>
      <c r="Q4988" t="s">
        <v>30</v>
      </c>
      <c r="R4988" t="s">
        <v>538</v>
      </c>
      <c r="S4988" t="str">
        <v>#N/A</v>
      </c>
      <c r="T4988" t="str">
        <v>#N/A</v>
      </c>
    </row>
    <row r="4989" spans="1:20" ht="13.7" customHeight="1" x14ac:dyDescent="0.25">
      <c r="A4989" t="s">
        <v>26</v>
      </c>
      <c r="B4989" t="s">
        <v>27</v>
      </c>
      <c r="C4989" t="s">
        <v>36</v>
      </c>
      <c r="D4989">
        <v>31</v>
      </c>
      <c r="E4989" s="5">
        <v>43630</v>
      </c>
      <c r="F4989">
        <v>73952501</v>
      </c>
      <c r="G4989" t="s">
        <v>1091</v>
      </c>
      <c r="H4989" t="s">
        <v>1229</v>
      </c>
      <c r="I4989" t="s">
        <v>1230</v>
      </c>
      <c r="J4989">
        <v>1001</v>
      </c>
      <c r="K4989">
        <v>5016</v>
      </c>
      <c r="L4989" s="3">
        <v>111524</v>
      </c>
      <c r="M4989" s="3">
        <v>51000</v>
      </c>
      <c r="N4989">
        <v>0</v>
      </c>
      <c r="O4989">
        <v>0</v>
      </c>
      <c r="P4989">
        <v>162524</v>
      </c>
      <c r="Q4989" t="s">
        <v>30</v>
      </c>
      <c r="R4989" t="s">
        <v>547</v>
      </c>
      <c r="S4989" t="str">
        <v>#N/A</v>
      </c>
      <c r="T4989" t="str">
        <v>#N/A</v>
      </c>
    </row>
    <row r="4990" spans="1:20" ht="13.7" customHeight="1" x14ac:dyDescent="0.25">
      <c r="A4990" t="s">
        <v>26</v>
      </c>
      <c r="B4990" t="s">
        <v>27</v>
      </c>
      <c r="C4990" t="s">
        <v>37</v>
      </c>
      <c r="D4990">
        <v>26</v>
      </c>
      <c r="E4990" s="5">
        <v>43656</v>
      </c>
      <c r="F4990">
        <v>73952501</v>
      </c>
      <c r="G4990" t="s">
        <v>1091</v>
      </c>
      <c r="H4990" t="s">
        <v>1229</v>
      </c>
      <c r="I4990" t="s">
        <v>1230</v>
      </c>
      <c r="J4990">
        <v>1001</v>
      </c>
      <c r="K4990">
        <v>5016</v>
      </c>
      <c r="L4990" s="3">
        <v>162524</v>
      </c>
      <c r="M4990" s="3">
        <v>7984</v>
      </c>
      <c r="N4990">
        <v>0</v>
      </c>
      <c r="O4990">
        <v>0</v>
      </c>
      <c r="P4990">
        <v>170508</v>
      </c>
      <c r="Q4990" t="s">
        <v>30</v>
      </c>
      <c r="R4990" t="s">
        <v>152</v>
      </c>
      <c r="S4990" t="str">
        <v>#N/A</v>
      </c>
      <c r="T4990" t="str">
        <v>#N/A</v>
      </c>
    </row>
    <row r="4991" spans="1:20" ht="13.7" customHeight="1" x14ac:dyDescent="0.25">
      <c r="E4991" s="5">
        <v>43465</v>
      </c>
      <c r="F4991">
        <v>73952501</v>
      </c>
      <c r="G4991" t="s">
        <v>1091</v>
      </c>
      <c r="H4991" t="s">
        <v>1799</v>
      </c>
      <c r="I4991" t="s">
        <v>1800</v>
      </c>
      <c r="J4991">
        <v>0</v>
      </c>
      <c r="K4991">
        <v>0</v>
      </c>
      <c r="L4991" s="3">
        <v>25400</v>
      </c>
      <c r="M4991" s="3">
        <v>0</v>
      </c>
      <c r="N4991">
        <v>0</v>
      </c>
      <c r="O4991">
        <v>0</v>
      </c>
      <c r="P4991">
        <v>25400</v>
      </c>
      <c r="R4991" t="s">
        <v>1100</v>
      </c>
      <c r="S4991" t="str">
        <v>#N/A</v>
      </c>
      <c r="T4991" t="str">
        <v>#N/A</v>
      </c>
    </row>
    <row r="4992" spans="1:20" ht="13.7" customHeight="1" x14ac:dyDescent="0.25">
      <c r="E4992" s="5">
        <v>43465</v>
      </c>
      <c r="F4992">
        <v>73952501</v>
      </c>
      <c r="G4992" t="s">
        <v>1091</v>
      </c>
      <c r="H4992" t="s">
        <v>1331</v>
      </c>
      <c r="I4992" t="s">
        <v>1332</v>
      </c>
      <c r="J4992">
        <v>0</v>
      </c>
      <c r="K4992">
        <v>0</v>
      </c>
      <c r="L4992" s="3">
        <v>0</v>
      </c>
      <c r="M4992" s="3">
        <v>0</v>
      </c>
      <c r="N4992">
        <v>0</v>
      </c>
      <c r="O4992">
        <v>0</v>
      </c>
      <c r="P4992">
        <v>0</v>
      </c>
      <c r="R4992" t="s">
        <v>1100</v>
      </c>
      <c r="S4992" t="str">
        <v>#N/A</v>
      </c>
      <c r="T4992" t="str">
        <v>#N/A</v>
      </c>
    </row>
    <row r="4993" spans="1:20" ht="13.7" customHeight="1" x14ac:dyDescent="0.25">
      <c r="A4993" t="s">
        <v>26</v>
      </c>
      <c r="B4993" t="s">
        <v>27</v>
      </c>
      <c r="C4993" t="s">
        <v>36</v>
      </c>
      <c r="D4993">
        <v>37</v>
      </c>
      <c r="E4993" s="5">
        <v>43633</v>
      </c>
      <c r="F4993">
        <v>73952501</v>
      </c>
      <c r="G4993" t="s">
        <v>1091</v>
      </c>
      <c r="H4993" t="s">
        <v>1331</v>
      </c>
      <c r="I4993" t="s">
        <v>1332</v>
      </c>
      <c r="J4993">
        <v>1001</v>
      </c>
      <c r="K4993">
        <v>5016</v>
      </c>
      <c r="L4993" s="3">
        <v>0</v>
      </c>
      <c r="M4993" s="3">
        <v>10084</v>
      </c>
      <c r="N4993">
        <v>0</v>
      </c>
      <c r="O4993">
        <v>0</v>
      </c>
      <c r="P4993">
        <v>10084</v>
      </c>
      <c r="Q4993" t="s">
        <v>30</v>
      </c>
      <c r="R4993" t="s">
        <v>151</v>
      </c>
      <c r="S4993" t="str">
        <v>#N/A</v>
      </c>
      <c r="T4993" t="str">
        <v>#N/A</v>
      </c>
    </row>
    <row r="4994" spans="1:20" ht="13.7" customHeight="1" x14ac:dyDescent="0.25">
      <c r="A4994" t="s">
        <v>26</v>
      </c>
      <c r="B4994" t="s">
        <v>27</v>
      </c>
      <c r="C4994" t="s">
        <v>40</v>
      </c>
      <c r="D4994">
        <v>11</v>
      </c>
      <c r="E4994" s="5">
        <v>43745</v>
      </c>
      <c r="F4994">
        <v>73952501</v>
      </c>
      <c r="G4994" t="s">
        <v>1091</v>
      </c>
      <c r="H4994" t="s">
        <v>1331</v>
      </c>
      <c r="I4994" t="s">
        <v>1332</v>
      </c>
      <c r="J4994">
        <v>1001</v>
      </c>
      <c r="K4994">
        <v>5016</v>
      </c>
      <c r="L4994" s="3">
        <v>10084</v>
      </c>
      <c r="M4994" s="3">
        <v>8403</v>
      </c>
      <c r="N4994">
        <v>0</v>
      </c>
      <c r="O4994">
        <v>0</v>
      </c>
      <c r="P4994">
        <v>18487</v>
      </c>
      <c r="Q4994" t="s">
        <v>30</v>
      </c>
      <c r="R4994" t="s">
        <v>151</v>
      </c>
      <c r="S4994" t="str">
        <v>#N/A</v>
      </c>
      <c r="T4994" t="str">
        <v>#N/A</v>
      </c>
    </row>
    <row r="4995" spans="1:20" ht="13.7" customHeight="1" x14ac:dyDescent="0.25">
      <c r="A4995" t="s">
        <v>26</v>
      </c>
      <c r="B4995" t="s">
        <v>27</v>
      </c>
      <c r="C4995" t="s">
        <v>40</v>
      </c>
      <c r="D4995">
        <v>51</v>
      </c>
      <c r="E4995" s="5">
        <v>43766</v>
      </c>
      <c r="F4995">
        <v>73952501</v>
      </c>
      <c r="G4995" t="s">
        <v>1091</v>
      </c>
      <c r="H4995" t="s">
        <v>1331</v>
      </c>
      <c r="I4995" t="s">
        <v>1332</v>
      </c>
      <c r="J4995">
        <v>1001</v>
      </c>
      <c r="K4995">
        <v>5016</v>
      </c>
      <c r="L4995" s="3">
        <v>18487</v>
      </c>
      <c r="M4995" s="3">
        <v>1261</v>
      </c>
      <c r="N4995">
        <v>0</v>
      </c>
      <c r="O4995">
        <v>0</v>
      </c>
      <c r="P4995">
        <v>19748</v>
      </c>
      <c r="Q4995" t="s">
        <v>30</v>
      </c>
      <c r="R4995" t="s">
        <v>168</v>
      </c>
      <c r="S4995" t="str">
        <v>#N/A</v>
      </c>
      <c r="T4995" t="str">
        <v>#N/A</v>
      </c>
    </row>
    <row r="4996" spans="1:20" ht="13.7" customHeight="1" x14ac:dyDescent="0.25">
      <c r="A4996" t="s">
        <v>26</v>
      </c>
      <c r="B4996" t="s">
        <v>27</v>
      </c>
      <c r="C4996" t="s">
        <v>40</v>
      </c>
      <c r="D4996">
        <v>52</v>
      </c>
      <c r="E4996" s="5">
        <v>43766</v>
      </c>
      <c r="F4996">
        <v>73952501</v>
      </c>
      <c r="G4996" t="s">
        <v>1091</v>
      </c>
      <c r="H4996" t="s">
        <v>1331</v>
      </c>
      <c r="I4996" t="s">
        <v>1332</v>
      </c>
      <c r="J4996">
        <v>1001</v>
      </c>
      <c r="K4996">
        <v>5016</v>
      </c>
      <c r="L4996" s="3">
        <v>19748</v>
      </c>
      <c r="M4996" s="3">
        <v>12101</v>
      </c>
      <c r="N4996">
        <v>0</v>
      </c>
      <c r="O4996">
        <v>0</v>
      </c>
      <c r="P4996">
        <v>31849</v>
      </c>
      <c r="Q4996" t="s">
        <v>30</v>
      </c>
      <c r="R4996" t="s">
        <v>151</v>
      </c>
      <c r="S4996" t="str">
        <v>#N/A</v>
      </c>
      <c r="T4996" t="str">
        <v>#N/A</v>
      </c>
    </row>
    <row r="4997" spans="1:20" ht="13.7" customHeight="1" x14ac:dyDescent="0.25">
      <c r="A4997" t="s">
        <v>26</v>
      </c>
      <c r="B4997" t="s">
        <v>27</v>
      </c>
      <c r="C4997" t="s">
        <v>41</v>
      </c>
      <c r="D4997">
        <v>33</v>
      </c>
      <c r="E4997" s="5">
        <v>43783</v>
      </c>
      <c r="F4997">
        <v>73952501</v>
      </c>
      <c r="G4997" t="s">
        <v>1091</v>
      </c>
      <c r="H4997" t="s">
        <v>1331</v>
      </c>
      <c r="I4997" t="s">
        <v>1332</v>
      </c>
      <c r="J4997">
        <v>1001</v>
      </c>
      <c r="K4997">
        <v>5016</v>
      </c>
      <c r="L4997" s="3">
        <v>31849</v>
      </c>
      <c r="M4997" s="3">
        <v>15546</v>
      </c>
      <c r="N4997">
        <v>0</v>
      </c>
      <c r="O4997">
        <v>0</v>
      </c>
      <c r="P4997">
        <v>47395</v>
      </c>
      <c r="Q4997" t="s">
        <v>30</v>
      </c>
      <c r="R4997" t="s">
        <v>151</v>
      </c>
      <c r="S4997" t="str">
        <v>#N/A</v>
      </c>
      <c r="T4997" t="str">
        <v>#N/A</v>
      </c>
    </row>
    <row r="4998" spans="1:20" ht="13.7" customHeight="1" x14ac:dyDescent="0.25">
      <c r="A4998" t="s">
        <v>26</v>
      </c>
      <c r="B4998" t="s">
        <v>27</v>
      </c>
      <c r="C4998" t="s">
        <v>41</v>
      </c>
      <c r="D4998">
        <v>59</v>
      </c>
      <c r="E4998" s="5">
        <v>43794</v>
      </c>
      <c r="F4998">
        <v>73952501</v>
      </c>
      <c r="G4998" t="s">
        <v>1091</v>
      </c>
      <c r="H4998" t="s">
        <v>1331</v>
      </c>
      <c r="I4998" t="s">
        <v>1332</v>
      </c>
      <c r="J4998">
        <v>1001</v>
      </c>
      <c r="K4998">
        <v>5016</v>
      </c>
      <c r="L4998" s="3">
        <v>47395</v>
      </c>
      <c r="M4998" s="3">
        <v>13529</v>
      </c>
      <c r="N4998">
        <v>0</v>
      </c>
      <c r="O4998">
        <v>0</v>
      </c>
      <c r="P4998">
        <v>60924</v>
      </c>
      <c r="Q4998" t="s">
        <v>30</v>
      </c>
      <c r="R4998" t="s">
        <v>151</v>
      </c>
      <c r="S4998" t="str">
        <v>#N/A</v>
      </c>
      <c r="T4998" t="str">
        <v>#N/A</v>
      </c>
    </row>
    <row r="4999" spans="1:20" ht="13.7" customHeight="1" x14ac:dyDescent="0.25">
      <c r="E4999" s="5">
        <v>43465</v>
      </c>
      <c r="F4999">
        <v>73952501</v>
      </c>
      <c r="G4999" t="s">
        <v>1091</v>
      </c>
      <c r="H4999" t="s">
        <v>1801</v>
      </c>
      <c r="I4999" t="s">
        <v>1802</v>
      </c>
      <c r="J4999">
        <v>0</v>
      </c>
      <c r="K4999">
        <v>0</v>
      </c>
      <c r="L4999" s="3">
        <v>21050</v>
      </c>
      <c r="M4999" s="3">
        <v>0</v>
      </c>
      <c r="N4999">
        <v>0</v>
      </c>
      <c r="O4999">
        <v>0</v>
      </c>
      <c r="P4999">
        <v>21050</v>
      </c>
      <c r="R4999" t="s">
        <v>1100</v>
      </c>
      <c r="S4999" t="str">
        <v>#N/A</v>
      </c>
      <c r="T4999" t="str">
        <v>#N/A</v>
      </c>
    </row>
    <row r="5000" spans="1:20" ht="13.7" customHeight="1" x14ac:dyDescent="0.25">
      <c r="E5000" s="5">
        <v>43465</v>
      </c>
      <c r="F5000">
        <v>73952501</v>
      </c>
      <c r="G5000" t="s">
        <v>1091</v>
      </c>
      <c r="H5000" t="s">
        <v>1637</v>
      </c>
      <c r="I5000" t="s">
        <v>1638</v>
      </c>
      <c r="J5000">
        <v>0</v>
      </c>
      <c r="K5000">
        <v>0</v>
      </c>
      <c r="L5000" s="3">
        <v>0</v>
      </c>
      <c r="M5000" s="3">
        <v>0</v>
      </c>
      <c r="N5000">
        <v>0</v>
      </c>
      <c r="O5000">
        <v>0</v>
      </c>
      <c r="P5000">
        <v>0</v>
      </c>
      <c r="R5000" t="s">
        <v>1100</v>
      </c>
      <c r="S5000" t="str">
        <v>#N/A</v>
      </c>
      <c r="T5000" t="str">
        <v>#N/A</v>
      </c>
    </row>
    <row r="5001" spans="1:20" ht="13.7" customHeight="1" x14ac:dyDescent="0.25">
      <c r="A5001" t="s">
        <v>26</v>
      </c>
      <c r="B5001" t="s">
        <v>27</v>
      </c>
      <c r="C5001" t="s">
        <v>39</v>
      </c>
      <c r="D5001">
        <v>15</v>
      </c>
      <c r="E5001" s="5">
        <v>43715</v>
      </c>
      <c r="F5001">
        <v>73952501</v>
      </c>
      <c r="G5001" t="s">
        <v>1091</v>
      </c>
      <c r="H5001" t="s">
        <v>1637</v>
      </c>
      <c r="I5001" t="s">
        <v>1638</v>
      </c>
      <c r="J5001">
        <v>1001</v>
      </c>
      <c r="K5001">
        <v>5016</v>
      </c>
      <c r="L5001" s="3">
        <v>0</v>
      </c>
      <c r="M5001" s="3">
        <v>32773</v>
      </c>
      <c r="N5001">
        <v>0</v>
      </c>
      <c r="O5001">
        <v>0</v>
      </c>
      <c r="P5001">
        <v>32773</v>
      </c>
      <c r="Q5001" t="s">
        <v>30</v>
      </c>
      <c r="R5001" t="s">
        <v>566</v>
      </c>
      <c r="S5001" t="str">
        <v>#N/A</v>
      </c>
      <c r="T5001" t="str">
        <v>#N/A</v>
      </c>
    </row>
    <row r="5002" spans="1:20" ht="13.7" customHeight="1" x14ac:dyDescent="0.25">
      <c r="E5002" s="5">
        <v>43465</v>
      </c>
      <c r="F5002">
        <v>73952501</v>
      </c>
      <c r="G5002" t="s">
        <v>1091</v>
      </c>
      <c r="H5002" t="s">
        <v>1803</v>
      </c>
      <c r="I5002" t="s">
        <v>1804</v>
      </c>
      <c r="J5002">
        <v>0</v>
      </c>
      <c r="K5002">
        <v>0</v>
      </c>
      <c r="L5002" s="3">
        <v>4450</v>
      </c>
      <c r="M5002" s="3">
        <v>0</v>
      </c>
      <c r="N5002">
        <v>0</v>
      </c>
      <c r="O5002">
        <v>0</v>
      </c>
      <c r="P5002">
        <v>4450</v>
      </c>
      <c r="R5002" t="s">
        <v>1100</v>
      </c>
      <c r="S5002" t="str">
        <v>#N/A</v>
      </c>
      <c r="T5002" t="str">
        <v>#N/A</v>
      </c>
    </row>
    <row r="5003" spans="1:20" ht="13.7" customHeight="1" x14ac:dyDescent="0.25">
      <c r="E5003" s="5">
        <v>43465</v>
      </c>
      <c r="F5003">
        <v>73952501</v>
      </c>
      <c r="G5003" t="s">
        <v>1091</v>
      </c>
      <c r="H5003" t="s">
        <v>1805</v>
      </c>
      <c r="I5003" t="s">
        <v>1806</v>
      </c>
      <c r="J5003">
        <v>0</v>
      </c>
      <c r="K5003">
        <v>0</v>
      </c>
      <c r="L5003" s="3">
        <v>0</v>
      </c>
      <c r="M5003" s="3">
        <v>0</v>
      </c>
      <c r="N5003">
        <v>0</v>
      </c>
      <c r="O5003">
        <v>0</v>
      </c>
      <c r="P5003">
        <v>0</v>
      </c>
      <c r="R5003" t="s">
        <v>1100</v>
      </c>
      <c r="S5003" t="str">
        <v>#N/A</v>
      </c>
      <c r="T5003" t="str">
        <v>#N/A</v>
      </c>
    </row>
    <row r="5004" spans="1:20" ht="13.7" customHeight="1" x14ac:dyDescent="0.25">
      <c r="A5004" t="s">
        <v>26</v>
      </c>
      <c r="B5004" t="s">
        <v>27</v>
      </c>
      <c r="C5004" t="s">
        <v>38</v>
      </c>
      <c r="D5004">
        <v>51</v>
      </c>
      <c r="E5004" s="5">
        <v>43704</v>
      </c>
      <c r="F5004">
        <v>73952501</v>
      </c>
      <c r="G5004" t="s">
        <v>1091</v>
      </c>
      <c r="H5004" t="s">
        <v>1805</v>
      </c>
      <c r="I5004" t="s">
        <v>1806</v>
      </c>
      <c r="J5004">
        <v>1001</v>
      </c>
      <c r="K5004">
        <v>5016</v>
      </c>
      <c r="L5004" s="3">
        <v>0</v>
      </c>
      <c r="M5004" s="3">
        <v>50000</v>
      </c>
      <c r="N5004">
        <v>0</v>
      </c>
      <c r="O5004">
        <v>0</v>
      </c>
      <c r="P5004">
        <v>50000</v>
      </c>
      <c r="Q5004" t="s">
        <v>30</v>
      </c>
      <c r="R5004" t="s">
        <v>157</v>
      </c>
      <c r="S5004" t="str">
        <v>#N/A</v>
      </c>
      <c r="T5004" t="str">
        <v>#N/A</v>
      </c>
    </row>
    <row r="5005" spans="1:20" ht="13.7" customHeight="1" x14ac:dyDescent="0.25">
      <c r="E5005" s="5">
        <v>43465</v>
      </c>
      <c r="F5005">
        <v>73952501</v>
      </c>
      <c r="G5005" t="s">
        <v>1091</v>
      </c>
      <c r="H5005" t="s">
        <v>1807</v>
      </c>
      <c r="I5005" t="s">
        <v>1808</v>
      </c>
      <c r="J5005">
        <v>0</v>
      </c>
      <c r="K5005">
        <v>0</v>
      </c>
      <c r="L5005" s="3">
        <v>29000</v>
      </c>
      <c r="M5005" s="3">
        <v>0</v>
      </c>
      <c r="N5005">
        <v>0</v>
      </c>
      <c r="O5005">
        <v>0</v>
      </c>
      <c r="P5005">
        <v>29000</v>
      </c>
      <c r="R5005" t="s">
        <v>1100</v>
      </c>
      <c r="S5005" t="str">
        <v>#N/A</v>
      </c>
      <c r="T5005" t="str">
        <v>#N/A</v>
      </c>
    </row>
    <row r="5006" spans="1:20" ht="13.7" customHeight="1" x14ac:dyDescent="0.25">
      <c r="E5006" s="5">
        <v>43465</v>
      </c>
      <c r="F5006">
        <v>73959501</v>
      </c>
      <c r="G5006" t="s">
        <v>1092</v>
      </c>
      <c r="H5006" t="s">
        <v>1237</v>
      </c>
      <c r="I5006" t="s">
        <v>1238</v>
      </c>
      <c r="J5006">
        <v>0</v>
      </c>
      <c r="K5006">
        <v>0</v>
      </c>
      <c r="L5006" s="3">
        <v>73824</v>
      </c>
      <c r="M5006" s="3">
        <v>0</v>
      </c>
      <c r="N5006">
        <v>0</v>
      </c>
      <c r="O5006">
        <v>0</v>
      </c>
      <c r="P5006">
        <v>73824</v>
      </c>
      <c r="R5006" t="s">
        <v>1100</v>
      </c>
      <c r="S5006" t="str">
        <v>#N/A</v>
      </c>
      <c r="T5006" t="str">
        <v>31</v>
      </c>
    </row>
    <row r="5007" spans="1:20" ht="13.7" customHeight="1" x14ac:dyDescent="0.25">
      <c r="A5007" t="s">
        <v>26</v>
      </c>
      <c r="B5007" t="s">
        <v>27</v>
      </c>
      <c r="C5007" t="s">
        <v>28</v>
      </c>
      <c r="D5007">
        <v>70</v>
      </c>
      <c r="E5007" s="5">
        <v>43493</v>
      </c>
      <c r="F5007">
        <v>73959501</v>
      </c>
      <c r="G5007" t="s">
        <v>1092</v>
      </c>
      <c r="H5007" t="s">
        <v>1237</v>
      </c>
      <c r="I5007" t="s">
        <v>1238</v>
      </c>
      <c r="J5007">
        <v>1001</v>
      </c>
      <c r="K5007">
        <v>5004</v>
      </c>
      <c r="L5007" s="3">
        <v>73824</v>
      </c>
      <c r="M5007" s="3">
        <v>6521</v>
      </c>
      <c r="N5007">
        <v>0</v>
      </c>
      <c r="O5007">
        <v>0</v>
      </c>
      <c r="P5007">
        <v>80345</v>
      </c>
      <c r="Q5007" t="s">
        <v>30</v>
      </c>
      <c r="R5007" t="s">
        <v>203</v>
      </c>
      <c r="S5007" t="str">
        <v>#N/A</v>
      </c>
      <c r="T5007" t="str">
        <v>31</v>
      </c>
    </row>
    <row r="5008" spans="1:20" ht="13.7" customHeight="1" x14ac:dyDescent="0.25">
      <c r="A5008" t="s">
        <v>26</v>
      </c>
      <c r="B5008" t="s">
        <v>27</v>
      </c>
      <c r="C5008" t="s">
        <v>32</v>
      </c>
      <c r="D5008">
        <v>46</v>
      </c>
      <c r="E5008" s="5">
        <v>43519</v>
      </c>
      <c r="F5008">
        <v>73959501</v>
      </c>
      <c r="G5008" t="s">
        <v>1092</v>
      </c>
      <c r="H5008" t="s">
        <v>1237</v>
      </c>
      <c r="I5008" t="s">
        <v>1238</v>
      </c>
      <c r="J5008">
        <v>1001</v>
      </c>
      <c r="K5008">
        <v>5004</v>
      </c>
      <c r="L5008" s="3">
        <v>80345</v>
      </c>
      <c r="M5008" s="3">
        <v>6521</v>
      </c>
      <c r="N5008">
        <v>0</v>
      </c>
      <c r="O5008">
        <v>0</v>
      </c>
      <c r="P5008">
        <v>86866</v>
      </c>
      <c r="Q5008" t="s">
        <v>30</v>
      </c>
      <c r="R5008" t="s">
        <v>203</v>
      </c>
      <c r="S5008" t="str">
        <v>#N/A</v>
      </c>
      <c r="T5008" t="str">
        <v>31</v>
      </c>
    </row>
    <row r="5009" spans="1:20" ht="13.7" customHeight="1" x14ac:dyDescent="0.25">
      <c r="A5009" t="s">
        <v>26</v>
      </c>
      <c r="B5009" t="s">
        <v>27</v>
      </c>
      <c r="C5009" t="s">
        <v>91</v>
      </c>
      <c r="D5009">
        <v>38</v>
      </c>
      <c r="E5009" s="5">
        <v>43565</v>
      </c>
      <c r="F5009">
        <v>73959501</v>
      </c>
      <c r="G5009" t="s">
        <v>1092</v>
      </c>
      <c r="H5009" t="s">
        <v>1237</v>
      </c>
      <c r="I5009" t="s">
        <v>1238</v>
      </c>
      <c r="J5009">
        <v>1001</v>
      </c>
      <c r="K5009">
        <v>5004</v>
      </c>
      <c r="L5009" s="3">
        <v>86866</v>
      </c>
      <c r="M5009" s="3">
        <v>6559</v>
      </c>
      <c r="N5009">
        <v>0</v>
      </c>
      <c r="O5009">
        <v>0</v>
      </c>
      <c r="P5009">
        <v>93425</v>
      </c>
      <c r="Q5009" t="s">
        <v>30</v>
      </c>
      <c r="R5009" t="s">
        <v>250</v>
      </c>
      <c r="S5009" t="str">
        <v>#N/A</v>
      </c>
      <c r="T5009" t="str">
        <v>31</v>
      </c>
    </row>
    <row r="5010" spans="1:20" ht="13.7" customHeight="1" x14ac:dyDescent="0.25">
      <c r="A5010" t="s">
        <v>26</v>
      </c>
      <c r="B5010" t="s">
        <v>27</v>
      </c>
      <c r="C5010" t="s">
        <v>34</v>
      </c>
      <c r="D5010">
        <v>33</v>
      </c>
      <c r="E5010" s="5">
        <v>43570</v>
      </c>
      <c r="F5010">
        <v>73959501</v>
      </c>
      <c r="G5010" t="s">
        <v>1092</v>
      </c>
      <c r="H5010" t="s">
        <v>1237</v>
      </c>
      <c r="I5010" t="s">
        <v>1238</v>
      </c>
      <c r="J5010">
        <v>1001</v>
      </c>
      <c r="K5010">
        <v>5004</v>
      </c>
      <c r="L5010" s="3">
        <v>93425</v>
      </c>
      <c r="M5010" s="3">
        <v>6521</v>
      </c>
      <c r="N5010">
        <v>0</v>
      </c>
      <c r="O5010">
        <v>0</v>
      </c>
      <c r="P5010">
        <v>99946</v>
      </c>
      <c r="Q5010" t="s">
        <v>30</v>
      </c>
      <c r="R5010" t="s">
        <v>203</v>
      </c>
      <c r="S5010" t="str">
        <v>#N/A</v>
      </c>
      <c r="T5010" t="str">
        <v>31</v>
      </c>
    </row>
    <row r="5011" spans="1:20" ht="13.7" customHeight="1" x14ac:dyDescent="0.25">
      <c r="A5011" t="s">
        <v>26</v>
      </c>
      <c r="B5011" t="s">
        <v>27</v>
      </c>
      <c r="C5011" t="s">
        <v>35</v>
      </c>
      <c r="D5011">
        <v>52</v>
      </c>
      <c r="E5011" s="5">
        <v>43601</v>
      </c>
      <c r="F5011">
        <v>73959501</v>
      </c>
      <c r="G5011" t="s">
        <v>1092</v>
      </c>
      <c r="H5011" t="s">
        <v>1237</v>
      </c>
      <c r="I5011" t="s">
        <v>1238</v>
      </c>
      <c r="J5011">
        <v>1001</v>
      </c>
      <c r="K5011">
        <v>5004</v>
      </c>
      <c r="L5011" s="3">
        <v>99946</v>
      </c>
      <c r="M5011" s="3">
        <v>6521</v>
      </c>
      <c r="N5011">
        <v>0</v>
      </c>
      <c r="O5011">
        <v>0</v>
      </c>
      <c r="P5011">
        <v>106467</v>
      </c>
      <c r="Q5011" t="s">
        <v>30</v>
      </c>
      <c r="R5011" t="s">
        <v>203</v>
      </c>
      <c r="S5011" t="str">
        <v>#N/A</v>
      </c>
      <c r="T5011" t="str">
        <v>31</v>
      </c>
    </row>
    <row r="5012" spans="1:20" ht="13.7" customHeight="1" x14ac:dyDescent="0.25">
      <c r="A5012" t="s">
        <v>26</v>
      </c>
      <c r="B5012" t="s">
        <v>27</v>
      </c>
      <c r="C5012" t="s">
        <v>36</v>
      </c>
      <c r="D5012">
        <v>41</v>
      </c>
      <c r="E5012" s="5">
        <v>43634</v>
      </c>
      <c r="F5012">
        <v>73959501</v>
      </c>
      <c r="G5012" t="s">
        <v>1092</v>
      </c>
      <c r="H5012" t="s">
        <v>1237</v>
      </c>
      <c r="I5012" t="s">
        <v>1238</v>
      </c>
      <c r="J5012">
        <v>1001</v>
      </c>
      <c r="K5012">
        <v>5004</v>
      </c>
      <c r="L5012" s="3">
        <v>106467</v>
      </c>
      <c r="M5012" s="3">
        <v>6521</v>
      </c>
      <c r="N5012">
        <v>0</v>
      </c>
      <c r="O5012">
        <v>0</v>
      </c>
      <c r="P5012">
        <v>112988</v>
      </c>
      <c r="Q5012" t="s">
        <v>30</v>
      </c>
      <c r="R5012" t="s">
        <v>203</v>
      </c>
      <c r="S5012" t="str">
        <v>#N/A</v>
      </c>
      <c r="T5012" t="str">
        <v>31</v>
      </c>
    </row>
    <row r="5013" spans="1:20" ht="13.7" customHeight="1" x14ac:dyDescent="0.25">
      <c r="A5013" t="s">
        <v>26</v>
      </c>
      <c r="B5013" t="s">
        <v>27</v>
      </c>
      <c r="C5013" t="s">
        <v>37</v>
      </c>
      <c r="D5013">
        <v>47</v>
      </c>
      <c r="E5013" s="5">
        <v>43664</v>
      </c>
      <c r="F5013">
        <v>73959501</v>
      </c>
      <c r="G5013" t="s">
        <v>1092</v>
      </c>
      <c r="H5013" t="s">
        <v>1237</v>
      </c>
      <c r="I5013" t="s">
        <v>1238</v>
      </c>
      <c r="J5013">
        <v>1001</v>
      </c>
      <c r="K5013">
        <v>5004</v>
      </c>
      <c r="L5013" s="3">
        <v>112988</v>
      </c>
      <c r="M5013" s="3">
        <v>6521</v>
      </c>
      <c r="N5013">
        <v>0</v>
      </c>
      <c r="O5013">
        <v>0</v>
      </c>
      <c r="P5013">
        <v>119509</v>
      </c>
      <c r="Q5013" t="s">
        <v>30</v>
      </c>
      <c r="R5013" t="s">
        <v>203</v>
      </c>
      <c r="S5013" t="str">
        <v>#N/A</v>
      </c>
      <c r="T5013" t="str">
        <v>31</v>
      </c>
    </row>
    <row r="5014" spans="1:20" ht="13.7" customHeight="1" x14ac:dyDescent="0.25">
      <c r="A5014" t="s">
        <v>26</v>
      </c>
      <c r="B5014" t="s">
        <v>27</v>
      </c>
      <c r="C5014" t="s">
        <v>38</v>
      </c>
      <c r="D5014">
        <v>31</v>
      </c>
      <c r="E5014" s="5">
        <v>43694</v>
      </c>
      <c r="F5014">
        <v>73959501</v>
      </c>
      <c r="G5014" t="s">
        <v>1092</v>
      </c>
      <c r="H5014" t="s">
        <v>1237</v>
      </c>
      <c r="I5014" t="s">
        <v>1238</v>
      </c>
      <c r="J5014">
        <v>1001</v>
      </c>
      <c r="K5014">
        <v>5004</v>
      </c>
      <c r="L5014" s="3">
        <v>119509</v>
      </c>
      <c r="M5014" s="3">
        <v>6521</v>
      </c>
      <c r="N5014">
        <v>0</v>
      </c>
      <c r="O5014">
        <v>0</v>
      </c>
      <c r="P5014">
        <v>126030</v>
      </c>
      <c r="Q5014" t="s">
        <v>30</v>
      </c>
      <c r="R5014" t="s">
        <v>203</v>
      </c>
      <c r="S5014" t="str">
        <v>#N/A</v>
      </c>
      <c r="T5014" t="str">
        <v>31</v>
      </c>
    </row>
    <row r="5015" spans="1:20" ht="13.7" customHeight="1" x14ac:dyDescent="0.25">
      <c r="A5015" t="s">
        <v>26</v>
      </c>
      <c r="B5015" t="s">
        <v>27</v>
      </c>
      <c r="C5015" t="s">
        <v>39</v>
      </c>
      <c r="D5015">
        <v>61</v>
      </c>
      <c r="E5015" s="5">
        <v>43736</v>
      </c>
      <c r="F5015">
        <v>73959501</v>
      </c>
      <c r="G5015" t="s">
        <v>1092</v>
      </c>
      <c r="H5015" t="s">
        <v>1237</v>
      </c>
      <c r="I5015" t="s">
        <v>1238</v>
      </c>
      <c r="J5015">
        <v>1001</v>
      </c>
      <c r="K5015">
        <v>5004</v>
      </c>
      <c r="L5015" s="3">
        <v>126030</v>
      </c>
      <c r="M5015" s="3">
        <v>6521</v>
      </c>
      <c r="N5015">
        <v>0</v>
      </c>
      <c r="O5015">
        <v>0</v>
      </c>
      <c r="P5015">
        <v>132551</v>
      </c>
      <c r="Q5015" t="s">
        <v>30</v>
      </c>
      <c r="R5015" t="s">
        <v>203</v>
      </c>
      <c r="S5015" t="str">
        <v>#N/A</v>
      </c>
      <c r="T5015" t="str">
        <v>31</v>
      </c>
    </row>
    <row r="5016" spans="1:20" ht="13.7" customHeight="1" x14ac:dyDescent="0.25">
      <c r="A5016" t="s">
        <v>26</v>
      </c>
      <c r="B5016" t="s">
        <v>27</v>
      </c>
      <c r="C5016" t="s">
        <v>40</v>
      </c>
      <c r="D5016">
        <v>32</v>
      </c>
      <c r="E5016" s="5">
        <v>43756</v>
      </c>
      <c r="F5016">
        <v>73959501</v>
      </c>
      <c r="G5016" t="s">
        <v>1092</v>
      </c>
      <c r="H5016" t="s">
        <v>1237</v>
      </c>
      <c r="I5016" t="s">
        <v>1238</v>
      </c>
      <c r="J5016">
        <v>1001</v>
      </c>
      <c r="K5016">
        <v>5004</v>
      </c>
      <c r="L5016" s="3">
        <v>132551</v>
      </c>
      <c r="M5016" s="3">
        <v>6521</v>
      </c>
      <c r="N5016">
        <v>0</v>
      </c>
      <c r="O5016">
        <v>0</v>
      </c>
      <c r="P5016">
        <v>139072</v>
      </c>
      <c r="Q5016" t="s">
        <v>30</v>
      </c>
      <c r="R5016" t="s">
        <v>203</v>
      </c>
      <c r="S5016" t="str">
        <v>#N/A</v>
      </c>
      <c r="T5016" t="str">
        <v>31</v>
      </c>
    </row>
    <row r="5017" spans="1:20" ht="13.7" customHeight="1" x14ac:dyDescent="0.25">
      <c r="A5017" t="s">
        <v>26</v>
      </c>
      <c r="B5017" t="s">
        <v>27</v>
      </c>
      <c r="C5017" t="s">
        <v>41</v>
      </c>
      <c r="D5017">
        <v>50</v>
      </c>
      <c r="E5017" s="5">
        <v>43758</v>
      </c>
      <c r="F5017">
        <v>73959501</v>
      </c>
      <c r="G5017" t="s">
        <v>1092</v>
      </c>
      <c r="H5017" t="s">
        <v>1237</v>
      </c>
      <c r="I5017" t="s">
        <v>1238</v>
      </c>
      <c r="J5017">
        <v>1001</v>
      </c>
      <c r="K5017">
        <v>5004</v>
      </c>
      <c r="L5017" s="3">
        <v>139072</v>
      </c>
      <c r="M5017" s="3">
        <v>6521</v>
      </c>
      <c r="N5017">
        <v>0</v>
      </c>
      <c r="O5017">
        <v>0</v>
      </c>
      <c r="P5017">
        <v>145593</v>
      </c>
      <c r="Q5017" t="s">
        <v>30</v>
      </c>
      <c r="R5017" t="s">
        <v>203</v>
      </c>
      <c r="S5017" t="str">
        <v>#N/A</v>
      </c>
      <c r="T5017" t="str">
        <v>31</v>
      </c>
    </row>
    <row r="5018" spans="1:20" ht="13.7" customHeight="1" x14ac:dyDescent="0.25">
      <c r="A5018" t="s">
        <v>26</v>
      </c>
      <c r="B5018" t="s">
        <v>27</v>
      </c>
      <c r="C5018" t="s">
        <v>180</v>
      </c>
      <c r="D5018">
        <v>48</v>
      </c>
      <c r="E5018" s="5">
        <v>43817</v>
      </c>
      <c r="F5018">
        <v>73959501</v>
      </c>
      <c r="G5018" t="s">
        <v>1092</v>
      </c>
      <c r="H5018" t="s">
        <v>1237</v>
      </c>
      <c r="I5018" t="s">
        <v>1238</v>
      </c>
      <c r="J5018">
        <v>1001</v>
      </c>
      <c r="K5018">
        <v>5004</v>
      </c>
      <c r="L5018" s="3">
        <v>145593</v>
      </c>
      <c r="M5018" s="3">
        <v>6521</v>
      </c>
      <c r="N5018">
        <v>0</v>
      </c>
      <c r="O5018">
        <v>0</v>
      </c>
      <c r="P5018">
        <v>152114</v>
      </c>
      <c r="Q5018" t="s">
        <v>30</v>
      </c>
      <c r="R5018" t="s">
        <v>203</v>
      </c>
      <c r="S5018" t="str">
        <v>#N/A</v>
      </c>
      <c r="T5018" t="str">
        <v>31</v>
      </c>
    </row>
    <row r="5019" spans="1:20" ht="13.7" customHeight="1" x14ac:dyDescent="0.25">
      <c r="E5019" s="5">
        <v>43465</v>
      </c>
      <c r="F5019">
        <v>73959502</v>
      </c>
      <c r="G5019" t="s">
        <v>1093</v>
      </c>
      <c r="H5019" t="s">
        <v>1237</v>
      </c>
      <c r="I5019" t="s">
        <v>1238</v>
      </c>
      <c r="J5019">
        <v>0</v>
      </c>
      <c r="K5019">
        <v>0</v>
      </c>
      <c r="L5019" s="3">
        <v>147160</v>
      </c>
      <c r="M5019" s="3">
        <v>0</v>
      </c>
      <c r="N5019">
        <v>0</v>
      </c>
      <c r="O5019">
        <v>0</v>
      </c>
      <c r="P5019">
        <v>147160</v>
      </c>
      <c r="R5019" t="s">
        <v>1100</v>
      </c>
      <c r="S5019" t="str">
        <v>#N/A</v>
      </c>
      <c r="T5019" t="str">
        <v>31</v>
      </c>
    </row>
    <row r="5020" spans="1:20" ht="13.7" customHeight="1" x14ac:dyDescent="0.25">
      <c r="A5020" t="s">
        <v>26</v>
      </c>
      <c r="B5020" t="s">
        <v>27</v>
      </c>
      <c r="C5020" t="s">
        <v>28</v>
      </c>
      <c r="D5020">
        <v>70</v>
      </c>
      <c r="E5020" s="5">
        <v>43493</v>
      </c>
      <c r="F5020">
        <v>73959502</v>
      </c>
      <c r="G5020" t="s">
        <v>1093</v>
      </c>
      <c r="H5020" t="s">
        <v>1237</v>
      </c>
      <c r="I5020" t="s">
        <v>1238</v>
      </c>
      <c r="J5020">
        <v>1001</v>
      </c>
      <c r="K5020">
        <v>5004</v>
      </c>
      <c r="L5020" s="3">
        <v>147160</v>
      </c>
      <c r="M5020" s="3">
        <v>15599</v>
      </c>
      <c r="N5020">
        <v>0</v>
      </c>
      <c r="O5020">
        <v>0</v>
      </c>
      <c r="P5020">
        <v>162759</v>
      </c>
      <c r="Q5020" t="s">
        <v>30</v>
      </c>
      <c r="R5020" t="s">
        <v>203</v>
      </c>
      <c r="S5020" t="str">
        <v>#N/A</v>
      </c>
      <c r="T5020" t="str">
        <v>31</v>
      </c>
    </row>
    <row r="5021" spans="1:20" ht="13.7" customHeight="1" x14ac:dyDescent="0.25">
      <c r="A5021" t="s">
        <v>26</v>
      </c>
      <c r="B5021" t="s">
        <v>27</v>
      </c>
      <c r="C5021" t="s">
        <v>32</v>
      </c>
      <c r="D5021">
        <v>46</v>
      </c>
      <c r="E5021" s="5">
        <v>43519</v>
      </c>
      <c r="F5021">
        <v>73959502</v>
      </c>
      <c r="G5021" t="s">
        <v>1093</v>
      </c>
      <c r="H5021" t="s">
        <v>1237</v>
      </c>
      <c r="I5021" t="s">
        <v>1238</v>
      </c>
      <c r="J5021">
        <v>1001</v>
      </c>
      <c r="K5021">
        <v>5004</v>
      </c>
      <c r="L5021" s="3">
        <v>162759</v>
      </c>
      <c r="M5021" s="3">
        <v>15599</v>
      </c>
      <c r="N5021">
        <v>0</v>
      </c>
      <c r="O5021">
        <v>0</v>
      </c>
      <c r="P5021">
        <v>178358</v>
      </c>
      <c r="Q5021" t="s">
        <v>30</v>
      </c>
      <c r="R5021" t="s">
        <v>203</v>
      </c>
      <c r="S5021" t="str">
        <v>#N/A</v>
      </c>
      <c r="T5021" t="str">
        <v>31</v>
      </c>
    </row>
    <row r="5022" spans="1:20" ht="13.7" customHeight="1" x14ac:dyDescent="0.25">
      <c r="A5022" t="s">
        <v>26</v>
      </c>
      <c r="B5022" t="s">
        <v>27</v>
      </c>
      <c r="C5022" t="s">
        <v>91</v>
      </c>
      <c r="D5022">
        <v>38</v>
      </c>
      <c r="E5022" s="5">
        <v>43565</v>
      </c>
      <c r="F5022">
        <v>73959502</v>
      </c>
      <c r="G5022" t="s">
        <v>1093</v>
      </c>
      <c r="H5022" t="s">
        <v>1237</v>
      </c>
      <c r="I5022" t="s">
        <v>1238</v>
      </c>
      <c r="J5022">
        <v>1001</v>
      </c>
      <c r="K5022">
        <v>5004</v>
      </c>
      <c r="L5022" s="3">
        <v>178358</v>
      </c>
      <c r="M5022" s="3">
        <v>15561</v>
      </c>
      <c r="N5022">
        <v>0</v>
      </c>
      <c r="O5022">
        <v>0</v>
      </c>
      <c r="P5022">
        <v>193919</v>
      </c>
      <c r="Q5022" t="s">
        <v>30</v>
      </c>
      <c r="R5022" t="s">
        <v>250</v>
      </c>
      <c r="S5022" t="str">
        <v>#N/A</v>
      </c>
      <c r="T5022" t="str">
        <v>31</v>
      </c>
    </row>
    <row r="5023" spans="1:20" ht="13.7" customHeight="1" x14ac:dyDescent="0.25">
      <c r="A5023" t="s">
        <v>26</v>
      </c>
      <c r="B5023" t="s">
        <v>27</v>
      </c>
      <c r="C5023" t="s">
        <v>34</v>
      </c>
      <c r="D5023">
        <v>33</v>
      </c>
      <c r="E5023" s="5">
        <v>43570</v>
      </c>
      <c r="F5023">
        <v>73959502</v>
      </c>
      <c r="G5023" t="s">
        <v>1093</v>
      </c>
      <c r="H5023" t="s">
        <v>1237</v>
      </c>
      <c r="I5023" t="s">
        <v>1238</v>
      </c>
      <c r="J5023">
        <v>1001</v>
      </c>
      <c r="K5023">
        <v>5004</v>
      </c>
      <c r="L5023" s="3">
        <v>193919</v>
      </c>
      <c r="M5023" s="3">
        <v>15599</v>
      </c>
      <c r="N5023">
        <v>0</v>
      </c>
      <c r="O5023">
        <v>0</v>
      </c>
      <c r="P5023">
        <v>209518</v>
      </c>
      <c r="Q5023" t="s">
        <v>30</v>
      </c>
      <c r="R5023" t="s">
        <v>203</v>
      </c>
      <c r="S5023" t="str">
        <v>#N/A</v>
      </c>
      <c r="T5023" t="str">
        <v>31</v>
      </c>
    </row>
    <row r="5024" spans="1:20" ht="13.7" customHeight="1" x14ac:dyDescent="0.25">
      <c r="A5024" t="s">
        <v>26</v>
      </c>
      <c r="B5024" t="s">
        <v>27</v>
      </c>
      <c r="C5024" t="s">
        <v>35</v>
      </c>
      <c r="D5024">
        <v>52</v>
      </c>
      <c r="E5024" s="5">
        <v>43601</v>
      </c>
      <c r="F5024">
        <v>73959502</v>
      </c>
      <c r="G5024" t="s">
        <v>1093</v>
      </c>
      <c r="H5024" t="s">
        <v>1237</v>
      </c>
      <c r="I5024" t="s">
        <v>1238</v>
      </c>
      <c r="J5024">
        <v>1001</v>
      </c>
      <c r="K5024">
        <v>5004</v>
      </c>
      <c r="L5024" s="3">
        <v>209518</v>
      </c>
      <c r="M5024" s="3">
        <v>15599</v>
      </c>
      <c r="N5024">
        <v>0</v>
      </c>
      <c r="O5024">
        <v>0</v>
      </c>
      <c r="P5024">
        <v>225117</v>
      </c>
      <c r="Q5024" t="s">
        <v>30</v>
      </c>
      <c r="R5024" t="s">
        <v>203</v>
      </c>
      <c r="S5024" t="str">
        <v>#N/A</v>
      </c>
      <c r="T5024" t="str">
        <v>31</v>
      </c>
    </row>
    <row r="5025" spans="1:20" ht="13.7" customHeight="1" x14ac:dyDescent="0.25">
      <c r="A5025" t="s">
        <v>26</v>
      </c>
      <c r="B5025" t="s">
        <v>27</v>
      </c>
      <c r="C5025" t="s">
        <v>36</v>
      </c>
      <c r="D5025">
        <v>41</v>
      </c>
      <c r="E5025" s="5">
        <v>43634</v>
      </c>
      <c r="F5025">
        <v>73959502</v>
      </c>
      <c r="G5025" t="s">
        <v>1093</v>
      </c>
      <c r="H5025" t="s">
        <v>1237</v>
      </c>
      <c r="I5025" t="s">
        <v>1238</v>
      </c>
      <c r="J5025">
        <v>1001</v>
      </c>
      <c r="K5025">
        <v>5004</v>
      </c>
      <c r="L5025" s="3">
        <v>225117</v>
      </c>
      <c r="M5025" s="3">
        <v>15599</v>
      </c>
      <c r="N5025">
        <v>0</v>
      </c>
      <c r="O5025">
        <v>0</v>
      </c>
      <c r="P5025">
        <v>240716</v>
      </c>
      <c r="Q5025" t="s">
        <v>30</v>
      </c>
      <c r="R5025" t="s">
        <v>203</v>
      </c>
      <c r="S5025" t="str">
        <v>#N/A</v>
      </c>
      <c r="T5025" t="str">
        <v>31</v>
      </c>
    </row>
    <row r="5026" spans="1:20" ht="13.7" customHeight="1" x14ac:dyDescent="0.25">
      <c r="A5026" t="s">
        <v>26</v>
      </c>
      <c r="B5026" t="s">
        <v>27</v>
      </c>
      <c r="C5026" t="s">
        <v>37</v>
      </c>
      <c r="D5026">
        <v>47</v>
      </c>
      <c r="E5026" s="5">
        <v>43664</v>
      </c>
      <c r="F5026">
        <v>73959502</v>
      </c>
      <c r="G5026" t="s">
        <v>1093</v>
      </c>
      <c r="H5026" t="s">
        <v>1237</v>
      </c>
      <c r="I5026" t="s">
        <v>1238</v>
      </c>
      <c r="J5026">
        <v>1001</v>
      </c>
      <c r="K5026">
        <v>5004</v>
      </c>
      <c r="L5026" s="3">
        <v>240716</v>
      </c>
      <c r="M5026" s="3">
        <v>15599</v>
      </c>
      <c r="N5026">
        <v>0</v>
      </c>
      <c r="O5026">
        <v>0</v>
      </c>
      <c r="P5026">
        <v>256315</v>
      </c>
      <c r="Q5026" t="s">
        <v>30</v>
      </c>
      <c r="R5026" t="s">
        <v>203</v>
      </c>
      <c r="S5026" t="str">
        <v>#N/A</v>
      </c>
      <c r="T5026" t="str">
        <v>31</v>
      </c>
    </row>
    <row r="5027" spans="1:20" ht="13.7" customHeight="1" x14ac:dyDescent="0.25">
      <c r="A5027" t="s">
        <v>26</v>
      </c>
      <c r="B5027" t="s">
        <v>27</v>
      </c>
      <c r="C5027" t="s">
        <v>38</v>
      </c>
      <c r="D5027">
        <v>31</v>
      </c>
      <c r="E5027" s="5">
        <v>43694</v>
      </c>
      <c r="F5027">
        <v>73959502</v>
      </c>
      <c r="G5027" t="s">
        <v>1093</v>
      </c>
      <c r="H5027" t="s">
        <v>1237</v>
      </c>
      <c r="I5027" t="s">
        <v>1238</v>
      </c>
      <c r="J5027">
        <v>1001</v>
      </c>
      <c r="K5027">
        <v>5004</v>
      </c>
      <c r="L5027" s="3">
        <v>256315</v>
      </c>
      <c r="M5027" s="3">
        <v>15599</v>
      </c>
      <c r="N5027">
        <v>0</v>
      </c>
      <c r="O5027">
        <v>0</v>
      </c>
      <c r="P5027">
        <v>271914</v>
      </c>
      <c r="Q5027" t="s">
        <v>30</v>
      </c>
      <c r="R5027" t="s">
        <v>203</v>
      </c>
      <c r="S5027" t="str">
        <v>#N/A</v>
      </c>
      <c r="T5027" t="str">
        <v>31</v>
      </c>
    </row>
    <row r="5028" spans="1:20" ht="13.7" customHeight="1" x14ac:dyDescent="0.25">
      <c r="A5028" t="s">
        <v>26</v>
      </c>
      <c r="B5028" t="s">
        <v>27</v>
      </c>
      <c r="C5028" t="s">
        <v>39</v>
      </c>
      <c r="D5028">
        <v>61</v>
      </c>
      <c r="E5028" s="5">
        <v>43736</v>
      </c>
      <c r="F5028">
        <v>73959502</v>
      </c>
      <c r="G5028" t="s">
        <v>1093</v>
      </c>
      <c r="H5028" t="s">
        <v>1237</v>
      </c>
      <c r="I5028" t="s">
        <v>1238</v>
      </c>
      <c r="J5028">
        <v>1001</v>
      </c>
      <c r="K5028">
        <v>5004</v>
      </c>
      <c r="L5028" s="3">
        <v>271914</v>
      </c>
      <c r="M5028" s="3">
        <v>15599</v>
      </c>
      <c r="N5028">
        <v>0</v>
      </c>
      <c r="O5028">
        <v>0</v>
      </c>
      <c r="P5028">
        <v>287513</v>
      </c>
      <c r="Q5028" t="s">
        <v>30</v>
      </c>
      <c r="R5028" t="s">
        <v>203</v>
      </c>
      <c r="S5028" t="str">
        <v>#N/A</v>
      </c>
      <c r="T5028" t="str">
        <v>31</v>
      </c>
    </row>
    <row r="5029" spans="1:20" ht="13.7" customHeight="1" x14ac:dyDescent="0.25">
      <c r="A5029" t="s">
        <v>26</v>
      </c>
      <c r="B5029" t="s">
        <v>27</v>
      </c>
      <c r="C5029" t="s">
        <v>40</v>
      </c>
      <c r="D5029">
        <v>32</v>
      </c>
      <c r="E5029" s="5">
        <v>43756</v>
      </c>
      <c r="F5029">
        <v>73959502</v>
      </c>
      <c r="G5029" t="s">
        <v>1093</v>
      </c>
      <c r="H5029" t="s">
        <v>1237</v>
      </c>
      <c r="I5029" t="s">
        <v>1238</v>
      </c>
      <c r="J5029">
        <v>1001</v>
      </c>
      <c r="K5029">
        <v>5004</v>
      </c>
      <c r="L5029" s="3">
        <v>287513</v>
      </c>
      <c r="M5029" s="3">
        <v>15599</v>
      </c>
      <c r="N5029">
        <v>0</v>
      </c>
      <c r="O5029">
        <v>0</v>
      </c>
      <c r="P5029">
        <v>303112</v>
      </c>
      <c r="Q5029" t="s">
        <v>30</v>
      </c>
      <c r="R5029" t="s">
        <v>203</v>
      </c>
      <c r="S5029" t="str">
        <v>#N/A</v>
      </c>
      <c r="T5029" t="str">
        <v>31</v>
      </c>
    </row>
    <row r="5030" spans="1:20" ht="13.7" customHeight="1" x14ac:dyDescent="0.25">
      <c r="A5030" t="s">
        <v>26</v>
      </c>
      <c r="B5030" t="s">
        <v>27</v>
      </c>
      <c r="C5030" t="s">
        <v>41</v>
      </c>
      <c r="D5030">
        <v>50</v>
      </c>
      <c r="E5030" s="5">
        <v>43758</v>
      </c>
      <c r="F5030">
        <v>73959502</v>
      </c>
      <c r="G5030" t="s">
        <v>1093</v>
      </c>
      <c r="H5030" t="s">
        <v>1237</v>
      </c>
      <c r="I5030" t="s">
        <v>1238</v>
      </c>
      <c r="J5030">
        <v>1001</v>
      </c>
      <c r="K5030">
        <v>5004</v>
      </c>
      <c r="L5030" s="3">
        <v>303112</v>
      </c>
      <c r="M5030" s="3">
        <v>15599</v>
      </c>
      <c r="N5030">
        <v>0</v>
      </c>
      <c r="O5030">
        <v>0</v>
      </c>
      <c r="P5030">
        <v>318711</v>
      </c>
      <c r="Q5030" t="s">
        <v>30</v>
      </c>
      <c r="R5030" t="s">
        <v>203</v>
      </c>
      <c r="S5030" t="str">
        <v>#N/A</v>
      </c>
      <c r="T5030" t="str">
        <v>31</v>
      </c>
    </row>
    <row r="5031" spans="1:20" ht="13.7" customHeight="1" x14ac:dyDescent="0.25">
      <c r="A5031" t="s">
        <v>26</v>
      </c>
      <c r="B5031" t="s">
        <v>27</v>
      </c>
      <c r="C5031" t="s">
        <v>180</v>
      </c>
      <c r="D5031">
        <v>48</v>
      </c>
      <c r="E5031" s="5">
        <v>43817</v>
      </c>
      <c r="F5031">
        <v>73959502</v>
      </c>
      <c r="G5031" t="s">
        <v>1093</v>
      </c>
      <c r="H5031" t="s">
        <v>1237</v>
      </c>
      <c r="I5031" t="s">
        <v>1238</v>
      </c>
      <c r="J5031">
        <v>1001</v>
      </c>
      <c r="K5031">
        <v>5004</v>
      </c>
      <c r="L5031" s="3">
        <v>318711</v>
      </c>
      <c r="M5031" s="3">
        <v>15599</v>
      </c>
      <c r="N5031">
        <v>0</v>
      </c>
      <c r="O5031">
        <v>0</v>
      </c>
      <c r="P5031">
        <v>334310</v>
      </c>
      <c r="Q5031" t="s">
        <v>30</v>
      </c>
      <c r="R5031" t="s">
        <v>203</v>
      </c>
      <c r="S5031" t="str">
        <v>#N/A</v>
      </c>
      <c r="T5031" t="str">
        <v>31</v>
      </c>
    </row>
    <row r="5032" spans="1:20" ht="13.7" customHeight="1" x14ac:dyDescent="0.25">
      <c r="E5032" s="5">
        <v>43465</v>
      </c>
      <c r="F5032">
        <v>73959502</v>
      </c>
      <c r="G5032" t="s">
        <v>1093</v>
      </c>
      <c r="H5032" t="s">
        <v>1161</v>
      </c>
      <c r="I5032" t="s">
        <v>1162</v>
      </c>
      <c r="J5032">
        <v>0</v>
      </c>
      <c r="K5032">
        <v>0</v>
      </c>
      <c r="L5032" s="3">
        <v>0</v>
      </c>
      <c r="M5032" s="3">
        <v>0</v>
      </c>
      <c r="N5032">
        <v>0</v>
      </c>
      <c r="O5032">
        <v>0</v>
      </c>
      <c r="P5032">
        <v>0</v>
      </c>
      <c r="R5032" t="s">
        <v>1100</v>
      </c>
      <c r="S5032" t="str">
        <v>#N/A</v>
      </c>
      <c r="T5032" t="str">
        <v>#N/A</v>
      </c>
    </row>
    <row r="5033" spans="1:20" ht="13.7" customHeight="1" x14ac:dyDescent="0.25">
      <c r="A5033" t="s">
        <v>26</v>
      </c>
      <c r="B5033" t="s">
        <v>27</v>
      </c>
      <c r="C5033" t="s">
        <v>91</v>
      </c>
      <c r="D5033">
        <v>70</v>
      </c>
      <c r="E5033" s="5">
        <v>43544</v>
      </c>
      <c r="F5033">
        <v>73959502</v>
      </c>
      <c r="G5033" t="s">
        <v>1093</v>
      </c>
      <c r="H5033" t="s">
        <v>1161</v>
      </c>
      <c r="I5033" t="s">
        <v>1162</v>
      </c>
      <c r="J5033">
        <v>1001</v>
      </c>
      <c r="K5033">
        <v>5004</v>
      </c>
      <c r="L5033" s="3">
        <v>0</v>
      </c>
      <c r="M5033" s="3">
        <v>52300</v>
      </c>
      <c r="N5033">
        <v>0</v>
      </c>
      <c r="O5033">
        <v>0</v>
      </c>
      <c r="P5033">
        <v>52300</v>
      </c>
      <c r="Q5033" t="s">
        <v>30</v>
      </c>
      <c r="R5033" t="s">
        <v>241</v>
      </c>
      <c r="S5033" t="str">
        <v>#N/A</v>
      </c>
      <c r="T5033" t="str">
        <v>#N/A</v>
      </c>
    </row>
    <row r="5034" spans="1:20" ht="13.7" customHeight="1" x14ac:dyDescent="0.25">
      <c r="E5034" s="5">
        <v>43465</v>
      </c>
      <c r="F5034">
        <v>73959503</v>
      </c>
      <c r="G5034" t="s">
        <v>1094</v>
      </c>
      <c r="H5034" t="s">
        <v>1473</v>
      </c>
      <c r="I5034" t="s">
        <v>1474</v>
      </c>
      <c r="J5034">
        <v>0</v>
      </c>
      <c r="K5034">
        <v>0</v>
      </c>
      <c r="L5034" s="3">
        <v>18000</v>
      </c>
      <c r="M5034" s="3">
        <v>0</v>
      </c>
      <c r="N5034">
        <v>0</v>
      </c>
      <c r="O5034">
        <v>0</v>
      </c>
      <c r="P5034">
        <v>18000</v>
      </c>
      <c r="R5034" t="s">
        <v>1100</v>
      </c>
      <c r="S5034" t="str">
        <v>#N/A</v>
      </c>
      <c r="T5034" t="str">
        <v>#N/A</v>
      </c>
    </row>
    <row r="5035" spans="1:20" ht="13.7" customHeight="1" x14ac:dyDescent="0.25">
      <c r="E5035" s="5">
        <v>43465</v>
      </c>
      <c r="F5035">
        <v>73959503</v>
      </c>
      <c r="G5035" t="s">
        <v>1094</v>
      </c>
      <c r="H5035" t="s">
        <v>1809</v>
      </c>
      <c r="I5035" t="s">
        <v>1810</v>
      </c>
      <c r="J5035">
        <v>0</v>
      </c>
      <c r="K5035">
        <v>0</v>
      </c>
      <c r="L5035" s="3">
        <v>60000</v>
      </c>
      <c r="M5035" s="3">
        <v>0</v>
      </c>
      <c r="N5035">
        <v>0</v>
      </c>
      <c r="O5035">
        <v>0</v>
      </c>
      <c r="P5035">
        <v>60000</v>
      </c>
      <c r="R5035" t="s">
        <v>1100</v>
      </c>
      <c r="S5035" t="str">
        <v>#N/A</v>
      </c>
      <c r="T5035" t="str">
        <v>#N/A</v>
      </c>
    </row>
    <row r="5036" spans="1:20" ht="13.7" customHeight="1" x14ac:dyDescent="0.25">
      <c r="E5036" s="5">
        <v>43465</v>
      </c>
      <c r="F5036">
        <v>73959503</v>
      </c>
      <c r="G5036" t="s">
        <v>1094</v>
      </c>
      <c r="H5036" t="s">
        <v>1811</v>
      </c>
      <c r="I5036" t="s">
        <v>1812</v>
      </c>
      <c r="J5036">
        <v>0</v>
      </c>
      <c r="K5036">
        <v>0</v>
      </c>
      <c r="L5036" s="3">
        <v>85000</v>
      </c>
      <c r="M5036" s="3">
        <v>0</v>
      </c>
      <c r="N5036">
        <v>0</v>
      </c>
      <c r="O5036">
        <v>0</v>
      </c>
      <c r="P5036">
        <v>85000</v>
      </c>
      <c r="R5036" t="s">
        <v>1100</v>
      </c>
      <c r="S5036" t="str">
        <v>#N/A</v>
      </c>
      <c r="T5036" t="str">
        <v>#N/A</v>
      </c>
    </row>
    <row r="5037" spans="1:20" ht="13.7" customHeight="1" x14ac:dyDescent="0.25">
      <c r="E5037" s="5">
        <v>43465</v>
      </c>
      <c r="F5037">
        <v>73959503</v>
      </c>
      <c r="G5037" t="s">
        <v>1094</v>
      </c>
      <c r="H5037" t="s">
        <v>1541</v>
      </c>
      <c r="I5037" t="s">
        <v>1542</v>
      </c>
      <c r="J5037">
        <v>0</v>
      </c>
      <c r="K5037">
        <v>0</v>
      </c>
      <c r="L5037" s="3">
        <v>2521</v>
      </c>
      <c r="M5037" s="3">
        <v>0</v>
      </c>
      <c r="N5037">
        <v>0</v>
      </c>
      <c r="O5037">
        <v>0</v>
      </c>
      <c r="P5037">
        <v>2521</v>
      </c>
      <c r="R5037" t="s">
        <v>1100</v>
      </c>
      <c r="S5037" t="str">
        <v>#N/A</v>
      </c>
      <c r="T5037" t="str">
        <v>#N/A</v>
      </c>
    </row>
    <row r="5038" spans="1:20" ht="13.7" customHeight="1" x14ac:dyDescent="0.25">
      <c r="E5038" s="5">
        <v>43465</v>
      </c>
      <c r="F5038">
        <v>73959503</v>
      </c>
      <c r="G5038" t="s">
        <v>1094</v>
      </c>
      <c r="H5038" t="s">
        <v>1543</v>
      </c>
      <c r="I5038" t="s">
        <v>1544</v>
      </c>
      <c r="J5038">
        <v>0</v>
      </c>
      <c r="K5038">
        <v>0</v>
      </c>
      <c r="L5038" s="3">
        <v>3025</v>
      </c>
      <c r="M5038" s="3">
        <v>0</v>
      </c>
      <c r="N5038">
        <v>0</v>
      </c>
      <c r="O5038">
        <v>0</v>
      </c>
      <c r="P5038">
        <v>3025</v>
      </c>
      <c r="R5038" t="s">
        <v>1100</v>
      </c>
      <c r="S5038" t="str">
        <v>#N/A</v>
      </c>
      <c r="T5038" t="str">
        <v>#N/A</v>
      </c>
    </row>
    <row r="5039" spans="1:20" ht="13.7" customHeight="1" x14ac:dyDescent="0.25">
      <c r="E5039" s="5">
        <v>43465</v>
      </c>
      <c r="F5039">
        <v>73959503</v>
      </c>
      <c r="G5039" t="s">
        <v>1094</v>
      </c>
      <c r="H5039" t="s">
        <v>1547</v>
      </c>
      <c r="I5039" t="s">
        <v>1548</v>
      </c>
      <c r="J5039">
        <v>0</v>
      </c>
      <c r="K5039">
        <v>0</v>
      </c>
      <c r="L5039" s="3">
        <v>6700</v>
      </c>
      <c r="M5039" s="3">
        <v>0</v>
      </c>
      <c r="N5039">
        <v>0</v>
      </c>
      <c r="O5039">
        <v>0</v>
      </c>
      <c r="P5039">
        <v>6700</v>
      </c>
      <c r="R5039" t="s">
        <v>1100</v>
      </c>
      <c r="S5039" t="str">
        <v>#N/A</v>
      </c>
      <c r="T5039" t="str">
        <v>#N/A</v>
      </c>
    </row>
    <row r="5040" spans="1:20" ht="13.7" customHeight="1" x14ac:dyDescent="0.25">
      <c r="E5040" s="5">
        <v>43465</v>
      </c>
      <c r="F5040">
        <v>73959503</v>
      </c>
      <c r="G5040" t="s">
        <v>1094</v>
      </c>
      <c r="H5040" t="s">
        <v>1813</v>
      </c>
      <c r="I5040" t="s">
        <v>1814</v>
      </c>
      <c r="J5040">
        <v>0</v>
      </c>
      <c r="K5040">
        <v>0</v>
      </c>
      <c r="L5040" s="3">
        <v>60000</v>
      </c>
      <c r="M5040" s="3">
        <v>0</v>
      </c>
      <c r="N5040">
        <v>0</v>
      </c>
      <c r="O5040">
        <v>0</v>
      </c>
      <c r="P5040">
        <v>60000</v>
      </c>
      <c r="R5040" t="s">
        <v>1100</v>
      </c>
      <c r="S5040" t="str">
        <v>#N/A</v>
      </c>
      <c r="T5040" t="str">
        <v>#N/A</v>
      </c>
    </row>
    <row r="5041" spans="1:20" ht="13.7" customHeight="1" x14ac:dyDescent="0.25">
      <c r="E5041" s="5">
        <v>43465</v>
      </c>
      <c r="F5041">
        <v>73959503</v>
      </c>
      <c r="G5041" t="s">
        <v>1094</v>
      </c>
      <c r="H5041" t="s">
        <v>1567</v>
      </c>
      <c r="I5041" t="s">
        <v>1568</v>
      </c>
      <c r="J5041">
        <v>0</v>
      </c>
      <c r="K5041">
        <v>0</v>
      </c>
      <c r="L5041" s="3">
        <v>11765</v>
      </c>
      <c r="M5041" s="3">
        <v>0</v>
      </c>
      <c r="N5041">
        <v>0</v>
      </c>
      <c r="O5041">
        <v>0</v>
      </c>
      <c r="P5041">
        <v>11765</v>
      </c>
      <c r="R5041" t="s">
        <v>1100</v>
      </c>
      <c r="S5041" t="str">
        <v>#N/A</v>
      </c>
      <c r="T5041" t="str">
        <v>#N/A</v>
      </c>
    </row>
    <row r="5042" spans="1:20" ht="13.7" customHeight="1" x14ac:dyDescent="0.25">
      <c r="E5042" s="5">
        <v>43465</v>
      </c>
      <c r="F5042">
        <v>73959503</v>
      </c>
      <c r="G5042" t="s">
        <v>1094</v>
      </c>
      <c r="H5042" t="s">
        <v>1751</v>
      </c>
      <c r="I5042" t="s">
        <v>1752</v>
      </c>
      <c r="J5042">
        <v>0</v>
      </c>
      <c r="K5042">
        <v>0</v>
      </c>
      <c r="L5042" s="3">
        <v>25600</v>
      </c>
      <c r="M5042" s="3">
        <v>0</v>
      </c>
      <c r="N5042">
        <v>0</v>
      </c>
      <c r="O5042">
        <v>0</v>
      </c>
      <c r="P5042">
        <v>25600</v>
      </c>
      <c r="R5042" t="s">
        <v>1100</v>
      </c>
      <c r="S5042" t="str">
        <v>#N/A</v>
      </c>
      <c r="T5042" t="str">
        <v>#N/A</v>
      </c>
    </row>
    <row r="5043" spans="1:20" ht="13.7" customHeight="1" x14ac:dyDescent="0.25">
      <c r="E5043" s="5">
        <v>43465</v>
      </c>
      <c r="F5043">
        <v>73959503</v>
      </c>
      <c r="G5043" t="s">
        <v>1094</v>
      </c>
      <c r="H5043" t="s">
        <v>1571</v>
      </c>
      <c r="I5043" t="s">
        <v>1572</v>
      </c>
      <c r="J5043">
        <v>0</v>
      </c>
      <c r="K5043">
        <v>0</v>
      </c>
      <c r="L5043" s="3">
        <v>34958</v>
      </c>
      <c r="M5043" s="3">
        <v>0</v>
      </c>
      <c r="N5043">
        <v>0</v>
      </c>
      <c r="O5043">
        <v>0</v>
      </c>
      <c r="P5043">
        <v>34958</v>
      </c>
      <c r="R5043" t="s">
        <v>1100</v>
      </c>
      <c r="S5043" t="str">
        <v>#N/A</v>
      </c>
      <c r="T5043" t="str">
        <v>#N/A</v>
      </c>
    </row>
    <row r="5044" spans="1:20" ht="13.7" customHeight="1" x14ac:dyDescent="0.25">
      <c r="E5044" s="5">
        <v>43465</v>
      </c>
      <c r="F5044">
        <v>73959503</v>
      </c>
      <c r="G5044" t="s">
        <v>1094</v>
      </c>
      <c r="H5044" t="s">
        <v>1591</v>
      </c>
      <c r="I5044" t="s">
        <v>1592</v>
      </c>
      <c r="J5044">
        <v>0</v>
      </c>
      <c r="K5044">
        <v>0</v>
      </c>
      <c r="L5044" s="3">
        <v>0</v>
      </c>
      <c r="M5044" s="3">
        <v>0</v>
      </c>
      <c r="N5044">
        <v>0</v>
      </c>
      <c r="O5044">
        <v>0</v>
      </c>
      <c r="P5044">
        <v>0</v>
      </c>
      <c r="R5044" t="s">
        <v>1100</v>
      </c>
      <c r="S5044" t="str">
        <v>#N/A</v>
      </c>
      <c r="T5044" t="str">
        <v>#N/A</v>
      </c>
    </row>
    <row r="5045" spans="1:20" ht="13.7" customHeight="1" x14ac:dyDescent="0.25">
      <c r="A5045" t="s">
        <v>26</v>
      </c>
      <c r="B5045" t="s">
        <v>27</v>
      </c>
      <c r="C5045" t="s">
        <v>180</v>
      </c>
      <c r="D5045">
        <v>60</v>
      </c>
      <c r="E5045" s="5">
        <v>43822</v>
      </c>
      <c r="F5045">
        <v>73959503</v>
      </c>
      <c r="G5045" t="s">
        <v>1094</v>
      </c>
      <c r="H5045" t="s">
        <v>1591</v>
      </c>
      <c r="I5045" t="s">
        <v>1592</v>
      </c>
      <c r="J5045">
        <v>1001</v>
      </c>
      <c r="K5045">
        <v>5016</v>
      </c>
      <c r="L5045" s="3">
        <v>0</v>
      </c>
      <c r="M5045" s="3">
        <v>351806</v>
      </c>
      <c r="N5045">
        <v>0</v>
      </c>
      <c r="O5045">
        <v>0</v>
      </c>
      <c r="P5045">
        <v>351806</v>
      </c>
      <c r="Q5045" t="s">
        <v>30</v>
      </c>
      <c r="R5045" t="s">
        <v>646</v>
      </c>
      <c r="S5045" t="str">
        <v>#N/A</v>
      </c>
      <c r="T5045" t="str">
        <v>#N/A</v>
      </c>
    </row>
    <row r="5046" spans="1:20" ht="13.7" customHeight="1" x14ac:dyDescent="0.25">
      <c r="E5046" s="5">
        <v>43465</v>
      </c>
      <c r="F5046">
        <v>73959503</v>
      </c>
      <c r="G5046" t="s">
        <v>1094</v>
      </c>
      <c r="H5046" t="s">
        <v>1165</v>
      </c>
      <c r="I5046" t="s">
        <v>1166</v>
      </c>
      <c r="J5046">
        <v>0</v>
      </c>
      <c r="K5046">
        <v>0</v>
      </c>
      <c r="L5046" s="3">
        <v>5500</v>
      </c>
      <c r="M5046" s="3">
        <v>0</v>
      </c>
      <c r="N5046">
        <v>0</v>
      </c>
      <c r="O5046">
        <v>0</v>
      </c>
      <c r="P5046">
        <v>5500</v>
      </c>
      <c r="R5046" t="s">
        <v>1100</v>
      </c>
      <c r="S5046" t="str">
        <v>#N/A</v>
      </c>
      <c r="T5046" t="str">
        <v>31</v>
      </c>
    </row>
    <row r="5047" spans="1:20" ht="13.7" customHeight="1" x14ac:dyDescent="0.25">
      <c r="E5047" s="5">
        <v>43465</v>
      </c>
      <c r="F5047">
        <v>73959503</v>
      </c>
      <c r="G5047" t="s">
        <v>1094</v>
      </c>
      <c r="H5047" t="s">
        <v>1513</v>
      </c>
      <c r="I5047" t="s">
        <v>1514</v>
      </c>
      <c r="J5047">
        <v>0</v>
      </c>
      <c r="K5047">
        <v>0</v>
      </c>
      <c r="L5047" s="3">
        <v>361277</v>
      </c>
      <c r="M5047" s="3">
        <v>0</v>
      </c>
      <c r="N5047">
        <v>0</v>
      </c>
      <c r="O5047">
        <v>0</v>
      </c>
      <c r="P5047">
        <v>361277</v>
      </c>
      <c r="R5047" t="s">
        <v>1100</v>
      </c>
      <c r="S5047" t="str">
        <v>#N/A</v>
      </c>
      <c r="T5047" t="str">
        <v>#N/A</v>
      </c>
    </row>
    <row r="5048" spans="1:20" ht="13.7" customHeight="1" x14ac:dyDescent="0.25">
      <c r="E5048" s="5">
        <v>43465</v>
      </c>
      <c r="F5048">
        <v>73959503</v>
      </c>
      <c r="G5048" t="s">
        <v>1094</v>
      </c>
      <c r="H5048" t="s">
        <v>1475</v>
      </c>
      <c r="I5048" t="s">
        <v>1476</v>
      </c>
      <c r="J5048">
        <v>0</v>
      </c>
      <c r="K5048">
        <v>0</v>
      </c>
      <c r="L5048" s="3">
        <v>0</v>
      </c>
      <c r="M5048" s="3">
        <v>0</v>
      </c>
      <c r="N5048">
        <v>0</v>
      </c>
      <c r="O5048">
        <v>0</v>
      </c>
      <c r="P5048">
        <v>0</v>
      </c>
      <c r="R5048" t="s">
        <v>1100</v>
      </c>
      <c r="S5048" t="str">
        <v>#N/A</v>
      </c>
      <c r="T5048" t="str">
        <v>#N/A</v>
      </c>
    </row>
    <row r="5049" spans="1:20" ht="13.7" customHeight="1" x14ac:dyDescent="0.25">
      <c r="A5049" t="s">
        <v>26</v>
      </c>
      <c r="B5049" t="s">
        <v>27</v>
      </c>
      <c r="C5049" t="s">
        <v>28</v>
      </c>
      <c r="D5049">
        <v>3</v>
      </c>
      <c r="E5049" s="5">
        <v>43467</v>
      </c>
      <c r="F5049">
        <v>73959503</v>
      </c>
      <c r="G5049" t="s">
        <v>1094</v>
      </c>
      <c r="H5049" t="s">
        <v>1475</v>
      </c>
      <c r="I5049" t="s">
        <v>1476</v>
      </c>
      <c r="J5049">
        <v>1001</v>
      </c>
      <c r="K5049">
        <v>5016</v>
      </c>
      <c r="L5049" s="3">
        <v>0</v>
      </c>
      <c r="M5049" s="3">
        <v>221681</v>
      </c>
      <c r="N5049">
        <v>0</v>
      </c>
      <c r="O5049">
        <v>0</v>
      </c>
      <c r="P5049">
        <v>221681</v>
      </c>
      <c r="Q5049" t="s">
        <v>30</v>
      </c>
      <c r="R5049" t="s">
        <v>530</v>
      </c>
      <c r="S5049" t="str">
        <v>#N/A</v>
      </c>
      <c r="T5049" t="str">
        <v>#N/A</v>
      </c>
    </row>
    <row r="5050" spans="1:20" ht="13.7" customHeight="1" x14ac:dyDescent="0.25">
      <c r="A5050" t="s">
        <v>26</v>
      </c>
      <c r="B5050" t="s">
        <v>27</v>
      </c>
      <c r="C5050" t="s">
        <v>28</v>
      </c>
      <c r="D5050">
        <v>55</v>
      </c>
      <c r="E5050" s="5">
        <v>43486</v>
      </c>
      <c r="F5050">
        <v>73959503</v>
      </c>
      <c r="G5050" t="s">
        <v>1094</v>
      </c>
      <c r="H5050" t="s">
        <v>1475</v>
      </c>
      <c r="I5050" t="s">
        <v>1476</v>
      </c>
      <c r="J5050">
        <v>1001</v>
      </c>
      <c r="K5050">
        <v>5016</v>
      </c>
      <c r="L5050" s="3">
        <v>221681</v>
      </c>
      <c r="M5050" s="3">
        <v>142773</v>
      </c>
      <c r="N5050">
        <v>0</v>
      </c>
      <c r="O5050">
        <v>0</v>
      </c>
      <c r="P5050">
        <v>364454</v>
      </c>
      <c r="Q5050" t="s">
        <v>30</v>
      </c>
      <c r="R5050" t="s">
        <v>536</v>
      </c>
      <c r="S5050" t="str">
        <v>#N/A</v>
      </c>
      <c r="T5050" t="str">
        <v>#N/A</v>
      </c>
    </row>
    <row r="5051" spans="1:20" ht="13.7" customHeight="1" x14ac:dyDescent="0.25">
      <c r="E5051" s="5">
        <v>43465</v>
      </c>
      <c r="F5051">
        <v>73959503</v>
      </c>
      <c r="G5051" t="s">
        <v>1094</v>
      </c>
      <c r="H5051" t="s">
        <v>1605</v>
      </c>
      <c r="I5051" t="s">
        <v>1606</v>
      </c>
      <c r="J5051">
        <v>0</v>
      </c>
      <c r="K5051">
        <v>0</v>
      </c>
      <c r="L5051" s="3">
        <v>31933</v>
      </c>
      <c r="M5051" s="3">
        <v>0</v>
      </c>
      <c r="N5051">
        <v>0</v>
      </c>
      <c r="O5051">
        <v>0</v>
      </c>
      <c r="P5051">
        <v>31933</v>
      </c>
      <c r="R5051" t="s">
        <v>1100</v>
      </c>
      <c r="S5051" t="str">
        <v>#N/A</v>
      </c>
      <c r="T5051" t="str">
        <v>#N/A</v>
      </c>
    </row>
    <row r="5052" spans="1:20" ht="13.7" customHeight="1" x14ac:dyDescent="0.25">
      <c r="E5052" s="5">
        <v>43465</v>
      </c>
      <c r="F5052">
        <v>73959503</v>
      </c>
      <c r="G5052" t="s">
        <v>1094</v>
      </c>
      <c r="H5052" t="s">
        <v>1815</v>
      </c>
      <c r="I5052" t="s">
        <v>1816</v>
      </c>
      <c r="J5052">
        <v>0</v>
      </c>
      <c r="K5052">
        <v>0</v>
      </c>
      <c r="L5052" s="3">
        <v>24000</v>
      </c>
      <c r="M5052" s="3">
        <v>0</v>
      </c>
      <c r="N5052">
        <v>0</v>
      </c>
      <c r="O5052">
        <v>0</v>
      </c>
      <c r="P5052">
        <v>24000</v>
      </c>
      <c r="R5052" t="s">
        <v>1100</v>
      </c>
      <c r="S5052" t="str">
        <v>#N/A</v>
      </c>
      <c r="T5052" t="str">
        <v>#N/A</v>
      </c>
    </row>
    <row r="5053" spans="1:20" ht="13.7" customHeight="1" x14ac:dyDescent="0.25">
      <c r="E5053" s="5">
        <v>43465</v>
      </c>
      <c r="F5053">
        <v>73959503</v>
      </c>
      <c r="G5053" t="s">
        <v>1094</v>
      </c>
      <c r="H5053" t="s">
        <v>1629</v>
      </c>
      <c r="I5053" t="s">
        <v>1630</v>
      </c>
      <c r="J5053">
        <v>0</v>
      </c>
      <c r="K5053">
        <v>0</v>
      </c>
      <c r="L5053" s="3">
        <v>4874</v>
      </c>
      <c r="M5053" s="3">
        <v>0</v>
      </c>
      <c r="N5053">
        <v>0</v>
      </c>
      <c r="O5053">
        <v>0</v>
      </c>
      <c r="P5053">
        <v>4874</v>
      </c>
      <c r="R5053" t="s">
        <v>1100</v>
      </c>
      <c r="S5053" t="str">
        <v>#N/A</v>
      </c>
      <c r="T5053" t="str">
        <v>#N/A</v>
      </c>
    </row>
    <row r="5054" spans="1:20" ht="13.7" customHeight="1" x14ac:dyDescent="0.25">
      <c r="E5054" s="5">
        <v>43465</v>
      </c>
      <c r="F5054">
        <v>73959503</v>
      </c>
      <c r="G5054" t="s">
        <v>1094</v>
      </c>
      <c r="H5054" t="s">
        <v>1651</v>
      </c>
      <c r="I5054" t="s">
        <v>1652</v>
      </c>
      <c r="J5054">
        <v>0</v>
      </c>
      <c r="K5054">
        <v>0</v>
      </c>
      <c r="L5054" s="3">
        <v>2941</v>
      </c>
      <c r="M5054" s="3">
        <v>0</v>
      </c>
      <c r="N5054">
        <v>0</v>
      </c>
      <c r="O5054">
        <v>0</v>
      </c>
      <c r="P5054">
        <v>2941</v>
      </c>
      <c r="R5054" t="s">
        <v>1100</v>
      </c>
      <c r="S5054" t="str">
        <v>#N/A</v>
      </c>
      <c r="T5054" t="str">
        <v>#N/A</v>
      </c>
    </row>
    <row r="5055" spans="1:20" ht="13.7" customHeight="1" x14ac:dyDescent="0.25">
      <c r="E5055" s="5">
        <v>43465</v>
      </c>
      <c r="F5055">
        <v>73959504</v>
      </c>
      <c r="G5055" t="s">
        <v>1090</v>
      </c>
      <c r="H5055" t="s">
        <v>1477</v>
      </c>
      <c r="I5055" t="s">
        <v>1478</v>
      </c>
      <c r="J5055">
        <v>0</v>
      </c>
      <c r="K5055">
        <v>0</v>
      </c>
      <c r="L5055" s="3">
        <v>0</v>
      </c>
      <c r="M5055" s="3">
        <v>0</v>
      </c>
      <c r="N5055">
        <v>0</v>
      </c>
      <c r="O5055">
        <v>0</v>
      </c>
      <c r="P5055">
        <v>0</v>
      </c>
      <c r="R5055" t="s">
        <v>1100</v>
      </c>
      <c r="S5055" t="str">
        <v>#N/A</v>
      </c>
      <c r="T5055" t="str">
        <v>#N/A</v>
      </c>
    </row>
    <row r="5056" spans="1:20" ht="13.7" customHeight="1" x14ac:dyDescent="0.25">
      <c r="A5056" t="s">
        <v>26</v>
      </c>
      <c r="B5056" t="s">
        <v>27</v>
      </c>
      <c r="C5056" t="s">
        <v>35</v>
      </c>
      <c r="D5056">
        <v>62</v>
      </c>
      <c r="E5056" s="5">
        <v>43603</v>
      </c>
      <c r="F5056">
        <v>73959504</v>
      </c>
      <c r="G5056" t="s">
        <v>1090</v>
      </c>
      <c r="H5056" t="s">
        <v>1477</v>
      </c>
      <c r="I5056" t="s">
        <v>1478</v>
      </c>
      <c r="J5056" t="e">
        <v>#N/A</v>
      </c>
      <c r="K5056" t="e">
        <v>#N/A</v>
      </c>
      <c r="L5056" s="3">
        <v>0</v>
      </c>
      <c r="M5056" s="3">
        <v>15000</v>
      </c>
      <c r="N5056">
        <v>0</v>
      </c>
      <c r="O5056">
        <v>0</v>
      </c>
      <c r="P5056">
        <v>15000</v>
      </c>
      <c r="Q5056" t="s">
        <v>30</v>
      </c>
      <c r="R5056" t="s">
        <v>138</v>
      </c>
      <c r="S5056" t="str">
        <v>#N/A</v>
      </c>
      <c r="T5056" t="str">
        <v>#N/A</v>
      </c>
    </row>
    <row r="5057" spans="1:20" ht="13.7" customHeight="1" x14ac:dyDescent="0.25">
      <c r="E5057" s="5">
        <v>43465</v>
      </c>
      <c r="F5057">
        <v>73959504</v>
      </c>
      <c r="G5057" t="s">
        <v>1090</v>
      </c>
      <c r="H5057" t="s">
        <v>1441</v>
      </c>
      <c r="I5057" t="s">
        <v>1442</v>
      </c>
      <c r="J5057">
        <v>0</v>
      </c>
      <c r="K5057">
        <v>0</v>
      </c>
      <c r="L5057" s="3">
        <v>89000</v>
      </c>
      <c r="M5057" s="3">
        <v>0</v>
      </c>
      <c r="N5057">
        <v>0</v>
      </c>
      <c r="O5057">
        <v>0</v>
      </c>
      <c r="P5057">
        <v>89000</v>
      </c>
      <c r="R5057" t="s">
        <v>1100</v>
      </c>
      <c r="S5057" t="str">
        <v>#N/A</v>
      </c>
      <c r="T5057" t="str">
        <v>#N/A</v>
      </c>
    </row>
    <row r="5058" spans="1:20" ht="13.7" customHeight="1" x14ac:dyDescent="0.25">
      <c r="E5058" s="5">
        <v>43465</v>
      </c>
      <c r="F5058">
        <v>73959504</v>
      </c>
      <c r="G5058" t="s">
        <v>1090</v>
      </c>
      <c r="H5058" t="s">
        <v>1205</v>
      </c>
      <c r="I5058" t="s">
        <v>1206</v>
      </c>
      <c r="J5058">
        <v>0</v>
      </c>
      <c r="K5058">
        <v>0</v>
      </c>
      <c r="L5058" s="3">
        <v>2521</v>
      </c>
      <c r="M5058" s="3">
        <v>0</v>
      </c>
      <c r="N5058">
        <v>0</v>
      </c>
      <c r="O5058">
        <v>0</v>
      </c>
      <c r="P5058">
        <v>2521</v>
      </c>
      <c r="R5058" t="s">
        <v>1100</v>
      </c>
      <c r="S5058" t="str">
        <v>#N/A</v>
      </c>
      <c r="T5058" t="str">
        <v>#N/A</v>
      </c>
    </row>
    <row r="5059" spans="1:20" ht="13.7" customHeight="1" x14ac:dyDescent="0.25">
      <c r="A5059" t="s">
        <v>26</v>
      </c>
      <c r="B5059" t="s">
        <v>27</v>
      </c>
      <c r="C5059" t="s">
        <v>35</v>
      </c>
      <c r="D5059">
        <v>13</v>
      </c>
      <c r="E5059" s="5">
        <v>43588</v>
      </c>
      <c r="F5059">
        <v>73959504</v>
      </c>
      <c r="G5059" t="s">
        <v>1090</v>
      </c>
      <c r="H5059" t="s">
        <v>1205</v>
      </c>
      <c r="I5059" t="s">
        <v>1206</v>
      </c>
      <c r="J5059" t="e">
        <v>#N/A</v>
      </c>
      <c r="K5059" t="e">
        <v>#N/A</v>
      </c>
      <c r="L5059" s="3">
        <v>2521</v>
      </c>
      <c r="M5059" s="3">
        <v>8823</v>
      </c>
      <c r="N5059">
        <v>0</v>
      </c>
      <c r="O5059">
        <v>0</v>
      </c>
      <c r="P5059">
        <v>11344</v>
      </c>
      <c r="Q5059" t="s">
        <v>30</v>
      </c>
      <c r="R5059" t="s">
        <v>127</v>
      </c>
      <c r="S5059" t="str">
        <v>#N/A</v>
      </c>
      <c r="T5059" t="str">
        <v>#N/A</v>
      </c>
    </row>
    <row r="5060" spans="1:20" ht="13.7" customHeight="1" x14ac:dyDescent="0.25">
      <c r="E5060" s="5">
        <v>43465</v>
      </c>
      <c r="F5060">
        <v>73959504</v>
      </c>
      <c r="G5060" t="s">
        <v>1090</v>
      </c>
      <c r="H5060" t="s">
        <v>1817</v>
      </c>
      <c r="I5060" t="s">
        <v>1818</v>
      </c>
      <c r="J5060">
        <v>0</v>
      </c>
      <c r="K5060">
        <v>0</v>
      </c>
      <c r="L5060" s="3">
        <v>650000</v>
      </c>
      <c r="M5060" s="3">
        <v>0</v>
      </c>
      <c r="N5060">
        <v>0</v>
      </c>
      <c r="O5060">
        <v>0</v>
      </c>
      <c r="P5060">
        <v>650000</v>
      </c>
      <c r="R5060" t="s">
        <v>1100</v>
      </c>
      <c r="S5060" t="str">
        <v>#N/A</v>
      </c>
      <c r="T5060" t="str">
        <v>#N/A</v>
      </c>
    </row>
    <row r="5061" spans="1:20" ht="13.7" customHeight="1" x14ac:dyDescent="0.25">
      <c r="E5061" s="5">
        <v>43465</v>
      </c>
      <c r="F5061">
        <v>73959504</v>
      </c>
      <c r="G5061" t="s">
        <v>1090</v>
      </c>
      <c r="H5061" t="s">
        <v>1213</v>
      </c>
      <c r="I5061" t="s">
        <v>1214</v>
      </c>
      <c r="J5061">
        <v>0</v>
      </c>
      <c r="K5061">
        <v>0</v>
      </c>
      <c r="L5061" s="3">
        <v>27395</v>
      </c>
      <c r="M5061" s="3">
        <v>0</v>
      </c>
      <c r="N5061">
        <v>0</v>
      </c>
      <c r="O5061">
        <v>0</v>
      </c>
      <c r="P5061">
        <v>27395</v>
      </c>
      <c r="R5061" t="s">
        <v>1100</v>
      </c>
      <c r="S5061" t="str">
        <v>#N/A</v>
      </c>
      <c r="T5061" t="str">
        <v>#N/A</v>
      </c>
    </row>
    <row r="5062" spans="1:20" ht="13.7" customHeight="1" x14ac:dyDescent="0.25">
      <c r="A5062" t="s">
        <v>26</v>
      </c>
      <c r="B5062" t="s">
        <v>27</v>
      </c>
      <c r="C5062" t="s">
        <v>35</v>
      </c>
      <c r="D5062">
        <v>15</v>
      </c>
      <c r="E5062" s="5">
        <v>43588</v>
      </c>
      <c r="F5062">
        <v>73959504</v>
      </c>
      <c r="G5062" t="s">
        <v>1090</v>
      </c>
      <c r="H5062" t="s">
        <v>1213</v>
      </c>
      <c r="I5062" t="s">
        <v>1214</v>
      </c>
      <c r="J5062" t="e">
        <v>#N/A</v>
      </c>
      <c r="K5062" t="e">
        <v>#N/A</v>
      </c>
      <c r="L5062" s="3">
        <v>27395</v>
      </c>
      <c r="M5062" s="3">
        <v>30253</v>
      </c>
      <c r="N5062">
        <v>0</v>
      </c>
      <c r="O5062">
        <v>0</v>
      </c>
      <c r="P5062">
        <v>57648</v>
      </c>
      <c r="Q5062" t="s">
        <v>30</v>
      </c>
      <c r="R5062" t="s">
        <v>543</v>
      </c>
      <c r="S5062" t="str">
        <v>#N/A</v>
      </c>
      <c r="T5062" t="str">
        <v>#N/A</v>
      </c>
    </row>
    <row r="5063" spans="1:20" ht="13.7" customHeight="1" x14ac:dyDescent="0.25">
      <c r="E5063" s="5">
        <v>43465</v>
      </c>
      <c r="F5063">
        <v>73959504</v>
      </c>
      <c r="G5063" t="s">
        <v>1090</v>
      </c>
      <c r="H5063" t="s">
        <v>1775</v>
      </c>
      <c r="I5063" t="s">
        <v>1776</v>
      </c>
      <c r="J5063">
        <v>0</v>
      </c>
      <c r="K5063">
        <v>0</v>
      </c>
      <c r="L5063" s="3">
        <v>18000</v>
      </c>
      <c r="M5063" s="3">
        <v>0</v>
      </c>
      <c r="N5063">
        <v>0</v>
      </c>
      <c r="O5063">
        <v>0</v>
      </c>
      <c r="P5063">
        <v>18000</v>
      </c>
      <c r="R5063" t="s">
        <v>1100</v>
      </c>
      <c r="S5063" t="str">
        <v>#N/A</v>
      </c>
      <c r="T5063" t="str">
        <v>#N/A</v>
      </c>
    </row>
    <row r="5064" spans="1:20" ht="13.7" customHeight="1" x14ac:dyDescent="0.25">
      <c r="E5064" s="5">
        <v>43465</v>
      </c>
      <c r="F5064">
        <v>73959504</v>
      </c>
      <c r="G5064" t="s">
        <v>1090</v>
      </c>
      <c r="H5064" t="s">
        <v>1231</v>
      </c>
      <c r="I5064" t="s">
        <v>1232</v>
      </c>
      <c r="J5064">
        <v>0</v>
      </c>
      <c r="K5064">
        <v>0</v>
      </c>
      <c r="L5064" s="3">
        <v>0</v>
      </c>
      <c r="M5064" s="3">
        <v>0</v>
      </c>
      <c r="N5064">
        <v>0</v>
      </c>
      <c r="O5064">
        <v>0</v>
      </c>
      <c r="P5064">
        <v>0</v>
      </c>
      <c r="R5064" t="s">
        <v>1100</v>
      </c>
      <c r="S5064" t="str">
        <v>#N/A</v>
      </c>
      <c r="T5064" t="str">
        <v>#N/A</v>
      </c>
    </row>
    <row r="5065" spans="1:20" ht="13.7" customHeight="1" x14ac:dyDescent="0.25">
      <c r="A5065" t="s">
        <v>26</v>
      </c>
      <c r="B5065" t="s">
        <v>27</v>
      </c>
      <c r="C5065" t="s">
        <v>39</v>
      </c>
      <c r="D5065">
        <v>64</v>
      </c>
      <c r="E5065" s="5">
        <v>43738</v>
      </c>
      <c r="F5065">
        <v>73959504</v>
      </c>
      <c r="G5065" t="s">
        <v>1090</v>
      </c>
      <c r="H5065" t="s">
        <v>1231</v>
      </c>
      <c r="I5065" t="s">
        <v>1232</v>
      </c>
      <c r="J5065" t="e">
        <v>#N/A</v>
      </c>
      <c r="K5065" t="e">
        <v>#N/A</v>
      </c>
      <c r="L5065" s="3">
        <v>0</v>
      </c>
      <c r="M5065" s="3">
        <v>12605</v>
      </c>
      <c r="N5065">
        <v>0</v>
      </c>
      <c r="O5065">
        <v>0</v>
      </c>
      <c r="P5065">
        <v>12605</v>
      </c>
      <c r="Q5065" t="s">
        <v>30</v>
      </c>
      <c r="R5065" t="s">
        <v>642</v>
      </c>
      <c r="S5065" t="str">
        <v>#N/A</v>
      </c>
      <c r="T5065" t="str">
        <v>#N/A</v>
      </c>
    </row>
    <row r="5066" spans="1:20" ht="13.7" customHeight="1" x14ac:dyDescent="0.25">
      <c r="E5066" s="5">
        <v>43465</v>
      </c>
      <c r="F5066">
        <v>73959504</v>
      </c>
      <c r="G5066" t="s">
        <v>1090</v>
      </c>
      <c r="H5066" t="s">
        <v>1777</v>
      </c>
      <c r="I5066" t="s">
        <v>1778</v>
      </c>
      <c r="J5066">
        <v>0</v>
      </c>
      <c r="K5066">
        <v>0</v>
      </c>
      <c r="L5066" s="3">
        <v>0</v>
      </c>
      <c r="M5066" s="3">
        <v>0</v>
      </c>
      <c r="N5066">
        <v>0</v>
      </c>
      <c r="O5066">
        <v>0</v>
      </c>
      <c r="P5066">
        <v>0</v>
      </c>
      <c r="R5066" t="s">
        <v>1100</v>
      </c>
      <c r="S5066" t="str">
        <v>#N/A</v>
      </c>
      <c r="T5066" t="str">
        <v>#N/A</v>
      </c>
    </row>
    <row r="5067" spans="1:20" ht="13.7" customHeight="1" x14ac:dyDescent="0.25">
      <c r="A5067" t="s">
        <v>26</v>
      </c>
      <c r="B5067" t="s">
        <v>27</v>
      </c>
      <c r="C5067" t="s">
        <v>36</v>
      </c>
      <c r="D5067">
        <v>9</v>
      </c>
      <c r="E5067" s="5">
        <v>43621</v>
      </c>
      <c r="F5067">
        <v>73959504</v>
      </c>
      <c r="G5067" t="s">
        <v>1090</v>
      </c>
      <c r="H5067" t="s">
        <v>1777</v>
      </c>
      <c r="I5067" t="s">
        <v>1778</v>
      </c>
      <c r="J5067" t="e">
        <v>#N/A</v>
      </c>
      <c r="K5067" t="e">
        <v>#N/A</v>
      </c>
      <c r="L5067" s="3">
        <v>0</v>
      </c>
      <c r="M5067" s="3">
        <v>580000</v>
      </c>
      <c r="N5067">
        <v>0</v>
      </c>
      <c r="O5067">
        <v>0</v>
      </c>
      <c r="P5067">
        <v>580000</v>
      </c>
      <c r="Q5067" t="s">
        <v>30</v>
      </c>
      <c r="R5067" t="s">
        <v>70</v>
      </c>
      <c r="S5067" t="str">
        <v>#N/A</v>
      </c>
      <c r="T5067" t="str">
        <v>#N/A</v>
      </c>
    </row>
    <row r="5068" spans="1:20" ht="13.7" customHeight="1" x14ac:dyDescent="0.25">
      <c r="E5068" s="5">
        <v>43465</v>
      </c>
      <c r="F5068">
        <v>73959504</v>
      </c>
      <c r="G5068" t="s">
        <v>1090</v>
      </c>
      <c r="H5068" t="s">
        <v>1159</v>
      </c>
      <c r="I5068" t="s">
        <v>1160</v>
      </c>
      <c r="J5068">
        <v>0</v>
      </c>
      <c r="K5068">
        <v>0</v>
      </c>
      <c r="L5068" s="3">
        <v>0</v>
      </c>
      <c r="M5068" s="3">
        <v>0</v>
      </c>
      <c r="N5068">
        <v>0</v>
      </c>
      <c r="O5068">
        <v>0</v>
      </c>
      <c r="P5068">
        <v>0</v>
      </c>
      <c r="R5068" t="s">
        <v>1100</v>
      </c>
      <c r="S5068" t="str">
        <v>#N/A</v>
      </c>
      <c r="T5068" t="str">
        <v>#N/A</v>
      </c>
    </row>
    <row r="5069" spans="1:20" ht="13.7" customHeight="1" x14ac:dyDescent="0.25">
      <c r="A5069" t="s">
        <v>26</v>
      </c>
      <c r="B5069" t="s">
        <v>27</v>
      </c>
      <c r="C5069" t="s">
        <v>28</v>
      </c>
      <c r="D5069">
        <v>26</v>
      </c>
      <c r="E5069" s="5">
        <v>43477</v>
      </c>
      <c r="F5069">
        <v>73959504</v>
      </c>
      <c r="G5069" t="s">
        <v>1090</v>
      </c>
      <c r="H5069" t="s">
        <v>1159</v>
      </c>
      <c r="I5069" t="s">
        <v>1160</v>
      </c>
      <c r="J5069" t="e">
        <v>#N/A</v>
      </c>
      <c r="K5069" t="e">
        <v>#N/A</v>
      </c>
      <c r="L5069" s="3">
        <v>0</v>
      </c>
      <c r="M5069" s="3">
        <v>148508</v>
      </c>
      <c r="N5069">
        <v>0</v>
      </c>
      <c r="O5069">
        <v>0</v>
      </c>
      <c r="P5069">
        <v>148508</v>
      </c>
      <c r="Q5069" t="s">
        <v>30</v>
      </c>
      <c r="R5069" t="s">
        <v>51</v>
      </c>
      <c r="S5069" t="str">
        <v>#N/A</v>
      </c>
      <c r="T5069" t="str">
        <v>#N/A</v>
      </c>
    </row>
    <row r="5070" spans="1:20" ht="13.7" customHeight="1" x14ac:dyDescent="0.25">
      <c r="A5070" t="s">
        <v>26</v>
      </c>
      <c r="B5070" t="s">
        <v>27</v>
      </c>
      <c r="C5070" t="s">
        <v>28</v>
      </c>
      <c r="D5070">
        <v>25</v>
      </c>
      <c r="E5070" s="5">
        <v>43500</v>
      </c>
      <c r="F5070">
        <v>73959504</v>
      </c>
      <c r="G5070" t="s">
        <v>1090</v>
      </c>
      <c r="H5070" t="s">
        <v>1159</v>
      </c>
      <c r="I5070" t="s">
        <v>1160</v>
      </c>
      <c r="J5070" t="e">
        <v>#N/A</v>
      </c>
      <c r="K5070" t="e">
        <v>#N/A</v>
      </c>
      <c r="L5070" s="3">
        <v>148508</v>
      </c>
      <c r="M5070" s="3">
        <v>97173</v>
      </c>
      <c r="N5070">
        <v>0</v>
      </c>
      <c r="O5070">
        <v>0</v>
      </c>
      <c r="P5070">
        <v>245681</v>
      </c>
      <c r="Q5070" t="s">
        <v>30</v>
      </c>
      <c r="R5070" t="s">
        <v>71</v>
      </c>
      <c r="S5070" t="str">
        <v>#N/A</v>
      </c>
      <c r="T5070" t="str">
        <v>#N/A</v>
      </c>
    </row>
    <row r="5071" spans="1:20" ht="13.7" customHeight="1" x14ac:dyDescent="0.25">
      <c r="E5071" s="5">
        <v>43465</v>
      </c>
      <c r="F5071">
        <v>73959504</v>
      </c>
      <c r="G5071" t="s">
        <v>1090</v>
      </c>
      <c r="H5071" t="s">
        <v>1286</v>
      </c>
      <c r="I5071" t="s">
        <v>1287</v>
      </c>
      <c r="J5071">
        <v>0</v>
      </c>
      <c r="K5071">
        <v>0</v>
      </c>
      <c r="L5071" s="3">
        <v>107144</v>
      </c>
      <c r="M5071" s="3">
        <v>0</v>
      </c>
      <c r="N5071">
        <v>0</v>
      </c>
      <c r="O5071">
        <v>0</v>
      </c>
      <c r="P5071">
        <v>107144</v>
      </c>
      <c r="R5071" t="s">
        <v>1100</v>
      </c>
      <c r="S5071" t="str">
        <v>#N/A</v>
      </c>
      <c r="T5071" t="str">
        <v>#N/A</v>
      </c>
    </row>
    <row r="5072" spans="1:20" ht="13.7" customHeight="1" x14ac:dyDescent="0.25">
      <c r="E5072" s="5">
        <v>43465</v>
      </c>
      <c r="F5072">
        <v>73959504</v>
      </c>
      <c r="G5072" t="s">
        <v>1090</v>
      </c>
      <c r="H5072" t="s">
        <v>1239</v>
      </c>
      <c r="I5072" t="s">
        <v>1240</v>
      </c>
      <c r="J5072">
        <v>0</v>
      </c>
      <c r="K5072">
        <v>0</v>
      </c>
      <c r="L5072" s="3">
        <v>0</v>
      </c>
      <c r="M5072" s="3">
        <v>0</v>
      </c>
      <c r="N5072">
        <v>0</v>
      </c>
      <c r="O5072">
        <v>0</v>
      </c>
      <c r="P5072">
        <v>0</v>
      </c>
      <c r="R5072" t="s">
        <v>1100</v>
      </c>
      <c r="S5072" t="str">
        <v>#N/A</v>
      </c>
      <c r="T5072" t="str">
        <v>#N/A</v>
      </c>
    </row>
    <row r="5073" spans="1:20" ht="13.7" customHeight="1" x14ac:dyDescent="0.25">
      <c r="A5073" t="s">
        <v>26</v>
      </c>
      <c r="B5073" t="s">
        <v>27</v>
      </c>
      <c r="C5073" t="s">
        <v>36</v>
      </c>
      <c r="D5073">
        <v>39</v>
      </c>
      <c r="E5073" s="5">
        <v>43634</v>
      </c>
      <c r="F5073">
        <v>73959504</v>
      </c>
      <c r="G5073" t="s">
        <v>1090</v>
      </c>
      <c r="H5073" t="s">
        <v>1239</v>
      </c>
      <c r="I5073" t="s">
        <v>1240</v>
      </c>
      <c r="J5073" t="e">
        <v>#N/A</v>
      </c>
      <c r="K5073" t="e">
        <v>#N/A</v>
      </c>
      <c r="L5073" s="3">
        <v>0</v>
      </c>
      <c r="M5073" s="3">
        <v>91764</v>
      </c>
      <c r="N5073">
        <v>0</v>
      </c>
      <c r="O5073">
        <v>0</v>
      </c>
      <c r="P5073">
        <v>91764</v>
      </c>
      <c r="Q5073" t="s">
        <v>30</v>
      </c>
      <c r="R5073" t="s">
        <v>146</v>
      </c>
      <c r="S5073" t="str">
        <v>#N/A</v>
      </c>
      <c r="T5073" t="str">
        <v>#N/A</v>
      </c>
    </row>
    <row r="5074" spans="1:20" ht="13.7" customHeight="1" x14ac:dyDescent="0.25">
      <c r="E5074" s="5">
        <v>43465</v>
      </c>
      <c r="F5074">
        <v>73959504</v>
      </c>
      <c r="G5074" t="s">
        <v>1090</v>
      </c>
      <c r="H5074" t="s">
        <v>1235</v>
      </c>
      <c r="I5074" t="s">
        <v>1236</v>
      </c>
      <c r="J5074">
        <v>0</v>
      </c>
      <c r="K5074">
        <v>0</v>
      </c>
      <c r="L5074" s="3">
        <v>55043</v>
      </c>
      <c r="M5074" s="3">
        <v>0</v>
      </c>
      <c r="N5074">
        <v>0</v>
      </c>
      <c r="O5074">
        <v>0</v>
      </c>
      <c r="P5074">
        <v>55043</v>
      </c>
      <c r="R5074" t="s">
        <v>1100</v>
      </c>
      <c r="S5074" t="str">
        <v>#N/A</v>
      </c>
      <c r="T5074" t="str">
        <v>#N/A</v>
      </c>
    </row>
    <row r="5075" spans="1:20" ht="13.7" customHeight="1" x14ac:dyDescent="0.25">
      <c r="A5075" t="s">
        <v>26</v>
      </c>
      <c r="B5075" t="s">
        <v>27</v>
      </c>
      <c r="C5075" t="s">
        <v>35</v>
      </c>
      <c r="D5075">
        <v>89</v>
      </c>
      <c r="E5075" s="5">
        <v>43612</v>
      </c>
      <c r="F5075">
        <v>73959504</v>
      </c>
      <c r="G5075" t="s">
        <v>1090</v>
      </c>
      <c r="H5075" t="s">
        <v>1235</v>
      </c>
      <c r="I5075" t="s">
        <v>1236</v>
      </c>
      <c r="J5075" t="e">
        <v>#N/A</v>
      </c>
      <c r="K5075" t="e">
        <v>#N/A</v>
      </c>
      <c r="L5075" s="3">
        <v>55043</v>
      </c>
      <c r="M5075" s="3">
        <v>11765</v>
      </c>
      <c r="N5075">
        <v>0</v>
      </c>
      <c r="O5075">
        <v>0</v>
      </c>
      <c r="P5075">
        <v>66808</v>
      </c>
      <c r="Q5075" t="s">
        <v>30</v>
      </c>
      <c r="R5075" t="s">
        <v>141</v>
      </c>
      <c r="S5075" t="str">
        <v>#N/A</v>
      </c>
      <c r="T5075" t="str">
        <v>#N/A</v>
      </c>
    </row>
    <row r="5076" spans="1:20" ht="13.7" customHeight="1" x14ac:dyDescent="0.25">
      <c r="E5076" s="5">
        <v>43465</v>
      </c>
      <c r="F5076">
        <v>73959504</v>
      </c>
      <c r="G5076" t="s">
        <v>1090</v>
      </c>
      <c r="H5076" t="s">
        <v>1639</v>
      </c>
      <c r="I5076" t="s">
        <v>1640</v>
      </c>
      <c r="J5076">
        <v>0</v>
      </c>
      <c r="K5076">
        <v>0</v>
      </c>
      <c r="L5076" s="3">
        <v>10999400</v>
      </c>
      <c r="M5076" s="3">
        <v>0</v>
      </c>
      <c r="N5076">
        <v>0</v>
      </c>
      <c r="O5076">
        <v>0</v>
      </c>
      <c r="P5076">
        <v>10999400</v>
      </c>
      <c r="R5076" t="s">
        <v>1100</v>
      </c>
      <c r="S5076" t="str">
        <v>#N/A</v>
      </c>
      <c r="T5076" t="str">
        <v>#N/A</v>
      </c>
    </row>
    <row r="5077" spans="1:20" ht="13.7" customHeight="1" x14ac:dyDescent="0.25">
      <c r="E5077" s="5">
        <v>43465</v>
      </c>
      <c r="F5077">
        <v>73959504</v>
      </c>
      <c r="G5077" t="s">
        <v>1090</v>
      </c>
      <c r="H5077" t="s">
        <v>1653</v>
      </c>
      <c r="I5077" t="s">
        <v>1654</v>
      </c>
      <c r="J5077">
        <v>0</v>
      </c>
      <c r="K5077">
        <v>0</v>
      </c>
      <c r="L5077" s="3">
        <v>127731</v>
      </c>
      <c r="M5077" s="3">
        <v>0</v>
      </c>
      <c r="N5077">
        <v>0</v>
      </c>
      <c r="O5077">
        <v>0</v>
      </c>
      <c r="P5077">
        <v>127731</v>
      </c>
      <c r="R5077" t="s">
        <v>1100</v>
      </c>
      <c r="S5077" t="str">
        <v>#N/A</v>
      </c>
      <c r="T5077" t="str">
        <v>#N/A</v>
      </c>
    </row>
    <row r="5078" spans="1:20" ht="13.7" customHeight="1" x14ac:dyDescent="0.25">
      <c r="E5078" s="5">
        <v>43465</v>
      </c>
      <c r="F5078">
        <v>73959505</v>
      </c>
      <c r="G5078" t="s">
        <v>1095</v>
      </c>
      <c r="H5078" t="s">
        <v>1098</v>
      </c>
      <c r="I5078" t="s">
        <v>1099</v>
      </c>
      <c r="J5078">
        <v>0</v>
      </c>
      <c r="K5078">
        <v>0</v>
      </c>
      <c r="L5078" s="3">
        <v>635207.49</v>
      </c>
      <c r="M5078" s="3">
        <v>0</v>
      </c>
      <c r="N5078">
        <v>0</v>
      </c>
      <c r="O5078">
        <v>0</v>
      </c>
      <c r="P5078">
        <v>635207.49</v>
      </c>
      <c r="R5078" t="s">
        <v>1100</v>
      </c>
      <c r="S5078" t="str">
        <v>#N/A</v>
      </c>
      <c r="T5078" t="str">
        <v>31</v>
      </c>
    </row>
    <row r="5079" spans="1:20" ht="13.7" customHeight="1" x14ac:dyDescent="0.25">
      <c r="A5079" t="s">
        <v>26</v>
      </c>
      <c r="B5079" t="s">
        <v>27</v>
      </c>
      <c r="C5079" t="s">
        <v>91</v>
      </c>
      <c r="D5079">
        <v>78</v>
      </c>
      <c r="E5079" s="5">
        <v>43544</v>
      </c>
      <c r="F5079">
        <v>73959505</v>
      </c>
      <c r="G5079" t="s">
        <v>1095</v>
      </c>
      <c r="H5079" t="s">
        <v>1098</v>
      </c>
      <c r="I5079" t="s">
        <v>1099</v>
      </c>
      <c r="J5079">
        <v>1001</v>
      </c>
      <c r="K5079">
        <v>5004</v>
      </c>
      <c r="L5079" s="3">
        <v>635207.49</v>
      </c>
      <c r="M5079" s="3">
        <v>95152</v>
      </c>
      <c r="N5079">
        <v>0</v>
      </c>
      <c r="O5079">
        <v>0</v>
      </c>
      <c r="P5079">
        <v>730359.49</v>
      </c>
      <c r="Q5079" t="s">
        <v>30</v>
      </c>
      <c r="R5079" t="s">
        <v>225</v>
      </c>
      <c r="S5079" t="str">
        <v>#N/A</v>
      </c>
      <c r="T5079" t="str">
        <v>31</v>
      </c>
    </row>
    <row r="5080" spans="1:20" ht="13.7" customHeight="1" x14ac:dyDescent="0.25">
      <c r="A5080" t="s">
        <v>26</v>
      </c>
      <c r="B5080" t="s">
        <v>27</v>
      </c>
      <c r="C5080" t="s">
        <v>34</v>
      </c>
      <c r="D5080">
        <v>51</v>
      </c>
      <c r="E5080" s="5">
        <v>43578</v>
      </c>
      <c r="F5080">
        <v>73959505</v>
      </c>
      <c r="G5080" t="s">
        <v>1095</v>
      </c>
      <c r="H5080" t="s">
        <v>1098</v>
      </c>
      <c r="I5080" t="s">
        <v>1099</v>
      </c>
      <c r="J5080">
        <v>1001</v>
      </c>
      <c r="K5080">
        <v>5004</v>
      </c>
      <c r="L5080" s="3">
        <v>730359.49</v>
      </c>
      <c r="M5080" s="3">
        <v>95152</v>
      </c>
      <c r="N5080">
        <v>0</v>
      </c>
      <c r="O5080">
        <v>0</v>
      </c>
      <c r="P5080">
        <v>825511.49</v>
      </c>
      <c r="Q5080" t="s">
        <v>30</v>
      </c>
      <c r="R5080" t="s">
        <v>225</v>
      </c>
      <c r="S5080" t="str">
        <v>#N/A</v>
      </c>
      <c r="T5080" t="str">
        <v>31</v>
      </c>
    </row>
    <row r="5081" spans="1:20" ht="13.7" customHeight="1" x14ac:dyDescent="0.25">
      <c r="A5081" t="s">
        <v>26</v>
      </c>
      <c r="B5081" t="s">
        <v>27</v>
      </c>
      <c r="C5081" t="s">
        <v>35</v>
      </c>
      <c r="D5081">
        <v>69</v>
      </c>
      <c r="E5081" s="5">
        <v>43606</v>
      </c>
      <c r="F5081">
        <v>73959505</v>
      </c>
      <c r="G5081" t="s">
        <v>1095</v>
      </c>
      <c r="H5081" t="s">
        <v>1098</v>
      </c>
      <c r="I5081" t="s">
        <v>1099</v>
      </c>
      <c r="J5081">
        <v>1001</v>
      </c>
      <c r="K5081">
        <v>5004</v>
      </c>
      <c r="L5081" s="3">
        <v>825511.49</v>
      </c>
      <c r="M5081" s="3">
        <v>95152</v>
      </c>
      <c r="N5081">
        <v>0</v>
      </c>
      <c r="O5081">
        <v>0</v>
      </c>
      <c r="P5081">
        <v>920663.49</v>
      </c>
      <c r="Q5081" t="s">
        <v>30</v>
      </c>
      <c r="R5081" t="s">
        <v>225</v>
      </c>
      <c r="S5081" t="str">
        <v>#N/A</v>
      </c>
      <c r="T5081" t="str">
        <v>31</v>
      </c>
    </row>
    <row r="5082" spans="1:20" ht="13.7" customHeight="1" x14ac:dyDescent="0.25">
      <c r="A5082" t="s">
        <v>26</v>
      </c>
      <c r="B5082" t="s">
        <v>27</v>
      </c>
      <c r="C5082" t="s">
        <v>36</v>
      </c>
      <c r="D5082">
        <v>58</v>
      </c>
      <c r="E5082" s="5">
        <v>43642</v>
      </c>
      <c r="F5082">
        <v>73959505</v>
      </c>
      <c r="G5082" t="s">
        <v>1095</v>
      </c>
      <c r="H5082" t="s">
        <v>1098</v>
      </c>
      <c r="I5082" t="s">
        <v>1099</v>
      </c>
      <c r="J5082">
        <v>1001</v>
      </c>
      <c r="K5082">
        <v>5004</v>
      </c>
      <c r="L5082" s="3">
        <v>920663.49</v>
      </c>
      <c r="M5082" s="3">
        <v>95152</v>
      </c>
      <c r="N5082">
        <v>0</v>
      </c>
      <c r="O5082">
        <v>0</v>
      </c>
      <c r="P5082">
        <v>1015815.49</v>
      </c>
      <c r="Q5082" t="s">
        <v>30</v>
      </c>
      <c r="R5082" t="s">
        <v>225</v>
      </c>
      <c r="S5082" t="str">
        <v>#N/A</v>
      </c>
      <c r="T5082" t="str">
        <v>31</v>
      </c>
    </row>
    <row r="5083" spans="1:20" ht="13.7" customHeight="1" x14ac:dyDescent="0.25">
      <c r="A5083" t="s">
        <v>26</v>
      </c>
      <c r="B5083" t="s">
        <v>27</v>
      </c>
      <c r="C5083" t="s">
        <v>37</v>
      </c>
      <c r="D5083">
        <v>55</v>
      </c>
      <c r="E5083" s="5">
        <v>43672</v>
      </c>
      <c r="F5083">
        <v>73959505</v>
      </c>
      <c r="G5083" t="s">
        <v>1095</v>
      </c>
      <c r="H5083" t="s">
        <v>1098</v>
      </c>
      <c r="I5083" t="s">
        <v>1099</v>
      </c>
      <c r="J5083">
        <v>1001</v>
      </c>
      <c r="K5083">
        <v>5004</v>
      </c>
      <c r="L5083" s="3">
        <v>1015815.49</v>
      </c>
      <c r="M5083" s="3">
        <v>95152</v>
      </c>
      <c r="N5083">
        <v>0</v>
      </c>
      <c r="O5083">
        <v>0</v>
      </c>
      <c r="P5083">
        <v>1110967.49</v>
      </c>
      <c r="Q5083" t="s">
        <v>30</v>
      </c>
      <c r="R5083" t="s">
        <v>225</v>
      </c>
      <c r="S5083" t="str">
        <v>#N/A</v>
      </c>
      <c r="T5083" t="str">
        <v>31</v>
      </c>
    </row>
    <row r="5084" spans="1:20" ht="13.7" customHeight="1" x14ac:dyDescent="0.25">
      <c r="A5084" t="s">
        <v>26</v>
      </c>
      <c r="B5084" t="s">
        <v>27</v>
      </c>
      <c r="C5084" t="s">
        <v>38</v>
      </c>
      <c r="D5084">
        <v>50</v>
      </c>
      <c r="E5084" s="5">
        <v>43704</v>
      </c>
      <c r="F5084">
        <v>73959505</v>
      </c>
      <c r="G5084" t="s">
        <v>1095</v>
      </c>
      <c r="H5084" t="s">
        <v>1098</v>
      </c>
      <c r="I5084" t="s">
        <v>1099</v>
      </c>
      <c r="J5084">
        <v>1001</v>
      </c>
      <c r="K5084">
        <v>5004</v>
      </c>
      <c r="L5084" s="3">
        <v>1110967.49</v>
      </c>
      <c r="M5084" s="3">
        <v>95152</v>
      </c>
      <c r="N5084">
        <v>0</v>
      </c>
      <c r="O5084">
        <v>0</v>
      </c>
      <c r="P5084">
        <v>1206119.49</v>
      </c>
      <c r="Q5084" t="s">
        <v>30</v>
      </c>
      <c r="R5084" t="s">
        <v>225</v>
      </c>
      <c r="S5084" t="str">
        <v>#N/A</v>
      </c>
      <c r="T5084" t="str">
        <v>31</v>
      </c>
    </row>
    <row r="5085" spans="1:20" ht="13.7" customHeight="1" x14ac:dyDescent="0.25">
      <c r="A5085" t="s">
        <v>26</v>
      </c>
      <c r="B5085" t="s">
        <v>27</v>
      </c>
      <c r="C5085" t="s">
        <v>39</v>
      </c>
      <c r="D5085">
        <v>60</v>
      </c>
      <c r="E5085" s="5">
        <v>43736</v>
      </c>
      <c r="F5085">
        <v>73959505</v>
      </c>
      <c r="G5085" t="s">
        <v>1095</v>
      </c>
      <c r="H5085" t="s">
        <v>1098</v>
      </c>
      <c r="I5085" t="s">
        <v>1099</v>
      </c>
      <c r="J5085">
        <v>1001</v>
      </c>
      <c r="K5085">
        <v>5004</v>
      </c>
      <c r="L5085" s="3">
        <v>1206119.49</v>
      </c>
      <c r="M5085" s="3">
        <v>95220</v>
      </c>
      <c r="N5085">
        <v>0</v>
      </c>
      <c r="O5085">
        <v>0</v>
      </c>
      <c r="P5085">
        <v>1301339.49</v>
      </c>
      <c r="Q5085" t="s">
        <v>30</v>
      </c>
      <c r="R5085" t="s">
        <v>225</v>
      </c>
      <c r="S5085" t="str">
        <v>#N/A</v>
      </c>
      <c r="T5085" t="str">
        <v>31</v>
      </c>
    </row>
    <row r="5086" spans="1:20" ht="13.7" customHeight="1" x14ac:dyDescent="0.25">
      <c r="A5086" t="s">
        <v>26</v>
      </c>
      <c r="B5086" t="s">
        <v>27</v>
      </c>
      <c r="C5086" t="s">
        <v>40</v>
      </c>
      <c r="D5086">
        <v>30</v>
      </c>
      <c r="E5086" s="5">
        <v>43756</v>
      </c>
      <c r="F5086">
        <v>73959505</v>
      </c>
      <c r="G5086" t="s">
        <v>1095</v>
      </c>
      <c r="H5086" t="s">
        <v>1098</v>
      </c>
      <c r="I5086" t="s">
        <v>1099</v>
      </c>
      <c r="J5086">
        <v>1001</v>
      </c>
      <c r="K5086">
        <v>5004</v>
      </c>
      <c r="L5086" s="3">
        <v>1301339.49</v>
      </c>
      <c r="M5086" s="3">
        <v>95288</v>
      </c>
      <c r="N5086">
        <v>0</v>
      </c>
      <c r="O5086">
        <v>0</v>
      </c>
      <c r="P5086">
        <v>1396627.49</v>
      </c>
      <c r="Q5086" t="s">
        <v>30</v>
      </c>
      <c r="R5086" t="s">
        <v>225</v>
      </c>
      <c r="S5086" t="str">
        <v>#N/A</v>
      </c>
      <c r="T5086" t="str">
        <v>31</v>
      </c>
    </row>
    <row r="5087" spans="1:20" ht="13.7" customHeight="1" x14ac:dyDescent="0.25">
      <c r="A5087" t="s">
        <v>26</v>
      </c>
      <c r="B5087" t="s">
        <v>27</v>
      </c>
      <c r="C5087" t="s">
        <v>41</v>
      </c>
      <c r="D5087">
        <v>62</v>
      </c>
      <c r="E5087" s="5">
        <v>43794</v>
      </c>
      <c r="F5087">
        <v>73959505</v>
      </c>
      <c r="G5087" t="s">
        <v>1095</v>
      </c>
      <c r="H5087" t="s">
        <v>1098</v>
      </c>
      <c r="I5087" t="s">
        <v>1099</v>
      </c>
      <c r="J5087">
        <v>1001</v>
      </c>
      <c r="K5087">
        <v>5004</v>
      </c>
      <c r="L5087" s="3">
        <v>1396627.49</v>
      </c>
      <c r="M5087" s="3">
        <v>95152.1</v>
      </c>
      <c r="N5087">
        <v>0</v>
      </c>
      <c r="O5087">
        <v>0</v>
      </c>
      <c r="P5087">
        <v>1491779.59</v>
      </c>
      <c r="Q5087" t="s">
        <v>30</v>
      </c>
      <c r="R5087" t="s">
        <v>225</v>
      </c>
      <c r="S5087" t="str">
        <v>#N/A</v>
      </c>
      <c r="T5087" t="str">
        <v>31</v>
      </c>
    </row>
    <row r="5088" spans="1:20" x14ac:dyDescent="0.25">
      <c r="G5088" t="e">
        <v>#N/A</v>
      </c>
      <c r="J5088">
        <v>0</v>
      </c>
      <c r="K5088">
        <v>0</v>
      </c>
      <c r="M5088" s="3">
        <v>812530609.3993001</v>
      </c>
      <c r="N5088">
        <v>852809209.12900054</v>
      </c>
      <c r="O5088">
        <v>139931738.78000003</v>
      </c>
    </row>
  </sheetData>
  <autoFilter ref="A1:S5088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F343"/>
  <sheetViews>
    <sheetView workbookViewId="0">
      <selection activeCell="D42" sqref="D42"/>
    </sheetView>
  </sheetViews>
  <sheetFormatPr baseColWidth="10" defaultRowHeight="15.75" x14ac:dyDescent="0.25"/>
  <cols>
    <col min="2" max="2" width="21.125" customWidth="1"/>
  </cols>
  <sheetData>
    <row r="1" spans="1:6" x14ac:dyDescent="0.25">
      <c r="A1" s="12" t="s">
        <v>1097</v>
      </c>
      <c r="B1" s="12" t="s">
        <v>1479</v>
      </c>
      <c r="C1" s="12" t="s">
        <v>1480</v>
      </c>
      <c r="E1">
        <v>13</v>
      </c>
      <c r="F1" t="s">
        <v>1820</v>
      </c>
    </row>
    <row r="2" spans="1:6" x14ac:dyDescent="0.25">
      <c r="A2">
        <v>1352834</v>
      </c>
      <c r="B2" t="s">
        <v>1342</v>
      </c>
      <c r="C2">
        <v>13</v>
      </c>
      <c r="D2" t="str">
        <f>CONCATENATE("""",A2,""",")</f>
        <v>"1352834",</v>
      </c>
      <c r="E2">
        <v>31</v>
      </c>
      <c r="F2" t="s">
        <v>1821</v>
      </c>
    </row>
    <row r="3" spans="1:6" x14ac:dyDescent="0.25">
      <c r="A3">
        <v>2401484</v>
      </c>
      <c r="B3" t="s">
        <v>1216</v>
      </c>
      <c r="C3">
        <v>13</v>
      </c>
      <c r="D3" t="str">
        <f t="shared" ref="D3:D6" si="0">CONCATENATE("""",A3,""",")</f>
        <v>"2401484",</v>
      </c>
    </row>
    <row r="4" spans="1:6" x14ac:dyDescent="0.25">
      <c r="A4">
        <v>2408135</v>
      </c>
      <c r="B4" t="s">
        <v>1786</v>
      </c>
      <c r="C4">
        <v>13</v>
      </c>
      <c r="D4" t="str">
        <f t="shared" si="0"/>
        <v>"2408135",</v>
      </c>
    </row>
    <row r="5" spans="1:6" x14ac:dyDescent="0.25">
      <c r="A5">
        <v>2411822</v>
      </c>
      <c r="B5" t="s">
        <v>1377</v>
      </c>
      <c r="C5">
        <v>13</v>
      </c>
      <c r="D5" t="str">
        <f t="shared" si="0"/>
        <v>"2411822",</v>
      </c>
    </row>
    <row r="6" spans="1:6" x14ac:dyDescent="0.25">
      <c r="A6">
        <v>2461850</v>
      </c>
      <c r="B6" t="s">
        <v>1296</v>
      </c>
      <c r="C6">
        <v>13</v>
      </c>
      <c r="D6" t="str">
        <f t="shared" si="0"/>
        <v>"2461850",</v>
      </c>
    </row>
    <row r="7" spans="1:6" x14ac:dyDescent="0.25">
      <c r="A7">
        <v>3528650</v>
      </c>
      <c r="B7" t="s">
        <v>1464</v>
      </c>
      <c r="C7">
        <v>13</v>
      </c>
    </row>
    <row r="8" spans="1:6" x14ac:dyDescent="0.25">
      <c r="A8">
        <v>5286388</v>
      </c>
      <c r="B8" t="s">
        <v>1656</v>
      </c>
      <c r="C8">
        <v>13</v>
      </c>
    </row>
    <row r="9" spans="1:6" x14ac:dyDescent="0.25">
      <c r="A9">
        <v>6056606</v>
      </c>
      <c r="B9" t="s">
        <v>1564</v>
      </c>
      <c r="C9">
        <v>13</v>
      </c>
    </row>
    <row r="10" spans="1:6" x14ac:dyDescent="0.25">
      <c r="A10">
        <v>6064013</v>
      </c>
      <c r="B10" t="s">
        <v>1566</v>
      </c>
      <c r="C10">
        <v>13</v>
      </c>
    </row>
    <row r="11" spans="1:6" x14ac:dyDescent="0.25">
      <c r="A11">
        <v>6095099</v>
      </c>
      <c r="B11" t="s">
        <v>1196</v>
      </c>
      <c r="C11">
        <v>13</v>
      </c>
    </row>
    <row r="12" spans="1:6" x14ac:dyDescent="0.25">
      <c r="A12">
        <v>6211900</v>
      </c>
      <c r="B12" t="s">
        <v>1568</v>
      </c>
      <c r="C12">
        <v>13</v>
      </c>
    </row>
    <row r="13" spans="1:6" x14ac:dyDescent="0.25">
      <c r="A13">
        <v>6597424</v>
      </c>
      <c r="B13" t="s">
        <v>1664</v>
      </c>
      <c r="C13">
        <v>13</v>
      </c>
    </row>
    <row r="14" spans="1:6" x14ac:dyDescent="0.25">
      <c r="A14">
        <v>9817401</v>
      </c>
      <c r="B14" t="s">
        <v>1808</v>
      </c>
      <c r="C14">
        <v>13</v>
      </c>
    </row>
    <row r="15" spans="1:6" x14ac:dyDescent="0.25">
      <c r="A15">
        <v>9892520</v>
      </c>
      <c r="B15" t="s">
        <v>1654</v>
      </c>
      <c r="C15">
        <v>13</v>
      </c>
    </row>
    <row r="16" spans="1:6" x14ac:dyDescent="0.25">
      <c r="A16">
        <v>10250834</v>
      </c>
      <c r="B16" t="s">
        <v>1770</v>
      </c>
      <c r="C16">
        <v>13</v>
      </c>
    </row>
    <row r="17" spans="1:3" x14ac:dyDescent="0.25">
      <c r="A17">
        <v>10300617</v>
      </c>
      <c r="B17" t="s">
        <v>1418</v>
      </c>
      <c r="C17">
        <v>13</v>
      </c>
    </row>
    <row r="18" spans="1:3" x14ac:dyDescent="0.25">
      <c r="A18">
        <v>10557542</v>
      </c>
      <c r="B18" t="s">
        <v>1436</v>
      </c>
      <c r="C18">
        <v>13</v>
      </c>
    </row>
    <row r="19" spans="1:3" x14ac:dyDescent="0.25">
      <c r="A19">
        <v>13436094</v>
      </c>
      <c r="B19" t="s">
        <v>1698</v>
      </c>
      <c r="C19">
        <v>13</v>
      </c>
    </row>
    <row r="20" spans="1:3" x14ac:dyDescent="0.25">
      <c r="A20">
        <v>14447469</v>
      </c>
      <c r="B20" t="s">
        <v>1454</v>
      </c>
      <c r="C20">
        <v>13</v>
      </c>
    </row>
    <row r="21" spans="1:3" x14ac:dyDescent="0.25">
      <c r="A21">
        <v>14465429</v>
      </c>
      <c r="B21" t="s">
        <v>1544</v>
      </c>
      <c r="C21">
        <v>13</v>
      </c>
    </row>
    <row r="22" spans="1:3" x14ac:dyDescent="0.25">
      <c r="A22">
        <v>14836652</v>
      </c>
      <c r="B22" t="s">
        <v>1546</v>
      </c>
      <c r="C22">
        <v>13</v>
      </c>
    </row>
    <row r="23" spans="1:3" x14ac:dyDescent="0.25">
      <c r="A23">
        <v>14942661</v>
      </c>
      <c r="B23" t="s">
        <v>1756</v>
      </c>
      <c r="C23">
        <v>13</v>
      </c>
    </row>
    <row r="24" spans="1:3" x14ac:dyDescent="0.25">
      <c r="A24">
        <v>14948726</v>
      </c>
      <c r="B24" t="s">
        <v>1506</v>
      </c>
      <c r="C24">
        <v>13</v>
      </c>
    </row>
    <row r="25" spans="1:3" x14ac:dyDescent="0.25">
      <c r="A25">
        <v>14974772</v>
      </c>
      <c r="B25" t="s">
        <v>1373</v>
      </c>
      <c r="C25">
        <v>13</v>
      </c>
    </row>
    <row r="26" spans="1:3" x14ac:dyDescent="0.25">
      <c r="A26">
        <v>15912254</v>
      </c>
      <c r="B26" t="s">
        <v>1220</v>
      </c>
      <c r="C26">
        <v>13</v>
      </c>
    </row>
    <row r="27" spans="1:3" x14ac:dyDescent="0.25">
      <c r="A27">
        <v>15924092</v>
      </c>
      <c r="B27" t="s">
        <v>1774</v>
      </c>
      <c r="C27">
        <v>13</v>
      </c>
    </row>
    <row r="28" spans="1:3" x14ac:dyDescent="0.25">
      <c r="A28">
        <v>16285515</v>
      </c>
      <c r="B28" t="s">
        <v>1156</v>
      </c>
      <c r="C28">
        <v>13</v>
      </c>
    </row>
    <row r="29" spans="1:3" x14ac:dyDescent="0.25">
      <c r="A29">
        <v>16355703</v>
      </c>
      <c r="B29" t="s">
        <v>1548</v>
      </c>
      <c r="C29">
        <v>13</v>
      </c>
    </row>
    <row r="30" spans="1:3" x14ac:dyDescent="0.25">
      <c r="A30">
        <v>16451416</v>
      </c>
      <c r="B30" t="s">
        <v>1387</v>
      </c>
    </row>
    <row r="31" spans="1:3" x14ac:dyDescent="0.25">
      <c r="A31">
        <v>16623071</v>
      </c>
      <c r="B31" t="s">
        <v>1176</v>
      </c>
    </row>
    <row r="32" spans="1:3" x14ac:dyDescent="0.25">
      <c r="A32">
        <v>16635487</v>
      </c>
      <c r="B32" t="s">
        <v>1758</v>
      </c>
    </row>
    <row r="33" spans="1:2" x14ac:dyDescent="0.25">
      <c r="A33">
        <v>16640937</v>
      </c>
      <c r="B33" t="s">
        <v>1218</v>
      </c>
    </row>
    <row r="34" spans="1:2" x14ac:dyDescent="0.25">
      <c r="A34">
        <v>16697336</v>
      </c>
      <c r="B34" t="s">
        <v>1210</v>
      </c>
    </row>
    <row r="35" spans="1:2" x14ac:dyDescent="0.25">
      <c r="A35">
        <v>16711436</v>
      </c>
      <c r="B35" t="s">
        <v>1180</v>
      </c>
    </row>
    <row r="36" spans="1:2" x14ac:dyDescent="0.25">
      <c r="A36">
        <v>16711782</v>
      </c>
      <c r="B36" t="s">
        <v>1550</v>
      </c>
    </row>
    <row r="37" spans="1:2" x14ac:dyDescent="0.25">
      <c r="A37">
        <v>16718548</v>
      </c>
      <c r="B37" t="s">
        <v>1392</v>
      </c>
    </row>
    <row r="38" spans="1:2" x14ac:dyDescent="0.25">
      <c r="A38">
        <v>16719200</v>
      </c>
      <c r="B38" t="s">
        <v>1116</v>
      </c>
    </row>
    <row r="39" spans="1:2" x14ac:dyDescent="0.25">
      <c r="A39">
        <v>16720489</v>
      </c>
      <c r="B39" t="s">
        <v>1552</v>
      </c>
    </row>
    <row r="40" spans="1:2" x14ac:dyDescent="0.25">
      <c r="A40">
        <v>16735539</v>
      </c>
      <c r="B40" t="s">
        <v>1818</v>
      </c>
    </row>
    <row r="41" spans="1:2" x14ac:dyDescent="0.25">
      <c r="A41">
        <v>16737681</v>
      </c>
      <c r="B41" t="s">
        <v>1508</v>
      </c>
    </row>
    <row r="42" spans="1:2" x14ac:dyDescent="0.25">
      <c r="A42">
        <v>16740143</v>
      </c>
      <c r="B42" t="s">
        <v>1554</v>
      </c>
    </row>
    <row r="43" spans="1:2" x14ac:dyDescent="0.25">
      <c r="A43">
        <v>16780898</v>
      </c>
      <c r="B43" t="s">
        <v>1700</v>
      </c>
    </row>
    <row r="44" spans="1:2" x14ac:dyDescent="0.25">
      <c r="A44">
        <v>16796766</v>
      </c>
      <c r="B44" t="s">
        <v>1214</v>
      </c>
    </row>
    <row r="45" spans="1:2" x14ac:dyDescent="0.25">
      <c r="A45">
        <v>16917860</v>
      </c>
      <c r="B45" t="s">
        <v>1458</v>
      </c>
    </row>
    <row r="46" spans="1:2" x14ac:dyDescent="0.25">
      <c r="A46">
        <v>19364249</v>
      </c>
      <c r="B46" t="s">
        <v>1666</v>
      </c>
    </row>
    <row r="47" spans="1:2" x14ac:dyDescent="0.25">
      <c r="A47">
        <v>19456882</v>
      </c>
      <c r="B47" t="s">
        <v>1524</v>
      </c>
    </row>
    <row r="48" spans="1:2" x14ac:dyDescent="0.25">
      <c r="A48">
        <v>21481158</v>
      </c>
      <c r="B48" t="s">
        <v>1702</v>
      </c>
    </row>
    <row r="49" spans="1:2" x14ac:dyDescent="0.25">
      <c r="A49">
        <v>21787805</v>
      </c>
      <c r="B49" t="s">
        <v>1556</v>
      </c>
    </row>
    <row r="50" spans="1:2" x14ac:dyDescent="0.25">
      <c r="A50">
        <v>21872939</v>
      </c>
      <c r="B50" t="s">
        <v>1788</v>
      </c>
    </row>
    <row r="51" spans="1:2" x14ac:dyDescent="0.25">
      <c r="A51">
        <v>21873426</v>
      </c>
      <c r="B51" t="s">
        <v>1198</v>
      </c>
    </row>
    <row r="52" spans="1:2" x14ac:dyDescent="0.25">
      <c r="A52">
        <v>25683656</v>
      </c>
      <c r="B52" t="s">
        <v>1814</v>
      </c>
    </row>
    <row r="53" spans="1:2" x14ac:dyDescent="0.25">
      <c r="A53">
        <v>29055828</v>
      </c>
      <c r="B53" t="s">
        <v>1228</v>
      </c>
    </row>
    <row r="54" spans="1:2" x14ac:dyDescent="0.25">
      <c r="A54">
        <v>29125360</v>
      </c>
      <c r="B54" t="s">
        <v>1776</v>
      </c>
    </row>
    <row r="55" spans="1:2" x14ac:dyDescent="0.25">
      <c r="A55">
        <v>29274934</v>
      </c>
      <c r="B55" t="s">
        <v>1742</v>
      </c>
    </row>
    <row r="56" spans="1:2" x14ac:dyDescent="0.25">
      <c r="A56">
        <v>29277645</v>
      </c>
      <c r="B56" t="s">
        <v>1530</v>
      </c>
    </row>
    <row r="57" spans="1:2" x14ac:dyDescent="0.25">
      <c r="A57">
        <v>29399518</v>
      </c>
      <c r="B57" t="s">
        <v>1704</v>
      </c>
    </row>
    <row r="58" spans="1:2" x14ac:dyDescent="0.25">
      <c r="A58">
        <v>29707594</v>
      </c>
      <c r="B58" t="s">
        <v>1172</v>
      </c>
    </row>
    <row r="59" spans="1:2" x14ac:dyDescent="0.25">
      <c r="A59">
        <v>30311638</v>
      </c>
      <c r="B59" t="s">
        <v>1446</v>
      </c>
    </row>
    <row r="60" spans="1:2" x14ac:dyDescent="0.25">
      <c r="A60">
        <v>31200296</v>
      </c>
      <c r="B60" t="s">
        <v>1312</v>
      </c>
    </row>
    <row r="61" spans="1:2" x14ac:dyDescent="0.25">
      <c r="A61">
        <v>31205240</v>
      </c>
      <c r="B61" t="s">
        <v>1318</v>
      </c>
    </row>
    <row r="62" spans="1:2" x14ac:dyDescent="0.25">
      <c r="A62">
        <v>31230047</v>
      </c>
      <c r="B62" t="s">
        <v>1558</v>
      </c>
    </row>
    <row r="63" spans="1:2" x14ac:dyDescent="0.25">
      <c r="A63">
        <v>31293957</v>
      </c>
      <c r="B63" t="s">
        <v>1706</v>
      </c>
    </row>
    <row r="64" spans="1:2" x14ac:dyDescent="0.25">
      <c r="A64">
        <v>31298923</v>
      </c>
      <c r="B64" t="s">
        <v>1308</v>
      </c>
    </row>
    <row r="65" spans="1:2" x14ac:dyDescent="0.25">
      <c r="A65">
        <v>31301870</v>
      </c>
      <c r="B65" t="s">
        <v>1708</v>
      </c>
    </row>
    <row r="66" spans="1:2" x14ac:dyDescent="0.25">
      <c r="A66">
        <v>31321667</v>
      </c>
      <c r="B66" t="s">
        <v>1291</v>
      </c>
    </row>
    <row r="67" spans="1:2" x14ac:dyDescent="0.25">
      <c r="A67">
        <v>31589005</v>
      </c>
      <c r="B67" t="s">
        <v>1460</v>
      </c>
    </row>
    <row r="68" spans="1:2" x14ac:dyDescent="0.25">
      <c r="A68">
        <v>31851297</v>
      </c>
      <c r="B68" t="s">
        <v>1560</v>
      </c>
    </row>
    <row r="69" spans="1:2" x14ac:dyDescent="0.25">
      <c r="A69">
        <v>31882108</v>
      </c>
      <c r="B69" t="s">
        <v>1710</v>
      </c>
    </row>
    <row r="70" spans="1:2" x14ac:dyDescent="0.25">
      <c r="A70">
        <v>31917089</v>
      </c>
      <c r="B70" t="s">
        <v>1232</v>
      </c>
    </row>
    <row r="71" spans="1:2" x14ac:dyDescent="0.25">
      <c r="A71">
        <v>31920384</v>
      </c>
      <c r="B71" t="s">
        <v>1264</v>
      </c>
    </row>
    <row r="72" spans="1:2" x14ac:dyDescent="0.25">
      <c r="A72">
        <v>31923328</v>
      </c>
      <c r="B72" t="s">
        <v>1562</v>
      </c>
    </row>
    <row r="73" spans="1:2" x14ac:dyDescent="0.25">
      <c r="A73">
        <v>31924998</v>
      </c>
      <c r="B73" t="s">
        <v>1452</v>
      </c>
    </row>
    <row r="74" spans="1:2" x14ac:dyDescent="0.25">
      <c r="A74">
        <v>31928720</v>
      </c>
      <c r="B74" t="s">
        <v>1120</v>
      </c>
    </row>
    <row r="75" spans="1:2" x14ac:dyDescent="0.25">
      <c r="A75">
        <v>31940554</v>
      </c>
      <c r="B75" t="s">
        <v>1778</v>
      </c>
    </row>
    <row r="76" spans="1:2" x14ac:dyDescent="0.25">
      <c r="A76">
        <v>31958632</v>
      </c>
      <c r="B76" t="s">
        <v>1750</v>
      </c>
    </row>
    <row r="77" spans="1:2" x14ac:dyDescent="0.25">
      <c r="A77">
        <v>31968309</v>
      </c>
      <c r="B77" t="s">
        <v>1170</v>
      </c>
    </row>
    <row r="78" spans="1:2" x14ac:dyDescent="0.25">
      <c r="A78">
        <v>31996591</v>
      </c>
      <c r="B78" t="s">
        <v>1500</v>
      </c>
    </row>
    <row r="79" spans="1:2" x14ac:dyDescent="0.25">
      <c r="A79">
        <v>34372955</v>
      </c>
      <c r="B79" t="s">
        <v>1381</v>
      </c>
    </row>
    <row r="80" spans="1:2" x14ac:dyDescent="0.25">
      <c r="A80">
        <v>39552749</v>
      </c>
      <c r="B80" t="s">
        <v>1780</v>
      </c>
    </row>
    <row r="81" spans="1:3" x14ac:dyDescent="0.25">
      <c r="A81">
        <v>66724075</v>
      </c>
      <c r="B81" t="s">
        <v>1424</v>
      </c>
    </row>
    <row r="82" spans="1:3" x14ac:dyDescent="0.25">
      <c r="A82">
        <v>66861782</v>
      </c>
      <c r="B82" t="s">
        <v>1363</v>
      </c>
    </row>
    <row r="83" spans="1:3" x14ac:dyDescent="0.25">
      <c r="A83">
        <v>66886311</v>
      </c>
      <c r="B83" t="s">
        <v>1294</v>
      </c>
    </row>
    <row r="84" spans="1:3" x14ac:dyDescent="0.25">
      <c r="A84">
        <v>66978872</v>
      </c>
      <c r="B84" t="s">
        <v>1570</v>
      </c>
    </row>
    <row r="85" spans="1:3" x14ac:dyDescent="0.25">
      <c r="A85">
        <v>66978975</v>
      </c>
      <c r="B85" t="s">
        <v>1208</v>
      </c>
    </row>
    <row r="86" spans="1:3" x14ac:dyDescent="0.25">
      <c r="A86">
        <v>67010081</v>
      </c>
      <c r="B86" t="s">
        <v>1200</v>
      </c>
    </row>
    <row r="87" spans="1:3" x14ac:dyDescent="0.25">
      <c r="A87">
        <v>70900204</v>
      </c>
      <c r="B87" t="s">
        <v>1792</v>
      </c>
    </row>
    <row r="88" spans="1:3" x14ac:dyDescent="0.25">
      <c r="A88">
        <v>71595508</v>
      </c>
      <c r="B88" t="s">
        <v>1438</v>
      </c>
    </row>
    <row r="89" spans="1:3" x14ac:dyDescent="0.25">
      <c r="A89">
        <v>79304195</v>
      </c>
      <c r="B89" t="s">
        <v>1752</v>
      </c>
    </row>
    <row r="90" spans="1:3" x14ac:dyDescent="0.25">
      <c r="A90">
        <v>80275610</v>
      </c>
      <c r="B90" t="s">
        <v>1692</v>
      </c>
    </row>
    <row r="91" spans="1:3" x14ac:dyDescent="0.25">
      <c r="A91">
        <v>80903900</v>
      </c>
      <c r="B91" t="s">
        <v>1398</v>
      </c>
    </row>
    <row r="92" spans="1:3" x14ac:dyDescent="0.25">
      <c r="A92">
        <v>87246269</v>
      </c>
      <c r="B92" t="s">
        <v>1277</v>
      </c>
    </row>
    <row r="93" spans="1:3" x14ac:dyDescent="0.25">
      <c r="A93">
        <v>90042481</v>
      </c>
      <c r="B93" t="s">
        <v>1766</v>
      </c>
      <c r="C93">
        <v>31</v>
      </c>
    </row>
    <row r="94" spans="1:3" x14ac:dyDescent="0.25">
      <c r="A94">
        <v>91234902</v>
      </c>
      <c r="B94" t="s">
        <v>1450</v>
      </c>
    </row>
    <row r="95" spans="1:3" x14ac:dyDescent="0.25">
      <c r="A95">
        <v>93368728</v>
      </c>
      <c r="B95" t="s">
        <v>1744</v>
      </c>
    </row>
    <row r="96" spans="1:3" x14ac:dyDescent="0.25">
      <c r="A96">
        <v>93371475</v>
      </c>
      <c r="B96" t="s">
        <v>1646</v>
      </c>
    </row>
    <row r="97" spans="1:2" x14ac:dyDescent="0.25">
      <c r="A97">
        <v>94371850</v>
      </c>
      <c r="B97" t="s">
        <v>1782</v>
      </c>
    </row>
    <row r="98" spans="1:2" x14ac:dyDescent="0.25">
      <c r="A98">
        <v>94424033</v>
      </c>
      <c r="B98" t="s">
        <v>1806</v>
      </c>
    </row>
    <row r="99" spans="1:2" x14ac:dyDescent="0.25">
      <c r="A99">
        <v>94430001</v>
      </c>
      <c r="B99" t="s">
        <v>1690</v>
      </c>
    </row>
    <row r="100" spans="1:2" x14ac:dyDescent="0.25">
      <c r="A100">
        <v>94433666</v>
      </c>
      <c r="B100" t="s">
        <v>1648</v>
      </c>
    </row>
    <row r="101" spans="1:2" x14ac:dyDescent="0.25">
      <c r="A101">
        <v>94449386</v>
      </c>
      <c r="B101" t="s">
        <v>1520</v>
      </c>
    </row>
    <row r="102" spans="1:2" x14ac:dyDescent="0.25">
      <c r="A102">
        <v>94491228</v>
      </c>
      <c r="B102" t="s">
        <v>1650</v>
      </c>
    </row>
    <row r="103" spans="1:2" x14ac:dyDescent="0.25">
      <c r="A103">
        <v>94506247</v>
      </c>
      <c r="B103" t="s">
        <v>1154</v>
      </c>
    </row>
    <row r="104" spans="1:2" x14ac:dyDescent="0.25">
      <c r="A104">
        <v>94527210</v>
      </c>
      <c r="B104" t="s">
        <v>1322</v>
      </c>
    </row>
    <row r="105" spans="1:2" x14ac:dyDescent="0.25">
      <c r="A105">
        <v>94531893</v>
      </c>
      <c r="B105" t="s">
        <v>1652</v>
      </c>
    </row>
    <row r="106" spans="1:2" x14ac:dyDescent="0.25">
      <c r="A106">
        <v>94543282</v>
      </c>
      <c r="B106" t="s">
        <v>1784</v>
      </c>
    </row>
    <row r="107" spans="1:2" x14ac:dyDescent="0.25">
      <c r="A107">
        <v>222222222</v>
      </c>
      <c r="B107" t="s">
        <v>1688</v>
      </c>
    </row>
    <row r="108" spans="1:2" x14ac:dyDescent="0.25">
      <c r="A108">
        <v>650440390</v>
      </c>
      <c r="B108" t="s">
        <v>1790</v>
      </c>
    </row>
    <row r="109" spans="1:2" x14ac:dyDescent="0.25">
      <c r="A109">
        <v>700035788</v>
      </c>
      <c r="B109" t="s">
        <v>1746</v>
      </c>
    </row>
    <row r="110" spans="1:2" x14ac:dyDescent="0.25">
      <c r="A110">
        <v>700053519</v>
      </c>
      <c r="B110" t="s">
        <v>1336</v>
      </c>
    </row>
    <row r="111" spans="1:2" x14ac:dyDescent="0.25">
      <c r="A111">
        <v>700074454</v>
      </c>
      <c r="B111" t="s">
        <v>1338</v>
      </c>
    </row>
    <row r="112" spans="1:2" x14ac:dyDescent="0.25">
      <c r="A112">
        <v>800004800</v>
      </c>
      <c r="B112" t="s">
        <v>1160</v>
      </c>
    </row>
    <row r="113" spans="1:2" x14ac:dyDescent="0.25">
      <c r="A113">
        <v>800010972</v>
      </c>
      <c r="B113" t="s">
        <v>1572</v>
      </c>
    </row>
    <row r="114" spans="1:2" x14ac:dyDescent="0.25">
      <c r="A114">
        <v>800070655</v>
      </c>
      <c r="B114" t="s">
        <v>1320</v>
      </c>
    </row>
    <row r="115" spans="1:2" x14ac:dyDescent="0.25">
      <c r="A115">
        <v>800088702</v>
      </c>
      <c r="B115" t="s">
        <v>1188</v>
      </c>
    </row>
    <row r="116" spans="1:2" x14ac:dyDescent="0.25">
      <c r="A116">
        <v>800134371</v>
      </c>
      <c r="B116" t="s">
        <v>1112</v>
      </c>
    </row>
    <row r="117" spans="1:2" x14ac:dyDescent="0.25">
      <c r="A117">
        <v>800138188</v>
      </c>
      <c r="B117" t="s">
        <v>1190</v>
      </c>
    </row>
    <row r="118" spans="1:2" x14ac:dyDescent="0.25">
      <c r="A118">
        <v>800138541</v>
      </c>
      <c r="B118" t="s">
        <v>1146</v>
      </c>
    </row>
    <row r="119" spans="1:2" x14ac:dyDescent="0.25">
      <c r="A119">
        <v>800140887</v>
      </c>
      <c r="B119" t="s">
        <v>1668</v>
      </c>
    </row>
    <row r="120" spans="1:2" x14ac:dyDescent="0.25">
      <c r="A120">
        <v>800144331</v>
      </c>
      <c r="B120" t="s">
        <v>1536</v>
      </c>
    </row>
    <row r="121" spans="1:2" x14ac:dyDescent="0.25">
      <c r="A121">
        <v>800185306</v>
      </c>
      <c r="B121" t="s">
        <v>1110</v>
      </c>
    </row>
    <row r="122" spans="1:2" x14ac:dyDescent="0.25">
      <c r="A122">
        <v>800192138</v>
      </c>
      <c r="B122" t="s">
        <v>1574</v>
      </c>
    </row>
    <row r="123" spans="1:2" x14ac:dyDescent="0.25">
      <c r="A123">
        <v>800197268</v>
      </c>
      <c r="B123" t="s">
        <v>1108</v>
      </c>
    </row>
    <row r="124" spans="1:2" x14ac:dyDescent="0.25">
      <c r="A124">
        <v>800198467</v>
      </c>
      <c r="B124" t="s">
        <v>1365</v>
      </c>
    </row>
    <row r="125" spans="1:2" x14ac:dyDescent="0.25">
      <c r="A125">
        <v>800207695</v>
      </c>
      <c r="B125" t="s">
        <v>1576</v>
      </c>
    </row>
    <row r="126" spans="1:2" x14ac:dyDescent="0.25">
      <c r="A126">
        <v>800215227</v>
      </c>
      <c r="B126" t="s">
        <v>1238</v>
      </c>
    </row>
    <row r="127" spans="1:2" x14ac:dyDescent="0.25">
      <c r="A127">
        <v>800215807</v>
      </c>
      <c r="B127" t="s">
        <v>1670</v>
      </c>
    </row>
    <row r="128" spans="1:2" x14ac:dyDescent="0.25">
      <c r="A128">
        <v>800227940</v>
      </c>
      <c r="B128" t="s">
        <v>1538</v>
      </c>
    </row>
    <row r="129" spans="1:2" x14ac:dyDescent="0.25">
      <c r="A129">
        <v>800244387</v>
      </c>
      <c r="B129" t="s">
        <v>1302</v>
      </c>
    </row>
    <row r="130" spans="1:2" x14ac:dyDescent="0.25">
      <c r="A130">
        <v>800244815</v>
      </c>
      <c r="B130" t="s">
        <v>1658</v>
      </c>
    </row>
    <row r="131" spans="1:2" x14ac:dyDescent="0.25">
      <c r="A131">
        <v>800254012</v>
      </c>
      <c r="B131" t="s">
        <v>1383</v>
      </c>
    </row>
    <row r="132" spans="1:2" x14ac:dyDescent="0.25">
      <c r="A132">
        <v>800256769</v>
      </c>
      <c r="B132" t="s">
        <v>1285</v>
      </c>
    </row>
    <row r="133" spans="1:2" x14ac:dyDescent="0.25">
      <c r="A133">
        <v>805000474</v>
      </c>
      <c r="B133" t="s">
        <v>1304</v>
      </c>
    </row>
    <row r="134" spans="1:2" x14ac:dyDescent="0.25">
      <c r="A134">
        <v>805000949</v>
      </c>
      <c r="B134" t="s">
        <v>1258</v>
      </c>
    </row>
    <row r="135" spans="1:2" x14ac:dyDescent="0.25">
      <c r="A135">
        <v>805003626</v>
      </c>
      <c r="B135" t="s">
        <v>1408</v>
      </c>
    </row>
    <row r="136" spans="1:2" x14ac:dyDescent="0.25">
      <c r="A136">
        <v>805005901</v>
      </c>
      <c r="B136" t="s">
        <v>1794</v>
      </c>
    </row>
    <row r="137" spans="1:2" x14ac:dyDescent="0.25">
      <c r="A137">
        <v>805008095</v>
      </c>
      <c r="B137" t="s">
        <v>1402</v>
      </c>
    </row>
    <row r="138" spans="1:2" x14ac:dyDescent="0.25">
      <c r="A138">
        <v>805009741</v>
      </c>
      <c r="B138" t="s">
        <v>1532</v>
      </c>
    </row>
    <row r="139" spans="1:2" x14ac:dyDescent="0.25">
      <c r="A139">
        <v>805011074</v>
      </c>
      <c r="B139" t="s">
        <v>1578</v>
      </c>
    </row>
    <row r="140" spans="1:2" x14ac:dyDescent="0.25">
      <c r="A140">
        <v>805012368</v>
      </c>
      <c r="B140" t="s">
        <v>1369</v>
      </c>
    </row>
    <row r="141" spans="1:2" x14ac:dyDescent="0.25">
      <c r="A141">
        <v>805012610</v>
      </c>
      <c r="B141" t="s">
        <v>1162</v>
      </c>
    </row>
    <row r="142" spans="1:2" x14ac:dyDescent="0.25">
      <c r="A142">
        <v>805013047</v>
      </c>
      <c r="B142" t="s">
        <v>1212</v>
      </c>
    </row>
    <row r="143" spans="1:2" x14ac:dyDescent="0.25">
      <c r="A143">
        <v>805015151</v>
      </c>
      <c r="B143" t="s">
        <v>1580</v>
      </c>
    </row>
    <row r="144" spans="1:2" x14ac:dyDescent="0.25">
      <c r="A144">
        <v>805018722</v>
      </c>
      <c r="B144" t="s">
        <v>1226</v>
      </c>
    </row>
    <row r="145" spans="1:2" x14ac:dyDescent="0.25">
      <c r="A145">
        <v>805019702</v>
      </c>
      <c r="B145" t="s">
        <v>1712</v>
      </c>
    </row>
    <row r="146" spans="1:2" x14ac:dyDescent="0.25">
      <c r="A146">
        <v>805020926</v>
      </c>
      <c r="B146" t="s">
        <v>1128</v>
      </c>
    </row>
    <row r="147" spans="1:2" x14ac:dyDescent="0.25">
      <c r="A147">
        <v>805022446</v>
      </c>
      <c r="B147" t="s">
        <v>1242</v>
      </c>
    </row>
    <row r="148" spans="1:2" x14ac:dyDescent="0.25">
      <c r="A148">
        <v>805025863</v>
      </c>
      <c r="B148" t="s">
        <v>1222</v>
      </c>
    </row>
    <row r="149" spans="1:2" x14ac:dyDescent="0.25">
      <c r="A149">
        <v>805028004</v>
      </c>
      <c r="B149" t="s">
        <v>1582</v>
      </c>
    </row>
    <row r="150" spans="1:2" x14ac:dyDescent="0.25">
      <c r="A150">
        <v>805028294</v>
      </c>
      <c r="B150" t="s">
        <v>1510</v>
      </c>
    </row>
    <row r="151" spans="1:2" x14ac:dyDescent="0.25">
      <c r="A151">
        <v>805030111</v>
      </c>
      <c r="B151" t="s">
        <v>1584</v>
      </c>
    </row>
    <row r="152" spans="1:2" x14ac:dyDescent="0.25">
      <c r="A152">
        <v>810000494</v>
      </c>
      <c r="B152" t="s">
        <v>1768</v>
      </c>
    </row>
    <row r="153" spans="1:2" x14ac:dyDescent="0.25">
      <c r="A153">
        <v>811028650</v>
      </c>
      <c r="B153" t="s">
        <v>1426</v>
      </c>
    </row>
    <row r="154" spans="1:2" x14ac:dyDescent="0.25">
      <c r="A154">
        <v>811034562</v>
      </c>
      <c r="B154" t="s">
        <v>1316</v>
      </c>
    </row>
    <row r="155" spans="1:2" x14ac:dyDescent="0.25">
      <c r="A155">
        <v>814000337</v>
      </c>
      <c r="B155" t="s">
        <v>1534</v>
      </c>
    </row>
    <row r="156" spans="1:2" x14ac:dyDescent="0.25">
      <c r="A156">
        <v>815005117</v>
      </c>
      <c r="B156" t="s">
        <v>1345</v>
      </c>
    </row>
    <row r="157" spans="1:2" x14ac:dyDescent="0.25">
      <c r="A157">
        <v>830011670</v>
      </c>
      <c r="B157" t="s">
        <v>1412</v>
      </c>
    </row>
    <row r="158" spans="1:2" x14ac:dyDescent="0.25">
      <c r="A158">
        <v>830052998</v>
      </c>
      <c r="B158" t="s">
        <v>1672</v>
      </c>
    </row>
    <row r="159" spans="1:2" x14ac:dyDescent="0.25">
      <c r="A159">
        <v>830053700</v>
      </c>
      <c r="B159" t="s">
        <v>1674</v>
      </c>
    </row>
    <row r="160" spans="1:2" x14ac:dyDescent="0.25">
      <c r="A160">
        <v>830053812</v>
      </c>
      <c r="B160" t="s">
        <v>1676</v>
      </c>
    </row>
    <row r="161" spans="1:2" x14ac:dyDescent="0.25">
      <c r="A161">
        <v>830054060</v>
      </c>
      <c r="B161" t="s">
        <v>1678</v>
      </c>
    </row>
    <row r="162" spans="1:2" x14ac:dyDescent="0.25">
      <c r="A162">
        <v>830054539</v>
      </c>
      <c r="B162" t="s">
        <v>1279</v>
      </c>
    </row>
    <row r="163" spans="1:2" x14ac:dyDescent="0.25">
      <c r="A163">
        <v>830055897</v>
      </c>
      <c r="B163" t="s">
        <v>1680</v>
      </c>
    </row>
    <row r="164" spans="1:2" x14ac:dyDescent="0.25">
      <c r="A164">
        <v>830059605</v>
      </c>
      <c r="B164" t="s">
        <v>1682</v>
      </c>
    </row>
    <row r="165" spans="1:2" x14ac:dyDescent="0.25">
      <c r="A165">
        <v>830087099</v>
      </c>
      <c r="B165" t="s">
        <v>1254</v>
      </c>
    </row>
    <row r="166" spans="1:2" x14ac:dyDescent="0.25">
      <c r="A166">
        <v>830122566</v>
      </c>
      <c r="B166" t="s">
        <v>1168</v>
      </c>
    </row>
    <row r="167" spans="1:2" x14ac:dyDescent="0.25">
      <c r="A167">
        <v>830506235</v>
      </c>
      <c r="B167" t="s">
        <v>1184</v>
      </c>
    </row>
    <row r="168" spans="1:2" x14ac:dyDescent="0.25">
      <c r="A168">
        <v>835000779</v>
      </c>
      <c r="B168" t="s">
        <v>1234</v>
      </c>
    </row>
    <row r="169" spans="1:2" x14ac:dyDescent="0.25">
      <c r="A169">
        <v>860002400</v>
      </c>
      <c r="B169" t="s">
        <v>1269</v>
      </c>
    </row>
    <row r="170" spans="1:2" x14ac:dyDescent="0.25">
      <c r="A170">
        <v>860002964</v>
      </c>
      <c r="B170" t="s">
        <v>1274</v>
      </c>
    </row>
    <row r="171" spans="1:2" x14ac:dyDescent="0.25">
      <c r="A171">
        <v>860011153</v>
      </c>
      <c r="B171" t="s">
        <v>1192</v>
      </c>
    </row>
    <row r="172" spans="1:2" x14ac:dyDescent="0.25">
      <c r="A172">
        <v>860016640</v>
      </c>
      <c r="B172" t="s">
        <v>1432</v>
      </c>
    </row>
    <row r="173" spans="1:2" x14ac:dyDescent="0.25">
      <c r="A173">
        <v>860025461</v>
      </c>
      <c r="B173" t="s">
        <v>1314</v>
      </c>
    </row>
    <row r="174" spans="1:2" x14ac:dyDescent="0.25">
      <c r="A174">
        <v>860037013</v>
      </c>
      <c r="B174" t="s">
        <v>1267</v>
      </c>
    </row>
    <row r="175" spans="1:2" x14ac:dyDescent="0.25">
      <c r="A175">
        <v>860037707</v>
      </c>
      <c r="B175" t="s">
        <v>1246</v>
      </c>
    </row>
    <row r="176" spans="1:2" x14ac:dyDescent="0.25">
      <c r="A176">
        <v>860050544</v>
      </c>
      <c r="B176" t="s">
        <v>1586</v>
      </c>
    </row>
    <row r="177" spans="1:2" x14ac:dyDescent="0.25">
      <c r="A177">
        <v>860053831</v>
      </c>
      <c r="B177" t="s">
        <v>1470</v>
      </c>
    </row>
    <row r="178" spans="1:2" x14ac:dyDescent="0.25">
      <c r="A178">
        <v>860058760</v>
      </c>
      <c r="B178" t="s">
        <v>1340</v>
      </c>
    </row>
    <row r="179" spans="1:2" x14ac:dyDescent="0.25">
      <c r="A179">
        <v>860503159</v>
      </c>
      <c r="B179" t="s">
        <v>1406</v>
      </c>
    </row>
    <row r="180" spans="1:2" x14ac:dyDescent="0.25">
      <c r="A180">
        <v>860512330</v>
      </c>
      <c r="B180" t="s">
        <v>1428</v>
      </c>
    </row>
    <row r="181" spans="1:2" x14ac:dyDescent="0.25">
      <c r="A181">
        <v>860533413</v>
      </c>
      <c r="B181" t="s">
        <v>1714</v>
      </c>
    </row>
    <row r="182" spans="1:2" x14ac:dyDescent="0.25">
      <c r="A182">
        <v>890107487</v>
      </c>
      <c r="B182" t="s">
        <v>1414</v>
      </c>
    </row>
    <row r="183" spans="1:2" x14ac:dyDescent="0.25">
      <c r="A183">
        <v>890208788</v>
      </c>
      <c r="B183" t="s">
        <v>1588</v>
      </c>
    </row>
    <row r="184" spans="1:2" x14ac:dyDescent="0.25">
      <c r="A184">
        <v>890300346</v>
      </c>
      <c r="B184" t="s">
        <v>1287</v>
      </c>
    </row>
    <row r="185" spans="1:2" x14ac:dyDescent="0.25">
      <c r="A185">
        <v>890300896</v>
      </c>
      <c r="B185" t="s">
        <v>1590</v>
      </c>
    </row>
    <row r="186" spans="1:2" x14ac:dyDescent="0.25">
      <c r="A186">
        <v>890301752</v>
      </c>
      <c r="B186" t="s">
        <v>1298</v>
      </c>
    </row>
    <row r="187" spans="1:2" x14ac:dyDescent="0.25">
      <c r="A187">
        <v>890301884</v>
      </c>
      <c r="B187" t="s">
        <v>1592</v>
      </c>
    </row>
    <row r="188" spans="1:2" x14ac:dyDescent="0.25">
      <c r="A188">
        <v>890303093</v>
      </c>
      <c r="B188" t="s">
        <v>1194</v>
      </c>
    </row>
    <row r="189" spans="1:2" x14ac:dyDescent="0.25">
      <c r="A189">
        <v>890303208</v>
      </c>
      <c r="B189" t="s">
        <v>1594</v>
      </c>
    </row>
    <row r="190" spans="1:2" x14ac:dyDescent="0.25">
      <c r="A190">
        <v>890308111</v>
      </c>
      <c r="B190" t="s">
        <v>1468</v>
      </c>
    </row>
    <row r="191" spans="1:2" x14ac:dyDescent="0.25">
      <c r="A191">
        <v>890308587</v>
      </c>
      <c r="B191" t="s">
        <v>1512</v>
      </c>
    </row>
    <row r="192" spans="1:2" x14ac:dyDescent="0.25">
      <c r="A192">
        <v>890309116</v>
      </c>
      <c r="B192" t="s">
        <v>1124</v>
      </c>
    </row>
    <row r="193" spans="1:2" x14ac:dyDescent="0.25">
      <c r="A193">
        <v>890310688</v>
      </c>
      <c r="B193" t="s">
        <v>1754</v>
      </c>
    </row>
    <row r="194" spans="1:2" x14ac:dyDescent="0.25">
      <c r="A194">
        <v>890310953</v>
      </c>
      <c r="B194" t="s">
        <v>1371</v>
      </c>
    </row>
    <row r="195" spans="1:2" x14ac:dyDescent="0.25">
      <c r="A195">
        <v>890311425</v>
      </c>
      <c r="B195" t="s">
        <v>1357</v>
      </c>
    </row>
    <row r="196" spans="1:2" x14ac:dyDescent="0.25">
      <c r="A196">
        <v>890314978</v>
      </c>
      <c r="B196" t="s">
        <v>1596</v>
      </c>
    </row>
    <row r="197" spans="1:2" x14ac:dyDescent="0.25">
      <c r="A197">
        <v>890316699</v>
      </c>
      <c r="B197" t="s">
        <v>1598</v>
      </c>
    </row>
    <row r="198" spans="1:2" x14ac:dyDescent="0.25">
      <c r="A198">
        <v>890320417</v>
      </c>
      <c r="B198" t="s">
        <v>1136</v>
      </c>
    </row>
    <row r="199" spans="1:2" x14ac:dyDescent="0.25">
      <c r="A199">
        <v>890320980</v>
      </c>
      <c r="B199" t="s">
        <v>1252</v>
      </c>
    </row>
    <row r="200" spans="1:2" x14ac:dyDescent="0.25">
      <c r="A200">
        <v>890321156</v>
      </c>
      <c r="B200" t="s">
        <v>1660</v>
      </c>
    </row>
    <row r="201" spans="1:2" x14ac:dyDescent="0.25">
      <c r="A201">
        <v>890323635</v>
      </c>
      <c r="B201" t="s">
        <v>1202</v>
      </c>
    </row>
    <row r="202" spans="1:2" x14ac:dyDescent="0.25">
      <c r="A202">
        <v>890325037</v>
      </c>
      <c r="B202" t="s">
        <v>1324</v>
      </c>
    </row>
    <row r="203" spans="1:2" x14ac:dyDescent="0.25">
      <c r="A203">
        <v>890328637</v>
      </c>
      <c r="B203" t="s">
        <v>1118</v>
      </c>
    </row>
    <row r="204" spans="1:2" x14ac:dyDescent="0.25">
      <c r="A204">
        <v>890330338</v>
      </c>
      <c r="B204" t="s">
        <v>1248</v>
      </c>
    </row>
    <row r="205" spans="1:2" x14ac:dyDescent="0.25">
      <c r="A205">
        <v>890399001</v>
      </c>
      <c r="B205" t="s">
        <v>1166</v>
      </c>
    </row>
    <row r="206" spans="1:2" x14ac:dyDescent="0.25">
      <c r="A206">
        <v>890399003</v>
      </c>
      <c r="B206" t="s">
        <v>1099</v>
      </c>
    </row>
    <row r="207" spans="1:2" x14ac:dyDescent="0.25">
      <c r="A207">
        <v>890399011</v>
      </c>
      <c r="B207" t="s">
        <v>1502</v>
      </c>
    </row>
    <row r="208" spans="1:2" x14ac:dyDescent="0.25">
      <c r="A208">
        <v>890399029</v>
      </c>
      <c r="B208" t="s">
        <v>1272</v>
      </c>
    </row>
    <row r="209" spans="1:2" x14ac:dyDescent="0.25">
      <c r="A209">
        <v>890900281</v>
      </c>
      <c r="B209" t="s">
        <v>1240</v>
      </c>
    </row>
    <row r="210" spans="1:2" x14ac:dyDescent="0.25">
      <c r="A210">
        <v>890900486</v>
      </c>
      <c r="B210" t="s">
        <v>1104</v>
      </c>
    </row>
    <row r="211" spans="1:2" x14ac:dyDescent="0.25">
      <c r="A211">
        <v>890900608</v>
      </c>
      <c r="B211" t="s">
        <v>1514</v>
      </c>
    </row>
    <row r="212" spans="1:2" x14ac:dyDescent="0.25">
      <c r="A212">
        <v>890900943</v>
      </c>
      <c r="B212" t="s">
        <v>1476</v>
      </c>
    </row>
    <row r="213" spans="1:2" x14ac:dyDescent="0.25">
      <c r="A213">
        <v>890901672</v>
      </c>
      <c r="B213" t="s">
        <v>1349</v>
      </c>
    </row>
    <row r="214" spans="1:2" x14ac:dyDescent="0.25">
      <c r="A214">
        <v>890903407</v>
      </c>
      <c r="B214" t="s">
        <v>1347</v>
      </c>
    </row>
    <row r="215" spans="1:2" x14ac:dyDescent="0.25">
      <c r="A215">
        <v>890904713</v>
      </c>
      <c r="B215" t="s">
        <v>1434</v>
      </c>
    </row>
    <row r="216" spans="1:2" x14ac:dyDescent="0.25">
      <c r="A216">
        <v>890912221</v>
      </c>
      <c r="B216" t="s">
        <v>1796</v>
      </c>
    </row>
    <row r="217" spans="1:2" x14ac:dyDescent="0.25">
      <c r="A217">
        <v>890920990</v>
      </c>
      <c r="B217" t="s">
        <v>1430</v>
      </c>
    </row>
    <row r="218" spans="1:2" x14ac:dyDescent="0.25">
      <c r="A218">
        <v>890922365</v>
      </c>
      <c r="B218" t="s">
        <v>1600</v>
      </c>
    </row>
    <row r="219" spans="1:2" x14ac:dyDescent="0.25">
      <c r="A219">
        <v>890985438</v>
      </c>
      <c r="B219" t="s">
        <v>1130</v>
      </c>
    </row>
    <row r="220" spans="1:2" x14ac:dyDescent="0.25">
      <c r="A220">
        <v>891400343</v>
      </c>
      <c r="B220" t="s">
        <v>1762</v>
      </c>
    </row>
    <row r="221" spans="1:2" x14ac:dyDescent="0.25">
      <c r="A221">
        <v>891500090</v>
      </c>
      <c r="B221" t="s">
        <v>1602</v>
      </c>
    </row>
    <row r="222" spans="1:2" x14ac:dyDescent="0.25">
      <c r="A222">
        <v>900007995</v>
      </c>
      <c r="B222" t="s">
        <v>1410</v>
      </c>
    </row>
    <row r="223" spans="1:2" x14ac:dyDescent="0.25">
      <c r="A223">
        <v>900013167</v>
      </c>
      <c r="B223" t="s">
        <v>1716</v>
      </c>
    </row>
    <row r="224" spans="1:2" x14ac:dyDescent="0.25">
      <c r="A224">
        <v>900051065</v>
      </c>
      <c r="B224" t="s">
        <v>1140</v>
      </c>
    </row>
    <row r="225" spans="1:2" x14ac:dyDescent="0.25">
      <c r="A225">
        <v>900059238</v>
      </c>
      <c r="B225" t="s">
        <v>1694</v>
      </c>
    </row>
    <row r="226" spans="1:2" x14ac:dyDescent="0.25">
      <c r="A226">
        <v>900061224</v>
      </c>
      <c r="B226" t="s">
        <v>1798</v>
      </c>
    </row>
    <row r="227" spans="1:2" x14ac:dyDescent="0.25">
      <c r="A227">
        <v>900072847</v>
      </c>
      <c r="B227" t="s">
        <v>1300</v>
      </c>
    </row>
    <row r="228" spans="1:2" x14ac:dyDescent="0.25">
      <c r="A228">
        <v>900073391</v>
      </c>
      <c r="B228" t="s">
        <v>1604</v>
      </c>
    </row>
    <row r="229" spans="1:2" x14ac:dyDescent="0.25">
      <c r="A229">
        <v>900091175</v>
      </c>
      <c r="B229" t="s">
        <v>1400</v>
      </c>
    </row>
    <row r="230" spans="1:2" x14ac:dyDescent="0.25">
      <c r="A230">
        <v>900126972</v>
      </c>
      <c r="B230" t="s">
        <v>1224</v>
      </c>
    </row>
    <row r="231" spans="1:2" x14ac:dyDescent="0.25">
      <c r="A231">
        <v>900156095</v>
      </c>
      <c r="B231" t="s">
        <v>1696</v>
      </c>
    </row>
    <row r="232" spans="1:2" x14ac:dyDescent="0.25">
      <c r="A232">
        <v>900186322</v>
      </c>
      <c r="B232" t="s">
        <v>1244</v>
      </c>
    </row>
    <row r="233" spans="1:2" x14ac:dyDescent="0.25">
      <c r="A233">
        <v>900188914</v>
      </c>
      <c r="B233" t="s">
        <v>1662</v>
      </c>
    </row>
    <row r="234" spans="1:2" x14ac:dyDescent="0.25">
      <c r="A234">
        <v>900220925</v>
      </c>
      <c r="B234" t="s">
        <v>1718</v>
      </c>
    </row>
    <row r="235" spans="1:2" x14ac:dyDescent="0.25">
      <c r="A235">
        <v>900235218</v>
      </c>
      <c r="B235" t="s">
        <v>1526</v>
      </c>
    </row>
    <row r="236" spans="1:2" x14ac:dyDescent="0.25">
      <c r="A236">
        <v>900263400</v>
      </c>
      <c r="B236" t="s">
        <v>1606</v>
      </c>
    </row>
    <row r="237" spans="1:2" x14ac:dyDescent="0.25">
      <c r="A237">
        <v>900271023</v>
      </c>
      <c r="B237" t="s">
        <v>1462</v>
      </c>
    </row>
    <row r="238" spans="1:2" x14ac:dyDescent="0.25">
      <c r="A238">
        <v>900276962</v>
      </c>
      <c r="B238" t="s">
        <v>1516</v>
      </c>
    </row>
    <row r="239" spans="1:2" x14ac:dyDescent="0.25">
      <c r="A239">
        <v>900284205</v>
      </c>
      <c r="B239" t="s">
        <v>1608</v>
      </c>
    </row>
    <row r="240" spans="1:2" x14ac:dyDescent="0.25">
      <c r="A240">
        <v>900306805</v>
      </c>
      <c r="B240" t="s">
        <v>1472</v>
      </c>
    </row>
    <row r="241" spans="1:2" x14ac:dyDescent="0.25">
      <c r="A241">
        <v>900310573</v>
      </c>
      <c r="B241" t="s">
        <v>1610</v>
      </c>
    </row>
    <row r="242" spans="1:2" x14ac:dyDescent="0.25">
      <c r="A242">
        <v>900317901</v>
      </c>
      <c r="B242" t="s">
        <v>1764</v>
      </c>
    </row>
    <row r="243" spans="1:2" x14ac:dyDescent="0.25">
      <c r="A243">
        <v>900321063</v>
      </c>
      <c r="B243" t="s">
        <v>1720</v>
      </c>
    </row>
    <row r="244" spans="1:2" x14ac:dyDescent="0.25">
      <c r="A244">
        <v>900323755</v>
      </c>
      <c r="B244" t="s">
        <v>1126</v>
      </c>
    </row>
    <row r="245" spans="1:2" x14ac:dyDescent="0.25">
      <c r="A245">
        <v>900336004</v>
      </c>
      <c r="B245" t="s">
        <v>1540</v>
      </c>
    </row>
    <row r="246" spans="1:2" x14ac:dyDescent="0.25">
      <c r="A246">
        <v>900336508</v>
      </c>
      <c r="B246" t="s">
        <v>1306</v>
      </c>
    </row>
    <row r="247" spans="1:2" x14ac:dyDescent="0.25">
      <c r="A247">
        <v>900342297</v>
      </c>
      <c r="B247" t="s">
        <v>1612</v>
      </c>
    </row>
    <row r="248" spans="1:2" x14ac:dyDescent="0.25">
      <c r="A248">
        <v>900343654</v>
      </c>
      <c r="B248" t="s">
        <v>1722</v>
      </c>
    </row>
    <row r="249" spans="1:2" x14ac:dyDescent="0.25">
      <c r="A249">
        <v>900367275</v>
      </c>
      <c r="B249" t="s">
        <v>1816</v>
      </c>
    </row>
    <row r="250" spans="1:2" x14ac:dyDescent="0.25">
      <c r="A250">
        <v>900373092</v>
      </c>
      <c r="B250" t="s">
        <v>1684</v>
      </c>
    </row>
    <row r="251" spans="1:2" x14ac:dyDescent="0.25">
      <c r="A251">
        <v>900373677</v>
      </c>
      <c r="B251" t="s">
        <v>1614</v>
      </c>
    </row>
    <row r="252" spans="1:2" x14ac:dyDescent="0.25">
      <c r="A252">
        <v>900374172</v>
      </c>
      <c r="B252" t="s">
        <v>1616</v>
      </c>
    </row>
    <row r="253" spans="1:2" x14ac:dyDescent="0.25">
      <c r="A253">
        <v>900377905</v>
      </c>
      <c r="B253" t="s">
        <v>1420</v>
      </c>
    </row>
    <row r="254" spans="1:2" x14ac:dyDescent="0.25">
      <c r="A254">
        <v>900388292</v>
      </c>
      <c r="B254" t="s">
        <v>1404</v>
      </c>
    </row>
    <row r="255" spans="1:2" x14ac:dyDescent="0.25">
      <c r="A255">
        <v>900393834</v>
      </c>
      <c r="B255" t="s">
        <v>1262</v>
      </c>
    </row>
    <row r="256" spans="1:2" x14ac:dyDescent="0.25">
      <c r="A256">
        <v>900423667</v>
      </c>
      <c r="B256" t="s">
        <v>1230</v>
      </c>
    </row>
    <row r="257" spans="1:2" x14ac:dyDescent="0.25">
      <c r="A257">
        <v>900430130</v>
      </c>
      <c r="B257" t="s">
        <v>1618</v>
      </c>
    </row>
    <row r="258" spans="1:2" x14ac:dyDescent="0.25">
      <c r="A258">
        <v>900448255</v>
      </c>
      <c r="B258" t="s">
        <v>1114</v>
      </c>
    </row>
    <row r="259" spans="1:2" x14ac:dyDescent="0.25">
      <c r="A259">
        <v>900470082</v>
      </c>
      <c r="B259" t="s">
        <v>1724</v>
      </c>
    </row>
    <row r="260" spans="1:2" x14ac:dyDescent="0.25">
      <c r="A260">
        <v>900478797</v>
      </c>
      <c r="B260" t="s">
        <v>1726</v>
      </c>
    </row>
    <row r="261" spans="1:2" x14ac:dyDescent="0.25">
      <c r="A261">
        <v>900480569</v>
      </c>
      <c r="B261" t="s">
        <v>1620</v>
      </c>
    </row>
    <row r="262" spans="1:2" x14ac:dyDescent="0.25">
      <c r="A262">
        <v>900482963</v>
      </c>
      <c r="B262" t="s">
        <v>1422</v>
      </c>
    </row>
    <row r="263" spans="1:2" x14ac:dyDescent="0.25">
      <c r="A263">
        <v>900492862</v>
      </c>
      <c r="B263" t="s">
        <v>1800</v>
      </c>
    </row>
    <row r="264" spans="1:2" x14ac:dyDescent="0.25">
      <c r="A264">
        <v>900495511</v>
      </c>
      <c r="B264" t="s">
        <v>1334</v>
      </c>
    </row>
    <row r="265" spans="1:2" x14ac:dyDescent="0.25">
      <c r="A265">
        <v>900510079</v>
      </c>
      <c r="B265" t="s">
        <v>1122</v>
      </c>
    </row>
    <row r="266" spans="1:2" x14ac:dyDescent="0.25">
      <c r="A266">
        <v>900511017</v>
      </c>
      <c r="B266" t="s">
        <v>1518</v>
      </c>
    </row>
    <row r="267" spans="1:2" x14ac:dyDescent="0.25">
      <c r="A267">
        <v>900527622</v>
      </c>
      <c r="B267" t="s">
        <v>1728</v>
      </c>
    </row>
    <row r="268" spans="1:2" x14ac:dyDescent="0.25">
      <c r="A268">
        <v>900530387</v>
      </c>
      <c r="B268" t="s">
        <v>1730</v>
      </c>
    </row>
    <row r="269" spans="1:2" x14ac:dyDescent="0.25">
      <c r="A269">
        <v>900540381</v>
      </c>
      <c r="B269" t="s">
        <v>1394</v>
      </c>
    </row>
    <row r="270" spans="1:2" x14ac:dyDescent="0.25">
      <c r="A270">
        <v>900589992</v>
      </c>
      <c r="B270" t="s">
        <v>1622</v>
      </c>
    </row>
    <row r="271" spans="1:2" x14ac:dyDescent="0.25">
      <c r="A271">
        <v>900592007</v>
      </c>
      <c r="B271" t="s">
        <v>1624</v>
      </c>
    </row>
    <row r="272" spans="1:2" x14ac:dyDescent="0.25">
      <c r="A272">
        <v>900598527</v>
      </c>
      <c r="B272" t="s">
        <v>1732</v>
      </c>
    </row>
    <row r="273" spans="1:2" x14ac:dyDescent="0.25">
      <c r="A273">
        <v>900627524</v>
      </c>
      <c r="B273" t="s">
        <v>1440</v>
      </c>
    </row>
    <row r="274" spans="1:2" x14ac:dyDescent="0.25">
      <c r="A274">
        <v>900630186</v>
      </c>
      <c r="B274" t="s">
        <v>1626</v>
      </c>
    </row>
    <row r="275" spans="1:2" x14ac:dyDescent="0.25">
      <c r="A275">
        <v>900664669</v>
      </c>
      <c r="B275" t="s">
        <v>1332</v>
      </c>
    </row>
    <row r="276" spans="1:2" x14ac:dyDescent="0.25">
      <c r="A276">
        <v>900665567</v>
      </c>
      <c r="B276" t="s">
        <v>1178</v>
      </c>
    </row>
    <row r="277" spans="1:2" x14ac:dyDescent="0.25">
      <c r="A277">
        <v>900708869</v>
      </c>
      <c r="B277" t="s">
        <v>1760</v>
      </c>
    </row>
    <row r="278" spans="1:2" x14ac:dyDescent="0.25">
      <c r="A278">
        <v>900735388</v>
      </c>
      <c r="B278" t="s">
        <v>1328</v>
      </c>
    </row>
    <row r="279" spans="1:2" x14ac:dyDescent="0.25">
      <c r="A279">
        <v>900746048</v>
      </c>
      <c r="B279" t="s">
        <v>1734</v>
      </c>
    </row>
    <row r="280" spans="1:2" x14ac:dyDescent="0.25">
      <c r="A280">
        <v>900747475</v>
      </c>
      <c r="B280" t="s">
        <v>1736</v>
      </c>
    </row>
    <row r="281" spans="1:2" x14ac:dyDescent="0.25">
      <c r="A281">
        <v>900749690</v>
      </c>
      <c r="B281" t="s">
        <v>1164</v>
      </c>
    </row>
    <row r="282" spans="1:2" x14ac:dyDescent="0.25">
      <c r="A282">
        <v>900760859</v>
      </c>
      <c r="B282" t="s">
        <v>1628</v>
      </c>
    </row>
    <row r="283" spans="1:2" x14ac:dyDescent="0.25">
      <c r="A283">
        <v>900777113</v>
      </c>
      <c r="B283" t="s">
        <v>1353</v>
      </c>
    </row>
    <row r="284" spans="1:2" x14ac:dyDescent="0.25">
      <c r="A284">
        <v>900810274</v>
      </c>
      <c r="B284" t="s">
        <v>1630</v>
      </c>
    </row>
    <row r="285" spans="1:2" x14ac:dyDescent="0.25">
      <c r="A285">
        <v>900821910</v>
      </c>
      <c r="B285" t="s">
        <v>1256</v>
      </c>
    </row>
    <row r="286" spans="1:2" x14ac:dyDescent="0.25">
      <c r="A286">
        <v>900823395</v>
      </c>
      <c r="B286" t="s">
        <v>1632</v>
      </c>
    </row>
    <row r="287" spans="1:2" x14ac:dyDescent="0.25">
      <c r="A287">
        <v>900824251</v>
      </c>
      <c r="B287" t="s">
        <v>1738</v>
      </c>
    </row>
    <row r="288" spans="1:2" x14ac:dyDescent="0.25">
      <c r="A288">
        <v>900849868</v>
      </c>
      <c r="B288" t="s">
        <v>1260</v>
      </c>
    </row>
    <row r="289" spans="1:2" x14ac:dyDescent="0.25">
      <c r="A289">
        <v>900878178</v>
      </c>
      <c r="B289" t="s">
        <v>1250</v>
      </c>
    </row>
    <row r="290" spans="1:2" x14ac:dyDescent="0.25">
      <c r="A290">
        <v>900882422</v>
      </c>
      <c r="B290" t="s">
        <v>1802</v>
      </c>
    </row>
    <row r="291" spans="1:2" x14ac:dyDescent="0.25">
      <c r="A291">
        <v>900913772</v>
      </c>
      <c r="B291" t="s">
        <v>1132</v>
      </c>
    </row>
    <row r="292" spans="1:2" x14ac:dyDescent="0.25">
      <c r="A292">
        <v>900923291</v>
      </c>
      <c r="B292" t="s">
        <v>1634</v>
      </c>
    </row>
    <row r="293" spans="1:2" x14ac:dyDescent="0.25">
      <c r="A293">
        <v>900925316</v>
      </c>
      <c r="B293" t="s">
        <v>1636</v>
      </c>
    </row>
    <row r="294" spans="1:2" x14ac:dyDescent="0.25">
      <c r="A294">
        <v>900934504</v>
      </c>
      <c r="B294" t="s">
        <v>1134</v>
      </c>
    </row>
    <row r="295" spans="1:2" x14ac:dyDescent="0.25">
      <c r="A295">
        <v>900941602</v>
      </c>
      <c r="B295" t="s">
        <v>1281</v>
      </c>
    </row>
    <row r="296" spans="1:2" x14ac:dyDescent="0.25">
      <c r="A296">
        <v>900943243</v>
      </c>
      <c r="B296" t="s">
        <v>1638</v>
      </c>
    </row>
    <row r="297" spans="1:2" x14ac:dyDescent="0.25">
      <c r="A297">
        <v>900950942</v>
      </c>
      <c r="B297" t="s">
        <v>1740</v>
      </c>
    </row>
    <row r="298" spans="1:2" x14ac:dyDescent="0.25">
      <c r="A298">
        <v>900985954</v>
      </c>
      <c r="B298" t="s">
        <v>1804</v>
      </c>
    </row>
    <row r="299" spans="1:2" x14ac:dyDescent="0.25">
      <c r="A299">
        <v>901045634</v>
      </c>
      <c r="B299" t="s">
        <v>1236</v>
      </c>
    </row>
    <row r="300" spans="1:2" x14ac:dyDescent="0.25">
      <c r="A300">
        <v>901059791</v>
      </c>
      <c r="B300" t="s">
        <v>1640</v>
      </c>
    </row>
    <row r="301" spans="1:2" x14ac:dyDescent="0.25">
      <c r="A301">
        <v>901063806</v>
      </c>
      <c r="B301" t="s">
        <v>1367</v>
      </c>
    </row>
    <row r="302" spans="1:2" x14ac:dyDescent="0.25">
      <c r="A302">
        <v>901068507</v>
      </c>
      <c r="B302" t="s">
        <v>1106</v>
      </c>
    </row>
    <row r="303" spans="1:2" x14ac:dyDescent="0.25">
      <c r="A303">
        <v>901075966</v>
      </c>
      <c r="B303" t="s">
        <v>1138</v>
      </c>
    </row>
    <row r="304" spans="1:2" x14ac:dyDescent="0.25">
      <c r="A304">
        <v>901091579</v>
      </c>
      <c r="B304" t="s">
        <v>1283</v>
      </c>
    </row>
    <row r="305" spans="1:2" x14ac:dyDescent="0.25">
      <c r="A305">
        <v>901098733</v>
      </c>
      <c r="B305" t="s">
        <v>1642</v>
      </c>
    </row>
    <row r="306" spans="1:2" x14ac:dyDescent="0.25">
      <c r="A306">
        <v>901146938</v>
      </c>
      <c r="B306" t="s">
        <v>1379</v>
      </c>
    </row>
    <row r="307" spans="1:2" x14ac:dyDescent="0.25">
      <c r="A307">
        <v>901160842</v>
      </c>
      <c r="B307" t="s">
        <v>1644</v>
      </c>
    </row>
    <row r="308" spans="1:2" x14ac:dyDescent="0.25">
      <c r="A308">
        <v>901223797</v>
      </c>
      <c r="B308" t="s">
        <v>1330</v>
      </c>
    </row>
    <row r="309" spans="1:2" x14ac:dyDescent="0.25">
      <c r="A309">
        <v>1010112682</v>
      </c>
      <c r="B309" t="s">
        <v>1310</v>
      </c>
    </row>
    <row r="310" spans="1:2" x14ac:dyDescent="0.25">
      <c r="A310">
        <v>1045018926</v>
      </c>
      <c r="B310" t="s">
        <v>1204</v>
      </c>
    </row>
    <row r="311" spans="1:2" x14ac:dyDescent="0.25">
      <c r="A311">
        <v>1089906953</v>
      </c>
      <c r="B311" t="s">
        <v>1444</v>
      </c>
    </row>
    <row r="312" spans="1:2" x14ac:dyDescent="0.25">
      <c r="A312">
        <v>1098657461</v>
      </c>
      <c r="B312" t="s">
        <v>1102</v>
      </c>
    </row>
    <row r="313" spans="1:2" x14ac:dyDescent="0.25">
      <c r="A313">
        <v>1107064834</v>
      </c>
      <c r="B313" t="s">
        <v>1148</v>
      </c>
    </row>
    <row r="314" spans="1:2" x14ac:dyDescent="0.25">
      <c r="A314">
        <v>1107507918</v>
      </c>
      <c r="B314" t="s">
        <v>1359</v>
      </c>
    </row>
    <row r="315" spans="1:2" x14ac:dyDescent="0.25">
      <c r="A315">
        <v>1107510371</v>
      </c>
      <c r="B315" t="s">
        <v>1389</v>
      </c>
    </row>
    <row r="316" spans="1:2" x14ac:dyDescent="0.25">
      <c r="A316">
        <v>1107526039</v>
      </c>
      <c r="B316" t="s">
        <v>1152</v>
      </c>
    </row>
    <row r="317" spans="1:2" x14ac:dyDescent="0.25">
      <c r="A317">
        <v>1113668646</v>
      </c>
      <c r="B317" t="s">
        <v>1456</v>
      </c>
    </row>
    <row r="318" spans="1:2" x14ac:dyDescent="0.25">
      <c r="A318">
        <v>1115062460</v>
      </c>
      <c r="B318" t="s">
        <v>1478</v>
      </c>
    </row>
    <row r="319" spans="1:2" x14ac:dyDescent="0.25">
      <c r="A319">
        <v>1115093083</v>
      </c>
      <c r="B319" t="s">
        <v>1522</v>
      </c>
    </row>
    <row r="320" spans="1:2" x14ac:dyDescent="0.25">
      <c r="A320">
        <v>1127212443</v>
      </c>
      <c r="B320" t="s">
        <v>1174</v>
      </c>
    </row>
    <row r="321" spans="1:2" x14ac:dyDescent="0.25">
      <c r="A321">
        <v>1130598374</v>
      </c>
      <c r="B321" t="s">
        <v>1466</v>
      </c>
    </row>
    <row r="322" spans="1:2" x14ac:dyDescent="0.25">
      <c r="A322">
        <v>1130602069</v>
      </c>
      <c r="B322" t="s">
        <v>1326</v>
      </c>
    </row>
    <row r="323" spans="1:2" x14ac:dyDescent="0.25">
      <c r="A323">
        <v>1130613808</v>
      </c>
      <c r="B323" t="s">
        <v>1528</v>
      </c>
    </row>
    <row r="324" spans="1:2" x14ac:dyDescent="0.25">
      <c r="A324">
        <v>1130638393</v>
      </c>
      <c r="B324" t="s">
        <v>1289</v>
      </c>
    </row>
    <row r="325" spans="1:2" x14ac:dyDescent="0.25">
      <c r="A325">
        <v>1130638435</v>
      </c>
      <c r="B325" t="s">
        <v>1361</v>
      </c>
    </row>
    <row r="326" spans="1:2" x14ac:dyDescent="0.25">
      <c r="A326">
        <v>1130641103</v>
      </c>
      <c r="B326" t="s">
        <v>1474</v>
      </c>
    </row>
    <row r="327" spans="1:2" x14ac:dyDescent="0.25">
      <c r="A327">
        <v>1130641550</v>
      </c>
      <c r="B327" t="s">
        <v>1375</v>
      </c>
    </row>
    <row r="328" spans="1:2" x14ac:dyDescent="0.25">
      <c r="A328">
        <v>1130643938</v>
      </c>
      <c r="B328" t="s">
        <v>1810</v>
      </c>
    </row>
    <row r="329" spans="1:2" x14ac:dyDescent="0.25">
      <c r="A329">
        <v>1130664918</v>
      </c>
      <c r="B329" t="s">
        <v>1448</v>
      </c>
    </row>
    <row r="330" spans="1:2" x14ac:dyDescent="0.25">
      <c r="A330">
        <v>1130671105</v>
      </c>
      <c r="B330" t="s">
        <v>1442</v>
      </c>
    </row>
    <row r="331" spans="1:2" x14ac:dyDescent="0.25">
      <c r="A331">
        <v>1130673927</v>
      </c>
      <c r="B331" t="s">
        <v>1182</v>
      </c>
    </row>
    <row r="332" spans="1:2" x14ac:dyDescent="0.25">
      <c r="A332">
        <v>1143833066</v>
      </c>
      <c r="B332" t="s">
        <v>1812</v>
      </c>
    </row>
    <row r="333" spans="1:2" x14ac:dyDescent="0.25">
      <c r="A333">
        <v>1143840099</v>
      </c>
      <c r="B333" t="s">
        <v>1186</v>
      </c>
    </row>
    <row r="334" spans="1:2" x14ac:dyDescent="0.25">
      <c r="A334">
        <v>1143843835</v>
      </c>
      <c r="B334" t="s">
        <v>1748</v>
      </c>
    </row>
    <row r="335" spans="1:2" x14ac:dyDescent="0.25">
      <c r="A335">
        <v>1143862294</v>
      </c>
      <c r="B335" t="s">
        <v>1142</v>
      </c>
    </row>
    <row r="336" spans="1:2" x14ac:dyDescent="0.25">
      <c r="A336">
        <v>1143862296</v>
      </c>
      <c r="B336" t="s">
        <v>1144</v>
      </c>
    </row>
    <row r="337" spans="1:2" x14ac:dyDescent="0.25">
      <c r="A337">
        <v>1143932873</v>
      </c>
      <c r="B337" t="s">
        <v>1772</v>
      </c>
    </row>
    <row r="338" spans="1:2" x14ac:dyDescent="0.25">
      <c r="A338">
        <v>1144034352</v>
      </c>
      <c r="B338" t="s">
        <v>1385</v>
      </c>
    </row>
    <row r="339" spans="1:2" x14ac:dyDescent="0.25">
      <c r="A339">
        <v>1144049671</v>
      </c>
      <c r="B339" t="s">
        <v>1686</v>
      </c>
    </row>
    <row r="340" spans="1:2" x14ac:dyDescent="0.25">
      <c r="A340">
        <v>1144052002</v>
      </c>
      <c r="B340" t="s">
        <v>1158</v>
      </c>
    </row>
    <row r="341" spans="1:2" x14ac:dyDescent="0.25">
      <c r="A341">
        <v>1144053800</v>
      </c>
      <c r="B341" t="s">
        <v>1150</v>
      </c>
    </row>
    <row r="342" spans="1:2" x14ac:dyDescent="0.25">
      <c r="A342">
        <v>1144129626</v>
      </c>
      <c r="B342" t="s">
        <v>1542</v>
      </c>
    </row>
    <row r="343" spans="1:2" x14ac:dyDescent="0.25">
      <c r="A343">
        <v>1151934840</v>
      </c>
      <c r="B343" t="s">
        <v>1206</v>
      </c>
    </row>
  </sheetData>
  <sortState ref="A2:B5088">
    <sortCondition ref="A2:A5088"/>
  </sortState>
  <conditionalFormatting sqref="A1:A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66"/>
  <sheetViews>
    <sheetView topLeftCell="A4" workbookViewId="0">
      <selection activeCell="B6" sqref="B6"/>
    </sheetView>
  </sheetViews>
  <sheetFormatPr baseColWidth="10" defaultRowHeight="15.75" x14ac:dyDescent="0.25"/>
  <cols>
    <col min="1" max="1" width="10.125" style="6" bestFit="1" customWidth="1"/>
    <col min="2" max="2" width="11.625" style="6" customWidth="1"/>
  </cols>
  <sheetData>
    <row r="1" spans="1:5" x14ac:dyDescent="0.25">
      <c r="A1" s="15" t="s">
        <v>1480</v>
      </c>
      <c r="B1" s="15" t="s">
        <v>1481</v>
      </c>
    </row>
    <row r="2" spans="1:5" ht="16.5" thickBot="1" x14ac:dyDescent="0.3">
      <c r="A2" s="16"/>
      <c r="B2" s="16"/>
      <c r="D2">
        <v>13</v>
      </c>
      <c r="E2" t="s">
        <v>1820</v>
      </c>
    </row>
    <row r="3" spans="1:5" x14ac:dyDescent="0.25">
      <c r="A3" s="7">
        <v>13</v>
      </c>
      <c r="B3" s="7">
        <v>94508247</v>
      </c>
      <c r="D3">
        <v>31</v>
      </c>
      <c r="E3" t="s">
        <v>1821</v>
      </c>
    </row>
    <row r="4" spans="1:5" x14ac:dyDescent="0.25">
      <c r="A4" s="7">
        <v>13</v>
      </c>
      <c r="B4" s="8">
        <v>1144053800</v>
      </c>
    </row>
    <row r="5" spans="1:5" x14ac:dyDescent="0.25">
      <c r="A5" s="7">
        <v>13</v>
      </c>
      <c r="B5" s="8">
        <v>94419642</v>
      </c>
    </row>
    <row r="6" spans="1:5" x14ac:dyDescent="0.25">
      <c r="A6" s="7">
        <v>13</v>
      </c>
      <c r="B6" s="8">
        <v>1130613808</v>
      </c>
    </row>
    <row r="7" spans="1:5" x14ac:dyDescent="0.25">
      <c r="A7" s="7">
        <v>13</v>
      </c>
      <c r="B7" s="8">
        <v>1143862294</v>
      </c>
    </row>
    <row r="8" spans="1:5" x14ac:dyDescent="0.25">
      <c r="A8" s="7">
        <v>13</v>
      </c>
      <c r="B8" s="8">
        <v>1144208858</v>
      </c>
    </row>
    <row r="9" spans="1:5" x14ac:dyDescent="0.25">
      <c r="A9" s="7">
        <v>13</v>
      </c>
      <c r="B9" s="8">
        <v>31968309</v>
      </c>
    </row>
    <row r="10" spans="1:5" x14ac:dyDescent="0.25">
      <c r="A10" s="7">
        <v>31</v>
      </c>
      <c r="B10" s="7">
        <v>900510079</v>
      </c>
    </row>
    <row r="11" spans="1:5" x14ac:dyDescent="0.25">
      <c r="A11" s="8">
        <v>31</v>
      </c>
      <c r="B11" s="8">
        <v>860002964</v>
      </c>
    </row>
    <row r="12" spans="1:5" x14ac:dyDescent="0.25">
      <c r="A12" s="8">
        <v>13</v>
      </c>
      <c r="B12" s="8">
        <v>1130613808</v>
      </c>
    </row>
    <row r="13" spans="1:5" x14ac:dyDescent="0.25">
      <c r="A13" s="8">
        <v>31</v>
      </c>
      <c r="B13" s="8">
        <v>800244387</v>
      </c>
    </row>
    <row r="14" spans="1:5" x14ac:dyDescent="0.25">
      <c r="A14" s="8">
        <v>31</v>
      </c>
      <c r="B14" s="8">
        <v>830122566</v>
      </c>
    </row>
    <row r="15" spans="1:5" x14ac:dyDescent="0.25">
      <c r="A15" s="8">
        <v>31</v>
      </c>
      <c r="B15" s="8">
        <v>890399003</v>
      </c>
    </row>
    <row r="16" spans="1:5" x14ac:dyDescent="0.25">
      <c r="A16" s="8">
        <v>13</v>
      </c>
      <c r="B16" s="8">
        <v>29707594</v>
      </c>
    </row>
    <row r="17" spans="1:2" x14ac:dyDescent="0.25">
      <c r="A17" s="8">
        <v>31</v>
      </c>
      <c r="B17" s="8">
        <v>800215227</v>
      </c>
    </row>
    <row r="18" spans="1:2" x14ac:dyDescent="0.25">
      <c r="A18" s="8">
        <v>31</v>
      </c>
      <c r="B18" s="8">
        <v>900417500</v>
      </c>
    </row>
    <row r="19" spans="1:2" x14ac:dyDescent="0.25">
      <c r="A19" s="8">
        <v>13</v>
      </c>
      <c r="B19" s="8">
        <v>3528650</v>
      </c>
    </row>
    <row r="20" spans="1:2" x14ac:dyDescent="0.25">
      <c r="A20" s="8">
        <v>13</v>
      </c>
      <c r="B20" s="8">
        <v>94558499</v>
      </c>
    </row>
    <row r="21" spans="1:2" x14ac:dyDescent="0.25">
      <c r="A21" s="8">
        <v>31</v>
      </c>
      <c r="B21" s="8">
        <v>811034562</v>
      </c>
    </row>
    <row r="22" spans="1:2" x14ac:dyDescent="0.25">
      <c r="A22" s="8">
        <v>13</v>
      </c>
      <c r="B22" s="8">
        <v>21873426</v>
      </c>
    </row>
    <row r="23" spans="1:2" x14ac:dyDescent="0.25">
      <c r="A23" s="8">
        <v>13</v>
      </c>
      <c r="B23" s="8">
        <v>67010081</v>
      </c>
    </row>
    <row r="24" spans="1:2" x14ac:dyDescent="0.25">
      <c r="A24" s="8">
        <v>13</v>
      </c>
      <c r="B24" s="8">
        <v>31205240</v>
      </c>
    </row>
    <row r="25" spans="1:2" x14ac:dyDescent="0.25">
      <c r="A25" s="8">
        <v>13</v>
      </c>
      <c r="B25" s="8">
        <v>16719200</v>
      </c>
    </row>
    <row r="26" spans="1:2" x14ac:dyDescent="0.25">
      <c r="A26" s="7">
        <v>31</v>
      </c>
      <c r="B26" s="7">
        <v>900735388</v>
      </c>
    </row>
    <row r="27" spans="1:2" x14ac:dyDescent="0.25">
      <c r="A27" s="8">
        <v>31</v>
      </c>
      <c r="B27" s="8">
        <v>890920990</v>
      </c>
    </row>
    <row r="28" spans="1:2" x14ac:dyDescent="0.25">
      <c r="A28" s="8">
        <v>43</v>
      </c>
      <c r="B28" s="8">
        <v>222222222</v>
      </c>
    </row>
    <row r="29" spans="1:2" x14ac:dyDescent="0.25">
      <c r="A29" s="8">
        <v>13</v>
      </c>
      <c r="B29" s="8">
        <v>31928720</v>
      </c>
    </row>
    <row r="30" spans="1:2" x14ac:dyDescent="0.25">
      <c r="A30" s="8">
        <v>13</v>
      </c>
      <c r="B30" s="8">
        <v>29181735</v>
      </c>
    </row>
    <row r="31" spans="1:2" x14ac:dyDescent="0.25">
      <c r="A31" s="9">
        <v>31</v>
      </c>
      <c r="B31" s="9">
        <v>890303093</v>
      </c>
    </row>
    <row r="32" spans="1:2" x14ac:dyDescent="0.25">
      <c r="A32" s="9">
        <v>31</v>
      </c>
      <c r="B32" s="9">
        <v>860011153</v>
      </c>
    </row>
    <row r="33" spans="1:2" x14ac:dyDescent="0.25">
      <c r="A33" s="9">
        <v>31</v>
      </c>
      <c r="B33" s="9">
        <v>800088702</v>
      </c>
    </row>
    <row r="34" spans="1:2" x14ac:dyDescent="0.25">
      <c r="A34" s="9">
        <v>31</v>
      </c>
      <c r="B34" s="9">
        <v>814000337</v>
      </c>
    </row>
    <row r="35" spans="1:2" x14ac:dyDescent="0.25">
      <c r="A35" s="9">
        <v>31</v>
      </c>
      <c r="B35" s="9">
        <v>805000427</v>
      </c>
    </row>
    <row r="36" spans="1:2" x14ac:dyDescent="0.25">
      <c r="A36" s="9">
        <v>31</v>
      </c>
      <c r="B36" s="9">
        <v>900336004</v>
      </c>
    </row>
    <row r="37" spans="1:2" x14ac:dyDescent="0.25">
      <c r="A37" s="9">
        <v>31</v>
      </c>
      <c r="B37" s="9">
        <v>800227940</v>
      </c>
    </row>
    <row r="38" spans="1:2" x14ac:dyDescent="0.25">
      <c r="A38" s="9">
        <v>31</v>
      </c>
      <c r="B38" s="9">
        <v>800229739</v>
      </c>
    </row>
    <row r="39" spans="1:2" x14ac:dyDescent="0.25">
      <c r="A39" s="9">
        <v>31</v>
      </c>
      <c r="B39" s="9">
        <v>800224808</v>
      </c>
    </row>
    <row r="40" spans="1:2" x14ac:dyDescent="0.25">
      <c r="A40" s="8">
        <v>31</v>
      </c>
      <c r="B40" s="8">
        <v>800197268</v>
      </c>
    </row>
    <row r="41" spans="1:2" x14ac:dyDescent="0.25">
      <c r="A41" s="8">
        <v>31</v>
      </c>
      <c r="B41" s="8">
        <v>890399011</v>
      </c>
    </row>
    <row r="42" spans="1:2" x14ac:dyDescent="0.25">
      <c r="A42" s="8">
        <v>13</v>
      </c>
      <c r="B42" s="8">
        <v>6095099</v>
      </c>
    </row>
    <row r="43" spans="1:2" x14ac:dyDescent="0.25">
      <c r="A43" s="8">
        <v>13</v>
      </c>
      <c r="B43" s="8">
        <v>14974772</v>
      </c>
    </row>
    <row r="44" spans="1:2" x14ac:dyDescent="0.25">
      <c r="A44" s="8">
        <v>13</v>
      </c>
      <c r="B44" s="8">
        <v>16711436</v>
      </c>
    </row>
    <row r="45" spans="1:2" x14ac:dyDescent="0.25">
      <c r="A45" s="8">
        <v>13</v>
      </c>
      <c r="B45" s="8">
        <v>16788273</v>
      </c>
    </row>
    <row r="46" spans="1:2" x14ac:dyDescent="0.25">
      <c r="A46" s="8">
        <v>13</v>
      </c>
      <c r="B46" s="8">
        <v>91234902</v>
      </c>
    </row>
    <row r="47" spans="1:2" x14ac:dyDescent="0.25">
      <c r="A47" s="8">
        <v>13</v>
      </c>
      <c r="B47" s="8">
        <v>94430001</v>
      </c>
    </row>
    <row r="48" spans="1:2" x14ac:dyDescent="0.25">
      <c r="A48" s="8">
        <v>31</v>
      </c>
      <c r="B48" s="8">
        <v>860002184</v>
      </c>
    </row>
    <row r="49" spans="1:2" x14ac:dyDescent="0.25">
      <c r="A49" s="8">
        <v>31</v>
      </c>
      <c r="B49" s="8">
        <v>860008279</v>
      </c>
    </row>
    <row r="50" spans="1:2" x14ac:dyDescent="0.25">
      <c r="A50" s="8">
        <v>31</v>
      </c>
      <c r="B50" s="8">
        <v>890309116</v>
      </c>
    </row>
    <row r="51" spans="1:2" x14ac:dyDescent="0.25">
      <c r="A51" s="8">
        <v>31</v>
      </c>
      <c r="B51" s="8">
        <v>890310688</v>
      </c>
    </row>
    <row r="52" spans="1:2" x14ac:dyDescent="0.25">
      <c r="A52" s="8">
        <v>31</v>
      </c>
      <c r="B52" s="8">
        <v>890310953</v>
      </c>
    </row>
    <row r="53" spans="1:2" x14ac:dyDescent="0.25">
      <c r="A53" s="8">
        <v>31</v>
      </c>
      <c r="B53" s="8">
        <v>890328637</v>
      </c>
    </row>
    <row r="54" spans="1:2" x14ac:dyDescent="0.25">
      <c r="A54" s="8">
        <v>31</v>
      </c>
      <c r="B54" s="8">
        <v>890399001</v>
      </c>
    </row>
    <row r="55" spans="1:2" x14ac:dyDescent="0.25">
      <c r="A55" s="8">
        <v>31</v>
      </c>
      <c r="B55" s="8">
        <v>890900486</v>
      </c>
    </row>
    <row r="56" spans="1:2" x14ac:dyDescent="0.25">
      <c r="A56" s="8">
        <v>31</v>
      </c>
      <c r="B56" s="8">
        <v>900072847</v>
      </c>
    </row>
    <row r="57" spans="1:2" x14ac:dyDescent="0.25">
      <c r="A57" s="8">
        <v>31</v>
      </c>
      <c r="B57" s="8">
        <v>900235218</v>
      </c>
    </row>
    <row r="58" spans="1:2" x14ac:dyDescent="0.25">
      <c r="A58" s="8">
        <v>31</v>
      </c>
      <c r="B58" s="8">
        <v>900323755</v>
      </c>
    </row>
    <row r="59" spans="1:2" x14ac:dyDescent="0.25">
      <c r="A59" s="8">
        <v>31</v>
      </c>
      <c r="B59" s="8">
        <v>900335279</v>
      </c>
    </row>
    <row r="60" spans="1:2" x14ac:dyDescent="0.25">
      <c r="A60" s="8">
        <v>31</v>
      </c>
      <c r="B60" s="8">
        <v>900448255</v>
      </c>
    </row>
    <row r="61" spans="1:2" x14ac:dyDescent="0.25">
      <c r="A61" s="8">
        <v>31</v>
      </c>
      <c r="B61" s="8">
        <v>900586140</v>
      </c>
    </row>
    <row r="62" spans="1:2" x14ac:dyDescent="0.25">
      <c r="A62" s="8">
        <v>13</v>
      </c>
      <c r="B62" s="8">
        <v>1045018926</v>
      </c>
    </row>
    <row r="63" spans="1:2" x14ac:dyDescent="0.25">
      <c r="A63" s="8">
        <v>13</v>
      </c>
      <c r="B63" s="8">
        <v>1107507918</v>
      </c>
    </row>
    <row r="64" spans="1:2" x14ac:dyDescent="0.25">
      <c r="A64" s="8">
        <v>43</v>
      </c>
      <c r="B64" s="8">
        <v>222222222</v>
      </c>
    </row>
    <row r="65" spans="1:2" x14ac:dyDescent="0.25">
      <c r="A65" s="8">
        <v>31</v>
      </c>
      <c r="B65" s="8">
        <v>800197268</v>
      </c>
    </row>
    <row r="66" spans="1:2" x14ac:dyDescent="0.25">
      <c r="A66" s="8"/>
      <c r="B66" s="8"/>
    </row>
  </sheetData>
  <mergeCells count="2">
    <mergeCell ref="A1:A2"/>
    <mergeCell ref="B1:B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345"/>
  <sheetViews>
    <sheetView topLeftCell="E1" workbookViewId="0">
      <selection activeCell="I4" sqref="I4"/>
    </sheetView>
  </sheetViews>
  <sheetFormatPr baseColWidth="10" defaultRowHeight="15.75" x14ac:dyDescent="0.25"/>
  <cols>
    <col min="4" max="4" width="35.25" customWidth="1"/>
    <col min="5" max="5" width="10.625" customWidth="1"/>
    <col min="6" max="6" width="28.875" style="4" customWidth="1"/>
    <col min="10" max="10" width="11.25" bestFit="1" customWidth="1"/>
    <col min="11" max="11" width="11.25" customWidth="1"/>
  </cols>
  <sheetData>
    <row r="1" spans="1:16" x14ac:dyDescent="0.25">
      <c r="A1" t="s">
        <v>1831</v>
      </c>
      <c r="B1">
        <v>1012</v>
      </c>
    </row>
    <row r="2" spans="1:16" x14ac:dyDescent="0.25">
      <c r="A2" s="2" t="str">
        <f t="array" ref="A2:G17">xl_group_by(xl_filter_by(Sheet1!A:R,"FORMATO",B1),{"FORMATO";"CONCEPTO";"TERCERO";"NOMBRE TERCERO";"CUENTA";"NOMBRE CUENTA"},"DEBITO","sum",1)</f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" s="2"/>
      <c r="I2" s="2" t="e">
        <f t="array" ref="I2">xl_select_by(xl_group_by(xl_filter_by(Sheet1!A:R,"FORMATO",B1),{"FORMATO";"CONCEPTO";"TERCERO";"NOMBRE TERCERO";"CUENTA";"NOMBRE CUENTA"},"DEBITO","sum",1),"CUENTA")</f>
        <v>#VALUE!</v>
      </c>
      <c r="J2" s="2" t="s">
        <v>1832</v>
      </c>
      <c r="K2" s="2"/>
      <c r="L2" s="2" t="str">
        <f t="array" ref="L2:M3">xl_group_by(xl_filter_by(Sheet1!A:R,"FORMATO",B1),{"FORMATO"},"DEBITO","sum",1)</f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M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N2" s="2"/>
      <c r="O2" s="2"/>
      <c r="P2" s="2"/>
    </row>
    <row r="3" spans="1:16" x14ac:dyDescent="0.25">
      <c r="A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" s="2"/>
      <c r="I3" s="2"/>
      <c r="J3" s="2" t="b">
        <f>EXACT(E3,I3)</f>
        <v>0</v>
      </c>
      <c r="K3" s="2"/>
      <c r="L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M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N3" s="2"/>
      <c r="O3" s="2"/>
      <c r="P3" s="2"/>
    </row>
    <row r="4" spans="1:16" x14ac:dyDescent="0.25">
      <c r="A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" s="2"/>
      <c r="I4" s="2"/>
      <c r="J4" s="2" t="b">
        <f t="shared" ref="J4:J17" si="0">EXACT(E4,I4)</f>
        <v>0</v>
      </c>
      <c r="K4" s="2"/>
      <c r="L4" s="2"/>
      <c r="M4" s="2"/>
      <c r="N4" s="2"/>
      <c r="O4" s="2"/>
      <c r="P4" s="2"/>
    </row>
    <row r="5" spans="1:16" x14ac:dyDescent="0.25">
      <c r="A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" s="2"/>
      <c r="I5" s="2"/>
      <c r="J5" s="2" t="b">
        <f t="shared" si="0"/>
        <v>0</v>
      </c>
      <c r="K5" s="2"/>
      <c r="L5" s="2"/>
      <c r="M5" s="2"/>
      <c r="N5" s="2"/>
      <c r="O5" s="2"/>
      <c r="P5" s="2"/>
    </row>
    <row r="6" spans="1:16" x14ac:dyDescent="0.25">
      <c r="A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" s="2"/>
      <c r="I6" s="2"/>
      <c r="J6" s="2" t="b">
        <f t="shared" si="0"/>
        <v>0</v>
      </c>
      <c r="K6" s="2"/>
      <c r="L6" s="2"/>
      <c r="M6" s="2"/>
      <c r="N6" s="2"/>
      <c r="O6" s="2"/>
      <c r="P6" s="2"/>
    </row>
    <row r="7" spans="1:16" x14ac:dyDescent="0.25">
      <c r="A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" s="2"/>
      <c r="I7" s="2"/>
      <c r="J7" s="2" t="b">
        <f t="shared" si="0"/>
        <v>0</v>
      </c>
      <c r="K7" s="2"/>
      <c r="L7" s="2"/>
      <c r="M7" s="2"/>
      <c r="N7" s="2"/>
      <c r="O7" s="2"/>
      <c r="P7" s="2"/>
    </row>
    <row r="8" spans="1:16" x14ac:dyDescent="0.25">
      <c r="A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" s="2"/>
      <c r="I8" s="2"/>
      <c r="J8" s="2" t="b">
        <f t="shared" si="0"/>
        <v>0</v>
      </c>
      <c r="K8" s="2"/>
      <c r="L8" s="2"/>
      <c r="M8" s="2"/>
      <c r="N8" s="2"/>
      <c r="O8" s="2"/>
      <c r="P8" s="2"/>
    </row>
    <row r="9" spans="1:16" x14ac:dyDescent="0.25">
      <c r="A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" s="2"/>
      <c r="I9" s="2"/>
      <c r="J9" s="2" t="b">
        <f t="shared" si="0"/>
        <v>0</v>
      </c>
      <c r="K9" s="2"/>
      <c r="L9" s="2"/>
      <c r="M9" s="2"/>
      <c r="N9" s="2"/>
      <c r="O9" s="2"/>
      <c r="P9" s="2"/>
    </row>
    <row r="10" spans="1:16" x14ac:dyDescent="0.25">
      <c r="A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" s="2"/>
      <c r="I10" s="2"/>
      <c r="J10" s="2" t="b">
        <f t="shared" si="0"/>
        <v>0</v>
      </c>
      <c r="K10" s="2"/>
      <c r="L10" s="2"/>
      <c r="M10" s="2"/>
      <c r="N10" s="2"/>
      <c r="O10" s="2"/>
      <c r="P10" s="2"/>
    </row>
    <row r="11" spans="1:16" x14ac:dyDescent="0.25">
      <c r="A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" s="2"/>
      <c r="I11" s="2"/>
      <c r="J11" s="2" t="b">
        <f t="shared" si="0"/>
        <v>0</v>
      </c>
      <c r="K11" s="2"/>
      <c r="L11" s="2"/>
      <c r="M11" s="2"/>
      <c r="N11" s="2"/>
      <c r="O11" s="2"/>
      <c r="P11" s="2"/>
    </row>
    <row r="12" spans="1:16" x14ac:dyDescent="0.25">
      <c r="A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" s="2"/>
      <c r="I12" s="2"/>
      <c r="J12" s="2" t="b">
        <f t="shared" si="0"/>
        <v>0</v>
      </c>
      <c r="K12" s="2"/>
      <c r="L12" s="2"/>
      <c r="M12" s="2"/>
      <c r="N12" s="2"/>
      <c r="O12" s="2"/>
      <c r="P12" s="2"/>
    </row>
    <row r="13" spans="1:16" x14ac:dyDescent="0.25">
      <c r="A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" s="2"/>
      <c r="I13" s="2"/>
      <c r="J13" s="2" t="b">
        <f t="shared" si="0"/>
        <v>0</v>
      </c>
      <c r="K13" s="2"/>
      <c r="L13" s="2"/>
      <c r="M13" s="2"/>
      <c r="N13" s="2"/>
      <c r="O13" s="2"/>
      <c r="P13" s="2"/>
    </row>
    <row r="14" spans="1:16" x14ac:dyDescent="0.25">
      <c r="A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" s="2"/>
      <c r="I14" s="2"/>
      <c r="J14" s="2" t="b">
        <f t="shared" si="0"/>
        <v>0</v>
      </c>
      <c r="K14" s="2"/>
      <c r="L14" s="2"/>
      <c r="M14" s="2"/>
      <c r="N14" s="2"/>
      <c r="O14" s="2"/>
      <c r="P14" s="2"/>
    </row>
    <row r="15" spans="1:16" x14ac:dyDescent="0.25">
      <c r="A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" s="2"/>
      <c r="I15" s="2"/>
      <c r="J15" s="2" t="b">
        <f t="shared" si="0"/>
        <v>0</v>
      </c>
      <c r="K15" s="2"/>
      <c r="L15" s="2"/>
      <c r="M15" s="2"/>
      <c r="N15" s="2"/>
      <c r="O15" s="2"/>
      <c r="P15" s="2"/>
    </row>
    <row r="16" spans="1:16" x14ac:dyDescent="0.25">
      <c r="A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" s="2"/>
      <c r="I16" s="2"/>
      <c r="J16" s="2" t="b">
        <f t="shared" si="0"/>
        <v>0</v>
      </c>
      <c r="K16" s="2"/>
      <c r="L16" s="2"/>
      <c r="M16" s="2"/>
      <c r="N16" s="2"/>
      <c r="O16" s="2"/>
      <c r="P16" s="2"/>
    </row>
    <row r="17" spans="1:16" x14ac:dyDescent="0.25">
      <c r="A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" s="2"/>
      <c r="I17" s="2"/>
      <c r="J17" s="2" t="b">
        <f t="shared" si="0"/>
        <v>0</v>
      </c>
      <c r="K17" s="2"/>
      <c r="L17" s="2"/>
      <c r="M17" s="2"/>
      <c r="N17" s="2"/>
      <c r="O17" s="2"/>
      <c r="P17" s="2"/>
    </row>
    <row r="18" spans="1:16" x14ac:dyDescent="0.25">
      <c r="A18" s="2"/>
      <c r="B18" s="2"/>
      <c r="C18" s="2"/>
      <c r="D18" s="2"/>
      <c r="E18" s="2"/>
      <c r="F18" s="11"/>
      <c r="G18" s="2"/>
      <c r="H18" s="2"/>
      <c r="I18" s="2"/>
      <c r="J18" s="2"/>
      <c r="K18" s="2"/>
      <c r="L18" s="2"/>
      <c r="M18" s="2"/>
      <c r="N18" s="2"/>
      <c r="O18" s="2"/>
      <c r="P18" s="2"/>
    </row>
    <row r="19" spans="1:16" x14ac:dyDescent="0.25">
      <c r="A19" s="2"/>
      <c r="B19" s="2"/>
      <c r="C19" s="2"/>
      <c r="D19" s="2"/>
      <c r="E19" s="2"/>
      <c r="F19" s="11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11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11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11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11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11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11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11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11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11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11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11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11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11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11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/>
      <c r="B34" s="2"/>
      <c r="C34" s="2"/>
      <c r="D34" s="2"/>
      <c r="E34" s="2"/>
      <c r="F34" s="11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/>
      <c r="B35" s="2"/>
      <c r="C35" s="2"/>
      <c r="D35" s="2"/>
      <c r="E35" s="2"/>
      <c r="F35" s="11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/>
      <c r="B36" s="2"/>
      <c r="C36" s="2"/>
      <c r="D36" s="2"/>
      <c r="E36" s="2"/>
      <c r="F36" s="11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/>
      <c r="C37" s="2"/>
      <c r="D37" s="2"/>
      <c r="E37" s="2"/>
      <c r="F37" s="11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/>
      <c r="C38" s="2"/>
      <c r="D38" s="2"/>
      <c r="E38" s="2"/>
      <c r="F38" s="11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/>
      <c r="C39" s="2"/>
      <c r="D39" s="2"/>
      <c r="E39" s="2"/>
      <c r="F39" s="11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11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/>
      <c r="C41" s="2"/>
      <c r="D41" s="2"/>
      <c r="E41" s="2"/>
      <c r="F41" s="11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11"/>
      <c r="G42" s="2"/>
      <c r="H42" s="2"/>
      <c r="I42" s="2"/>
      <c r="J42" s="2"/>
      <c r="K42" s="2"/>
      <c r="L42" s="2"/>
      <c r="M42" s="2"/>
      <c r="N42" s="2"/>
      <c r="O42" s="2"/>
      <c r="P42" s="2"/>
    </row>
    <row r="43" spans="1:16" x14ac:dyDescent="0.25">
      <c r="A43" s="2"/>
      <c r="B43" s="2"/>
      <c r="C43" s="2"/>
      <c r="D43" s="2"/>
      <c r="E43" s="2"/>
      <c r="F43" s="11"/>
      <c r="G43" s="2"/>
      <c r="H43" s="2"/>
      <c r="I43" s="2"/>
      <c r="J43" s="2"/>
      <c r="K43" s="2"/>
      <c r="L43" s="2"/>
      <c r="M43" s="2"/>
      <c r="N43" s="2"/>
      <c r="O43" s="2"/>
      <c r="P43" s="2"/>
    </row>
    <row r="44" spans="1:16" x14ac:dyDescent="0.25">
      <c r="A44" s="2"/>
      <c r="B44" s="2"/>
      <c r="C44" s="2"/>
      <c r="D44" s="2"/>
      <c r="E44" s="2"/>
      <c r="F44" s="11"/>
      <c r="G44" s="2"/>
      <c r="H44" s="2"/>
      <c r="I44" s="2"/>
      <c r="J44" s="2"/>
      <c r="K44" s="2"/>
      <c r="L44" s="2"/>
      <c r="M44" s="2"/>
      <c r="N44" s="2"/>
      <c r="O44" s="2"/>
      <c r="P44" s="2"/>
    </row>
    <row r="45" spans="1:16" x14ac:dyDescent="0.25">
      <c r="A45" s="2"/>
      <c r="B45" s="2"/>
      <c r="C45" s="2"/>
      <c r="D45" s="2"/>
      <c r="E45" s="2"/>
      <c r="F45" s="11"/>
      <c r="G45" s="2"/>
      <c r="H45" s="2"/>
      <c r="I45" s="2"/>
      <c r="J45" s="2"/>
      <c r="K45" s="2"/>
      <c r="L45" s="2"/>
      <c r="M45" s="2"/>
      <c r="N45" s="2"/>
      <c r="O45" s="2"/>
      <c r="P45" s="2"/>
    </row>
    <row r="46" spans="1:16" x14ac:dyDescent="0.25">
      <c r="A46" s="2"/>
      <c r="B46" s="2"/>
      <c r="C46" s="2"/>
      <c r="D46" s="2"/>
      <c r="E46" s="2"/>
      <c r="F46" s="11"/>
      <c r="G46" s="2"/>
      <c r="H46" s="2"/>
      <c r="I46" s="2"/>
      <c r="J46" s="2"/>
      <c r="K46" s="2"/>
      <c r="L46" s="2"/>
      <c r="M46" s="2"/>
      <c r="N46" s="2"/>
      <c r="O46" s="2"/>
      <c r="P46" s="2"/>
    </row>
    <row r="47" spans="1:16" x14ac:dyDescent="0.25">
      <c r="A47" s="2"/>
      <c r="B47" s="2"/>
      <c r="C47" s="2"/>
      <c r="D47" s="2"/>
      <c r="E47" s="2"/>
      <c r="F47" s="11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x14ac:dyDescent="0.25">
      <c r="A48" s="2"/>
      <c r="B48" s="2"/>
      <c r="C48" s="2"/>
      <c r="D48" s="2"/>
      <c r="E48" s="2"/>
      <c r="F48" s="11"/>
      <c r="G48" s="2"/>
      <c r="H48" s="2"/>
      <c r="I48" s="2"/>
      <c r="J48" s="2"/>
      <c r="K48" s="2"/>
      <c r="L48" s="2"/>
      <c r="M48" s="2"/>
      <c r="N48" s="2"/>
      <c r="O48" s="2"/>
      <c r="P48" s="2"/>
    </row>
    <row r="49" spans="1:16" x14ac:dyDescent="0.25">
      <c r="A49" s="2"/>
      <c r="B49" s="2"/>
      <c r="C49" s="2"/>
      <c r="D49" s="2"/>
      <c r="E49" s="2"/>
      <c r="F49" s="11"/>
      <c r="G49" s="2"/>
      <c r="H49" s="2"/>
      <c r="I49" s="2"/>
      <c r="J49" s="2"/>
      <c r="K49" s="2"/>
      <c r="L49" s="2"/>
      <c r="M49" s="2"/>
      <c r="N49" s="2"/>
      <c r="O49" s="2"/>
      <c r="P49" s="2"/>
    </row>
    <row r="50" spans="1:16" x14ac:dyDescent="0.25">
      <c r="A50" s="2"/>
      <c r="B50" s="2"/>
      <c r="C50" s="2"/>
      <c r="D50" s="2"/>
      <c r="E50" s="2"/>
      <c r="F50" s="11"/>
      <c r="G50" s="2"/>
      <c r="H50" s="2"/>
      <c r="I50" s="2"/>
      <c r="J50" s="2"/>
      <c r="K50" s="2"/>
      <c r="L50" s="2"/>
      <c r="M50" s="2"/>
      <c r="N50" s="2"/>
      <c r="O50" s="2"/>
      <c r="P50" s="2"/>
    </row>
    <row r="51" spans="1:16" x14ac:dyDescent="0.25">
      <c r="A51" s="2"/>
      <c r="B51" s="2"/>
      <c r="C51" s="2"/>
      <c r="D51" s="2"/>
      <c r="E51" s="2"/>
      <c r="F51" s="11"/>
      <c r="G51" s="2"/>
      <c r="H51" s="2"/>
      <c r="I51" s="2"/>
      <c r="J51" s="2"/>
      <c r="K51" s="2"/>
      <c r="L51" s="2"/>
      <c r="M51" s="2"/>
      <c r="N51" s="2"/>
      <c r="O51" s="2"/>
      <c r="P51" s="2"/>
    </row>
    <row r="52" spans="1:16" x14ac:dyDescent="0.25">
      <c r="A52" s="2"/>
      <c r="B52" s="2"/>
      <c r="C52" s="2"/>
      <c r="D52" s="2"/>
      <c r="E52" s="2"/>
      <c r="F52" s="11"/>
      <c r="G52" s="2"/>
      <c r="H52" s="2"/>
      <c r="I52" s="2"/>
      <c r="J52" s="2"/>
      <c r="K52" s="2"/>
      <c r="L52" s="2"/>
      <c r="M52" s="2"/>
      <c r="N52" s="2"/>
      <c r="O52" s="2"/>
      <c r="P52" s="2"/>
    </row>
    <row r="53" spans="1:16" x14ac:dyDescent="0.25">
      <c r="A53" s="2"/>
      <c r="B53" s="2"/>
      <c r="C53" s="2"/>
      <c r="D53" s="2"/>
      <c r="E53" s="2"/>
      <c r="F53" s="11"/>
      <c r="G53" s="2"/>
      <c r="H53" s="2"/>
      <c r="I53" s="2"/>
      <c r="J53" s="2"/>
      <c r="K53" s="2"/>
      <c r="L53" s="2"/>
      <c r="M53" s="2"/>
      <c r="N53" s="2"/>
      <c r="O53" s="2"/>
      <c r="P53" s="2"/>
    </row>
    <row r="54" spans="1:16" x14ac:dyDescent="0.25">
      <c r="A54" s="2"/>
      <c r="B54" s="2"/>
      <c r="C54" s="2"/>
      <c r="D54" s="2"/>
      <c r="E54" s="2"/>
      <c r="F54" s="11"/>
      <c r="G54" s="2"/>
      <c r="H54" s="2"/>
      <c r="I54" s="2"/>
      <c r="J54" s="2"/>
      <c r="K54" s="2"/>
      <c r="L54" s="2"/>
      <c r="M54" s="2"/>
      <c r="N54" s="2"/>
      <c r="O54" s="2"/>
      <c r="P54" s="2"/>
    </row>
    <row r="55" spans="1:16" x14ac:dyDescent="0.25">
      <c r="A55" s="2"/>
      <c r="B55" s="2"/>
      <c r="C55" s="2"/>
      <c r="D55" s="2"/>
      <c r="E55" s="2"/>
      <c r="F55" s="11"/>
      <c r="G55" s="2"/>
      <c r="H55" s="2"/>
      <c r="I55" s="2"/>
      <c r="J55" s="2"/>
      <c r="K55" s="2"/>
      <c r="L55" s="2"/>
      <c r="M55" s="2"/>
      <c r="N55" s="2"/>
      <c r="O55" s="2"/>
      <c r="P55" s="2"/>
    </row>
    <row r="56" spans="1:16" x14ac:dyDescent="0.25">
      <c r="A56" s="2"/>
      <c r="B56" s="2"/>
      <c r="C56" s="2"/>
      <c r="D56" s="2"/>
      <c r="E56" s="2"/>
      <c r="F56" s="11"/>
      <c r="G56" s="2"/>
      <c r="H56" s="2"/>
      <c r="I56" s="2"/>
      <c r="J56" s="2"/>
      <c r="K56" s="2"/>
      <c r="L56" s="2"/>
      <c r="M56" s="2"/>
      <c r="N56" s="2"/>
      <c r="O56" s="2"/>
      <c r="P56" s="2"/>
    </row>
    <row r="57" spans="1:16" x14ac:dyDescent="0.25">
      <c r="A57" s="2"/>
      <c r="B57" s="2"/>
      <c r="C57" s="2"/>
      <c r="D57" s="2"/>
      <c r="E57" s="2"/>
      <c r="F57" s="11"/>
      <c r="G57" s="2"/>
      <c r="H57" s="2"/>
      <c r="I57" s="2"/>
      <c r="J57" s="2"/>
      <c r="K57" s="2"/>
      <c r="L57" s="2"/>
      <c r="M57" s="2"/>
      <c r="N57" s="2"/>
      <c r="O57" s="2"/>
      <c r="P57" s="2"/>
    </row>
    <row r="58" spans="1:16" x14ac:dyDescent="0.25">
      <c r="A58" s="2"/>
      <c r="B58" s="2"/>
      <c r="C58" s="2"/>
      <c r="D58" s="2"/>
      <c r="E58" s="2"/>
      <c r="F58" s="11"/>
      <c r="G58" s="2"/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/>
      <c r="B59" s="2"/>
      <c r="C59" s="2"/>
      <c r="D59" s="2"/>
      <c r="E59" s="2"/>
      <c r="F59" s="11"/>
      <c r="G59" s="2"/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/>
      <c r="B60" s="2"/>
      <c r="C60" s="2"/>
      <c r="D60" s="2"/>
      <c r="E60" s="2"/>
      <c r="F60" s="11"/>
      <c r="G60" s="2"/>
      <c r="H60" s="2"/>
      <c r="I60" s="2"/>
      <c r="J60" s="2"/>
      <c r="K60" s="2"/>
      <c r="L60" s="2"/>
      <c r="M60" s="2"/>
      <c r="N60" s="2"/>
      <c r="O60" s="2"/>
      <c r="P60" s="2"/>
    </row>
    <row r="61" spans="1:16" x14ac:dyDescent="0.25">
      <c r="A61" s="2"/>
      <c r="B61" s="2"/>
      <c r="C61" s="2"/>
      <c r="D61" s="2"/>
      <c r="E61" s="2"/>
      <c r="F61" s="11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/>
      <c r="B62" s="2"/>
      <c r="C62" s="2"/>
      <c r="D62" s="2"/>
      <c r="E62" s="2"/>
      <c r="F62" s="11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/>
      <c r="B63" s="2"/>
      <c r="C63" s="2"/>
      <c r="D63" s="2"/>
      <c r="E63" s="2"/>
      <c r="F63" s="11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/>
      <c r="B64" s="2"/>
      <c r="C64" s="2"/>
      <c r="D64" s="2"/>
      <c r="E64" s="2"/>
      <c r="F64" s="11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/>
      <c r="B65" s="2"/>
      <c r="C65" s="2"/>
      <c r="D65" s="2"/>
      <c r="E65" s="2"/>
      <c r="F65" s="11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/>
      <c r="B66" s="2"/>
      <c r="C66" s="2"/>
      <c r="D66" s="2"/>
      <c r="E66" s="2"/>
      <c r="F66" s="11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/>
      <c r="B67" s="2"/>
      <c r="C67" s="2"/>
      <c r="D67" s="2"/>
      <c r="E67" s="2"/>
      <c r="F67" s="11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/>
      <c r="B68" s="2"/>
      <c r="C68" s="2"/>
      <c r="D68" s="2"/>
      <c r="E68" s="2"/>
      <c r="F68" s="11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/>
      <c r="B69" s="2"/>
      <c r="C69" s="2"/>
      <c r="D69" s="2"/>
      <c r="E69" s="2"/>
      <c r="F69" s="11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/>
      <c r="B70" s="2"/>
      <c r="C70" s="2"/>
      <c r="D70" s="2"/>
      <c r="E70" s="2"/>
      <c r="F70" s="11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/>
      <c r="B71" s="2"/>
      <c r="C71" s="2"/>
      <c r="D71" s="2"/>
      <c r="E71" s="2"/>
      <c r="F71" s="11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/>
      <c r="B72" s="2"/>
      <c r="C72" s="2"/>
      <c r="D72" s="2"/>
      <c r="E72" s="2"/>
      <c r="F72" s="11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/>
      <c r="B73" s="2"/>
      <c r="C73" s="2"/>
      <c r="D73" s="2"/>
      <c r="E73" s="2"/>
      <c r="F73" s="11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/>
      <c r="B74" s="2"/>
      <c r="C74" s="2"/>
      <c r="D74" s="2"/>
      <c r="E74" s="2"/>
      <c r="F74" s="11"/>
      <c r="G74" s="2"/>
      <c r="H74" s="2"/>
      <c r="I74" s="2"/>
      <c r="J74" s="2"/>
      <c r="K74" s="2"/>
      <c r="L74" s="2"/>
      <c r="M74" s="2"/>
      <c r="N74" s="2"/>
      <c r="O74" s="2"/>
      <c r="P74" s="2"/>
    </row>
    <row r="75" spans="1:16" x14ac:dyDescent="0.25">
      <c r="A75" s="2"/>
      <c r="B75" s="2"/>
      <c r="C75" s="2"/>
      <c r="D75" s="2"/>
      <c r="E75" s="2"/>
      <c r="F75" s="11"/>
      <c r="G75" s="2"/>
      <c r="H75" s="2"/>
      <c r="I75" s="2"/>
      <c r="J75" s="2"/>
      <c r="K75" s="2"/>
      <c r="L75" s="2"/>
      <c r="M75" s="2"/>
      <c r="N75" s="2"/>
      <c r="O75" s="2"/>
      <c r="P75" s="2"/>
    </row>
    <row r="76" spans="1:16" x14ac:dyDescent="0.25">
      <c r="A76" s="2"/>
      <c r="B76" s="2"/>
      <c r="C76" s="2"/>
      <c r="D76" s="2"/>
      <c r="E76" s="2"/>
      <c r="F76" s="11"/>
      <c r="G76" s="2"/>
      <c r="H76" s="2"/>
      <c r="I76" s="2"/>
      <c r="J76" s="2"/>
      <c r="K76" s="2"/>
      <c r="L76" s="2"/>
      <c r="M76" s="2"/>
      <c r="N76" s="2"/>
      <c r="O76" s="2"/>
      <c r="P76" s="2"/>
    </row>
    <row r="77" spans="1:16" x14ac:dyDescent="0.25">
      <c r="A77" s="2"/>
      <c r="B77" s="2"/>
      <c r="C77" s="2"/>
      <c r="D77" s="2"/>
      <c r="E77" s="2"/>
      <c r="F77" s="11"/>
      <c r="G77" s="2"/>
      <c r="H77" s="2"/>
      <c r="I77" s="2"/>
      <c r="J77" s="2"/>
      <c r="K77" s="2"/>
      <c r="L77" s="2"/>
      <c r="M77" s="2"/>
      <c r="N77" s="2"/>
      <c r="O77" s="2"/>
      <c r="P77" s="2"/>
    </row>
    <row r="78" spans="1:16" x14ac:dyDescent="0.25">
      <c r="A78" s="2"/>
      <c r="B78" s="2"/>
      <c r="C78" s="2"/>
      <c r="D78" s="2"/>
      <c r="E78" s="2"/>
      <c r="F78" s="11"/>
      <c r="G78" s="2"/>
      <c r="H78" s="2"/>
      <c r="I78" s="2"/>
      <c r="J78" s="2"/>
      <c r="K78" s="2"/>
      <c r="L78" s="2"/>
      <c r="M78" s="2"/>
      <c r="N78" s="2"/>
      <c r="O78" s="2"/>
      <c r="P78" s="2"/>
    </row>
    <row r="79" spans="1:16" x14ac:dyDescent="0.25">
      <c r="A79" s="2"/>
      <c r="B79" s="2"/>
      <c r="C79" s="2"/>
      <c r="D79" s="2"/>
      <c r="E79" s="2"/>
      <c r="F79" s="11"/>
      <c r="G79" s="2"/>
      <c r="H79" s="2"/>
      <c r="I79" s="2"/>
      <c r="J79" s="2"/>
      <c r="K79" s="2"/>
      <c r="L79" s="2"/>
      <c r="M79" s="2"/>
      <c r="N79" s="2"/>
      <c r="O79" s="2"/>
      <c r="P79" s="2"/>
    </row>
    <row r="80" spans="1:16" x14ac:dyDescent="0.25">
      <c r="A80" s="2"/>
      <c r="B80" s="2"/>
      <c r="C80" s="2"/>
      <c r="D80" s="2"/>
      <c r="E80" s="2"/>
      <c r="F80" s="11"/>
      <c r="G80" s="2"/>
      <c r="H80" s="2"/>
      <c r="I80" s="2"/>
      <c r="J80" s="2"/>
      <c r="K80" s="2"/>
      <c r="L80" s="2"/>
      <c r="M80" s="2"/>
      <c r="N80" s="2"/>
      <c r="O80" s="2"/>
      <c r="P80" s="2"/>
    </row>
    <row r="81" spans="1:16" x14ac:dyDescent="0.25">
      <c r="A81" s="2"/>
      <c r="B81" s="2"/>
      <c r="C81" s="2"/>
      <c r="D81" s="2"/>
      <c r="E81" s="2"/>
      <c r="F81" s="11"/>
      <c r="G81" s="2"/>
      <c r="H81" s="2"/>
      <c r="I81" s="2"/>
      <c r="J81" s="2"/>
      <c r="K81" s="2"/>
      <c r="L81" s="2"/>
      <c r="M81" s="2"/>
      <c r="N81" s="2"/>
      <c r="O81" s="2"/>
      <c r="P81" s="2"/>
    </row>
    <row r="82" spans="1:16" x14ac:dyDescent="0.25">
      <c r="A82" s="2"/>
      <c r="B82" s="2"/>
      <c r="C82" s="2"/>
      <c r="D82" s="2"/>
      <c r="E82" s="2"/>
      <c r="F82" s="11"/>
      <c r="G82" s="2"/>
      <c r="H82" s="2"/>
      <c r="I82" s="2"/>
      <c r="J82" s="2"/>
      <c r="K82" s="2"/>
      <c r="L82" s="2"/>
      <c r="M82" s="2"/>
      <c r="N82" s="2"/>
      <c r="O82" s="2"/>
      <c r="P82" s="2"/>
    </row>
    <row r="83" spans="1:16" x14ac:dyDescent="0.25">
      <c r="A83" s="2"/>
      <c r="B83" s="2"/>
      <c r="C83" s="2"/>
      <c r="D83" s="2"/>
      <c r="E83" s="2"/>
      <c r="F83" s="11"/>
      <c r="G83" s="2"/>
      <c r="H83" s="2"/>
      <c r="I83" s="2"/>
      <c r="J83" s="2"/>
      <c r="K83" s="2"/>
      <c r="L83" s="2"/>
      <c r="M83" s="2"/>
      <c r="N83" s="2"/>
      <c r="O83" s="2"/>
      <c r="P83" s="2"/>
    </row>
    <row r="84" spans="1:16" x14ac:dyDescent="0.25">
      <c r="A84" s="2"/>
      <c r="B84" s="2"/>
      <c r="C84" s="2"/>
      <c r="D84" s="2"/>
      <c r="E84" s="2"/>
      <c r="F84" s="11"/>
      <c r="G84" s="2"/>
      <c r="H84" s="2"/>
      <c r="I84" s="2"/>
      <c r="J84" s="2"/>
      <c r="K84" s="2"/>
      <c r="L84" s="2"/>
      <c r="M84" s="2"/>
      <c r="N84" s="2"/>
      <c r="O84" s="2"/>
      <c r="P84" s="2"/>
    </row>
    <row r="85" spans="1:16" x14ac:dyDescent="0.25">
      <c r="A85" s="2"/>
      <c r="B85" s="2"/>
      <c r="C85" s="2"/>
      <c r="D85" s="2"/>
      <c r="E85" s="2"/>
      <c r="F85" s="11"/>
      <c r="G85" s="2"/>
      <c r="H85" s="2"/>
      <c r="I85" s="2"/>
      <c r="J85" s="2"/>
      <c r="K85" s="2"/>
      <c r="L85" s="2"/>
      <c r="M85" s="2"/>
      <c r="N85" s="2"/>
      <c r="O85" s="2"/>
      <c r="P85" s="2"/>
    </row>
    <row r="86" spans="1:16" x14ac:dyDescent="0.25">
      <c r="A86" s="2"/>
      <c r="B86" s="2"/>
      <c r="C86" s="2"/>
      <c r="D86" s="2"/>
      <c r="E86" s="2"/>
      <c r="F86" s="11"/>
      <c r="G86" s="2"/>
      <c r="H86" s="2"/>
      <c r="I86" s="2"/>
      <c r="J86" s="2"/>
      <c r="K86" s="2"/>
      <c r="L86" s="2"/>
      <c r="M86" s="2"/>
      <c r="N86" s="2"/>
      <c r="O86" s="2"/>
      <c r="P86" s="2"/>
    </row>
    <row r="87" spans="1:16" x14ac:dyDescent="0.25">
      <c r="A87" s="2"/>
      <c r="B87" s="2"/>
      <c r="C87" s="2"/>
      <c r="D87" s="2"/>
      <c r="E87" s="2"/>
      <c r="F87" s="11"/>
      <c r="G87" s="2"/>
      <c r="H87" s="2"/>
      <c r="I87" s="2"/>
      <c r="J87" s="2"/>
      <c r="K87" s="2"/>
      <c r="L87" s="2"/>
      <c r="M87" s="2"/>
      <c r="N87" s="2"/>
      <c r="O87" s="2"/>
      <c r="P87" s="2"/>
    </row>
    <row r="88" spans="1:16" x14ac:dyDescent="0.25">
      <c r="A88" s="2"/>
      <c r="B88" s="2"/>
      <c r="C88" s="2"/>
      <c r="D88" s="2"/>
      <c r="E88" s="2"/>
      <c r="F88" s="11"/>
      <c r="G88" s="2"/>
      <c r="H88" s="2"/>
      <c r="I88" s="2"/>
      <c r="J88" s="2"/>
      <c r="K88" s="2"/>
      <c r="L88" s="2"/>
      <c r="M88" s="2"/>
      <c r="N88" s="2"/>
      <c r="O88" s="2"/>
      <c r="P88" s="2"/>
    </row>
    <row r="89" spans="1:16" x14ac:dyDescent="0.25">
      <c r="A89" s="2"/>
      <c r="B89" s="2"/>
      <c r="C89" s="2"/>
      <c r="D89" s="2"/>
      <c r="E89" s="2"/>
      <c r="F89" s="11"/>
      <c r="G89" s="2"/>
      <c r="H89" s="2"/>
      <c r="I89" s="2"/>
      <c r="J89" s="2"/>
      <c r="K89" s="2"/>
      <c r="L89" s="2"/>
      <c r="M89" s="2"/>
      <c r="N89" s="2"/>
      <c r="O89" s="2"/>
      <c r="P89" s="2"/>
    </row>
    <row r="90" spans="1:16" x14ac:dyDescent="0.25">
      <c r="A90" s="2"/>
      <c r="B90" s="2"/>
      <c r="C90" s="2"/>
      <c r="D90" s="2"/>
      <c r="E90" s="2"/>
      <c r="F90" s="11"/>
      <c r="G90" s="2"/>
      <c r="H90" s="2"/>
      <c r="I90" s="2"/>
      <c r="J90" s="2"/>
      <c r="K90" s="2"/>
      <c r="L90" s="2"/>
      <c r="M90" s="2"/>
      <c r="N90" s="2"/>
      <c r="O90" s="2"/>
      <c r="P90" s="2"/>
    </row>
    <row r="91" spans="1:16" x14ac:dyDescent="0.25">
      <c r="A91" s="2"/>
      <c r="B91" s="2"/>
      <c r="C91" s="2"/>
      <c r="D91" s="2"/>
      <c r="E91" s="2"/>
      <c r="F91" s="11"/>
      <c r="G91" s="2"/>
      <c r="H91" s="2"/>
      <c r="I91" s="2"/>
      <c r="J91" s="2"/>
      <c r="K91" s="2"/>
      <c r="L91" s="2"/>
      <c r="M91" s="2"/>
      <c r="N91" s="2"/>
      <c r="O91" s="2"/>
      <c r="P91" s="2"/>
    </row>
    <row r="92" spans="1:16" x14ac:dyDescent="0.25">
      <c r="A92" s="2"/>
      <c r="B92" s="2"/>
      <c r="C92" s="2"/>
      <c r="D92" s="2"/>
      <c r="E92" s="2"/>
      <c r="F92" s="11"/>
      <c r="G92" s="2"/>
      <c r="H92" s="2"/>
      <c r="I92" s="2"/>
      <c r="J92" s="2"/>
      <c r="K92" s="2"/>
      <c r="L92" s="2"/>
      <c r="M92" s="2"/>
      <c r="N92" s="2"/>
      <c r="O92" s="2"/>
      <c r="P92" s="2"/>
    </row>
    <row r="93" spans="1:16" x14ac:dyDescent="0.25">
      <c r="A93" s="2"/>
      <c r="B93" s="2"/>
      <c r="C93" s="2"/>
      <c r="D93" s="2"/>
      <c r="E93" s="2"/>
      <c r="F93" s="11"/>
      <c r="G93" s="2"/>
      <c r="H93" s="2"/>
      <c r="I93" s="2"/>
      <c r="J93" s="2"/>
      <c r="K93" s="2"/>
      <c r="L93" s="2"/>
      <c r="M93" s="2"/>
      <c r="N93" s="2"/>
      <c r="O93" s="2"/>
      <c r="P93" s="2"/>
    </row>
    <row r="94" spans="1:16" x14ac:dyDescent="0.25">
      <c r="A94" s="2"/>
      <c r="B94" s="2"/>
      <c r="C94" s="2"/>
      <c r="D94" s="2"/>
      <c r="E94" s="2"/>
      <c r="F94" s="11"/>
      <c r="G94" s="2"/>
      <c r="H94" s="2"/>
      <c r="I94" s="2"/>
      <c r="J94" s="2"/>
      <c r="K94" s="2"/>
      <c r="L94" s="2"/>
      <c r="M94" s="2"/>
      <c r="N94" s="2"/>
      <c r="O94" s="2"/>
      <c r="P94" s="2"/>
    </row>
    <row r="95" spans="1:16" x14ac:dyDescent="0.25">
      <c r="A95" s="2"/>
      <c r="B95" s="2"/>
      <c r="C95" s="2"/>
      <c r="D95" s="2"/>
      <c r="E95" s="2"/>
      <c r="F95" s="11"/>
      <c r="G95" s="2"/>
      <c r="H95" s="2"/>
      <c r="I95" s="2"/>
      <c r="J95" s="2"/>
      <c r="K95" s="2"/>
      <c r="L95" s="2"/>
      <c r="M95" s="2"/>
      <c r="N95" s="2"/>
      <c r="O95" s="2"/>
      <c r="P95" s="2"/>
    </row>
    <row r="96" spans="1:16" x14ac:dyDescent="0.25">
      <c r="A96" s="2"/>
      <c r="B96" s="2"/>
      <c r="C96" s="2"/>
      <c r="D96" s="2"/>
      <c r="E96" s="2"/>
      <c r="F96" s="11"/>
      <c r="G96" s="2"/>
      <c r="H96" s="2"/>
      <c r="I96" s="2"/>
      <c r="J96" s="2"/>
      <c r="K96" s="2"/>
      <c r="L96" s="2"/>
      <c r="M96" s="2"/>
      <c r="N96" s="2"/>
      <c r="O96" s="2"/>
      <c r="P96" s="2"/>
    </row>
    <row r="97" spans="1:16" x14ac:dyDescent="0.25">
      <c r="A97" s="2"/>
      <c r="B97" s="2"/>
      <c r="C97" s="2"/>
      <c r="D97" s="2"/>
      <c r="E97" s="2"/>
      <c r="F97" s="11"/>
      <c r="G97" s="2"/>
      <c r="H97" s="2"/>
      <c r="I97" s="2"/>
      <c r="J97" s="2"/>
      <c r="K97" s="2"/>
      <c r="L97" s="2"/>
      <c r="M97" s="2"/>
      <c r="N97" s="2"/>
      <c r="O97" s="2"/>
      <c r="P97" s="2"/>
    </row>
    <row r="98" spans="1:16" x14ac:dyDescent="0.25">
      <c r="A98" s="2"/>
      <c r="B98" s="2"/>
      <c r="C98" s="2"/>
      <c r="D98" s="2"/>
      <c r="E98" s="2"/>
      <c r="F98" s="11"/>
      <c r="G98" s="2"/>
      <c r="H98" s="2"/>
      <c r="I98" s="2"/>
      <c r="J98" s="2"/>
      <c r="K98" s="2"/>
      <c r="L98" s="2"/>
      <c r="M98" s="2"/>
      <c r="N98" s="2"/>
      <c r="O98" s="2"/>
      <c r="P98" s="2"/>
    </row>
    <row r="99" spans="1:16" x14ac:dyDescent="0.25">
      <c r="A99" s="2"/>
      <c r="B99" s="2"/>
      <c r="C99" s="2"/>
      <c r="D99" s="2"/>
      <c r="E99" s="2"/>
      <c r="F99" s="11"/>
      <c r="G99" s="2"/>
      <c r="H99" s="2"/>
      <c r="I99" s="2"/>
      <c r="J99" s="2"/>
      <c r="K99" s="2"/>
      <c r="L99" s="2"/>
      <c r="M99" s="2"/>
      <c r="N99" s="2"/>
      <c r="O99" s="2"/>
      <c r="P99" s="2"/>
    </row>
    <row r="100" spans="1:16" x14ac:dyDescent="0.25">
      <c r="A100" s="2"/>
      <c r="B100" s="2"/>
      <c r="C100" s="2"/>
      <c r="D100" s="2"/>
      <c r="E100" s="2"/>
      <c r="F100" s="11"/>
      <c r="G100" s="2"/>
      <c r="H100" s="2"/>
      <c r="I100" s="2"/>
      <c r="J100" s="2"/>
      <c r="K100" s="2"/>
      <c r="L100" s="2"/>
      <c r="M100" s="2"/>
      <c r="N100" s="2"/>
      <c r="O100" s="2"/>
      <c r="P100" s="2"/>
    </row>
    <row r="101" spans="1:16" x14ac:dyDescent="0.25">
      <c r="A101" s="2"/>
      <c r="B101" s="2"/>
      <c r="C101" s="2"/>
      <c r="D101" s="2"/>
      <c r="E101" s="2"/>
      <c r="F101" s="11"/>
      <c r="G101" s="2"/>
      <c r="H101" s="2"/>
      <c r="I101" s="2"/>
      <c r="J101" s="2"/>
      <c r="K101" s="2"/>
      <c r="L101" s="2"/>
      <c r="M101" s="2"/>
      <c r="N101" s="2"/>
      <c r="O101" s="2"/>
      <c r="P101" s="2"/>
    </row>
    <row r="102" spans="1:16" x14ac:dyDescent="0.25">
      <c r="A102" s="2"/>
      <c r="B102" s="2"/>
      <c r="C102" s="2"/>
      <c r="D102" s="2"/>
      <c r="E102" s="2"/>
      <c r="F102" s="11"/>
      <c r="G102" s="2"/>
      <c r="H102" s="2"/>
      <c r="I102" s="2"/>
      <c r="J102" s="2"/>
      <c r="K102" s="2"/>
      <c r="L102" s="2"/>
      <c r="M102" s="2"/>
      <c r="N102" s="2"/>
      <c r="O102" s="2"/>
      <c r="P102" s="2"/>
    </row>
    <row r="103" spans="1:16" x14ac:dyDescent="0.25">
      <c r="A103" s="2"/>
      <c r="B103" s="2"/>
      <c r="C103" s="2"/>
      <c r="D103" s="2"/>
      <c r="E103" s="2"/>
      <c r="F103" s="11"/>
      <c r="G103" s="2"/>
      <c r="H103" s="2"/>
      <c r="I103" s="2"/>
      <c r="J103" s="2"/>
      <c r="K103" s="2"/>
      <c r="L103" s="2"/>
      <c r="M103" s="2"/>
      <c r="N103" s="2"/>
      <c r="O103" s="2"/>
      <c r="P103" s="2"/>
    </row>
    <row r="104" spans="1:16" x14ac:dyDescent="0.25">
      <c r="A104" s="2"/>
      <c r="B104" s="2"/>
      <c r="C104" s="2"/>
      <c r="D104" s="2"/>
      <c r="E104" s="2"/>
      <c r="F104" s="11"/>
      <c r="G104" s="2"/>
      <c r="H104" s="2"/>
      <c r="I104" s="2"/>
      <c r="J104" s="2"/>
      <c r="K104" s="2"/>
      <c r="L104" s="2"/>
      <c r="M104" s="2"/>
      <c r="N104" s="2"/>
      <c r="O104" s="2"/>
      <c r="P104" s="2"/>
    </row>
    <row r="105" spans="1:16" x14ac:dyDescent="0.25">
      <c r="A105" s="2"/>
      <c r="B105" s="2"/>
      <c r="C105" s="2"/>
      <c r="D105" s="2"/>
      <c r="E105" s="2"/>
      <c r="F105" s="11"/>
      <c r="G105" s="2"/>
      <c r="H105" s="2"/>
      <c r="I105" s="2"/>
      <c r="J105" s="2"/>
      <c r="K105" s="2"/>
      <c r="L105" s="2"/>
      <c r="M105" s="2"/>
      <c r="N105" s="2"/>
      <c r="O105" s="2"/>
      <c r="P105" s="2"/>
    </row>
    <row r="106" spans="1:16" x14ac:dyDescent="0.25">
      <c r="A106" s="2"/>
      <c r="B106" s="2"/>
      <c r="C106" s="2"/>
      <c r="D106" s="2"/>
      <c r="E106" s="2"/>
      <c r="F106" s="11"/>
      <c r="G106" s="2"/>
      <c r="H106" s="2"/>
      <c r="I106" s="2"/>
      <c r="J106" s="2"/>
      <c r="K106" s="2"/>
      <c r="L106" s="2"/>
      <c r="M106" s="2"/>
      <c r="N106" s="2"/>
      <c r="O106" s="2"/>
      <c r="P106" s="2"/>
    </row>
    <row r="107" spans="1:16" x14ac:dyDescent="0.25">
      <c r="A107" s="2"/>
      <c r="B107" s="2"/>
      <c r="C107" s="2"/>
      <c r="D107" s="2"/>
      <c r="E107" s="2"/>
      <c r="F107" s="11"/>
      <c r="G107" s="2"/>
      <c r="H107" s="2"/>
      <c r="I107" s="2"/>
      <c r="J107" s="2"/>
      <c r="K107" s="2"/>
      <c r="L107" s="2"/>
      <c r="M107" s="2"/>
      <c r="N107" s="2"/>
      <c r="O107" s="2"/>
      <c r="P107" s="2"/>
    </row>
    <row r="108" spans="1:16" x14ac:dyDescent="0.25">
      <c r="A108" s="2"/>
      <c r="B108" s="2"/>
      <c r="C108" s="2"/>
      <c r="D108" s="2"/>
      <c r="E108" s="2"/>
      <c r="F108" s="11"/>
      <c r="G108" s="2"/>
      <c r="H108" s="2"/>
      <c r="I108" s="2"/>
      <c r="J108" s="2"/>
      <c r="K108" s="2"/>
      <c r="L108" s="2"/>
      <c r="M108" s="2"/>
      <c r="N108" s="2"/>
      <c r="O108" s="2"/>
      <c r="P108" s="2"/>
    </row>
    <row r="109" spans="1:16" x14ac:dyDescent="0.25">
      <c r="A109" s="2"/>
      <c r="B109" s="2"/>
      <c r="C109" s="2"/>
      <c r="D109" s="2"/>
      <c r="E109" s="2"/>
      <c r="F109" s="11"/>
      <c r="G109" s="2"/>
      <c r="H109" s="2"/>
      <c r="I109" s="2"/>
      <c r="J109" s="2"/>
      <c r="K109" s="2"/>
      <c r="L109" s="2"/>
      <c r="M109" s="2"/>
      <c r="N109" s="2"/>
      <c r="O109" s="2"/>
      <c r="P109" s="2"/>
    </row>
    <row r="110" spans="1:16" x14ac:dyDescent="0.25">
      <c r="A110" s="2"/>
      <c r="B110" s="2"/>
      <c r="C110" s="2"/>
      <c r="D110" s="2"/>
      <c r="E110" s="2"/>
      <c r="F110" s="11"/>
      <c r="G110" s="2"/>
      <c r="H110" s="2"/>
      <c r="I110" s="2"/>
      <c r="J110" s="2"/>
      <c r="K110" s="2"/>
      <c r="L110" s="2"/>
      <c r="M110" s="2"/>
      <c r="N110" s="2"/>
      <c r="O110" s="2"/>
      <c r="P110" s="2"/>
    </row>
    <row r="111" spans="1:16" x14ac:dyDescent="0.25">
      <c r="A111" s="2"/>
      <c r="B111" s="2"/>
      <c r="C111" s="2"/>
      <c r="D111" s="2"/>
      <c r="E111" s="2"/>
      <c r="F111" s="11"/>
      <c r="G111" s="2"/>
      <c r="H111" s="2"/>
      <c r="I111" s="2"/>
      <c r="J111" s="2"/>
      <c r="K111" s="2"/>
      <c r="L111" s="2"/>
      <c r="M111" s="2"/>
      <c r="N111" s="2"/>
      <c r="O111" s="2"/>
      <c r="P111" s="2"/>
    </row>
    <row r="112" spans="1:16" x14ac:dyDescent="0.25">
      <c r="A112" s="2"/>
      <c r="B112" s="2"/>
      <c r="C112" s="2"/>
      <c r="D112" s="2"/>
      <c r="E112" s="2"/>
      <c r="F112" s="11"/>
      <c r="G112" s="2"/>
      <c r="H112" s="2"/>
      <c r="I112" s="2"/>
      <c r="J112" s="2"/>
      <c r="K112" s="2"/>
      <c r="L112" s="2"/>
      <c r="M112" s="2"/>
      <c r="N112" s="2"/>
      <c r="O112" s="2"/>
      <c r="P112" s="2"/>
    </row>
    <row r="113" spans="1:16" x14ac:dyDescent="0.25">
      <c r="A113" s="2"/>
      <c r="B113" s="2"/>
      <c r="C113" s="2"/>
      <c r="D113" s="2"/>
      <c r="E113" s="2"/>
      <c r="F113" s="11"/>
      <c r="G113" s="2"/>
      <c r="H113" s="2"/>
      <c r="I113" s="2"/>
      <c r="J113" s="2"/>
      <c r="K113" s="2"/>
      <c r="L113" s="2"/>
      <c r="M113" s="2"/>
      <c r="N113" s="2"/>
      <c r="O113" s="2"/>
      <c r="P113" s="2"/>
    </row>
    <row r="114" spans="1:16" x14ac:dyDescent="0.25">
      <c r="A114" s="2"/>
      <c r="B114" s="2"/>
      <c r="C114" s="2"/>
      <c r="D114" s="2"/>
      <c r="E114" s="2"/>
      <c r="F114" s="11"/>
      <c r="G114" s="2"/>
      <c r="H114" s="2"/>
      <c r="I114" s="2"/>
      <c r="J114" s="2"/>
      <c r="K114" s="2"/>
      <c r="L114" s="2"/>
      <c r="M114" s="2"/>
      <c r="N114" s="2"/>
      <c r="O114" s="2"/>
      <c r="P114" s="2"/>
    </row>
    <row r="115" spans="1:16" x14ac:dyDescent="0.25">
      <c r="A115" s="2"/>
      <c r="B115" s="2"/>
      <c r="C115" s="2"/>
      <c r="D115" s="2"/>
      <c r="E115" s="2"/>
      <c r="F115" s="11"/>
      <c r="G115" s="2"/>
      <c r="H115" s="2"/>
      <c r="I115" s="2"/>
      <c r="J115" s="2"/>
      <c r="K115" s="2"/>
      <c r="L115" s="2"/>
      <c r="M115" s="2"/>
      <c r="N115" s="2"/>
      <c r="O115" s="2"/>
      <c r="P115" s="2"/>
    </row>
    <row r="116" spans="1:16" x14ac:dyDescent="0.25">
      <c r="A116" s="2"/>
      <c r="B116" s="2"/>
      <c r="C116" s="2"/>
      <c r="D116" s="2"/>
      <c r="E116" s="2"/>
      <c r="F116" s="11"/>
      <c r="G116" s="2"/>
      <c r="H116" s="2"/>
      <c r="I116" s="2"/>
      <c r="J116" s="2"/>
      <c r="K116" s="2"/>
      <c r="L116" s="2"/>
      <c r="M116" s="2"/>
      <c r="N116" s="2"/>
      <c r="O116" s="2"/>
      <c r="P116" s="2"/>
    </row>
    <row r="117" spans="1:16" x14ac:dyDescent="0.25">
      <c r="A117" s="2"/>
      <c r="B117" s="2"/>
      <c r="C117" s="2"/>
      <c r="D117" s="2"/>
      <c r="E117" s="2"/>
      <c r="F117" s="11"/>
      <c r="G117" s="2"/>
      <c r="H117" s="2"/>
      <c r="I117" s="2"/>
      <c r="J117" s="2"/>
      <c r="K117" s="2"/>
      <c r="L117" s="2"/>
      <c r="M117" s="2"/>
      <c r="N117" s="2"/>
      <c r="O117" s="2"/>
      <c r="P117" s="2"/>
    </row>
    <row r="118" spans="1:16" x14ac:dyDescent="0.25">
      <c r="A118" s="2"/>
      <c r="B118" s="2"/>
      <c r="C118" s="2"/>
      <c r="D118" s="2"/>
      <c r="E118" s="2"/>
      <c r="F118" s="11"/>
      <c r="G118" s="2"/>
      <c r="H118" s="2"/>
      <c r="I118" s="2"/>
      <c r="J118" s="2"/>
      <c r="K118" s="2"/>
      <c r="L118" s="2"/>
      <c r="M118" s="2"/>
      <c r="N118" s="2"/>
      <c r="O118" s="2"/>
      <c r="P118" s="2"/>
    </row>
    <row r="119" spans="1:16" x14ac:dyDescent="0.25">
      <c r="A119" s="2"/>
      <c r="B119" s="2"/>
      <c r="C119" s="2"/>
      <c r="D119" s="2"/>
      <c r="E119" s="2"/>
      <c r="F119" s="11"/>
      <c r="G119" s="2"/>
      <c r="H119" s="2"/>
      <c r="I119" s="2"/>
      <c r="J119" s="2"/>
      <c r="K119" s="2"/>
      <c r="L119" s="2"/>
      <c r="M119" s="2"/>
      <c r="N119" s="2"/>
      <c r="O119" s="2"/>
      <c r="P119" s="2"/>
    </row>
    <row r="120" spans="1:16" x14ac:dyDescent="0.25">
      <c r="A120" s="2"/>
      <c r="B120" s="2"/>
      <c r="C120" s="2"/>
      <c r="D120" s="2"/>
      <c r="E120" s="2"/>
      <c r="F120" s="11"/>
      <c r="G120" s="2"/>
      <c r="H120" s="2"/>
      <c r="I120" s="2"/>
      <c r="J120" s="2"/>
      <c r="K120" s="2"/>
      <c r="L120" s="2"/>
      <c r="M120" s="2"/>
      <c r="N120" s="2"/>
      <c r="O120" s="2"/>
      <c r="P120" s="2"/>
    </row>
    <row r="121" spans="1:16" x14ac:dyDescent="0.25">
      <c r="A121" s="2"/>
      <c r="B121" s="2"/>
      <c r="C121" s="2"/>
      <c r="D121" s="2"/>
      <c r="E121" s="2"/>
      <c r="F121" s="11"/>
      <c r="G121" s="2"/>
      <c r="H121" s="2"/>
      <c r="I121" s="2"/>
      <c r="J121" s="2"/>
      <c r="K121" s="2"/>
      <c r="L121" s="2"/>
      <c r="M121" s="2"/>
      <c r="N121" s="2"/>
      <c r="O121" s="2"/>
      <c r="P121" s="2"/>
    </row>
    <row r="122" spans="1:16" x14ac:dyDescent="0.25">
      <c r="A122" s="2"/>
      <c r="B122" s="2"/>
      <c r="C122" s="2"/>
      <c r="D122" s="2"/>
      <c r="E122" s="2"/>
      <c r="F122" s="11"/>
      <c r="G122" s="2"/>
      <c r="H122" s="2"/>
      <c r="I122" s="2"/>
      <c r="J122" s="2"/>
      <c r="K122" s="2"/>
      <c r="L122" s="2"/>
      <c r="M122" s="2"/>
      <c r="N122" s="2"/>
      <c r="O122" s="2"/>
      <c r="P122" s="2"/>
    </row>
    <row r="123" spans="1:16" x14ac:dyDescent="0.25">
      <c r="A123" s="2"/>
      <c r="B123" s="2"/>
      <c r="C123" s="2"/>
      <c r="D123" s="2"/>
      <c r="E123" s="2"/>
      <c r="F123" s="11"/>
      <c r="G123" s="2"/>
      <c r="H123" s="2"/>
      <c r="I123" s="2"/>
      <c r="J123" s="2"/>
      <c r="K123" s="2"/>
      <c r="L123" s="2"/>
      <c r="M123" s="2"/>
      <c r="N123" s="2"/>
      <c r="O123" s="2"/>
      <c r="P123" s="2"/>
    </row>
    <row r="124" spans="1:16" x14ac:dyDescent="0.25">
      <c r="A124" s="2"/>
      <c r="B124" s="2"/>
      <c r="C124" s="2"/>
      <c r="D124" s="2"/>
      <c r="E124" s="2"/>
      <c r="F124" s="11"/>
      <c r="G124" s="2"/>
      <c r="H124" s="2"/>
      <c r="I124" s="2"/>
      <c r="J124" s="2"/>
      <c r="K124" s="2"/>
      <c r="L124" s="2"/>
      <c r="M124" s="2"/>
      <c r="N124" s="2"/>
      <c r="O124" s="2"/>
      <c r="P124" s="2"/>
    </row>
    <row r="125" spans="1:16" x14ac:dyDescent="0.25">
      <c r="A125" s="2"/>
      <c r="B125" s="2"/>
      <c r="C125" s="2"/>
      <c r="D125" s="2"/>
      <c r="E125" s="2"/>
      <c r="F125" s="11"/>
      <c r="G125" s="2"/>
      <c r="H125" s="2"/>
      <c r="I125" s="2"/>
      <c r="J125" s="2"/>
      <c r="K125" s="2"/>
      <c r="L125" s="2"/>
      <c r="M125" s="2"/>
      <c r="N125" s="2"/>
      <c r="O125" s="2"/>
      <c r="P125" s="2"/>
    </row>
    <row r="126" spans="1:16" x14ac:dyDescent="0.25">
      <c r="A126" s="2"/>
      <c r="B126" s="2"/>
      <c r="C126" s="2"/>
      <c r="D126" s="2"/>
      <c r="E126" s="2"/>
      <c r="F126" s="11"/>
      <c r="G126" s="2"/>
      <c r="H126" s="2"/>
      <c r="I126" s="2"/>
      <c r="J126" s="2"/>
      <c r="K126" s="2"/>
      <c r="L126" s="2"/>
      <c r="M126" s="2"/>
      <c r="N126" s="2"/>
      <c r="O126" s="2"/>
      <c r="P126" s="2"/>
    </row>
    <row r="127" spans="1:16" x14ac:dyDescent="0.25">
      <c r="A127" s="2"/>
      <c r="B127" s="2"/>
      <c r="C127" s="2"/>
      <c r="D127" s="2"/>
      <c r="E127" s="2"/>
      <c r="F127" s="11"/>
      <c r="G127" s="2"/>
      <c r="H127" s="2"/>
      <c r="I127" s="2"/>
      <c r="J127" s="2"/>
      <c r="K127" s="2"/>
      <c r="L127" s="2"/>
      <c r="M127" s="2"/>
      <c r="N127" s="2"/>
      <c r="O127" s="2"/>
      <c r="P127" s="2"/>
    </row>
    <row r="128" spans="1:16" x14ac:dyDescent="0.25">
      <c r="A128" s="2"/>
      <c r="B128" s="2"/>
      <c r="C128" s="2"/>
      <c r="D128" s="2"/>
      <c r="E128" s="2"/>
      <c r="F128" s="11"/>
      <c r="G128" s="2"/>
      <c r="H128" s="2"/>
      <c r="I128" s="2"/>
      <c r="J128" s="2"/>
      <c r="K128" s="2"/>
      <c r="L128" s="2"/>
      <c r="M128" s="2"/>
      <c r="N128" s="2"/>
      <c r="O128" s="2"/>
      <c r="P128" s="2"/>
    </row>
    <row r="129" spans="1:16" x14ac:dyDescent="0.25">
      <c r="A129" s="2"/>
      <c r="B129" s="2"/>
      <c r="C129" s="2"/>
      <c r="D129" s="2"/>
      <c r="E129" s="2"/>
      <c r="F129" s="11"/>
      <c r="G129" s="2"/>
      <c r="H129" s="2"/>
      <c r="I129" s="2"/>
      <c r="J129" s="2"/>
      <c r="K129" s="2"/>
      <c r="L129" s="2"/>
      <c r="M129" s="2"/>
      <c r="N129" s="2"/>
      <c r="O129" s="2"/>
      <c r="P129" s="2"/>
    </row>
    <row r="130" spans="1:16" x14ac:dyDescent="0.25">
      <c r="A130" s="2"/>
      <c r="B130" s="2"/>
      <c r="C130" s="2"/>
      <c r="D130" s="2"/>
      <c r="E130" s="2"/>
      <c r="F130" s="11"/>
      <c r="G130" s="2"/>
      <c r="H130" s="2"/>
      <c r="I130" s="2"/>
      <c r="J130" s="2"/>
      <c r="K130" s="2"/>
      <c r="L130" s="2"/>
      <c r="M130" s="2"/>
      <c r="N130" s="2"/>
      <c r="O130" s="2"/>
      <c r="P130" s="2"/>
    </row>
    <row r="131" spans="1:16" x14ac:dyDescent="0.25">
      <c r="A131" s="2"/>
      <c r="B131" s="2"/>
      <c r="C131" s="2"/>
      <c r="D131" s="2"/>
      <c r="E131" s="2"/>
      <c r="F131" s="11"/>
      <c r="G131" s="2"/>
      <c r="H131" s="2"/>
      <c r="I131" s="2"/>
      <c r="J131" s="2"/>
      <c r="K131" s="2"/>
      <c r="L131" s="2"/>
      <c r="M131" s="2"/>
      <c r="N131" s="2"/>
      <c r="O131" s="2"/>
      <c r="P131" s="2"/>
    </row>
    <row r="132" spans="1:16" x14ac:dyDescent="0.25">
      <c r="A132" s="2"/>
      <c r="B132" s="2"/>
      <c r="C132" s="2"/>
      <c r="D132" s="2"/>
      <c r="E132" s="2"/>
      <c r="F132" s="11"/>
      <c r="G132" s="2"/>
      <c r="H132" s="2"/>
      <c r="I132" s="2"/>
      <c r="J132" s="2"/>
      <c r="K132" s="2"/>
      <c r="L132" s="2"/>
      <c r="M132" s="2"/>
      <c r="N132" s="2"/>
      <c r="O132" s="2"/>
      <c r="P132" s="2"/>
    </row>
    <row r="133" spans="1:16" x14ac:dyDescent="0.25">
      <c r="A133" s="2"/>
      <c r="B133" s="2"/>
      <c r="C133" s="2"/>
      <c r="D133" s="2"/>
      <c r="E133" s="2"/>
      <c r="F133" s="11"/>
      <c r="G133" s="2"/>
      <c r="H133" s="2"/>
      <c r="I133" s="2"/>
      <c r="J133" s="2"/>
      <c r="K133" s="2"/>
      <c r="L133" s="2"/>
      <c r="M133" s="2"/>
      <c r="N133" s="2"/>
      <c r="O133" s="2"/>
      <c r="P133" s="2"/>
    </row>
    <row r="134" spans="1:16" x14ac:dyDescent="0.25">
      <c r="A134" s="2"/>
      <c r="B134" s="2"/>
      <c r="C134" s="2"/>
      <c r="D134" s="2"/>
      <c r="E134" s="2"/>
      <c r="F134" s="11"/>
      <c r="G134" s="2"/>
      <c r="H134" s="2"/>
      <c r="I134" s="2"/>
      <c r="J134" s="2"/>
      <c r="K134" s="2"/>
      <c r="L134" s="2"/>
      <c r="M134" s="2"/>
      <c r="N134" s="2"/>
      <c r="O134" s="2"/>
      <c r="P134" s="2"/>
    </row>
    <row r="135" spans="1:16" x14ac:dyDescent="0.25">
      <c r="A135" s="2"/>
      <c r="B135" s="2"/>
      <c r="C135" s="2"/>
      <c r="D135" s="2"/>
      <c r="E135" s="2"/>
      <c r="F135" s="11"/>
      <c r="G135" s="2"/>
      <c r="H135" s="2"/>
      <c r="I135" s="2"/>
      <c r="J135" s="2"/>
      <c r="K135" s="2"/>
      <c r="L135" s="2"/>
      <c r="M135" s="2"/>
      <c r="N135" s="2"/>
      <c r="O135" s="2"/>
      <c r="P135" s="2"/>
    </row>
    <row r="136" spans="1:16" x14ac:dyDescent="0.25">
      <c r="A136" s="2"/>
      <c r="B136" s="2"/>
      <c r="C136" s="2"/>
      <c r="D136" s="2"/>
      <c r="E136" s="2"/>
      <c r="F136" s="11"/>
      <c r="G136" s="2"/>
      <c r="H136" s="2"/>
      <c r="I136" s="2"/>
      <c r="J136" s="2"/>
      <c r="K136" s="2"/>
      <c r="L136" s="2"/>
      <c r="M136" s="2"/>
      <c r="N136" s="2"/>
      <c r="O136" s="2"/>
      <c r="P136" s="2"/>
    </row>
    <row r="137" spans="1:16" x14ac:dyDescent="0.25">
      <c r="A137" s="2"/>
      <c r="B137" s="2"/>
      <c r="C137" s="2"/>
      <c r="D137" s="2"/>
      <c r="E137" s="2"/>
      <c r="F137" s="11"/>
      <c r="G137" s="2"/>
      <c r="H137" s="2"/>
      <c r="I137" s="2"/>
      <c r="J137" s="2"/>
      <c r="K137" s="2"/>
      <c r="L137" s="2"/>
      <c r="M137" s="2"/>
      <c r="N137" s="2"/>
      <c r="O137" s="2"/>
      <c r="P137" s="2"/>
    </row>
    <row r="138" spans="1:16" x14ac:dyDescent="0.25">
      <c r="A138" s="2"/>
      <c r="B138" s="2"/>
      <c r="C138" s="2"/>
      <c r="D138" s="2"/>
      <c r="E138" s="2"/>
      <c r="F138" s="11"/>
      <c r="G138" s="2"/>
      <c r="H138" s="2"/>
      <c r="I138" s="2"/>
      <c r="J138" s="2"/>
      <c r="K138" s="2"/>
      <c r="L138" s="2"/>
      <c r="M138" s="2"/>
      <c r="N138" s="2"/>
      <c r="O138" s="2"/>
      <c r="P138" s="2"/>
    </row>
    <row r="139" spans="1:16" x14ac:dyDescent="0.25">
      <c r="A139" s="2"/>
      <c r="B139" s="2"/>
      <c r="C139" s="2"/>
      <c r="D139" s="2"/>
      <c r="E139" s="2"/>
      <c r="F139" s="11"/>
      <c r="G139" s="2"/>
      <c r="H139" s="2"/>
      <c r="I139" s="2"/>
      <c r="J139" s="2"/>
      <c r="K139" s="2"/>
      <c r="L139" s="2"/>
      <c r="M139" s="2"/>
      <c r="N139" s="2"/>
      <c r="O139" s="2"/>
      <c r="P139" s="2"/>
    </row>
    <row r="140" spans="1:16" x14ac:dyDescent="0.25">
      <c r="A140" s="2"/>
      <c r="B140" s="2"/>
      <c r="C140" s="2"/>
      <c r="D140" s="2"/>
      <c r="E140" s="2"/>
      <c r="F140" s="11"/>
      <c r="G140" s="2"/>
      <c r="H140" s="2"/>
      <c r="I140" s="2"/>
      <c r="J140" s="2"/>
      <c r="K140" s="2"/>
      <c r="L140" s="2"/>
      <c r="M140" s="2"/>
      <c r="N140" s="2"/>
      <c r="O140" s="2"/>
      <c r="P140" s="2"/>
    </row>
    <row r="141" spans="1:16" x14ac:dyDescent="0.25">
      <c r="A141" s="2"/>
      <c r="B141" s="2"/>
      <c r="C141" s="2"/>
      <c r="D141" s="2"/>
      <c r="E141" s="2"/>
      <c r="F141" s="11"/>
      <c r="G141" s="2"/>
      <c r="H141" s="2"/>
      <c r="I141" s="2"/>
      <c r="J141" s="2"/>
      <c r="K141" s="2"/>
      <c r="L141" s="2"/>
      <c r="M141" s="2"/>
      <c r="N141" s="2"/>
      <c r="O141" s="2"/>
      <c r="P141" s="2"/>
    </row>
    <row r="142" spans="1:16" x14ac:dyDescent="0.25">
      <c r="A142" s="2"/>
      <c r="B142" s="2"/>
      <c r="C142" s="2"/>
      <c r="D142" s="2"/>
      <c r="E142" s="2"/>
      <c r="F142" s="11"/>
      <c r="G142" s="2"/>
      <c r="H142" s="2"/>
      <c r="I142" s="2"/>
      <c r="J142" s="2"/>
      <c r="K142" s="2"/>
      <c r="L142" s="2"/>
      <c r="M142" s="2"/>
      <c r="N142" s="2"/>
      <c r="O142" s="2"/>
      <c r="P142" s="2"/>
    </row>
    <row r="143" spans="1:16" x14ac:dyDescent="0.25">
      <c r="A143" s="2"/>
      <c r="B143" s="2"/>
      <c r="C143" s="2"/>
      <c r="D143" s="2"/>
      <c r="E143" s="2"/>
      <c r="F143" s="11"/>
      <c r="G143" s="2"/>
      <c r="H143" s="2"/>
      <c r="I143" s="2"/>
      <c r="J143" s="2"/>
      <c r="K143" s="2"/>
      <c r="L143" s="2"/>
      <c r="M143" s="2"/>
      <c r="N143" s="2"/>
      <c r="O143" s="2"/>
      <c r="P143" s="2"/>
    </row>
    <row r="144" spans="1:16" x14ac:dyDescent="0.25">
      <c r="A144" s="2"/>
      <c r="B144" s="2"/>
      <c r="C144" s="2"/>
      <c r="D144" s="2"/>
      <c r="E144" s="2"/>
      <c r="F144" s="11"/>
      <c r="G144" s="2"/>
      <c r="H144" s="2"/>
      <c r="I144" s="2"/>
      <c r="J144" s="2"/>
      <c r="K144" s="2"/>
      <c r="L144" s="2"/>
      <c r="M144" s="2"/>
      <c r="N144" s="2"/>
      <c r="O144" s="2"/>
      <c r="P144" s="2"/>
    </row>
    <row r="145" spans="1:16" x14ac:dyDescent="0.25">
      <c r="A145" s="2"/>
      <c r="B145" s="2"/>
      <c r="C145" s="2"/>
      <c r="D145" s="2"/>
      <c r="E145" s="2"/>
      <c r="F145" s="11"/>
      <c r="G145" s="2"/>
      <c r="H145" s="2"/>
      <c r="I145" s="2"/>
      <c r="J145" s="2"/>
      <c r="K145" s="2"/>
      <c r="L145" s="2"/>
      <c r="M145" s="2"/>
      <c r="N145" s="2"/>
      <c r="O145" s="2"/>
      <c r="P145" s="2"/>
    </row>
    <row r="146" spans="1:16" x14ac:dyDescent="0.25">
      <c r="A146" s="2"/>
      <c r="B146" s="2"/>
      <c r="C146" s="2"/>
      <c r="D146" s="2"/>
      <c r="E146" s="2"/>
      <c r="F146" s="11"/>
      <c r="G146" s="2"/>
      <c r="H146" s="2"/>
      <c r="I146" s="2"/>
      <c r="J146" s="2"/>
      <c r="K146" s="2"/>
      <c r="L146" s="2"/>
      <c r="M146" s="2"/>
      <c r="N146" s="2"/>
      <c r="O146" s="2"/>
      <c r="P146" s="2"/>
    </row>
    <row r="147" spans="1:16" x14ac:dyDescent="0.25">
      <c r="A147" s="2"/>
      <c r="B147" s="2"/>
      <c r="C147" s="2"/>
      <c r="D147" s="2"/>
      <c r="E147" s="2"/>
      <c r="F147" s="11"/>
      <c r="G147" s="2"/>
      <c r="H147" s="2"/>
      <c r="I147" s="2"/>
      <c r="J147" s="2"/>
      <c r="K147" s="2"/>
      <c r="L147" s="2"/>
      <c r="M147" s="2"/>
      <c r="N147" s="2"/>
      <c r="O147" s="2"/>
      <c r="P147" s="2"/>
    </row>
    <row r="148" spans="1:16" x14ac:dyDescent="0.25">
      <c r="A148" s="2"/>
      <c r="B148" s="2"/>
      <c r="C148" s="2"/>
      <c r="D148" s="2"/>
      <c r="E148" s="2"/>
      <c r="F148" s="11"/>
      <c r="G148" s="2"/>
      <c r="H148" s="2"/>
      <c r="I148" s="2"/>
      <c r="J148" s="2"/>
      <c r="K148" s="2"/>
      <c r="L148" s="2"/>
      <c r="M148" s="2"/>
      <c r="N148" s="2"/>
      <c r="O148" s="2"/>
      <c r="P148" s="2"/>
    </row>
    <row r="149" spans="1:16" x14ac:dyDescent="0.25">
      <c r="A149" s="2"/>
      <c r="B149" s="2"/>
      <c r="C149" s="2"/>
      <c r="D149" s="2"/>
      <c r="E149" s="2"/>
      <c r="F149" s="11"/>
      <c r="G149" s="2"/>
      <c r="H149" s="2"/>
      <c r="I149" s="2"/>
      <c r="J149" s="2"/>
      <c r="K149" s="2"/>
      <c r="L149" s="2"/>
      <c r="M149" s="2"/>
      <c r="N149" s="2"/>
      <c r="O149" s="2"/>
      <c r="P149" s="2"/>
    </row>
    <row r="150" spans="1:16" x14ac:dyDescent="0.25">
      <c r="A150" s="2"/>
      <c r="B150" s="2"/>
      <c r="C150" s="2"/>
      <c r="D150" s="2"/>
      <c r="E150" s="2"/>
      <c r="F150" s="11"/>
      <c r="G150" s="2"/>
      <c r="H150" s="2"/>
      <c r="I150" s="2"/>
      <c r="J150" s="2"/>
      <c r="K150" s="2"/>
      <c r="L150" s="2"/>
      <c r="M150" s="2"/>
      <c r="N150" s="2"/>
      <c r="O150" s="2"/>
      <c r="P150" s="2"/>
    </row>
    <row r="151" spans="1:16" x14ac:dyDescent="0.25">
      <c r="A151" s="2"/>
      <c r="B151" s="2"/>
      <c r="C151" s="2"/>
      <c r="D151" s="2"/>
      <c r="E151" s="2"/>
      <c r="F151" s="11"/>
      <c r="G151" s="2"/>
      <c r="H151" s="2"/>
      <c r="I151" s="2"/>
      <c r="J151" s="2"/>
      <c r="K151" s="2"/>
      <c r="L151" s="2"/>
      <c r="M151" s="2"/>
      <c r="N151" s="2"/>
      <c r="O151" s="2"/>
      <c r="P151" s="2"/>
    </row>
    <row r="152" spans="1:16" x14ac:dyDescent="0.25">
      <c r="A152" s="2"/>
      <c r="B152" s="2"/>
      <c r="C152" s="2"/>
      <c r="D152" s="2"/>
      <c r="E152" s="2"/>
      <c r="F152" s="11"/>
      <c r="G152" s="2"/>
      <c r="H152" s="2"/>
      <c r="I152" s="2"/>
      <c r="J152" s="2"/>
      <c r="K152" s="2"/>
      <c r="L152" s="2"/>
      <c r="M152" s="2"/>
      <c r="N152" s="2"/>
      <c r="O152" s="2"/>
      <c r="P152" s="2"/>
    </row>
    <row r="153" spans="1:16" x14ac:dyDescent="0.25">
      <c r="A153" s="2"/>
      <c r="B153" s="2"/>
      <c r="C153" s="2"/>
      <c r="D153" s="2"/>
      <c r="E153" s="2"/>
      <c r="F153" s="11"/>
      <c r="G153" s="2"/>
      <c r="H153" s="2"/>
      <c r="I153" s="2"/>
      <c r="J153" s="2"/>
      <c r="K153" s="2"/>
      <c r="L153" s="2"/>
      <c r="M153" s="2"/>
      <c r="N153" s="2"/>
      <c r="O153" s="2"/>
      <c r="P153" s="2"/>
    </row>
    <row r="154" spans="1:16" x14ac:dyDescent="0.25">
      <c r="A154" s="2"/>
      <c r="B154" s="2"/>
      <c r="C154" s="2"/>
      <c r="D154" s="2"/>
      <c r="E154" s="2"/>
      <c r="F154" s="11"/>
      <c r="G154" s="2"/>
      <c r="H154" s="2"/>
      <c r="I154" s="2"/>
      <c r="J154" s="2"/>
      <c r="K154" s="2"/>
      <c r="L154" s="2"/>
      <c r="M154" s="2"/>
      <c r="N154" s="2"/>
      <c r="O154" s="2"/>
      <c r="P154" s="2"/>
    </row>
    <row r="155" spans="1:16" x14ac:dyDescent="0.25">
      <c r="A155" s="2"/>
      <c r="B155" s="2"/>
      <c r="C155" s="2"/>
      <c r="D155" s="2"/>
      <c r="E155" s="2"/>
      <c r="F155" s="11"/>
      <c r="G155" s="2"/>
      <c r="H155" s="2"/>
      <c r="I155" s="2"/>
      <c r="J155" s="2"/>
      <c r="K155" s="2"/>
      <c r="L155" s="2"/>
      <c r="M155" s="2"/>
      <c r="N155" s="2"/>
      <c r="O155" s="2"/>
      <c r="P155" s="2"/>
    </row>
    <row r="156" spans="1:16" x14ac:dyDescent="0.25">
      <c r="A156" s="2"/>
      <c r="B156" s="2"/>
      <c r="C156" s="2"/>
      <c r="D156" s="2"/>
      <c r="E156" s="2"/>
      <c r="F156" s="11"/>
      <c r="G156" s="2"/>
      <c r="H156" s="2"/>
      <c r="I156" s="2"/>
      <c r="J156" s="2"/>
      <c r="K156" s="2"/>
      <c r="L156" s="2"/>
      <c r="M156" s="2"/>
      <c r="N156" s="2"/>
      <c r="O156" s="2"/>
      <c r="P156" s="2"/>
    </row>
    <row r="157" spans="1:16" x14ac:dyDescent="0.25">
      <c r="A157" s="2"/>
      <c r="B157" s="2"/>
      <c r="C157" s="2"/>
      <c r="D157" s="2"/>
      <c r="E157" s="2"/>
      <c r="F157" s="11"/>
      <c r="G157" s="2"/>
      <c r="H157" s="2"/>
      <c r="I157" s="2"/>
      <c r="J157" s="2"/>
      <c r="K157" s="2"/>
      <c r="L157" s="2"/>
      <c r="M157" s="2"/>
      <c r="N157" s="2"/>
      <c r="O157" s="2"/>
      <c r="P157" s="2"/>
    </row>
    <row r="158" spans="1:16" x14ac:dyDescent="0.25">
      <c r="A158" s="2"/>
      <c r="B158" s="2"/>
      <c r="C158" s="2"/>
      <c r="D158" s="2"/>
      <c r="E158" s="2"/>
      <c r="F158" s="11"/>
      <c r="G158" s="2"/>
      <c r="H158" s="2"/>
      <c r="I158" s="2"/>
      <c r="J158" s="2"/>
      <c r="K158" s="2"/>
      <c r="L158" s="2"/>
      <c r="M158" s="2"/>
      <c r="N158" s="2"/>
      <c r="O158" s="2"/>
      <c r="P158" s="2"/>
    </row>
    <row r="159" spans="1:16" x14ac:dyDescent="0.25">
      <c r="A159" s="2"/>
      <c r="B159" s="2"/>
      <c r="C159" s="2"/>
      <c r="D159" s="2"/>
      <c r="E159" s="2"/>
      <c r="F159" s="11"/>
      <c r="G159" s="2"/>
      <c r="H159" s="2"/>
      <c r="I159" s="2"/>
      <c r="J159" s="2"/>
      <c r="K159" s="2"/>
      <c r="L159" s="2"/>
      <c r="M159" s="2"/>
      <c r="N159" s="2"/>
      <c r="O159" s="2"/>
      <c r="P159" s="2"/>
    </row>
    <row r="160" spans="1:16" x14ac:dyDescent="0.25">
      <c r="A160" s="2"/>
      <c r="B160" s="2"/>
      <c r="C160" s="2"/>
      <c r="D160" s="2"/>
      <c r="E160" s="2"/>
      <c r="F160" s="11"/>
      <c r="G160" s="2"/>
      <c r="H160" s="2"/>
      <c r="I160" s="2"/>
      <c r="J160" s="2"/>
      <c r="K160" s="2"/>
      <c r="L160" s="2"/>
      <c r="M160" s="2"/>
      <c r="N160" s="2"/>
      <c r="O160" s="2"/>
      <c r="P160" s="2"/>
    </row>
    <row r="161" spans="1:16" x14ac:dyDescent="0.25">
      <c r="A161" s="2"/>
      <c r="B161" s="2"/>
      <c r="C161" s="2"/>
      <c r="D161" s="2"/>
      <c r="E161" s="2"/>
      <c r="F161" s="11"/>
      <c r="G161" s="2"/>
      <c r="H161" s="2"/>
      <c r="I161" s="2"/>
      <c r="J161" s="2"/>
      <c r="K161" s="2"/>
      <c r="L161" s="2"/>
      <c r="M161" s="2"/>
      <c r="N161" s="2"/>
      <c r="O161" s="2"/>
      <c r="P161" s="2"/>
    </row>
    <row r="162" spans="1:16" x14ac:dyDescent="0.25">
      <c r="A162" s="2"/>
      <c r="B162" s="2"/>
      <c r="C162" s="2"/>
      <c r="D162" s="2"/>
      <c r="E162" s="2"/>
      <c r="F162" s="11"/>
      <c r="G162" s="2"/>
      <c r="H162" s="2"/>
      <c r="I162" s="2"/>
      <c r="J162" s="2"/>
      <c r="K162" s="2"/>
      <c r="L162" s="2"/>
      <c r="M162" s="2"/>
      <c r="N162" s="2"/>
      <c r="O162" s="2"/>
      <c r="P162" s="2"/>
    </row>
    <row r="163" spans="1:16" x14ac:dyDescent="0.25">
      <c r="A163" s="2"/>
      <c r="B163" s="2"/>
      <c r="C163" s="2"/>
      <c r="D163" s="2"/>
      <c r="E163" s="2"/>
      <c r="F163" s="11"/>
      <c r="G163" s="2"/>
      <c r="H163" s="2"/>
      <c r="I163" s="2"/>
      <c r="J163" s="2"/>
      <c r="K163" s="2"/>
      <c r="L163" s="2"/>
      <c r="M163" s="2"/>
      <c r="N163" s="2"/>
      <c r="O163" s="2"/>
      <c r="P163" s="2"/>
    </row>
    <row r="164" spans="1:16" x14ac:dyDescent="0.25">
      <c r="A164" s="2"/>
      <c r="B164" s="2"/>
      <c r="C164" s="2"/>
      <c r="D164" s="2"/>
      <c r="E164" s="2"/>
      <c r="F164" s="11"/>
      <c r="G164" s="2"/>
      <c r="H164" s="2"/>
      <c r="I164" s="2"/>
      <c r="J164" s="2"/>
      <c r="K164" s="2"/>
      <c r="L164" s="2"/>
      <c r="M164" s="2"/>
      <c r="N164" s="2"/>
      <c r="O164" s="2"/>
      <c r="P164" s="2"/>
    </row>
    <row r="165" spans="1:16" x14ac:dyDescent="0.25">
      <c r="A165" s="2"/>
      <c r="B165" s="2"/>
      <c r="C165" s="2"/>
      <c r="D165" s="2"/>
      <c r="E165" s="2"/>
      <c r="F165" s="11"/>
      <c r="G165" s="2"/>
      <c r="H165" s="2"/>
      <c r="I165" s="2"/>
      <c r="J165" s="2"/>
      <c r="K165" s="2"/>
      <c r="L165" s="2"/>
      <c r="M165" s="2"/>
      <c r="N165" s="2"/>
      <c r="O165" s="2"/>
      <c r="P165" s="2"/>
    </row>
    <row r="166" spans="1:16" x14ac:dyDescent="0.25">
      <c r="A166" s="2"/>
      <c r="B166" s="2"/>
      <c r="C166" s="2"/>
      <c r="D166" s="2"/>
      <c r="E166" s="2"/>
      <c r="F166" s="11"/>
      <c r="G166" s="2"/>
      <c r="H166" s="2"/>
      <c r="I166" s="2"/>
      <c r="J166" s="2"/>
      <c r="K166" s="2"/>
      <c r="L166" s="2"/>
      <c r="M166" s="2"/>
      <c r="N166" s="2"/>
      <c r="O166" s="2"/>
      <c r="P166" s="2"/>
    </row>
    <row r="167" spans="1:16" x14ac:dyDescent="0.25">
      <c r="A167" s="2"/>
      <c r="B167" s="2"/>
      <c r="C167" s="2"/>
      <c r="D167" s="2"/>
      <c r="E167" s="2"/>
      <c r="F167" s="11"/>
      <c r="G167" s="2"/>
      <c r="H167" s="2"/>
      <c r="I167" s="2"/>
      <c r="J167" s="2"/>
      <c r="K167" s="2"/>
      <c r="L167" s="2"/>
      <c r="M167" s="2"/>
      <c r="N167" s="2"/>
      <c r="O167" s="2"/>
      <c r="P167" s="2"/>
    </row>
    <row r="168" spans="1:16" x14ac:dyDescent="0.25">
      <c r="A168" s="2"/>
      <c r="B168" s="2"/>
      <c r="C168" s="2"/>
      <c r="D168" s="2"/>
      <c r="E168" s="2"/>
      <c r="F168" s="11"/>
      <c r="G168" s="2"/>
      <c r="H168" s="2"/>
      <c r="I168" s="2"/>
      <c r="J168" s="2"/>
      <c r="K168" s="2"/>
      <c r="L168" s="2"/>
      <c r="M168" s="2"/>
      <c r="N168" s="2"/>
      <c r="O168" s="2"/>
      <c r="P168" s="2"/>
    </row>
    <row r="169" spans="1:16" x14ac:dyDescent="0.25">
      <c r="A169" s="2"/>
      <c r="B169" s="2"/>
      <c r="C169" s="2"/>
      <c r="D169" s="2"/>
      <c r="E169" s="2"/>
      <c r="F169" s="11"/>
      <c r="G169" s="2"/>
      <c r="H169" s="2"/>
      <c r="I169" s="2"/>
      <c r="J169" s="2"/>
      <c r="K169" s="2"/>
      <c r="L169" s="2"/>
      <c r="M169" s="2"/>
      <c r="N169" s="2"/>
      <c r="O169" s="2"/>
      <c r="P169" s="2"/>
    </row>
    <row r="170" spans="1:16" x14ac:dyDescent="0.25">
      <c r="A170" s="2"/>
      <c r="B170" s="2"/>
      <c r="C170" s="2"/>
      <c r="D170" s="2"/>
      <c r="E170" s="2"/>
      <c r="F170" s="11"/>
      <c r="G170" s="2"/>
      <c r="H170" s="2"/>
      <c r="I170" s="2"/>
      <c r="J170" s="2"/>
      <c r="K170" s="2"/>
      <c r="L170" s="2"/>
      <c r="M170" s="2"/>
      <c r="N170" s="2"/>
      <c r="O170" s="2"/>
      <c r="P170" s="2"/>
    </row>
    <row r="171" spans="1:16" x14ac:dyDescent="0.25">
      <c r="A171" s="2"/>
      <c r="B171" s="2"/>
      <c r="C171" s="2"/>
      <c r="D171" s="2"/>
      <c r="E171" s="2"/>
      <c r="F171" s="11"/>
      <c r="G171" s="2"/>
      <c r="H171" s="2"/>
      <c r="I171" s="2"/>
      <c r="J171" s="2"/>
      <c r="K171" s="2"/>
      <c r="L171" s="2"/>
      <c r="M171" s="2"/>
      <c r="N171" s="2"/>
      <c r="O171" s="2"/>
      <c r="P171" s="2"/>
    </row>
    <row r="172" spans="1:16" x14ac:dyDescent="0.25">
      <c r="A172" s="2"/>
      <c r="B172" s="2"/>
      <c r="C172" s="2"/>
      <c r="D172" s="2"/>
      <c r="E172" s="2"/>
      <c r="F172" s="11"/>
      <c r="G172" s="2"/>
      <c r="H172" s="2"/>
      <c r="I172" s="2"/>
      <c r="J172" s="2"/>
      <c r="K172" s="2"/>
      <c r="L172" s="2"/>
      <c r="M172" s="2"/>
      <c r="N172" s="2"/>
      <c r="O172" s="2"/>
      <c r="P172" s="2"/>
    </row>
    <row r="173" spans="1:16" x14ac:dyDescent="0.25">
      <c r="A173" s="2"/>
      <c r="B173" s="2"/>
      <c r="C173" s="2"/>
      <c r="D173" s="2"/>
      <c r="E173" s="2"/>
      <c r="F173" s="11"/>
      <c r="G173" s="2"/>
      <c r="H173" s="2"/>
      <c r="I173" s="2"/>
      <c r="J173" s="2"/>
      <c r="K173" s="2"/>
      <c r="L173" s="2"/>
      <c r="M173" s="2"/>
      <c r="N173" s="2"/>
      <c r="O173" s="2"/>
      <c r="P173" s="2"/>
    </row>
    <row r="174" spans="1:16" x14ac:dyDescent="0.25">
      <c r="A174" s="2"/>
      <c r="B174" s="2"/>
      <c r="C174" s="2"/>
      <c r="D174" s="2"/>
      <c r="E174" s="2"/>
      <c r="F174" s="11"/>
      <c r="G174" s="2"/>
      <c r="H174" s="2"/>
      <c r="I174" s="2"/>
      <c r="J174" s="2"/>
      <c r="K174" s="2"/>
      <c r="L174" s="2"/>
      <c r="M174" s="2"/>
      <c r="N174" s="2"/>
      <c r="O174" s="2"/>
      <c r="P174" s="2"/>
    </row>
    <row r="175" spans="1:16" x14ac:dyDescent="0.25">
      <c r="A175" s="2"/>
      <c r="B175" s="2"/>
      <c r="C175" s="2"/>
      <c r="D175" s="2"/>
      <c r="E175" s="2"/>
      <c r="F175" s="11"/>
      <c r="G175" s="2"/>
      <c r="H175" s="2"/>
      <c r="I175" s="2"/>
      <c r="J175" s="2"/>
      <c r="K175" s="2"/>
      <c r="L175" s="2"/>
      <c r="M175" s="2"/>
      <c r="N175" s="2"/>
      <c r="O175" s="2"/>
      <c r="P175" s="2"/>
    </row>
    <row r="176" spans="1:16" x14ac:dyDescent="0.25">
      <c r="A176" s="2"/>
      <c r="B176" s="2"/>
      <c r="C176" s="2"/>
      <c r="D176" s="2"/>
      <c r="E176" s="2"/>
      <c r="F176" s="11"/>
      <c r="G176" s="2"/>
      <c r="H176" s="2"/>
      <c r="I176" s="2"/>
      <c r="J176" s="2"/>
      <c r="K176" s="2"/>
      <c r="L176" s="2"/>
      <c r="M176" s="2"/>
      <c r="N176" s="2"/>
      <c r="O176" s="2"/>
      <c r="P176" s="2"/>
    </row>
    <row r="177" spans="1:16" x14ac:dyDescent="0.25">
      <c r="A177" s="2"/>
      <c r="B177" s="2"/>
      <c r="C177" s="2"/>
      <c r="D177" s="2"/>
      <c r="E177" s="2"/>
      <c r="F177" s="11"/>
      <c r="G177" s="2"/>
      <c r="H177" s="2"/>
      <c r="I177" s="2"/>
      <c r="J177" s="2"/>
      <c r="K177" s="2"/>
      <c r="L177" s="2"/>
      <c r="M177" s="2"/>
      <c r="N177" s="2"/>
      <c r="O177" s="2"/>
      <c r="P177" s="2"/>
    </row>
    <row r="178" spans="1:16" x14ac:dyDescent="0.25">
      <c r="A178" s="2"/>
      <c r="B178" s="2"/>
      <c r="C178" s="2"/>
      <c r="D178" s="2"/>
      <c r="E178" s="2"/>
      <c r="F178" s="11"/>
      <c r="G178" s="2"/>
      <c r="H178" s="2"/>
      <c r="I178" s="2"/>
      <c r="J178" s="2"/>
      <c r="K178" s="2"/>
      <c r="L178" s="2"/>
      <c r="M178" s="2"/>
      <c r="N178" s="2"/>
      <c r="O178" s="2"/>
      <c r="P178" s="2"/>
    </row>
    <row r="179" spans="1:16" x14ac:dyDescent="0.25">
      <c r="A179" s="2"/>
      <c r="B179" s="2"/>
      <c r="C179" s="2"/>
      <c r="D179" s="2"/>
      <c r="E179" s="2"/>
      <c r="F179" s="11"/>
      <c r="G179" s="2"/>
      <c r="H179" s="2"/>
      <c r="I179" s="2"/>
      <c r="J179" s="2"/>
      <c r="K179" s="2"/>
      <c r="L179" s="2"/>
      <c r="M179" s="2"/>
      <c r="N179" s="2"/>
      <c r="O179" s="2"/>
      <c r="P179" s="2"/>
    </row>
    <row r="180" spans="1:16" x14ac:dyDescent="0.25">
      <c r="A180" s="2"/>
      <c r="B180" s="2"/>
      <c r="C180" s="2"/>
      <c r="D180" s="2"/>
      <c r="E180" s="2"/>
      <c r="F180" s="11"/>
      <c r="G180" s="2"/>
      <c r="H180" s="2"/>
      <c r="I180" s="2"/>
      <c r="J180" s="2"/>
      <c r="K180" s="2"/>
      <c r="L180" s="2"/>
      <c r="M180" s="2"/>
      <c r="N180" s="2"/>
      <c r="O180" s="2"/>
      <c r="P180" s="2"/>
    </row>
    <row r="181" spans="1:16" x14ac:dyDescent="0.25">
      <c r="A181" s="2"/>
      <c r="B181" s="2"/>
      <c r="C181" s="2"/>
      <c r="D181" s="2"/>
      <c r="E181" s="2"/>
      <c r="F181" s="11"/>
      <c r="G181" s="2"/>
      <c r="H181" s="2"/>
      <c r="I181" s="2"/>
      <c r="J181" s="2"/>
      <c r="K181" s="2"/>
      <c r="L181" s="2"/>
      <c r="M181" s="2"/>
      <c r="N181" s="2"/>
      <c r="O181" s="2"/>
      <c r="P181" s="2"/>
    </row>
    <row r="182" spans="1:16" x14ac:dyDescent="0.25">
      <c r="A182" s="2"/>
      <c r="B182" s="2"/>
      <c r="C182" s="2"/>
      <c r="D182" s="2"/>
      <c r="E182" s="2"/>
      <c r="F182" s="11"/>
      <c r="G182" s="2"/>
      <c r="H182" s="2"/>
      <c r="I182" s="2"/>
      <c r="J182" s="2"/>
      <c r="K182" s="2"/>
      <c r="L182" s="2"/>
      <c r="M182" s="2"/>
      <c r="N182" s="2"/>
      <c r="O182" s="2"/>
      <c r="P182" s="2"/>
    </row>
    <row r="183" spans="1:16" x14ac:dyDescent="0.25">
      <c r="A183" s="2"/>
      <c r="B183" s="2"/>
      <c r="C183" s="2"/>
      <c r="D183" s="2"/>
      <c r="E183" s="2"/>
      <c r="F183" s="11"/>
      <c r="G183" s="2"/>
      <c r="H183" s="2"/>
      <c r="I183" s="2"/>
      <c r="J183" s="2"/>
      <c r="K183" s="2"/>
      <c r="L183" s="2"/>
      <c r="M183" s="2"/>
      <c r="N183" s="2"/>
      <c r="O183" s="2"/>
      <c r="P183" s="2"/>
    </row>
    <row r="184" spans="1:16" x14ac:dyDescent="0.25">
      <c r="A184" s="2"/>
      <c r="B184" s="2"/>
      <c r="C184" s="2"/>
      <c r="D184" s="2"/>
      <c r="E184" s="2"/>
      <c r="F184" s="11"/>
      <c r="G184" s="2"/>
      <c r="H184" s="2"/>
      <c r="I184" s="2"/>
      <c r="J184" s="2"/>
      <c r="K184" s="2"/>
      <c r="L184" s="2"/>
      <c r="M184" s="2"/>
      <c r="N184" s="2"/>
      <c r="O184" s="2"/>
      <c r="P184" s="2"/>
    </row>
    <row r="185" spans="1:16" x14ac:dyDescent="0.25">
      <c r="A185" s="2"/>
      <c r="B185" s="2"/>
      <c r="C185" s="2"/>
      <c r="D185" s="2"/>
      <c r="E185" s="2"/>
      <c r="F185" s="11"/>
      <c r="G185" s="2"/>
      <c r="H185" s="2"/>
      <c r="I185" s="2"/>
      <c r="J185" s="2"/>
      <c r="K185" s="2"/>
      <c r="L185" s="2"/>
      <c r="M185" s="2"/>
      <c r="N185" s="2"/>
      <c r="O185" s="2"/>
      <c r="P185" s="2"/>
    </row>
    <row r="186" spans="1:16" x14ac:dyDescent="0.25">
      <c r="A186" s="2"/>
      <c r="B186" s="2"/>
      <c r="C186" s="2"/>
      <c r="D186" s="2"/>
      <c r="E186" s="2"/>
      <c r="F186" s="11"/>
      <c r="G186" s="2"/>
      <c r="H186" s="2"/>
      <c r="I186" s="2"/>
      <c r="J186" s="2"/>
      <c r="K186" s="2"/>
      <c r="L186" s="2"/>
      <c r="M186" s="2"/>
      <c r="N186" s="2"/>
      <c r="O186" s="2"/>
      <c r="P186" s="2"/>
    </row>
    <row r="187" spans="1:16" x14ac:dyDescent="0.25">
      <c r="A187" s="2"/>
      <c r="B187" s="2"/>
      <c r="C187" s="2"/>
      <c r="D187" s="2"/>
      <c r="E187" s="2"/>
      <c r="F187" s="11"/>
      <c r="G187" s="2"/>
      <c r="H187" s="2"/>
      <c r="I187" s="2"/>
      <c r="J187" s="2"/>
      <c r="K187" s="2"/>
      <c r="L187" s="2"/>
      <c r="M187" s="2"/>
      <c r="N187" s="2"/>
      <c r="O187" s="2"/>
      <c r="P187" s="2"/>
    </row>
    <row r="188" spans="1:16" x14ac:dyDescent="0.25">
      <c r="A188" s="2"/>
      <c r="B188" s="2"/>
      <c r="C188" s="2"/>
      <c r="D188" s="2"/>
      <c r="E188" s="2"/>
      <c r="F188" s="11"/>
      <c r="G188" s="2"/>
      <c r="H188" s="2"/>
      <c r="I188" s="2"/>
      <c r="J188" s="2"/>
      <c r="K188" s="2"/>
      <c r="L188" s="2"/>
      <c r="M188" s="2"/>
      <c r="N188" s="2"/>
      <c r="O188" s="2"/>
      <c r="P188" s="2"/>
    </row>
    <row r="189" spans="1:16" x14ac:dyDescent="0.25">
      <c r="A189" s="2"/>
      <c r="B189" s="2"/>
      <c r="C189" s="2"/>
      <c r="D189" s="2"/>
      <c r="E189" s="2"/>
      <c r="F189" s="11"/>
      <c r="G189" s="2"/>
      <c r="H189" s="2"/>
      <c r="I189" s="2"/>
      <c r="J189" s="2"/>
      <c r="K189" s="2"/>
      <c r="L189" s="2"/>
      <c r="M189" s="2"/>
      <c r="N189" s="2"/>
      <c r="O189" s="2"/>
      <c r="P189" s="2"/>
    </row>
    <row r="190" spans="1:16" x14ac:dyDescent="0.25">
      <c r="A190" s="2"/>
      <c r="B190" s="2"/>
      <c r="C190" s="2"/>
      <c r="D190" s="2"/>
      <c r="E190" s="2"/>
      <c r="F190" s="11"/>
      <c r="G190" s="2"/>
      <c r="H190" s="2"/>
      <c r="I190" s="2"/>
      <c r="J190" s="2"/>
      <c r="K190" s="2"/>
      <c r="L190" s="2"/>
      <c r="M190" s="2"/>
      <c r="N190" s="2"/>
      <c r="O190" s="2"/>
      <c r="P190" s="2"/>
    </row>
    <row r="191" spans="1:16" x14ac:dyDescent="0.25">
      <c r="A191" s="2"/>
      <c r="B191" s="2"/>
      <c r="C191" s="2"/>
      <c r="D191" s="2"/>
      <c r="E191" s="2"/>
      <c r="F191" s="11"/>
      <c r="G191" s="2"/>
      <c r="H191" s="2"/>
      <c r="I191" s="2"/>
      <c r="J191" s="2"/>
      <c r="K191" s="2"/>
      <c r="L191" s="2"/>
      <c r="M191" s="2"/>
      <c r="N191" s="2"/>
      <c r="O191" s="2"/>
      <c r="P191" s="2"/>
    </row>
    <row r="192" spans="1:16" x14ac:dyDescent="0.25">
      <c r="A192" s="2"/>
      <c r="B192" s="2"/>
      <c r="C192" s="2"/>
      <c r="D192" s="2"/>
      <c r="E192" s="2"/>
      <c r="F192" s="11"/>
      <c r="G192" s="2"/>
      <c r="H192" s="2"/>
      <c r="I192" s="2"/>
      <c r="J192" s="2"/>
      <c r="K192" s="2"/>
      <c r="L192" s="2"/>
      <c r="M192" s="2"/>
      <c r="N192" s="2"/>
      <c r="O192" s="2"/>
      <c r="P192" s="2"/>
    </row>
    <row r="193" spans="1:16" x14ac:dyDescent="0.25">
      <c r="A193" s="2"/>
      <c r="B193" s="2"/>
      <c r="C193" s="2"/>
      <c r="D193" s="2"/>
      <c r="E193" s="2"/>
      <c r="F193" s="11"/>
      <c r="G193" s="2"/>
      <c r="H193" s="2"/>
      <c r="I193" s="2"/>
      <c r="J193" s="2"/>
      <c r="K193" s="2"/>
      <c r="L193" s="2"/>
      <c r="M193" s="2"/>
      <c r="N193" s="2"/>
      <c r="O193" s="2"/>
      <c r="P193" s="2"/>
    </row>
    <row r="194" spans="1:16" x14ac:dyDescent="0.25">
      <c r="A194" s="2"/>
      <c r="B194" s="2"/>
      <c r="C194" s="2"/>
      <c r="D194" s="2"/>
      <c r="E194" s="2"/>
      <c r="F194" s="11"/>
      <c r="G194" s="2"/>
      <c r="H194" s="2"/>
      <c r="I194" s="2"/>
      <c r="J194" s="2"/>
      <c r="K194" s="2"/>
      <c r="L194" s="2"/>
      <c r="M194" s="2"/>
      <c r="N194" s="2"/>
      <c r="O194" s="2"/>
      <c r="P194" s="2"/>
    </row>
    <row r="195" spans="1:16" x14ac:dyDescent="0.25">
      <c r="A195" s="2"/>
      <c r="B195" s="2"/>
      <c r="C195" s="2"/>
      <c r="D195" s="2"/>
      <c r="E195" s="2"/>
      <c r="F195" s="11"/>
      <c r="G195" s="2"/>
      <c r="H195" s="2"/>
      <c r="I195" s="2"/>
      <c r="J195" s="2"/>
      <c r="K195" s="2"/>
      <c r="L195" s="2"/>
      <c r="M195" s="2"/>
      <c r="N195" s="2"/>
      <c r="O195" s="2"/>
      <c r="P195" s="2"/>
    </row>
    <row r="196" spans="1:16" x14ac:dyDescent="0.25">
      <c r="A196" s="2"/>
      <c r="B196" s="2"/>
      <c r="C196" s="2"/>
      <c r="D196" s="2"/>
      <c r="E196" s="2"/>
      <c r="F196" s="11"/>
      <c r="G196" s="2"/>
      <c r="H196" s="2"/>
      <c r="I196" s="2"/>
      <c r="J196" s="2"/>
      <c r="K196" s="2"/>
      <c r="L196" s="2"/>
      <c r="M196" s="2"/>
      <c r="N196" s="2"/>
      <c r="O196" s="2"/>
      <c r="P196" s="2"/>
    </row>
    <row r="197" spans="1:16" x14ac:dyDescent="0.25">
      <c r="A197" s="2"/>
      <c r="B197" s="2"/>
      <c r="C197" s="2"/>
      <c r="D197" s="2"/>
      <c r="E197" s="2"/>
      <c r="F197" s="11"/>
      <c r="G197" s="2"/>
      <c r="H197" s="2"/>
      <c r="I197" s="2"/>
      <c r="J197" s="2"/>
      <c r="K197" s="2"/>
      <c r="L197" s="2"/>
      <c r="M197" s="2"/>
      <c r="N197" s="2"/>
      <c r="O197" s="2"/>
      <c r="P197" s="2"/>
    </row>
    <row r="198" spans="1:16" x14ac:dyDescent="0.25">
      <c r="A198" s="2"/>
      <c r="B198" s="2"/>
      <c r="C198" s="2"/>
      <c r="D198" s="2"/>
      <c r="E198" s="2"/>
      <c r="F198" s="11"/>
      <c r="G198" s="2"/>
      <c r="H198" s="2"/>
      <c r="I198" s="2"/>
      <c r="J198" s="2"/>
      <c r="K198" s="2"/>
      <c r="L198" s="2"/>
      <c r="M198" s="2"/>
      <c r="N198" s="2"/>
      <c r="O198" s="2"/>
      <c r="P198" s="2"/>
    </row>
    <row r="199" spans="1:16" x14ac:dyDescent="0.25">
      <c r="A199" s="2"/>
      <c r="B199" s="2"/>
      <c r="C199" s="2"/>
      <c r="D199" s="2"/>
      <c r="E199" s="2"/>
      <c r="F199" s="11"/>
      <c r="G199" s="2"/>
      <c r="H199" s="2"/>
      <c r="I199" s="2"/>
      <c r="J199" s="2"/>
      <c r="K199" s="2"/>
      <c r="L199" s="2"/>
      <c r="M199" s="2"/>
      <c r="N199" s="2"/>
      <c r="O199" s="2"/>
      <c r="P199" s="2"/>
    </row>
    <row r="200" spans="1:16" x14ac:dyDescent="0.25">
      <c r="A200" s="2"/>
      <c r="B200" s="2"/>
      <c r="C200" s="2"/>
      <c r="D200" s="2"/>
      <c r="E200" s="2"/>
      <c r="F200" s="11"/>
      <c r="G200" s="2"/>
      <c r="H200" s="2"/>
      <c r="I200" s="2"/>
      <c r="J200" s="2"/>
      <c r="K200" s="2"/>
      <c r="L200" s="2"/>
      <c r="M200" s="2"/>
      <c r="N200" s="2"/>
      <c r="O200" s="2"/>
      <c r="P200" s="2"/>
    </row>
    <row r="201" spans="1:16" x14ac:dyDescent="0.25">
      <c r="A201" s="2"/>
      <c r="B201" s="2"/>
      <c r="C201" s="2"/>
      <c r="D201" s="2"/>
      <c r="E201" s="2"/>
      <c r="F201" s="11"/>
      <c r="G201" s="2"/>
      <c r="H201" s="2"/>
      <c r="I201" s="2"/>
      <c r="J201" s="2"/>
      <c r="K201" s="2"/>
      <c r="L201" s="2"/>
      <c r="M201" s="2"/>
      <c r="N201" s="2"/>
      <c r="O201" s="2"/>
      <c r="P201" s="2"/>
    </row>
    <row r="202" spans="1:16" x14ac:dyDescent="0.25">
      <c r="A202" s="2"/>
      <c r="B202" s="2"/>
      <c r="C202" s="2"/>
      <c r="D202" s="2"/>
      <c r="E202" s="2"/>
      <c r="F202" s="11"/>
      <c r="G202" s="2"/>
      <c r="H202" s="2"/>
      <c r="I202" s="2"/>
      <c r="J202" s="2"/>
      <c r="K202" s="2"/>
      <c r="L202" s="2"/>
      <c r="M202" s="2"/>
      <c r="N202" s="2"/>
      <c r="O202" s="2"/>
      <c r="P202" s="2"/>
    </row>
    <row r="203" spans="1:16" x14ac:dyDescent="0.25">
      <c r="A203" s="2"/>
      <c r="B203" s="2"/>
      <c r="C203" s="2"/>
      <c r="D203" s="2"/>
      <c r="E203" s="2"/>
      <c r="F203" s="11"/>
      <c r="G203" s="2"/>
      <c r="H203" s="2"/>
      <c r="I203" s="2"/>
      <c r="J203" s="2"/>
      <c r="K203" s="2"/>
      <c r="L203" s="2"/>
      <c r="M203" s="2"/>
      <c r="N203" s="2"/>
      <c r="O203" s="2"/>
      <c r="P203" s="2"/>
    </row>
    <row r="204" spans="1:16" x14ac:dyDescent="0.25">
      <c r="A204" s="2"/>
      <c r="B204" s="2"/>
      <c r="C204" s="2"/>
      <c r="D204" s="2"/>
      <c r="E204" s="2"/>
      <c r="F204" s="11"/>
      <c r="G204" s="2"/>
      <c r="H204" s="2"/>
      <c r="I204" s="2"/>
      <c r="J204" s="2"/>
      <c r="K204" s="2"/>
      <c r="L204" s="2"/>
      <c r="M204" s="2"/>
      <c r="N204" s="2"/>
      <c r="O204" s="2"/>
      <c r="P204" s="2"/>
    </row>
    <row r="205" spans="1:16" x14ac:dyDescent="0.25">
      <c r="A205" s="2"/>
      <c r="B205" s="2"/>
      <c r="C205" s="2"/>
      <c r="D205" s="2"/>
      <c r="E205" s="2"/>
      <c r="F205" s="11"/>
      <c r="G205" s="2"/>
      <c r="H205" s="2"/>
      <c r="I205" s="2"/>
      <c r="J205" s="2"/>
      <c r="K205" s="2"/>
      <c r="L205" s="2"/>
      <c r="M205" s="2"/>
      <c r="N205" s="2"/>
      <c r="O205" s="2"/>
      <c r="P205" s="2"/>
    </row>
    <row r="206" spans="1:16" x14ac:dyDescent="0.25">
      <c r="A206" s="2"/>
      <c r="B206" s="2"/>
      <c r="C206" s="2"/>
      <c r="D206" s="2"/>
      <c r="E206" s="2"/>
      <c r="F206" s="11"/>
      <c r="G206" s="2"/>
      <c r="H206" s="2"/>
      <c r="I206" s="2"/>
      <c r="J206" s="2"/>
      <c r="K206" s="2"/>
      <c r="L206" s="2"/>
      <c r="M206" s="2"/>
      <c r="N206" s="2"/>
      <c r="O206" s="2"/>
      <c r="P206" s="2"/>
    </row>
    <row r="207" spans="1:16" x14ac:dyDescent="0.25">
      <c r="A207" s="2"/>
      <c r="B207" s="2"/>
      <c r="C207" s="2"/>
      <c r="D207" s="2"/>
      <c r="E207" s="2"/>
      <c r="F207" s="11"/>
      <c r="G207" s="2"/>
      <c r="H207" s="2"/>
      <c r="I207" s="2"/>
      <c r="J207" s="2"/>
      <c r="K207" s="2"/>
      <c r="L207" s="2"/>
      <c r="M207" s="2"/>
      <c r="N207" s="2"/>
      <c r="O207" s="2"/>
      <c r="P207" s="2"/>
    </row>
    <row r="208" spans="1:16" x14ac:dyDescent="0.25">
      <c r="A208" s="2"/>
      <c r="B208" s="2"/>
      <c r="C208" s="2"/>
      <c r="D208" s="2"/>
      <c r="E208" s="2"/>
      <c r="F208" s="11"/>
      <c r="G208" s="2"/>
      <c r="H208" s="2"/>
      <c r="I208" s="2"/>
      <c r="J208" s="2"/>
      <c r="K208" s="2"/>
      <c r="L208" s="2"/>
      <c r="M208" s="2"/>
      <c r="N208" s="2"/>
      <c r="O208" s="2"/>
      <c r="P208" s="2"/>
    </row>
    <row r="209" spans="1:16" x14ac:dyDescent="0.25">
      <c r="A209" s="2"/>
      <c r="B209" s="2"/>
      <c r="C209" s="2"/>
      <c r="D209" s="2"/>
      <c r="E209" s="2"/>
      <c r="F209" s="11"/>
      <c r="G209" s="2"/>
      <c r="H209" s="2"/>
      <c r="I209" s="2"/>
      <c r="J209" s="2"/>
      <c r="K209" s="2"/>
      <c r="L209" s="2"/>
      <c r="M209" s="2"/>
      <c r="N209" s="2"/>
      <c r="O209" s="2"/>
      <c r="P209" s="2"/>
    </row>
    <row r="210" spans="1:16" x14ac:dyDescent="0.25">
      <c r="A210" s="2"/>
      <c r="B210" s="2"/>
      <c r="C210" s="2"/>
      <c r="D210" s="2"/>
      <c r="E210" s="2"/>
      <c r="F210" s="11"/>
      <c r="G210" s="2"/>
      <c r="H210" s="2"/>
      <c r="I210" s="2"/>
      <c r="J210" s="2"/>
      <c r="K210" s="2"/>
      <c r="L210" s="2"/>
      <c r="M210" s="2"/>
      <c r="N210" s="2"/>
      <c r="O210" s="2"/>
      <c r="P210" s="2"/>
    </row>
    <row r="211" spans="1:16" x14ac:dyDescent="0.25">
      <c r="A211" s="2"/>
      <c r="B211" s="2"/>
      <c r="C211" s="2"/>
      <c r="D211" s="2"/>
      <c r="E211" s="2"/>
      <c r="F211" s="11"/>
      <c r="G211" s="2"/>
      <c r="H211" s="2"/>
      <c r="I211" s="2"/>
      <c r="J211" s="2"/>
      <c r="K211" s="2"/>
      <c r="L211" s="2"/>
      <c r="M211" s="2"/>
      <c r="N211" s="2"/>
      <c r="O211" s="2"/>
      <c r="P211" s="2"/>
    </row>
    <row r="212" spans="1:16" x14ac:dyDescent="0.25">
      <c r="A212" s="2"/>
      <c r="B212" s="2"/>
      <c r="C212" s="2"/>
      <c r="D212" s="2"/>
      <c r="E212" s="2"/>
      <c r="F212" s="11"/>
      <c r="G212" s="2"/>
      <c r="H212" s="2"/>
      <c r="I212" s="2"/>
      <c r="J212" s="2"/>
      <c r="K212" s="2"/>
      <c r="L212" s="2"/>
      <c r="M212" s="2"/>
      <c r="N212" s="2"/>
      <c r="O212" s="2"/>
      <c r="P212" s="2"/>
    </row>
    <row r="213" spans="1:16" x14ac:dyDescent="0.25">
      <c r="A213" s="2"/>
      <c r="B213" s="2"/>
      <c r="C213" s="2"/>
      <c r="D213" s="2"/>
      <c r="E213" s="2"/>
      <c r="F213" s="11"/>
      <c r="G213" s="2"/>
      <c r="H213" s="2"/>
      <c r="I213" s="2"/>
      <c r="J213" s="2"/>
      <c r="K213" s="2"/>
      <c r="L213" s="2"/>
      <c r="M213" s="2"/>
      <c r="N213" s="2"/>
      <c r="O213" s="2"/>
      <c r="P213" s="2"/>
    </row>
    <row r="214" spans="1:16" x14ac:dyDescent="0.25">
      <c r="A214" s="2"/>
      <c r="B214" s="2"/>
      <c r="C214" s="2"/>
      <c r="D214" s="2"/>
      <c r="E214" s="2"/>
      <c r="F214" s="11"/>
      <c r="G214" s="2"/>
      <c r="H214" s="2"/>
      <c r="I214" s="2"/>
      <c r="J214" s="2"/>
      <c r="K214" s="2"/>
      <c r="L214" s="2"/>
      <c r="M214" s="2"/>
      <c r="N214" s="2"/>
      <c r="O214" s="2"/>
      <c r="P214" s="2"/>
    </row>
    <row r="215" spans="1:16" x14ac:dyDescent="0.25">
      <c r="A215" s="2"/>
      <c r="B215" s="2"/>
      <c r="C215" s="2"/>
      <c r="D215" s="2"/>
      <c r="E215" s="2"/>
      <c r="F215" s="11"/>
      <c r="G215" s="2"/>
      <c r="H215" s="2"/>
      <c r="I215" s="2"/>
      <c r="J215" s="2"/>
      <c r="K215" s="2"/>
      <c r="L215" s="2"/>
      <c r="M215" s="2"/>
      <c r="N215" s="2"/>
      <c r="O215" s="2"/>
      <c r="P215" s="2"/>
    </row>
    <row r="216" spans="1:16" x14ac:dyDescent="0.25">
      <c r="A216" s="2"/>
      <c r="B216" s="2"/>
      <c r="C216" s="2"/>
      <c r="D216" s="2"/>
      <c r="E216" s="2"/>
      <c r="F216" s="11"/>
      <c r="G216" s="2"/>
      <c r="H216" s="2"/>
      <c r="I216" s="2"/>
      <c r="J216" s="2"/>
      <c r="K216" s="2"/>
      <c r="L216" s="2"/>
      <c r="M216" s="2"/>
      <c r="N216" s="2"/>
      <c r="O216" s="2"/>
      <c r="P216" s="2"/>
    </row>
    <row r="217" spans="1:16" x14ac:dyDescent="0.25">
      <c r="A217" s="2"/>
      <c r="B217" s="2"/>
      <c r="C217" s="2"/>
      <c r="D217" s="2"/>
      <c r="E217" s="2"/>
      <c r="F217" s="11"/>
      <c r="G217" s="2"/>
      <c r="H217" s="2"/>
      <c r="I217" s="2"/>
      <c r="J217" s="2"/>
      <c r="K217" s="2"/>
      <c r="L217" s="2"/>
      <c r="M217" s="2"/>
      <c r="N217" s="2"/>
      <c r="O217" s="2"/>
      <c r="P217" s="2"/>
    </row>
    <row r="218" spans="1:16" x14ac:dyDescent="0.25">
      <c r="A218" s="2"/>
      <c r="B218" s="2"/>
      <c r="C218" s="2"/>
      <c r="D218" s="2"/>
      <c r="E218" s="2"/>
      <c r="F218" s="11"/>
      <c r="G218" s="2"/>
      <c r="H218" s="2"/>
      <c r="I218" s="2"/>
      <c r="J218" s="2"/>
      <c r="K218" s="2"/>
      <c r="L218" s="2"/>
      <c r="M218" s="2"/>
      <c r="N218" s="2"/>
      <c r="O218" s="2"/>
      <c r="P218" s="2"/>
    </row>
    <row r="219" spans="1:16" x14ac:dyDescent="0.25">
      <c r="A219" s="2"/>
      <c r="B219" s="2"/>
      <c r="C219" s="2"/>
      <c r="D219" s="2"/>
      <c r="E219" s="2"/>
      <c r="F219" s="11"/>
      <c r="G219" s="2"/>
      <c r="H219" s="2"/>
      <c r="I219" s="2"/>
      <c r="J219" s="2"/>
      <c r="K219" s="2"/>
      <c r="L219" s="2"/>
      <c r="M219" s="2"/>
      <c r="N219" s="2"/>
      <c r="O219" s="2"/>
      <c r="P219" s="2"/>
    </row>
    <row r="220" spans="1:16" x14ac:dyDescent="0.25">
      <c r="A220" s="2"/>
      <c r="B220" s="2"/>
      <c r="C220" s="2"/>
      <c r="D220" s="2"/>
      <c r="E220" s="2"/>
      <c r="F220" s="11"/>
      <c r="G220" s="2"/>
      <c r="H220" s="2"/>
      <c r="I220" s="2"/>
      <c r="J220" s="2"/>
      <c r="K220" s="2"/>
      <c r="L220" s="2"/>
      <c r="M220" s="2"/>
      <c r="N220" s="2"/>
      <c r="O220" s="2"/>
      <c r="P220" s="2"/>
    </row>
    <row r="221" spans="1:16" x14ac:dyDescent="0.25">
      <c r="A221" s="2"/>
      <c r="B221" s="2"/>
      <c r="C221" s="2"/>
      <c r="D221" s="2"/>
      <c r="E221" s="2"/>
      <c r="F221" s="11"/>
      <c r="G221" s="2"/>
      <c r="H221" s="2"/>
      <c r="I221" s="2"/>
      <c r="J221" s="2"/>
      <c r="K221" s="2"/>
      <c r="L221" s="2"/>
      <c r="M221" s="2"/>
      <c r="N221" s="2"/>
      <c r="O221" s="2"/>
      <c r="P221" s="2"/>
    </row>
    <row r="222" spans="1:16" x14ac:dyDescent="0.25">
      <c r="A222" s="2"/>
      <c r="B222" s="2"/>
      <c r="C222" s="2"/>
      <c r="D222" s="2"/>
      <c r="E222" s="2"/>
      <c r="F222" s="11"/>
      <c r="G222" s="2"/>
      <c r="H222" s="2"/>
      <c r="I222" s="2"/>
      <c r="J222" s="2"/>
      <c r="K222" s="2"/>
      <c r="L222" s="2"/>
      <c r="M222" s="2"/>
      <c r="N222" s="2"/>
      <c r="O222" s="2"/>
      <c r="P222" s="2"/>
    </row>
    <row r="223" spans="1:16" x14ac:dyDescent="0.25">
      <c r="A223" s="2"/>
      <c r="B223" s="2"/>
      <c r="C223" s="2"/>
      <c r="D223" s="2"/>
      <c r="E223" s="2"/>
      <c r="F223" s="11"/>
      <c r="G223" s="2"/>
      <c r="H223" s="2"/>
      <c r="I223" s="2"/>
      <c r="J223" s="2"/>
      <c r="K223" s="2"/>
      <c r="L223" s="2"/>
      <c r="M223" s="2"/>
      <c r="N223" s="2"/>
      <c r="O223" s="2"/>
      <c r="P223" s="2"/>
    </row>
    <row r="224" spans="1:16" x14ac:dyDescent="0.25">
      <c r="A224" s="2"/>
      <c r="B224" s="2"/>
      <c r="C224" s="2"/>
      <c r="D224" s="2"/>
      <c r="E224" s="2"/>
      <c r="F224" s="11"/>
      <c r="G224" s="2"/>
      <c r="H224" s="2"/>
      <c r="I224" s="2"/>
      <c r="J224" s="2"/>
      <c r="K224" s="2"/>
      <c r="L224" s="2"/>
      <c r="M224" s="2"/>
      <c r="N224" s="2"/>
      <c r="O224" s="2"/>
      <c r="P224" s="2"/>
    </row>
    <row r="225" spans="1:16" x14ac:dyDescent="0.25">
      <c r="A225" s="2"/>
      <c r="B225" s="2"/>
      <c r="C225" s="2"/>
      <c r="D225" s="2"/>
      <c r="E225" s="2"/>
      <c r="F225" s="11"/>
      <c r="G225" s="2"/>
      <c r="H225" s="2"/>
      <c r="I225" s="2"/>
      <c r="J225" s="2"/>
      <c r="K225" s="2"/>
      <c r="L225" s="2"/>
      <c r="M225" s="2"/>
      <c r="N225" s="2"/>
      <c r="O225" s="2"/>
      <c r="P225" s="2"/>
    </row>
    <row r="226" spans="1:16" x14ac:dyDescent="0.25">
      <c r="A226" s="2"/>
      <c r="B226" s="2"/>
      <c r="C226" s="2"/>
      <c r="D226" s="2"/>
      <c r="E226" s="2"/>
      <c r="F226" s="11"/>
      <c r="G226" s="2"/>
      <c r="H226" s="2"/>
      <c r="I226" s="2"/>
      <c r="J226" s="2"/>
      <c r="K226" s="2"/>
      <c r="L226" s="2"/>
      <c r="M226" s="2"/>
      <c r="N226" s="2"/>
      <c r="O226" s="2"/>
      <c r="P226" s="2"/>
    </row>
    <row r="227" spans="1:16" x14ac:dyDescent="0.25">
      <c r="A227" s="2"/>
      <c r="B227" s="2"/>
      <c r="C227" s="2"/>
      <c r="D227" s="2"/>
      <c r="E227" s="2"/>
      <c r="F227" s="11"/>
      <c r="G227" s="2"/>
      <c r="H227" s="2"/>
      <c r="I227" s="2"/>
      <c r="J227" s="2"/>
      <c r="K227" s="2"/>
      <c r="L227" s="2"/>
      <c r="M227" s="2"/>
      <c r="N227" s="2"/>
      <c r="O227" s="2"/>
      <c r="P227" s="2"/>
    </row>
    <row r="228" spans="1:16" x14ac:dyDescent="0.25">
      <c r="A228" s="2"/>
      <c r="B228" s="2"/>
      <c r="C228" s="2"/>
      <c r="D228" s="2"/>
      <c r="E228" s="2"/>
      <c r="F228" s="11"/>
      <c r="G228" s="2"/>
      <c r="H228" s="2"/>
      <c r="I228" s="2"/>
      <c r="J228" s="2"/>
      <c r="K228" s="2"/>
      <c r="L228" s="2"/>
      <c r="M228" s="2"/>
      <c r="N228" s="2"/>
      <c r="O228" s="2"/>
      <c r="P228" s="2"/>
    </row>
    <row r="229" spans="1:16" x14ac:dyDescent="0.25">
      <c r="A229" s="2"/>
      <c r="B229" s="2"/>
      <c r="C229" s="2"/>
      <c r="D229" s="2"/>
      <c r="E229" s="2"/>
      <c r="F229" s="11"/>
      <c r="G229" s="2"/>
      <c r="H229" s="2"/>
      <c r="I229" s="2"/>
      <c r="J229" s="2"/>
      <c r="K229" s="2"/>
      <c r="L229" s="2"/>
      <c r="M229" s="2"/>
      <c r="N229" s="2"/>
      <c r="O229" s="2"/>
      <c r="P229" s="2"/>
    </row>
    <row r="230" spans="1:16" x14ac:dyDescent="0.25">
      <c r="A230" s="2"/>
      <c r="B230" s="2"/>
      <c r="C230" s="2"/>
      <c r="D230" s="2"/>
      <c r="E230" s="2"/>
      <c r="F230" s="11"/>
      <c r="G230" s="2"/>
      <c r="H230" s="2"/>
      <c r="I230" s="2"/>
      <c r="J230" s="2"/>
      <c r="K230" s="2"/>
      <c r="L230" s="2"/>
      <c r="M230" s="2"/>
      <c r="N230" s="2"/>
      <c r="O230" s="2"/>
      <c r="P230" s="2"/>
    </row>
    <row r="231" spans="1:16" x14ac:dyDescent="0.25">
      <c r="A231" s="2"/>
      <c r="B231" s="2"/>
      <c r="C231" s="2"/>
      <c r="D231" s="2"/>
      <c r="E231" s="2"/>
      <c r="F231" s="11"/>
      <c r="G231" s="2"/>
      <c r="H231" s="2"/>
      <c r="I231" s="2"/>
      <c r="J231" s="2"/>
      <c r="K231" s="2"/>
      <c r="L231" s="2"/>
      <c r="M231" s="2"/>
      <c r="N231" s="2"/>
      <c r="O231" s="2"/>
      <c r="P231" s="2"/>
    </row>
    <row r="232" spans="1:16" x14ac:dyDescent="0.25">
      <c r="A232" s="2"/>
      <c r="B232" s="2"/>
      <c r="C232" s="2"/>
      <c r="D232" s="2"/>
      <c r="E232" s="2"/>
      <c r="F232" s="11"/>
      <c r="G232" s="2"/>
      <c r="H232" s="2"/>
      <c r="I232" s="2"/>
      <c r="J232" s="2"/>
      <c r="K232" s="2"/>
      <c r="L232" s="2"/>
      <c r="M232" s="2"/>
      <c r="N232" s="2"/>
      <c r="O232" s="2"/>
      <c r="P232" s="2"/>
    </row>
    <row r="233" spans="1:16" x14ac:dyDescent="0.25">
      <c r="A233" s="2"/>
      <c r="B233" s="2"/>
      <c r="C233" s="2"/>
      <c r="D233" s="2"/>
      <c r="E233" s="2"/>
      <c r="F233" s="11"/>
      <c r="G233" s="2"/>
      <c r="H233" s="2"/>
      <c r="I233" s="2"/>
      <c r="J233" s="2"/>
      <c r="K233" s="2"/>
      <c r="L233" s="2"/>
      <c r="M233" s="2"/>
      <c r="N233" s="2"/>
      <c r="O233" s="2"/>
      <c r="P233" s="2"/>
    </row>
    <row r="234" spans="1:16" x14ac:dyDescent="0.25">
      <c r="A234" s="2"/>
      <c r="B234" s="2"/>
      <c r="C234" s="2"/>
      <c r="D234" s="2"/>
      <c r="E234" s="2"/>
      <c r="F234" s="11"/>
      <c r="G234" s="2"/>
      <c r="H234" s="2"/>
      <c r="I234" s="2"/>
      <c r="J234" s="2"/>
      <c r="K234" s="2"/>
      <c r="L234" s="2"/>
      <c r="M234" s="2"/>
      <c r="N234" s="2"/>
      <c r="O234" s="2"/>
      <c r="P234" s="2"/>
    </row>
    <row r="235" spans="1:16" x14ac:dyDescent="0.25">
      <c r="A235" s="2"/>
      <c r="B235" s="2"/>
      <c r="C235" s="2"/>
      <c r="D235" s="2"/>
      <c r="E235" s="2"/>
      <c r="F235" s="11"/>
      <c r="G235" s="2"/>
      <c r="H235" s="2"/>
      <c r="I235" s="2"/>
      <c r="J235" s="2"/>
      <c r="K235" s="2"/>
      <c r="L235" s="2"/>
      <c r="M235" s="2"/>
      <c r="N235" s="2"/>
      <c r="O235" s="2"/>
      <c r="P235" s="2"/>
    </row>
    <row r="236" spans="1:16" x14ac:dyDescent="0.25">
      <c r="A236" s="2"/>
      <c r="B236" s="2"/>
      <c r="C236" s="2"/>
      <c r="D236" s="2"/>
      <c r="E236" s="2"/>
      <c r="F236" s="11"/>
      <c r="G236" s="2"/>
      <c r="H236" s="2"/>
      <c r="I236" s="2"/>
      <c r="J236" s="2"/>
      <c r="K236" s="2"/>
      <c r="L236" s="2"/>
      <c r="M236" s="2"/>
      <c r="N236" s="2"/>
      <c r="O236" s="2"/>
      <c r="P236" s="2"/>
    </row>
    <row r="237" spans="1:16" x14ac:dyDescent="0.25">
      <c r="A237" s="2"/>
      <c r="B237" s="2"/>
      <c r="C237" s="2"/>
      <c r="D237" s="2"/>
      <c r="E237" s="2"/>
      <c r="F237" s="11"/>
      <c r="G237" s="2"/>
      <c r="H237" s="2"/>
      <c r="I237" s="2"/>
      <c r="J237" s="2"/>
      <c r="K237" s="2"/>
      <c r="L237" s="2"/>
      <c r="M237" s="2"/>
      <c r="N237" s="2"/>
      <c r="O237" s="2"/>
      <c r="P237" s="2"/>
    </row>
    <row r="238" spans="1:16" x14ac:dyDescent="0.25">
      <c r="A238" s="2"/>
      <c r="B238" s="2"/>
      <c r="C238" s="2"/>
      <c r="D238" s="2"/>
      <c r="E238" s="2"/>
      <c r="F238" s="11"/>
      <c r="G238" s="2"/>
      <c r="H238" s="2"/>
      <c r="I238" s="2"/>
      <c r="J238" s="2"/>
      <c r="K238" s="2"/>
      <c r="L238" s="2"/>
      <c r="M238" s="2"/>
      <c r="N238" s="2"/>
      <c r="O238" s="2"/>
      <c r="P238" s="2"/>
    </row>
    <row r="239" spans="1:16" x14ac:dyDescent="0.25">
      <c r="A239" s="2"/>
      <c r="B239" s="2"/>
      <c r="C239" s="2"/>
      <c r="D239" s="2"/>
      <c r="E239" s="2"/>
      <c r="F239" s="11"/>
      <c r="G239" s="2"/>
      <c r="H239" s="2"/>
      <c r="I239" s="2"/>
      <c r="J239" s="2"/>
      <c r="K239" s="2"/>
      <c r="L239" s="2"/>
      <c r="M239" s="2"/>
      <c r="N239" s="2"/>
      <c r="O239" s="2"/>
      <c r="P239" s="2"/>
    </row>
    <row r="240" spans="1:16" x14ac:dyDescent="0.25">
      <c r="A240" s="2"/>
      <c r="B240" s="2"/>
      <c r="C240" s="2"/>
      <c r="D240" s="2"/>
      <c r="E240" s="2"/>
      <c r="F240" s="11"/>
      <c r="G240" s="2"/>
      <c r="H240" s="2"/>
      <c r="I240" s="2"/>
      <c r="J240" s="2"/>
      <c r="K240" s="2"/>
      <c r="L240" s="2"/>
      <c r="M240" s="2"/>
      <c r="N240" s="2"/>
      <c r="O240" s="2"/>
      <c r="P240" s="2"/>
    </row>
    <row r="241" spans="1:16" x14ac:dyDescent="0.25">
      <c r="A241" s="2"/>
      <c r="B241" s="2"/>
      <c r="C241" s="2"/>
      <c r="D241" s="2"/>
      <c r="E241" s="2"/>
      <c r="F241" s="11"/>
      <c r="G241" s="2"/>
      <c r="H241" s="2"/>
      <c r="I241" s="2"/>
      <c r="J241" s="2"/>
      <c r="K241" s="2"/>
      <c r="L241" s="2"/>
      <c r="M241" s="2"/>
      <c r="N241" s="2"/>
      <c r="O241" s="2"/>
      <c r="P241" s="2"/>
    </row>
    <row r="242" spans="1:16" x14ac:dyDescent="0.25">
      <c r="A242" s="2"/>
      <c r="B242" s="2"/>
      <c r="C242" s="2"/>
      <c r="D242" s="2"/>
      <c r="E242" s="2"/>
      <c r="F242" s="11"/>
      <c r="G242" s="2"/>
      <c r="H242" s="2"/>
      <c r="I242" s="2"/>
      <c r="J242" s="2"/>
      <c r="K242" s="2"/>
      <c r="L242" s="2"/>
      <c r="M242" s="2"/>
      <c r="N242" s="2"/>
      <c r="O242" s="2"/>
      <c r="P242" s="2"/>
    </row>
    <row r="243" spans="1:16" x14ac:dyDescent="0.25">
      <c r="A243" s="2"/>
      <c r="B243" s="2"/>
      <c r="C243" s="2"/>
      <c r="D243" s="2"/>
      <c r="E243" s="2"/>
      <c r="F243" s="11"/>
      <c r="G243" s="2"/>
      <c r="H243" s="2"/>
      <c r="I243" s="2"/>
      <c r="J243" s="2"/>
      <c r="K243" s="2"/>
      <c r="L243" s="2"/>
      <c r="M243" s="2"/>
      <c r="N243" s="2"/>
      <c r="O243" s="2"/>
      <c r="P243" s="2"/>
    </row>
    <row r="244" spans="1:16" x14ac:dyDescent="0.25">
      <c r="A244" s="2"/>
      <c r="B244" s="2"/>
      <c r="C244" s="2"/>
      <c r="D244" s="2"/>
      <c r="E244" s="2"/>
      <c r="F244" s="11"/>
      <c r="G244" s="2"/>
      <c r="H244" s="2"/>
      <c r="I244" s="2"/>
      <c r="J244" s="2"/>
      <c r="K244" s="2"/>
      <c r="L244" s="2"/>
      <c r="M244" s="2"/>
      <c r="N244" s="2"/>
      <c r="O244" s="2"/>
      <c r="P244" s="2"/>
    </row>
    <row r="245" spans="1:16" x14ac:dyDescent="0.25">
      <c r="A245" s="2"/>
      <c r="B245" s="2"/>
      <c r="C245" s="2"/>
      <c r="D245" s="2"/>
      <c r="E245" s="2"/>
      <c r="F245" s="11"/>
      <c r="G245" s="2"/>
      <c r="H245" s="2"/>
      <c r="I245" s="2"/>
      <c r="J245" s="2"/>
      <c r="K245" s="2"/>
      <c r="L245" s="2"/>
      <c r="M245" s="2"/>
      <c r="N245" s="2"/>
      <c r="O245" s="2"/>
      <c r="P245" s="2"/>
    </row>
    <row r="246" spans="1:16" x14ac:dyDescent="0.25">
      <c r="A246" s="2"/>
      <c r="B246" s="2"/>
      <c r="C246" s="2"/>
      <c r="D246" s="2"/>
      <c r="E246" s="2"/>
      <c r="F246" s="11"/>
      <c r="G246" s="2"/>
      <c r="H246" s="2"/>
      <c r="I246" s="2"/>
      <c r="J246" s="2"/>
      <c r="K246" s="2"/>
      <c r="L246" s="2"/>
      <c r="M246" s="2"/>
      <c r="N246" s="2"/>
      <c r="O246" s="2"/>
      <c r="P246" s="2"/>
    </row>
    <row r="247" spans="1:16" x14ac:dyDescent="0.25">
      <c r="A247" s="2"/>
      <c r="B247" s="2"/>
      <c r="C247" s="2"/>
      <c r="D247" s="2"/>
      <c r="E247" s="2"/>
      <c r="F247" s="11"/>
      <c r="G247" s="2"/>
      <c r="H247" s="2"/>
      <c r="I247" s="2"/>
      <c r="J247" s="2"/>
      <c r="K247" s="2"/>
      <c r="L247" s="2"/>
      <c r="M247" s="2"/>
      <c r="N247" s="2"/>
      <c r="O247" s="2"/>
      <c r="P247" s="2"/>
    </row>
    <row r="248" spans="1:16" x14ac:dyDescent="0.25">
      <c r="A248" s="2"/>
      <c r="B248" s="2"/>
      <c r="C248" s="2"/>
      <c r="D248" s="2"/>
      <c r="E248" s="2"/>
      <c r="F248" s="11"/>
      <c r="G248" s="2"/>
      <c r="H248" s="2"/>
      <c r="I248" s="2"/>
      <c r="J248" s="2"/>
      <c r="K248" s="2"/>
      <c r="L248" s="2"/>
      <c r="M248" s="2"/>
      <c r="N248" s="2"/>
      <c r="O248" s="2"/>
      <c r="P248" s="2"/>
    </row>
    <row r="249" spans="1:16" x14ac:dyDescent="0.25">
      <c r="A249" s="2"/>
      <c r="B249" s="2"/>
      <c r="C249" s="2"/>
      <c r="D249" s="2"/>
      <c r="E249" s="2"/>
      <c r="F249" s="11"/>
      <c r="G249" s="2"/>
      <c r="H249" s="2"/>
      <c r="I249" s="2"/>
      <c r="J249" s="2"/>
      <c r="K249" s="2"/>
      <c r="L249" s="2"/>
      <c r="M249" s="2"/>
      <c r="N249" s="2"/>
      <c r="O249" s="2"/>
      <c r="P249" s="2"/>
    </row>
    <row r="250" spans="1:16" x14ac:dyDescent="0.25">
      <c r="A250" s="2"/>
      <c r="B250" s="2"/>
      <c r="C250" s="2"/>
      <c r="D250" s="2"/>
      <c r="E250" s="2"/>
      <c r="F250" s="11"/>
      <c r="G250" s="2"/>
      <c r="H250" s="2"/>
      <c r="I250" s="2"/>
      <c r="J250" s="2"/>
      <c r="K250" s="2"/>
      <c r="L250" s="2"/>
      <c r="M250" s="2"/>
      <c r="N250" s="2"/>
      <c r="O250" s="2"/>
      <c r="P250" s="2"/>
    </row>
    <row r="251" spans="1:16" x14ac:dyDescent="0.25">
      <c r="A251" s="2"/>
      <c r="B251" s="2"/>
      <c r="C251" s="2"/>
      <c r="D251" s="2"/>
      <c r="E251" s="2"/>
      <c r="F251" s="11"/>
      <c r="G251" s="2"/>
      <c r="H251" s="2"/>
      <c r="I251" s="2"/>
      <c r="J251" s="2"/>
      <c r="K251" s="2"/>
      <c r="L251" s="2"/>
      <c r="M251" s="2"/>
      <c r="N251" s="2"/>
      <c r="O251" s="2"/>
      <c r="P251" s="2"/>
    </row>
    <row r="252" spans="1:16" x14ac:dyDescent="0.25">
      <c r="A252" s="2"/>
      <c r="B252" s="2"/>
      <c r="C252" s="2"/>
      <c r="D252" s="2"/>
      <c r="E252" s="2"/>
      <c r="F252" s="11"/>
      <c r="G252" s="2"/>
      <c r="H252" s="2"/>
      <c r="I252" s="2"/>
      <c r="J252" s="2"/>
      <c r="K252" s="2"/>
      <c r="L252" s="2"/>
      <c r="M252" s="2"/>
      <c r="N252" s="2"/>
      <c r="O252" s="2"/>
      <c r="P252" s="2"/>
    </row>
    <row r="253" spans="1:16" x14ac:dyDescent="0.25">
      <c r="A253" s="2"/>
      <c r="B253" s="2"/>
      <c r="C253" s="2"/>
      <c r="D253" s="2"/>
      <c r="E253" s="2"/>
      <c r="F253" s="11"/>
      <c r="G253" s="2"/>
      <c r="H253" s="2"/>
      <c r="I253" s="2"/>
      <c r="J253" s="2"/>
      <c r="K253" s="2"/>
      <c r="L253" s="2"/>
      <c r="M253" s="2"/>
      <c r="N253" s="2"/>
      <c r="O253" s="2"/>
      <c r="P253" s="2"/>
    </row>
    <row r="254" spans="1:16" x14ac:dyDescent="0.25">
      <c r="A254" s="2"/>
      <c r="B254" s="2"/>
      <c r="C254" s="2"/>
      <c r="D254" s="2"/>
      <c r="E254" s="2"/>
      <c r="F254" s="11"/>
      <c r="G254" s="2"/>
      <c r="H254" s="2"/>
      <c r="I254" s="2"/>
      <c r="J254" s="2"/>
      <c r="K254" s="2"/>
      <c r="L254" s="2"/>
      <c r="M254" s="2"/>
      <c r="N254" s="2"/>
      <c r="O254" s="2"/>
      <c r="P254" s="2"/>
    </row>
    <row r="255" spans="1:16" x14ac:dyDescent="0.25">
      <c r="A255" s="2"/>
      <c r="B255" s="2"/>
      <c r="C255" s="2"/>
      <c r="D255" s="2"/>
      <c r="E255" s="2"/>
      <c r="F255" s="11"/>
      <c r="G255" s="2"/>
      <c r="H255" s="2"/>
      <c r="I255" s="2"/>
      <c r="J255" s="2"/>
      <c r="K255" s="2"/>
      <c r="L255" s="2"/>
      <c r="M255" s="2"/>
      <c r="N255" s="2"/>
      <c r="O255" s="2"/>
      <c r="P255" s="2"/>
    </row>
    <row r="256" spans="1:16" x14ac:dyDescent="0.25">
      <c r="A256" s="2"/>
      <c r="B256" s="2"/>
      <c r="C256" s="2"/>
      <c r="D256" s="2"/>
      <c r="E256" s="2"/>
      <c r="F256" s="11"/>
      <c r="G256" s="2"/>
      <c r="H256" s="2"/>
      <c r="I256" s="2"/>
      <c r="J256" s="2"/>
      <c r="K256" s="2"/>
      <c r="L256" s="2"/>
      <c r="M256" s="2"/>
      <c r="N256" s="2"/>
      <c r="O256" s="2"/>
      <c r="P256" s="2"/>
    </row>
    <row r="257" spans="1:16" x14ac:dyDescent="0.25">
      <c r="A257" s="2"/>
      <c r="B257" s="2"/>
      <c r="C257" s="2"/>
      <c r="D257" s="2"/>
      <c r="E257" s="2"/>
      <c r="F257" s="11"/>
      <c r="G257" s="2"/>
      <c r="H257" s="2"/>
      <c r="I257" s="2"/>
      <c r="J257" s="2"/>
      <c r="K257" s="2"/>
      <c r="L257" s="2"/>
      <c r="M257" s="2"/>
      <c r="N257" s="2"/>
      <c r="O257" s="2"/>
      <c r="P257" s="2"/>
    </row>
    <row r="258" spans="1:16" x14ac:dyDescent="0.25">
      <c r="A258" s="2"/>
      <c r="B258" s="2"/>
      <c r="C258" s="2"/>
      <c r="D258" s="2"/>
      <c r="E258" s="2"/>
      <c r="F258" s="11"/>
      <c r="G258" s="2"/>
      <c r="H258" s="2"/>
      <c r="I258" s="2"/>
      <c r="J258" s="2"/>
      <c r="K258" s="2"/>
      <c r="L258" s="2"/>
      <c r="M258" s="2"/>
      <c r="N258" s="2"/>
      <c r="O258" s="2"/>
      <c r="P258" s="2"/>
    </row>
    <row r="259" spans="1:16" x14ac:dyDescent="0.25">
      <c r="A259" s="2"/>
      <c r="B259" s="2"/>
      <c r="C259" s="2"/>
      <c r="D259" s="2"/>
      <c r="E259" s="2"/>
      <c r="F259" s="11"/>
      <c r="G259" s="2"/>
      <c r="H259" s="2"/>
      <c r="I259" s="2"/>
      <c r="J259" s="2"/>
      <c r="K259" s="2"/>
      <c r="L259" s="2"/>
      <c r="M259" s="2"/>
      <c r="N259" s="2"/>
      <c r="O259" s="2"/>
      <c r="P259" s="2"/>
    </row>
    <row r="260" spans="1:16" x14ac:dyDescent="0.25">
      <c r="A260" s="2"/>
      <c r="B260" s="2"/>
      <c r="C260" s="2"/>
      <c r="D260" s="2"/>
      <c r="E260" s="2"/>
      <c r="F260" s="11"/>
      <c r="G260" s="2"/>
      <c r="H260" s="2"/>
      <c r="I260" s="2"/>
      <c r="J260" s="2"/>
      <c r="K260" s="2"/>
      <c r="L260" s="2"/>
      <c r="M260" s="2"/>
      <c r="N260" s="2"/>
      <c r="O260" s="2"/>
      <c r="P260" s="2"/>
    </row>
    <row r="261" spans="1:16" x14ac:dyDescent="0.25">
      <c r="A261" s="2"/>
      <c r="B261" s="2"/>
      <c r="C261" s="2"/>
      <c r="D261" s="2"/>
      <c r="E261" s="2"/>
      <c r="F261" s="11"/>
      <c r="G261" s="2"/>
      <c r="H261" s="2"/>
      <c r="I261" s="2"/>
      <c r="J261" s="2"/>
      <c r="K261" s="2"/>
      <c r="L261" s="2"/>
      <c r="M261" s="2"/>
      <c r="N261" s="2"/>
      <c r="O261" s="2"/>
      <c r="P261" s="2"/>
    </row>
    <row r="262" spans="1:16" x14ac:dyDescent="0.25">
      <c r="A262" s="2"/>
      <c r="B262" s="2"/>
      <c r="C262" s="2"/>
      <c r="D262" s="2"/>
      <c r="E262" s="2"/>
      <c r="F262" s="11"/>
      <c r="G262" s="2"/>
      <c r="H262" s="2"/>
      <c r="I262" s="2"/>
      <c r="J262" s="2"/>
      <c r="K262" s="2"/>
      <c r="L262" s="2"/>
      <c r="M262" s="2"/>
      <c r="N262" s="2"/>
      <c r="O262" s="2"/>
      <c r="P262" s="2"/>
    </row>
    <row r="263" spans="1:16" x14ac:dyDescent="0.25">
      <c r="A263" s="2"/>
      <c r="B263" s="2"/>
      <c r="C263" s="2"/>
      <c r="D263" s="2"/>
      <c r="E263" s="2"/>
      <c r="F263" s="11"/>
      <c r="G263" s="2"/>
      <c r="H263" s="2"/>
      <c r="I263" s="2"/>
      <c r="J263" s="2"/>
      <c r="K263" s="2"/>
      <c r="L263" s="2"/>
      <c r="M263" s="2"/>
      <c r="N263" s="2"/>
      <c r="O263" s="2"/>
      <c r="P263" s="2"/>
    </row>
    <row r="264" spans="1:16" x14ac:dyDescent="0.25">
      <c r="A264" s="2"/>
      <c r="B264" s="2"/>
      <c r="C264" s="2"/>
      <c r="D264" s="2"/>
      <c r="E264" s="2"/>
      <c r="F264" s="11"/>
      <c r="G264" s="2"/>
      <c r="H264" s="2"/>
      <c r="I264" s="2"/>
      <c r="J264" s="2"/>
      <c r="K264" s="2"/>
      <c r="L264" s="2"/>
      <c r="M264" s="2"/>
      <c r="N264" s="2"/>
      <c r="O264" s="2"/>
      <c r="P264" s="2"/>
    </row>
    <row r="265" spans="1:16" x14ac:dyDescent="0.25">
      <c r="A265" s="2"/>
      <c r="B265" s="2"/>
      <c r="C265" s="2"/>
      <c r="D265" s="2"/>
      <c r="E265" s="2"/>
      <c r="F265" s="11"/>
      <c r="G265" s="2"/>
      <c r="H265" s="2"/>
      <c r="I265" s="2"/>
      <c r="J265" s="2"/>
      <c r="K265" s="2"/>
      <c r="L265" s="2"/>
      <c r="M265" s="2"/>
      <c r="N265" s="2"/>
      <c r="O265" s="2"/>
      <c r="P265" s="2"/>
    </row>
    <row r="266" spans="1:16" x14ac:dyDescent="0.25">
      <c r="A266" s="2"/>
      <c r="B266" s="2"/>
      <c r="C266" s="2"/>
      <c r="D266" s="2"/>
      <c r="E266" s="2"/>
      <c r="F266" s="11"/>
      <c r="G266" s="2"/>
      <c r="H266" s="2"/>
      <c r="I266" s="2"/>
      <c r="J266" s="2"/>
      <c r="K266" s="2"/>
      <c r="L266" s="2"/>
      <c r="M266" s="2"/>
      <c r="N266" s="2"/>
      <c r="O266" s="2"/>
      <c r="P266" s="2"/>
    </row>
    <row r="267" spans="1:16" x14ac:dyDescent="0.25">
      <c r="A267" s="2"/>
      <c r="B267" s="2"/>
      <c r="C267" s="2"/>
      <c r="D267" s="2"/>
      <c r="E267" s="2"/>
      <c r="F267" s="11"/>
      <c r="G267" s="2"/>
      <c r="H267" s="2"/>
      <c r="I267" s="2"/>
      <c r="J267" s="2"/>
      <c r="K267" s="2"/>
      <c r="L267" s="2"/>
      <c r="M267" s="2"/>
      <c r="N267" s="2"/>
      <c r="O267" s="2"/>
      <c r="P267" s="2"/>
    </row>
    <row r="268" spans="1:16" x14ac:dyDescent="0.25">
      <c r="A268" s="2"/>
      <c r="B268" s="2"/>
      <c r="C268" s="2"/>
      <c r="D268" s="2"/>
      <c r="E268" s="2"/>
      <c r="F268" s="11"/>
      <c r="G268" s="2"/>
      <c r="H268" s="2"/>
      <c r="I268" s="2"/>
      <c r="J268" s="2"/>
      <c r="K268" s="2"/>
      <c r="L268" s="2"/>
      <c r="M268" s="2"/>
      <c r="N268" s="2"/>
      <c r="O268" s="2"/>
      <c r="P268" s="2"/>
    </row>
    <row r="269" spans="1:16" x14ac:dyDescent="0.25">
      <c r="A269" s="2"/>
      <c r="B269" s="2"/>
      <c r="C269" s="2"/>
      <c r="D269" s="2"/>
      <c r="E269" s="2"/>
      <c r="F269" s="11"/>
      <c r="G269" s="2"/>
      <c r="H269" s="2"/>
      <c r="I269" s="2"/>
      <c r="J269" s="2"/>
      <c r="K269" s="2"/>
      <c r="L269" s="2"/>
      <c r="M269" s="2"/>
      <c r="N269" s="2"/>
      <c r="O269" s="2"/>
      <c r="P269" s="2"/>
    </row>
    <row r="270" spans="1:16" x14ac:dyDescent="0.25">
      <c r="A270" s="2"/>
      <c r="B270" s="2"/>
      <c r="C270" s="2"/>
      <c r="D270" s="2"/>
      <c r="E270" s="2"/>
      <c r="F270" s="11"/>
      <c r="G270" s="2"/>
      <c r="H270" s="2"/>
      <c r="I270" s="2"/>
      <c r="J270" s="2"/>
      <c r="K270" s="2"/>
      <c r="L270" s="2"/>
      <c r="M270" s="2"/>
      <c r="N270" s="2"/>
      <c r="O270" s="2"/>
      <c r="P270" s="2"/>
    </row>
    <row r="271" spans="1:16" x14ac:dyDescent="0.25">
      <c r="A271" s="2"/>
      <c r="B271" s="2"/>
      <c r="C271" s="2"/>
      <c r="D271" s="2"/>
      <c r="E271" s="2"/>
      <c r="F271" s="11"/>
      <c r="G271" s="2"/>
      <c r="H271" s="2"/>
      <c r="I271" s="2"/>
      <c r="J271" s="2"/>
      <c r="K271" s="2"/>
      <c r="L271" s="2"/>
      <c r="M271" s="2"/>
      <c r="N271" s="2"/>
      <c r="O271" s="2"/>
      <c r="P271" s="2"/>
    </row>
    <row r="272" spans="1:16" x14ac:dyDescent="0.25">
      <c r="A272" s="2"/>
      <c r="B272" s="2"/>
      <c r="C272" s="2"/>
      <c r="D272" s="2"/>
      <c r="E272" s="2"/>
      <c r="F272" s="11"/>
      <c r="G272" s="2"/>
      <c r="H272" s="2"/>
      <c r="I272" s="2"/>
      <c r="J272" s="2"/>
      <c r="K272" s="2"/>
      <c r="L272" s="2"/>
      <c r="M272" s="2"/>
      <c r="N272" s="2"/>
      <c r="O272" s="2"/>
      <c r="P272" s="2"/>
    </row>
    <row r="273" spans="1:16" x14ac:dyDescent="0.25">
      <c r="A273" s="2"/>
      <c r="B273" s="2"/>
      <c r="C273" s="2"/>
      <c r="D273" s="2"/>
      <c r="E273" s="2"/>
      <c r="F273" s="11"/>
      <c r="G273" s="2"/>
      <c r="H273" s="2"/>
      <c r="I273" s="2"/>
      <c r="J273" s="2"/>
      <c r="K273" s="2"/>
      <c r="L273" s="2"/>
      <c r="M273" s="2"/>
      <c r="N273" s="2"/>
      <c r="O273" s="2"/>
      <c r="P273" s="2"/>
    </row>
    <row r="274" spans="1:16" x14ac:dyDescent="0.25">
      <c r="A274" s="2"/>
      <c r="B274" s="2"/>
      <c r="C274" s="2"/>
      <c r="D274" s="2"/>
      <c r="E274" s="2"/>
      <c r="F274" s="11"/>
      <c r="G274" s="2"/>
      <c r="H274" s="2"/>
      <c r="I274" s="2"/>
      <c r="J274" s="2"/>
      <c r="K274" s="2"/>
      <c r="L274" s="2"/>
      <c r="M274" s="2"/>
      <c r="N274" s="2"/>
      <c r="O274" s="2"/>
      <c r="P274" s="2"/>
    </row>
    <row r="275" spans="1:16" x14ac:dyDescent="0.25">
      <c r="A275" s="2"/>
      <c r="B275" s="2"/>
      <c r="C275" s="2"/>
      <c r="D275" s="2"/>
      <c r="E275" s="2"/>
      <c r="F275" s="11"/>
      <c r="G275" s="2"/>
      <c r="H275" s="2"/>
      <c r="I275" s="2"/>
      <c r="J275" s="2"/>
      <c r="K275" s="2"/>
      <c r="L275" s="2"/>
      <c r="M275" s="2"/>
      <c r="N275" s="2"/>
      <c r="O275" s="2"/>
      <c r="P275" s="2"/>
    </row>
    <row r="276" spans="1:16" x14ac:dyDescent="0.25">
      <c r="A276" s="2"/>
      <c r="B276" s="2"/>
      <c r="C276" s="2"/>
      <c r="D276" s="2"/>
      <c r="E276" s="2"/>
      <c r="F276" s="11"/>
      <c r="G276" s="2"/>
      <c r="H276" s="2"/>
      <c r="I276" s="2"/>
      <c r="J276" s="2"/>
      <c r="K276" s="2"/>
      <c r="L276" s="2"/>
      <c r="M276" s="2"/>
      <c r="N276" s="2"/>
      <c r="O276" s="2"/>
      <c r="P276" s="2"/>
    </row>
    <row r="277" spans="1:16" x14ac:dyDescent="0.25">
      <c r="A277" s="2"/>
      <c r="B277" s="2"/>
      <c r="C277" s="2"/>
      <c r="D277" s="2"/>
      <c r="E277" s="2"/>
      <c r="F277" s="11"/>
      <c r="G277" s="2"/>
      <c r="H277" s="2"/>
      <c r="I277" s="2"/>
      <c r="J277" s="2"/>
      <c r="K277" s="2"/>
      <c r="L277" s="2"/>
      <c r="M277" s="2"/>
      <c r="N277" s="2"/>
      <c r="O277" s="2"/>
      <c r="P277" s="2"/>
    </row>
    <row r="278" spans="1:16" x14ac:dyDescent="0.25">
      <c r="A278" s="2"/>
      <c r="B278" s="2"/>
      <c r="C278" s="2"/>
      <c r="D278" s="2"/>
      <c r="E278" s="2"/>
      <c r="F278" s="11"/>
      <c r="G278" s="2"/>
      <c r="H278" s="2"/>
      <c r="I278" s="2"/>
      <c r="J278" s="2"/>
      <c r="K278" s="2"/>
      <c r="L278" s="2"/>
      <c r="M278" s="2"/>
      <c r="N278" s="2"/>
      <c r="O278" s="2"/>
      <c r="P278" s="2"/>
    </row>
    <row r="279" spans="1:16" x14ac:dyDescent="0.25">
      <c r="A279" s="2"/>
      <c r="B279" s="2"/>
      <c r="C279" s="2"/>
      <c r="D279" s="2"/>
      <c r="E279" s="2"/>
      <c r="F279" s="11"/>
      <c r="G279" s="2"/>
      <c r="H279" s="2"/>
      <c r="I279" s="2"/>
      <c r="J279" s="2"/>
      <c r="K279" s="2"/>
      <c r="L279" s="2"/>
      <c r="M279" s="2"/>
      <c r="N279" s="2"/>
      <c r="O279" s="2"/>
      <c r="P279" s="2"/>
    </row>
    <row r="280" spans="1:16" x14ac:dyDescent="0.25">
      <c r="A280" s="2"/>
      <c r="B280" s="2"/>
      <c r="C280" s="2"/>
      <c r="D280" s="2"/>
      <c r="E280" s="2"/>
      <c r="F280" s="11"/>
      <c r="G280" s="2"/>
      <c r="H280" s="2"/>
      <c r="I280" s="2"/>
      <c r="J280" s="2"/>
      <c r="K280" s="2"/>
      <c r="L280" s="2"/>
      <c r="M280" s="2"/>
      <c r="N280" s="2"/>
      <c r="O280" s="2"/>
      <c r="P280" s="2"/>
    </row>
    <row r="281" spans="1:16" x14ac:dyDescent="0.25">
      <c r="A281" s="2"/>
      <c r="B281" s="2"/>
      <c r="C281" s="2"/>
      <c r="D281" s="2"/>
      <c r="E281" s="2"/>
      <c r="F281" s="11"/>
      <c r="G281" s="2"/>
      <c r="H281" s="2"/>
      <c r="I281" s="2"/>
      <c r="J281" s="2"/>
      <c r="K281" s="2"/>
      <c r="L281" s="2"/>
      <c r="M281" s="2"/>
      <c r="N281" s="2"/>
      <c r="O281" s="2"/>
      <c r="P281" s="2"/>
    </row>
    <row r="282" spans="1:16" x14ac:dyDescent="0.25">
      <c r="A282" s="2"/>
      <c r="B282" s="2"/>
      <c r="C282" s="2"/>
      <c r="D282" s="2"/>
      <c r="E282" s="2"/>
      <c r="F282" s="11"/>
      <c r="G282" s="2"/>
      <c r="H282" s="2"/>
      <c r="I282" s="2"/>
      <c r="J282" s="2"/>
      <c r="K282" s="2"/>
      <c r="L282" s="2"/>
      <c r="M282" s="2"/>
      <c r="N282" s="2"/>
      <c r="O282" s="2"/>
      <c r="P282" s="2"/>
    </row>
    <row r="283" spans="1:16" x14ac:dyDescent="0.25">
      <c r="A283" s="2"/>
      <c r="B283" s="2"/>
      <c r="C283" s="2"/>
      <c r="D283" s="2"/>
      <c r="E283" s="2"/>
      <c r="F283" s="11"/>
      <c r="G283" s="2"/>
      <c r="H283" s="2"/>
      <c r="I283" s="2"/>
      <c r="J283" s="2"/>
      <c r="K283" s="2"/>
      <c r="L283" s="2"/>
      <c r="M283" s="2"/>
      <c r="N283" s="2"/>
      <c r="O283" s="2"/>
      <c r="P283" s="2"/>
    </row>
    <row r="284" spans="1:16" x14ac:dyDescent="0.25">
      <c r="A284" s="2"/>
      <c r="B284" s="2"/>
      <c r="C284" s="2"/>
      <c r="D284" s="2"/>
      <c r="E284" s="2"/>
      <c r="F284" s="11"/>
      <c r="G284" s="2"/>
      <c r="H284" s="2"/>
      <c r="I284" s="2"/>
      <c r="J284" s="2"/>
      <c r="K284" s="2"/>
      <c r="L284" s="2"/>
      <c r="M284" s="2"/>
      <c r="N284" s="2"/>
      <c r="O284" s="2"/>
      <c r="P284" s="2"/>
    </row>
    <row r="285" spans="1:16" x14ac:dyDescent="0.25">
      <c r="A285" s="2"/>
      <c r="B285" s="2"/>
      <c r="C285" s="2"/>
      <c r="D285" s="2"/>
      <c r="E285" s="2"/>
      <c r="F285" s="11"/>
      <c r="G285" s="2"/>
      <c r="H285" s="2"/>
      <c r="I285" s="2"/>
      <c r="J285" s="2"/>
      <c r="K285" s="2"/>
      <c r="L285" s="2"/>
      <c r="M285" s="2"/>
      <c r="N285" s="2"/>
      <c r="O285" s="2"/>
      <c r="P285" s="2"/>
    </row>
    <row r="286" spans="1:16" x14ac:dyDescent="0.25">
      <c r="A286" s="2"/>
      <c r="B286" s="2"/>
      <c r="C286" s="2"/>
      <c r="D286" s="2"/>
      <c r="E286" s="2"/>
      <c r="F286" s="11"/>
      <c r="G286" s="2"/>
      <c r="H286" s="2"/>
      <c r="I286" s="2"/>
      <c r="J286" s="2"/>
      <c r="K286" s="2"/>
      <c r="L286" s="2"/>
      <c r="M286" s="2"/>
      <c r="N286" s="2"/>
      <c r="O286" s="2"/>
      <c r="P286" s="2"/>
    </row>
    <row r="287" spans="1:16" x14ac:dyDescent="0.25">
      <c r="A287" s="2"/>
      <c r="B287" s="2"/>
      <c r="C287" s="2"/>
      <c r="D287" s="2"/>
      <c r="E287" s="2"/>
      <c r="F287" s="11"/>
      <c r="G287" s="2"/>
      <c r="H287" s="2"/>
      <c r="I287" s="2"/>
      <c r="J287" s="2"/>
      <c r="K287" s="2"/>
      <c r="L287" s="2"/>
      <c r="M287" s="2"/>
      <c r="N287" s="2"/>
      <c r="O287" s="2"/>
      <c r="P287" s="2"/>
    </row>
    <row r="288" spans="1:16" x14ac:dyDescent="0.25">
      <c r="A288" s="2"/>
      <c r="B288" s="2"/>
      <c r="C288" s="2"/>
      <c r="D288" s="2"/>
      <c r="E288" s="2"/>
      <c r="F288" s="11"/>
      <c r="G288" s="2"/>
      <c r="H288" s="2"/>
      <c r="I288" s="2"/>
      <c r="J288" s="2"/>
      <c r="K288" s="2"/>
      <c r="L288" s="2"/>
      <c r="M288" s="2"/>
      <c r="N288" s="2"/>
      <c r="O288" s="2"/>
      <c r="P288" s="2"/>
    </row>
    <row r="289" spans="1:16" x14ac:dyDescent="0.25">
      <c r="A289" s="2"/>
      <c r="B289" s="2"/>
      <c r="C289" s="2"/>
      <c r="D289" s="2"/>
      <c r="E289" s="2"/>
      <c r="F289" s="11"/>
      <c r="G289" s="2"/>
      <c r="H289" s="2"/>
      <c r="I289" s="2"/>
      <c r="J289" s="2"/>
      <c r="K289" s="2"/>
      <c r="L289" s="2"/>
      <c r="M289" s="2"/>
      <c r="N289" s="2"/>
      <c r="O289" s="2"/>
      <c r="P289" s="2"/>
    </row>
    <row r="290" spans="1:16" x14ac:dyDescent="0.25">
      <c r="A290" s="2"/>
      <c r="B290" s="2"/>
      <c r="C290" s="2"/>
      <c r="D290" s="2"/>
      <c r="E290" s="2"/>
      <c r="F290" s="11"/>
      <c r="G290" s="2"/>
      <c r="H290" s="2"/>
      <c r="I290" s="2"/>
      <c r="J290" s="2"/>
      <c r="K290" s="2"/>
      <c r="L290" s="2"/>
      <c r="M290" s="2"/>
      <c r="N290" s="2"/>
      <c r="O290" s="2"/>
      <c r="P290" s="2"/>
    </row>
    <row r="291" spans="1:16" x14ac:dyDescent="0.25">
      <c r="A291" s="2"/>
      <c r="B291" s="2"/>
      <c r="C291" s="2"/>
      <c r="D291" s="2"/>
      <c r="E291" s="2"/>
      <c r="F291" s="11"/>
      <c r="G291" s="2"/>
      <c r="H291" s="2"/>
      <c r="I291" s="2"/>
      <c r="J291" s="2"/>
      <c r="K291" s="2"/>
      <c r="L291" s="2"/>
      <c r="M291" s="2"/>
      <c r="N291" s="2"/>
      <c r="O291" s="2"/>
      <c r="P291" s="2"/>
    </row>
    <row r="292" spans="1:16" x14ac:dyDescent="0.25">
      <c r="A292" s="2"/>
      <c r="B292" s="2"/>
      <c r="C292" s="2"/>
      <c r="D292" s="2"/>
      <c r="E292" s="2"/>
      <c r="F292" s="11"/>
      <c r="G292" s="2"/>
      <c r="H292" s="2"/>
      <c r="I292" s="2"/>
      <c r="J292" s="2"/>
      <c r="K292" s="2"/>
      <c r="L292" s="2"/>
      <c r="M292" s="2"/>
      <c r="N292" s="2"/>
      <c r="O292" s="2"/>
      <c r="P292" s="2"/>
    </row>
    <row r="293" spans="1:16" x14ac:dyDescent="0.25">
      <c r="A293" s="2"/>
      <c r="B293" s="2"/>
      <c r="C293" s="2"/>
      <c r="D293" s="2"/>
      <c r="E293" s="2"/>
      <c r="F293" s="11"/>
      <c r="G293" s="2"/>
      <c r="H293" s="2"/>
      <c r="I293" s="2"/>
      <c r="J293" s="2"/>
      <c r="K293" s="2"/>
      <c r="L293" s="2"/>
      <c r="M293" s="2"/>
      <c r="N293" s="2"/>
      <c r="O293" s="2"/>
      <c r="P293" s="2"/>
    </row>
    <row r="294" spans="1:16" x14ac:dyDescent="0.25">
      <c r="A294" s="2"/>
      <c r="B294" s="2"/>
      <c r="C294" s="2"/>
      <c r="D294" s="2"/>
      <c r="E294" s="2"/>
      <c r="F294" s="11"/>
      <c r="G294" s="2"/>
      <c r="H294" s="2"/>
      <c r="I294" s="2"/>
      <c r="J294" s="2"/>
      <c r="K294" s="2"/>
      <c r="L294" s="2"/>
      <c r="M294" s="2"/>
      <c r="N294" s="2"/>
      <c r="O294" s="2"/>
      <c r="P294" s="2"/>
    </row>
    <row r="295" spans="1:16" x14ac:dyDescent="0.25">
      <c r="A295" s="2"/>
      <c r="B295" s="2"/>
      <c r="C295" s="2"/>
      <c r="D295" s="2"/>
      <c r="E295" s="2"/>
      <c r="F295" s="11"/>
      <c r="G295" s="2"/>
      <c r="H295" s="2"/>
      <c r="I295" s="2"/>
      <c r="J295" s="2"/>
      <c r="K295" s="2"/>
      <c r="L295" s="2"/>
      <c r="M295" s="2"/>
      <c r="N295" s="2"/>
      <c r="O295" s="2"/>
      <c r="P295" s="2"/>
    </row>
    <row r="296" spans="1:16" x14ac:dyDescent="0.25">
      <c r="A296" s="2"/>
      <c r="B296" s="2"/>
      <c r="C296" s="2"/>
      <c r="D296" s="2"/>
      <c r="E296" s="2"/>
      <c r="F296" s="11"/>
      <c r="G296" s="2"/>
      <c r="H296" s="2"/>
      <c r="I296" s="2"/>
      <c r="J296" s="2"/>
      <c r="K296" s="2"/>
      <c r="L296" s="2"/>
      <c r="M296" s="2"/>
      <c r="N296" s="2"/>
      <c r="O296" s="2"/>
      <c r="P296" s="2"/>
    </row>
    <row r="297" spans="1:16" x14ac:dyDescent="0.25">
      <c r="A297" s="2"/>
      <c r="B297" s="2"/>
      <c r="C297" s="2"/>
      <c r="D297" s="2"/>
      <c r="E297" s="2"/>
      <c r="F297" s="11"/>
      <c r="G297" s="2"/>
      <c r="H297" s="2"/>
      <c r="I297" s="2"/>
      <c r="J297" s="2"/>
      <c r="K297" s="2"/>
      <c r="L297" s="2"/>
      <c r="M297" s="2"/>
      <c r="N297" s="2"/>
      <c r="O297" s="2"/>
      <c r="P297" s="2"/>
    </row>
    <row r="298" spans="1:16" x14ac:dyDescent="0.25">
      <c r="A298" s="2"/>
      <c r="B298" s="2"/>
      <c r="C298" s="2"/>
      <c r="D298" s="2"/>
      <c r="E298" s="2"/>
      <c r="F298" s="11"/>
      <c r="G298" s="2"/>
      <c r="H298" s="2"/>
      <c r="I298" s="2"/>
      <c r="J298" s="2"/>
      <c r="K298" s="2"/>
      <c r="L298" s="2"/>
      <c r="M298" s="2"/>
      <c r="N298" s="2"/>
      <c r="O298" s="2"/>
      <c r="P298" s="2"/>
    </row>
    <row r="299" spans="1:16" x14ac:dyDescent="0.25">
      <c r="A299" s="2"/>
      <c r="B299" s="2"/>
      <c r="C299" s="2"/>
      <c r="D299" s="2"/>
      <c r="E299" s="2"/>
      <c r="F299" s="11"/>
      <c r="G299" s="2"/>
      <c r="H299" s="2"/>
      <c r="I299" s="2"/>
      <c r="J299" s="2"/>
      <c r="K299" s="2"/>
      <c r="L299" s="2"/>
      <c r="M299" s="2"/>
      <c r="N299" s="2"/>
      <c r="O299" s="2"/>
      <c r="P299" s="2"/>
    </row>
    <row r="300" spans="1:16" x14ac:dyDescent="0.25">
      <c r="A300" s="2"/>
      <c r="B300" s="2"/>
      <c r="C300" s="2"/>
      <c r="D300" s="2"/>
      <c r="E300" s="2"/>
      <c r="F300" s="11"/>
      <c r="G300" s="2"/>
      <c r="H300" s="2"/>
      <c r="I300" s="2"/>
      <c r="J300" s="2"/>
      <c r="K300" s="2"/>
      <c r="L300" s="2"/>
      <c r="M300" s="2"/>
      <c r="N300" s="2"/>
      <c r="O300" s="2"/>
      <c r="P300" s="2"/>
    </row>
    <row r="301" spans="1:16" x14ac:dyDescent="0.25">
      <c r="A301" s="2"/>
      <c r="B301" s="2"/>
      <c r="C301" s="2"/>
      <c r="D301" s="2"/>
      <c r="E301" s="2"/>
      <c r="F301" s="11"/>
      <c r="G301" s="2"/>
      <c r="H301" s="2"/>
      <c r="I301" s="2"/>
      <c r="J301" s="2"/>
      <c r="K301" s="2"/>
      <c r="L301" s="2"/>
      <c r="M301" s="2"/>
      <c r="N301" s="2"/>
      <c r="O301" s="2"/>
      <c r="P301" s="2"/>
    </row>
    <row r="302" spans="1:16" x14ac:dyDescent="0.25">
      <c r="A302" s="2"/>
      <c r="B302" s="2"/>
      <c r="C302" s="2"/>
      <c r="D302" s="2"/>
      <c r="E302" s="2"/>
      <c r="F302" s="11"/>
      <c r="G302" s="2"/>
      <c r="H302" s="2"/>
      <c r="I302" s="2"/>
      <c r="J302" s="2"/>
      <c r="K302" s="2"/>
      <c r="L302" s="2"/>
      <c r="M302" s="2"/>
      <c r="N302" s="2"/>
      <c r="O302" s="2"/>
      <c r="P302" s="2"/>
    </row>
    <row r="303" spans="1:16" x14ac:dyDescent="0.25">
      <c r="A303" s="2"/>
      <c r="B303" s="2"/>
      <c r="C303" s="2"/>
      <c r="D303" s="2"/>
      <c r="E303" s="2"/>
      <c r="F303" s="11"/>
      <c r="G303" s="2"/>
      <c r="H303" s="2"/>
      <c r="I303" s="2"/>
      <c r="J303" s="2"/>
      <c r="K303" s="2"/>
      <c r="L303" s="2"/>
      <c r="M303" s="2"/>
      <c r="N303" s="2"/>
      <c r="O303" s="2"/>
      <c r="P303" s="2"/>
    </row>
    <row r="304" spans="1:16" x14ac:dyDescent="0.25">
      <c r="A304" s="2"/>
      <c r="B304" s="2"/>
      <c r="C304" s="2"/>
      <c r="D304" s="2"/>
      <c r="E304" s="2"/>
      <c r="F304" s="11"/>
      <c r="G304" s="2"/>
      <c r="H304" s="2"/>
      <c r="I304" s="2"/>
      <c r="J304" s="2"/>
      <c r="K304" s="2"/>
      <c r="L304" s="2"/>
      <c r="M304" s="2"/>
      <c r="N304" s="2"/>
      <c r="O304" s="2"/>
      <c r="P304" s="2"/>
    </row>
    <row r="305" spans="1:16" x14ac:dyDescent="0.25">
      <c r="A305" s="2"/>
      <c r="B305" s="2"/>
      <c r="C305" s="2"/>
      <c r="D305" s="2"/>
      <c r="E305" s="2"/>
      <c r="F305" s="11"/>
      <c r="G305" s="2"/>
      <c r="H305" s="2"/>
      <c r="I305" s="2"/>
      <c r="J305" s="2"/>
      <c r="K305" s="2"/>
      <c r="L305" s="2"/>
      <c r="M305" s="2"/>
      <c r="N305" s="2"/>
      <c r="O305" s="2"/>
      <c r="P305" s="2"/>
    </row>
    <row r="306" spans="1:16" x14ac:dyDescent="0.25">
      <c r="A306" s="2"/>
      <c r="B306" s="2"/>
      <c r="C306" s="2"/>
      <c r="D306" s="2"/>
      <c r="E306" s="2"/>
      <c r="F306" s="11"/>
      <c r="G306" s="2"/>
      <c r="H306" s="2"/>
      <c r="I306" s="2"/>
      <c r="J306" s="2"/>
      <c r="K306" s="2"/>
      <c r="L306" s="2"/>
      <c r="M306" s="2"/>
      <c r="N306" s="2"/>
      <c r="O306" s="2"/>
      <c r="P306" s="2"/>
    </row>
    <row r="307" spans="1:16" x14ac:dyDescent="0.25">
      <c r="A307" s="2"/>
      <c r="B307" s="2"/>
      <c r="C307" s="2"/>
      <c r="D307" s="2"/>
      <c r="E307" s="2"/>
      <c r="F307" s="11"/>
      <c r="G307" s="2"/>
      <c r="H307" s="2"/>
      <c r="I307" s="2"/>
      <c r="J307" s="2"/>
      <c r="K307" s="2"/>
      <c r="L307" s="2"/>
      <c r="M307" s="2"/>
      <c r="N307" s="2"/>
      <c r="O307" s="2"/>
      <c r="P307" s="2"/>
    </row>
    <row r="308" spans="1:16" x14ac:dyDescent="0.25">
      <c r="A308" s="2"/>
      <c r="B308" s="2"/>
      <c r="C308" s="2"/>
      <c r="D308" s="2"/>
      <c r="E308" s="2"/>
      <c r="F308" s="11"/>
      <c r="G308" s="2"/>
      <c r="H308" s="2"/>
      <c r="I308" s="2"/>
      <c r="J308" s="2"/>
      <c r="K308" s="2"/>
      <c r="L308" s="2"/>
      <c r="M308" s="2"/>
      <c r="N308" s="2"/>
      <c r="O308" s="2"/>
      <c r="P308" s="2"/>
    </row>
    <row r="309" spans="1:16" x14ac:dyDescent="0.25">
      <c r="A309" s="2"/>
      <c r="B309" s="2"/>
      <c r="C309" s="2"/>
      <c r="D309" s="2"/>
      <c r="E309" s="2"/>
      <c r="F309" s="11"/>
      <c r="G309" s="2"/>
      <c r="H309" s="2"/>
      <c r="I309" s="2"/>
      <c r="J309" s="2"/>
      <c r="K309" s="2"/>
      <c r="L309" s="2"/>
      <c r="M309" s="2"/>
      <c r="N309" s="2"/>
      <c r="O309" s="2"/>
      <c r="P309" s="2"/>
    </row>
    <row r="310" spans="1:16" x14ac:dyDescent="0.25">
      <c r="A310" s="2"/>
      <c r="B310" s="2"/>
      <c r="C310" s="2"/>
      <c r="D310" s="2"/>
      <c r="E310" s="2"/>
      <c r="F310" s="11"/>
      <c r="G310" s="2"/>
      <c r="H310" s="2"/>
      <c r="I310" s="2"/>
      <c r="J310" s="2"/>
      <c r="K310" s="2"/>
      <c r="L310" s="2"/>
      <c r="M310" s="2"/>
      <c r="N310" s="2"/>
      <c r="O310" s="2"/>
      <c r="P310" s="2"/>
    </row>
    <row r="311" spans="1:16" x14ac:dyDescent="0.25">
      <c r="A311" s="2"/>
      <c r="B311" s="2"/>
      <c r="C311" s="2"/>
      <c r="D311" s="2"/>
      <c r="E311" s="2"/>
      <c r="F311" s="11"/>
      <c r="G311" s="2"/>
      <c r="H311" s="2"/>
      <c r="I311" s="2"/>
      <c r="J311" s="2"/>
      <c r="K311" s="2"/>
      <c r="L311" s="2"/>
      <c r="M311" s="2"/>
      <c r="N311" s="2"/>
      <c r="O311" s="2"/>
      <c r="P311" s="2"/>
    </row>
    <row r="312" spans="1:16" x14ac:dyDescent="0.25">
      <c r="A312" s="2"/>
      <c r="B312" s="2"/>
      <c r="C312" s="2"/>
      <c r="D312" s="2"/>
      <c r="E312" s="2"/>
      <c r="F312" s="11"/>
      <c r="G312" s="2"/>
      <c r="H312" s="2"/>
      <c r="I312" s="2"/>
      <c r="J312" s="2"/>
      <c r="K312" s="2"/>
      <c r="L312" s="2"/>
      <c r="M312" s="2"/>
      <c r="N312" s="2"/>
      <c r="O312" s="2"/>
      <c r="P312" s="2"/>
    </row>
    <row r="313" spans="1:16" x14ac:dyDescent="0.25">
      <c r="A313" s="2"/>
      <c r="B313" s="2"/>
      <c r="C313" s="2"/>
      <c r="D313" s="2"/>
      <c r="E313" s="2"/>
      <c r="F313" s="11"/>
      <c r="G313" s="2"/>
      <c r="H313" s="2"/>
      <c r="I313" s="2"/>
      <c r="J313" s="2"/>
      <c r="K313" s="2"/>
      <c r="L313" s="2"/>
      <c r="M313" s="2"/>
      <c r="N313" s="2"/>
      <c r="O313" s="2"/>
      <c r="P313" s="2"/>
    </row>
    <row r="314" spans="1:16" x14ac:dyDescent="0.25">
      <c r="A314" s="2"/>
      <c r="B314" s="2"/>
      <c r="C314" s="2"/>
      <c r="D314" s="2"/>
      <c r="E314" s="2"/>
      <c r="F314" s="11"/>
      <c r="G314" s="2"/>
      <c r="H314" s="2"/>
      <c r="I314" s="2"/>
      <c r="J314" s="2"/>
      <c r="K314" s="2"/>
      <c r="L314" s="2"/>
      <c r="M314" s="2"/>
      <c r="N314" s="2"/>
      <c r="O314" s="2"/>
      <c r="P314" s="2"/>
    </row>
    <row r="315" spans="1:16" x14ac:dyDescent="0.25">
      <c r="A315" s="2"/>
      <c r="B315" s="2"/>
      <c r="C315" s="2"/>
      <c r="D315" s="2"/>
      <c r="E315" s="2"/>
      <c r="F315" s="11"/>
      <c r="G315" s="2"/>
      <c r="H315" s="2"/>
      <c r="I315" s="2"/>
      <c r="J315" s="2"/>
      <c r="K315" s="2"/>
      <c r="L315" s="2"/>
      <c r="M315" s="2"/>
      <c r="N315" s="2"/>
      <c r="O315" s="2"/>
      <c r="P315" s="2"/>
    </row>
    <row r="316" spans="1:16" x14ac:dyDescent="0.25">
      <c r="A316" s="2"/>
      <c r="B316" s="2"/>
      <c r="C316" s="2"/>
      <c r="D316" s="2"/>
      <c r="E316" s="2"/>
      <c r="F316" s="11"/>
      <c r="G316" s="2"/>
      <c r="H316" s="2"/>
      <c r="I316" s="2"/>
      <c r="J316" s="2"/>
      <c r="K316" s="2"/>
      <c r="L316" s="2"/>
      <c r="M316" s="2"/>
      <c r="N316" s="2"/>
      <c r="O316" s="2"/>
      <c r="P316" s="2"/>
    </row>
    <row r="317" spans="1:16" x14ac:dyDescent="0.25">
      <c r="A317" s="2"/>
      <c r="B317" s="2"/>
      <c r="C317" s="2"/>
      <c r="D317" s="2"/>
      <c r="E317" s="2"/>
      <c r="F317" s="11"/>
      <c r="G317" s="2"/>
      <c r="H317" s="2"/>
      <c r="I317" s="2"/>
      <c r="J317" s="2"/>
      <c r="K317" s="2"/>
      <c r="L317" s="2"/>
      <c r="M317" s="2"/>
      <c r="N317" s="2"/>
      <c r="O317" s="2"/>
      <c r="P317" s="2"/>
    </row>
    <row r="318" spans="1:16" x14ac:dyDescent="0.25">
      <c r="A318" s="2"/>
      <c r="B318" s="2"/>
      <c r="C318" s="2"/>
      <c r="D318" s="2"/>
      <c r="E318" s="2"/>
      <c r="F318" s="11"/>
      <c r="G318" s="2"/>
      <c r="H318" s="2"/>
      <c r="I318" s="2"/>
      <c r="J318" s="2"/>
      <c r="K318" s="2"/>
      <c r="L318" s="2"/>
      <c r="M318" s="2"/>
      <c r="N318" s="2"/>
      <c r="O318" s="2"/>
      <c r="P318" s="2"/>
    </row>
    <row r="319" spans="1:16" x14ac:dyDescent="0.25">
      <c r="A319" s="2"/>
      <c r="B319" s="2"/>
      <c r="C319" s="2"/>
      <c r="D319" s="2"/>
      <c r="E319" s="2"/>
      <c r="F319" s="11"/>
      <c r="G319" s="2"/>
      <c r="H319" s="2"/>
      <c r="I319" s="2"/>
      <c r="J319" s="2"/>
      <c r="K319" s="2"/>
      <c r="L319" s="2"/>
      <c r="M319" s="2"/>
      <c r="N319" s="2"/>
      <c r="O319" s="2"/>
      <c r="P319" s="2"/>
    </row>
    <row r="320" spans="1:16" x14ac:dyDescent="0.25">
      <c r="A320" s="2"/>
      <c r="B320" s="2"/>
      <c r="C320" s="2"/>
      <c r="D320" s="2"/>
      <c r="E320" s="2"/>
      <c r="F320" s="11"/>
      <c r="G320" s="2"/>
      <c r="H320" s="2"/>
      <c r="I320" s="2"/>
      <c r="J320" s="2"/>
      <c r="K320" s="2"/>
      <c r="L320" s="2"/>
      <c r="M320" s="2"/>
      <c r="N320" s="2"/>
      <c r="O320" s="2"/>
      <c r="P320" s="2"/>
    </row>
    <row r="321" spans="1:16" x14ac:dyDescent="0.25">
      <c r="A321" s="2"/>
      <c r="B321" s="2"/>
      <c r="C321" s="2"/>
      <c r="D321" s="2"/>
      <c r="E321" s="2"/>
      <c r="F321" s="11"/>
      <c r="G321" s="2"/>
      <c r="H321" s="2"/>
      <c r="I321" s="2"/>
      <c r="J321" s="2"/>
      <c r="K321" s="2"/>
      <c r="L321" s="2"/>
      <c r="M321" s="2"/>
      <c r="N321" s="2"/>
      <c r="O321" s="2"/>
      <c r="P321" s="2"/>
    </row>
    <row r="322" spans="1:16" x14ac:dyDescent="0.25">
      <c r="A322" s="2"/>
      <c r="B322" s="2"/>
      <c r="C322" s="2"/>
      <c r="D322" s="2"/>
      <c r="E322" s="2"/>
      <c r="F322" s="11"/>
      <c r="G322" s="2"/>
      <c r="H322" s="2"/>
      <c r="I322" s="2"/>
      <c r="J322" s="2"/>
      <c r="K322" s="2"/>
      <c r="L322" s="2"/>
      <c r="M322" s="2"/>
      <c r="N322" s="2"/>
      <c r="O322" s="2"/>
      <c r="P322" s="2"/>
    </row>
    <row r="323" spans="1:16" x14ac:dyDescent="0.25">
      <c r="A323" s="2"/>
      <c r="B323" s="2"/>
      <c r="C323" s="2"/>
      <c r="D323" s="2"/>
      <c r="E323" s="2"/>
      <c r="F323" s="11"/>
      <c r="G323" s="2"/>
      <c r="H323" s="2"/>
      <c r="I323" s="2"/>
      <c r="J323" s="2"/>
      <c r="K323" s="2"/>
      <c r="L323" s="2"/>
      <c r="M323" s="2"/>
      <c r="N323" s="2"/>
      <c r="O323" s="2"/>
      <c r="P323" s="2"/>
    </row>
    <row r="324" spans="1:16" x14ac:dyDescent="0.25">
      <c r="A324" s="2"/>
      <c r="B324" s="2"/>
      <c r="C324" s="2"/>
      <c r="D324" s="2"/>
      <c r="E324" s="2"/>
      <c r="F324" s="11"/>
      <c r="G324" s="2"/>
      <c r="H324" s="2"/>
      <c r="I324" s="2"/>
      <c r="J324" s="2"/>
      <c r="K324" s="2"/>
      <c r="L324" s="2"/>
      <c r="M324" s="2"/>
      <c r="N324" s="2"/>
      <c r="O324" s="2"/>
      <c r="P324" s="2"/>
    </row>
    <row r="325" spans="1:16" x14ac:dyDescent="0.25">
      <c r="A325" s="2"/>
      <c r="B325" s="2"/>
      <c r="C325" s="2"/>
      <c r="D325" s="2"/>
      <c r="E325" s="2"/>
      <c r="F325" s="11"/>
      <c r="G325" s="2"/>
      <c r="H325" s="2"/>
      <c r="I325" s="2"/>
      <c r="J325" s="2"/>
      <c r="K325" s="2"/>
      <c r="L325" s="2"/>
      <c r="M325" s="2"/>
      <c r="N325" s="2"/>
      <c r="O325" s="2"/>
      <c r="P325" s="2"/>
    </row>
    <row r="326" spans="1:16" x14ac:dyDescent="0.25">
      <c r="A326" s="2"/>
      <c r="B326" s="2"/>
      <c r="C326" s="2"/>
      <c r="D326" s="2"/>
      <c r="E326" s="2"/>
      <c r="F326" s="11"/>
      <c r="G326" s="2"/>
      <c r="H326" s="2"/>
      <c r="I326" s="2"/>
      <c r="J326" s="2"/>
      <c r="K326" s="2"/>
      <c r="L326" s="2"/>
      <c r="M326" s="2"/>
      <c r="N326" s="2"/>
      <c r="O326" s="2"/>
      <c r="P326" s="2"/>
    </row>
    <row r="327" spans="1:16" x14ac:dyDescent="0.25">
      <c r="A327" s="2"/>
      <c r="B327" s="2"/>
      <c r="C327" s="2"/>
      <c r="D327" s="2"/>
      <c r="E327" s="2"/>
      <c r="F327" s="11"/>
      <c r="G327" s="2"/>
      <c r="H327" s="2"/>
      <c r="I327" s="2"/>
      <c r="J327" s="2"/>
      <c r="K327" s="2"/>
      <c r="L327" s="2"/>
      <c r="M327" s="2"/>
      <c r="N327" s="2"/>
      <c r="O327" s="2"/>
      <c r="P327" s="2"/>
    </row>
    <row r="328" spans="1:16" x14ac:dyDescent="0.25">
      <c r="A328" s="2"/>
      <c r="B328" s="2"/>
      <c r="C328" s="2"/>
      <c r="D328" s="2"/>
      <c r="E328" s="2"/>
      <c r="F328" s="11"/>
      <c r="G328" s="2"/>
      <c r="H328" s="2"/>
      <c r="I328" s="2"/>
      <c r="J328" s="2"/>
      <c r="K328" s="2"/>
      <c r="L328" s="2"/>
      <c r="M328" s="2"/>
      <c r="N328" s="2"/>
      <c r="O328" s="2"/>
      <c r="P328" s="2"/>
    </row>
    <row r="329" spans="1:16" x14ac:dyDescent="0.25">
      <c r="A329" s="2"/>
      <c r="B329" s="2"/>
      <c r="C329" s="2"/>
      <c r="D329" s="2"/>
      <c r="E329" s="2"/>
      <c r="F329" s="11"/>
      <c r="G329" s="2"/>
      <c r="H329" s="2"/>
      <c r="I329" s="2"/>
      <c r="J329" s="2"/>
      <c r="K329" s="2"/>
      <c r="L329" s="2"/>
      <c r="M329" s="2"/>
      <c r="N329" s="2"/>
      <c r="O329" s="2"/>
      <c r="P329" s="2"/>
    </row>
    <row r="330" spans="1:16" x14ac:dyDescent="0.25">
      <c r="A330" s="2"/>
      <c r="B330" s="2"/>
      <c r="C330" s="2"/>
      <c r="D330" s="2"/>
      <c r="E330" s="2"/>
      <c r="F330" s="11"/>
      <c r="G330" s="2"/>
      <c r="H330" s="2"/>
      <c r="I330" s="2"/>
      <c r="J330" s="2"/>
      <c r="K330" s="2"/>
      <c r="L330" s="2"/>
      <c r="M330" s="2"/>
      <c r="N330" s="2"/>
      <c r="O330" s="2"/>
      <c r="P330" s="2"/>
    </row>
    <row r="331" spans="1:16" x14ac:dyDescent="0.25">
      <c r="A331" s="2"/>
      <c r="B331" s="2"/>
      <c r="C331" s="2"/>
      <c r="D331" s="2"/>
      <c r="E331" s="2"/>
      <c r="F331" s="11"/>
      <c r="G331" s="2"/>
      <c r="H331" s="2"/>
      <c r="I331" s="2"/>
      <c r="J331" s="2"/>
      <c r="K331" s="2"/>
      <c r="L331" s="2"/>
      <c r="M331" s="2"/>
      <c r="N331" s="2"/>
      <c r="O331" s="2"/>
      <c r="P331" s="2"/>
    </row>
    <row r="332" spans="1:16" x14ac:dyDescent="0.25">
      <c r="A332" s="2"/>
      <c r="B332" s="2"/>
      <c r="C332" s="2"/>
      <c r="D332" s="2"/>
      <c r="E332" s="2"/>
      <c r="F332" s="11"/>
      <c r="G332" s="2"/>
      <c r="H332" s="2"/>
      <c r="I332" s="2"/>
      <c r="J332" s="2"/>
      <c r="K332" s="2"/>
      <c r="L332" s="2"/>
      <c r="M332" s="2"/>
      <c r="N332" s="2"/>
      <c r="O332" s="2"/>
      <c r="P332" s="2"/>
    </row>
    <row r="333" spans="1:16" x14ac:dyDescent="0.25">
      <c r="A333" s="2"/>
      <c r="B333" s="2"/>
      <c r="C333" s="2"/>
      <c r="D333" s="2"/>
      <c r="E333" s="2"/>
      <c r="F333" s="11"/>
      <c r="G333" s="2"/>
      <c r="H333" s="2"/>
      <c r="I333" s="2"/>
      <c r="J333" s="2"/>
      <c r="K333" s="2"/>
      <c r="L333" s="2"/>
      <c r="M333" s="2"/>
      <c r="N333" s="2"/>
      <c r="O333" s="2"/>
      <c r="P333" s="2"/>
    </row>
    <row r="334" spans="1:16" x14ac:dyDescent="0.25">
      <c r="A334" s="2"/>
      <c r="B334" s="2"/>
      <c r="C334" s="2"/>
      <c r="D334" s="2"/>
      <c r="E334" s="2"/>
      <c r="F334" s="11"/>
      <c r="G334" s="2"/>
      <c r="H334" s="2"/>
      <c r="I334" s="2"/>
      <c r="J334" s="2"/>
      <c r="K334" s="2"/>
      <c r="L334" s="2"/>
      <c r="M334" s="2"/>
      <c r="N334" s="2"/>
      <c r="O334" s="2"/>
      <c r="P334" s="2"/>
    </row>
    <row r="335" spans="1:16" x14ac:dyDescent="0.25">
      <c r="A335" s="2"/>
      <c r="B335" s="2"/>
      <c r="C335" s="2"/>
      <c r="D335" s="2"/>
      <c r="E335" s="2"/>
      <c r="F335" s="11"/>
      <c r="G335" s="2"/>
      <c r="H335" s="2"/>
      <c r="I335" s="2"/>
      <c r="J335" s="2"/>
      <c r="K335" s="2"/>
      <c r="L335" s="2"/>
      <c r="M335" s="2"/>
      <c r="N335" s="2"/>
      <c r="O335" s="2"/>
      <c r="P335" s="2"/>
    </row>
    <row r="336" spans="1:16" x14ac:dyDescent="0.25">
      <c r="A336" s="2"/>
      <c r="B336" s="2"/>
      <c r="C336" s="2"/>
      <c r="D336" s="2"/>
      <c r="E336" s="2"/>
      <c r="F336" s="11"/>
      <c r="G336" s="2"/>
      <c r="H336" s="2"/>
      <c r="I336" s="2"/>
      <c r="J336" s="2"/>
      <c r="K336" s="2"/>
      <c r="L336" s="2"/>
      <c r="M336" s="2"/>
      <c r="N336" s="2"/>
      <c r="O336" s="2"/>
      <c r="P336" s="2"/>
    </row>
    <row r="337" spans="1:16" x14ac:dyDescent="0.25">
      <c r="A337" s="2"/>
      <c r="B337" s="2"/>
      <c r="C337" s="2"/>
      <c r="D337" s="2"/>
      <c r="E337" s="2"/>
      <c r="F337" s="11"/>
      <c r="G337" s="2"/>
      <c r="H337" s="2"/>
      <c r="I337" s="2"/>
      <c r="J337" s="2"/>
      <c r="K337" s="2"/>
      <c r="L337" s="2"/>
      <c r="M337" s="2"/>
      <c r="N337" s="2"/>
      <c r="O337" s="2"/>
      <c r="P337" s="2"/>
    </row>
    <row r="338" spans="1:16" x14ac:dyDescent="0.25">
      <c r="A338" s="2"/>
      <c r="B338" s="2"/>
      <c r="C338" s="2"/>
      <c r="D338" s="2"/>
      <c r="E338" s="2"/>
      <c r="F338" s="11"/>
      <c r="G338" s="2"/>
      <c r="H338" s="2"/>
      <c r="I338" s="2"/>
      <c r="J338" s="2"/>
      <c r="K338" s="2"/>
      <c r="L338" s="2"/>
      <c r="M338" s="2"/>
      <c r="N338" s="2"/>
      <c r="O338" s="2"/>
      <c r="P338" s="2"/>
    </row>
    <row r="339" spans="1:16" x14ac:dyDescent="0.25">
      <c r="A339" s="2"/>
      <c r="B339" s="2"/>
      <c r="C339" s="2"/>
      <c r="D339" s="2"/>
      <c r="E339" s="2"/>
      <c r="F339" s="11"/>
      <c r="G339" s="2"/>
      <c r="H339" s="2"/>
      <c r="I339" s="2"/>
      <c r="J339" s="2"/>
      <c r="K339" s="2"/>
      <c r="L339" s="2"/>
      <c r="M339" s="2"/>
      <c r="N339" s="2"/>
      <c r="O339" s="2"/>
      <c r="P339" s="2"/>
    </row>
    <row r="340" spans="1:16" x14ac:dyDescent="0.25">
      <c r="A340" s="2"/>
      <c r="B340" s="2"/>
      <c r="C340" s="2"/>
      <c r="D340" s="2"/>
      <c r="E340" s="2"/>
      <c r="F340" s="11"/>
      <c r="G340" s="2"/>
      <c r="H340" s="2"/>
      <c r="I340" s="2"/>
      <c r="J340" s="2"/>
      <c r="K340" s="2"/>
      <c r="L340" s="2"/>
      <c r="M340" s="2"/>
      <c r="N340" s="2"/>
      <c r="O340" s="2"/>
      <c r="P340" s="2"/>
    </row>
    <row r="341" spans="1:16" x14ac:dyDescent="0.25">
      <c r="A341" s="2"/>
      <c r="B341" s="2"/>
      <c r="C341" s="2"/>
      <c r="D341" s="2"/>
      <c r="E341" s="2"/>
      <c r="F341" s="11"/>
      <c r="G341" s="2"/>
      <c r="H341" s="2"/>
      <c r="I341" s="2"/>
      <c r="J341" s="2"/>
      <c r="K341" s="2"/>
      <c r="L341" s="2"/>
      <c r="M341" s="2"/>
      <c r="N341" s="2"/>
      <c r="O341" s="2"/>
      <c r="P341" s="2"/>
    </row>
    <row r="342" spans="1:16" x14ac:dyDescent="0.25">
      <c r="A342" s="2"/>
      <c r="B342" s="2"/>
      <c r="C342" s="2"/>
      <c r="D342" s="2"/>
      <c r="E342" s="2"/>
      <c r="F342" s="11"/>
      <c r="G342" s="2"/>
      <c r="H342" s="2"/>
      <c r="I342" s="2"/>
      <c r="J342" s="2"/>
      <c r="K342" s="2"/>
      <c r="L342" s="2"/>
      <c r="M342" s="2"/>
      <c r="N342" s="2"/>
      <c r="O342" s="2"/>
      <c r="P342" s="2"/>
    </row>
    <row r="343" spans="1:16" x14ac:dyDescent="0.25">
      <c r="A343" s="2"/>
      <c r="B343" s="2"/>
      <c r="C343" s="2"/>
      <c r="D343" s="2"/>
      <c r="E343" s="2"/>
      <c r="F343" s="11"/>
      <c r="G343" s="2"/>
      <c r="H343" s="2"/>
      <c r="I343" s="2"/>
      <c r="J343" s="2"/>
      <c r="K343" s="2"/>
      <c r="L343" s="2"/>
      <c r="M343" s="2"/>
      <c r="N343" s="2"/>
      <c r="O343" s="2"/>
      <c r="P343" s="2"/>
    </row>
    <row r="344" spans="1:16" x14ac:dyDescent="0.25">
      <c r="A344" s="2"/>
      <c r="B344" s="2"/>
      <c r="C344" s="2"/>
      <c r="D344" s="2"/>
      <c r="E344" s="2"/>
      <c r="F344" s="11"/>
      <c r="G344" s="2"/>
      <c r="H344" s="2"/>
      <c r="I344" s="2"/>
      <c r="J344" s="2"/>
      <c r="K344" s="2"/>
      <c r="L344" s="2"/>
      <c r="M344" s="2"/>
      <c r="N344" s="2"/>
      <c r="O344" s="2"/>
      <c r="P344" s="2"/>
    </row>
    <row r="345" spans="1:16" x14ac:dyDescent="0.25">
      <c r="A345" s="2"/>
      <c r="B345" s="2"/>
      <c r="C345" s="2"/>
      <c r="D345" s="2"/>
      <c r="E345" s="2"/>
      <c r="F345" s="11"/>
      <c r="G345" s="2"/>
      <c r="H345" s="2"/>
      <c r="I345" s="2"/>
      <c r="J345" s="2"/>
      <c r="K345" s="2"/>
      <c r="L345" s="2"/>
      <c r="M345" s="2"/>
      <c r="N345" s="2"/>
      <c r="O345" s="2"/>
      <c r="P345" s="2"/>
    </row>
  </sheetData>
  <autoFilter ref="A2:I34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344"/>
  <sheetViews>
    <sheetView workbookViewId="0">
      <selection activeCell="D3" sqref="D3"/>
    </sheetView>
  </sheetViews>
  <sheetFormatPr baseColWidth="10" defaultRowHeight="15.75" x14ac:dyDescent="0.25"/>
  <cols>
    <col min="4" max="4" width="35.25" customWidth="1"/>
    <col min="5" max="5" width="10.625" customWidth="1"/>
    <col min="6" max="6" width="28.875" style="4" customWidth="1"/>
  </cols>
  <sheetData>
    <row r="1" spans="1:14" x14ac:dyDescent="0.25">
      <c r="A1" s="2" t="str">
        <f t="array" ref="A1:G319">xl_group_by(xl_filter_by(Sheet1!A:R,"FORMATO",1001),{"FORMATO";"CONCEPTO";"TERCERO";"NOMBRE TERCERO";"CUENTA";"NOMBRE CUENTA"},"DEBITO","sum",1)</f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" s="2" t="s">
        <v>1496</v>
      </c>
      <c r="I1" s="2"/>
      <c r="J1" s="2"/>
      <c r="K1" s="2"/>
      <c r="L1" s="2"/>
      <c r="M1" s="2"/>
      <c r="N1" s="2"/>
    </row>
    <row r="2" spans="1:14" x14ac:dyDescent="0.25">
      <c r="A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" s="2" t="s">
        <v>1496</v>
      </c>
      <c r="I2" s="2"/>
      <c r="J2" s="2"/>
      <c r="K2" s="2"/>
      <c r="L2" s="2"/>
      <c r="M2" s="2"/>
      <c r="N2" s="2"/>
    </row>
    <row r="3" spans="1:14" x14ac:dyDescent="0.25">
      <c r="A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" s="2" t="s">
        <v>1496</v>
      </c>
      <c r="I3" s="2"/>
      <c r="J3" s="2"/>
      <c r="K3" s="2"/>
      <c r="L3" s="2"/>
      <c r="M3" s="2"/>
      <c r="N3" s="2"/>
    </row>
    <row r="4" spans="1:14" x14ac:dyDescent="0.25">
      <c r="A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" s="2" t="s">
        <v>1496</v>
      </c>
      <c r="I4" s="2"/>
      <c r="J4" s="2"/>
      <c r="K4" s="2"/>
      <c r="L4" s="2"/>
      <c r="M4" s="2"/>
      <c r="N4" s="2"/>
    </row>
    <row r="5" spans="1:14" x14ac:dyDescent="0.25">
      <c r="A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" s="2" t="s">
        <v>1496</v>
      </c>
      <c r="I5" s="2"/>
      <c r="J5" s="2"/>
      <c r="K5" s="2"/>
      <c r="L5" s="2"/>
      <c r="M5" s="2"/>
      <c r="N5" s="2"/>
    </row>
    <row r="6" spans="1:14" x14ac:dyDescent="0.25">
      <c r="A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" s="2" t="s">
        <v>1496</v>
      </c>
      <c r="I6" s="2"/>
      <c r="J6" s="2"/>
      <c r="K6" s="2"/>
      <c r="L6" s="2"/>
      <c r="M6" s="2"/>
      <c r="N6" s="2"/>
    </row>
    <row r="7" spans="1:14" x14ac:dyDescent="0.25">
      <c r="A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" s="2" t="s">
        <v>1496</v>
      </c>
      <c r="I7" s="2"/>
      <c r="J7" s="2"/>
      <c r="K7" s="2"/>
      <c r="L7" s="2"/>
      <c r="M7" s="2"/>
      <c r="N7" s="2"/>
    </row>
    <row r="8" spans="1:14" x14ac:dyDescent="0.25">
      <c r="A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" s="2" t="s">
        <v>1496</v>
      </c>
      <c r="I8" s="2"/>
      <c r="J8" s="2"/>
      <c r="K8" s="2"/>
      <c r="L8" s="2"/>
      <c r="M8" s="2"/>
      <c r="N8" s="2"/>
    </row>
    <row r="9" spans="1:14" x14ac:dyDescent="0.25">
      <c r="A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" s="2" t="s">
        <v>1496</v>
      </c>
      <c r="I9" s="2"/>
      <c r="J9" s="2"/>
      <c r="K9" s="2"/>
      <c r="L9" s="2"/>
      <c r="M9" s="2"/>
      <c r="N9" s="2"/>
    </row>
    <row r="10" spans="1:14" x14ac:dyDescent="0.25">
      <c r="A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" s="2" t="s">
        <v>1496</v>
      </c>
      <c r="I10" s="2"/>
      <c r="J10" s="2"/>
      <c r="K10" s="2"/>
      <c r="L10" s="2"/>
      <c r="M10" s="2"/>
      <c r="N10" s="2"/>
    </row>
    <row r="11" spans="1:14" x14ac:dyDescent="0.25">
      <c r="A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" s="2" t="s">
        <v>1496</v>
      </c>
      <c r="I11" s="2"/>
      <c r="J11" s="2"/>
      <c r="K11" s="2"/>
      <c r="L11" s="2"/>
      <c r="M11" s="2"/>
      <c r="N11" s="2"/>
    </row>
    <row r="12" spans="1:14" x14ac:dyDescent="0.25">
      <c r="A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" s="2" t="s">
        <v>1496</v>
      </c>
      <c r="I12" s="2"/>
      <c r="J12" s="2"/>
      <c r="K12" s="2"/>
      <c r="L12" s="2"/>
      <c r="M12" s="2"/>
      <c r="N12" s="2"/>
    </row>
    <row r="13" spans="1:14" x14ac:dyDescent="0.25">
      <c r="A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" s="2" t="s">
        <v>1496</v>
      </c>
      <c r="I13" s="2"/>
      <c r="J13" s="2"/>
      <c r="K13" s="2"/>
      <c r="L13" s="2"/>
      <c r="M13" s="2"/>
      <c r="N13" s="2"/>
    </row>
    <row r="14" spans="1:14" x14ac:dyDescent="0.25">
      <c r="A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" s="2" t="s">
        <v>1496</v>
      </c>
      <c r="I14" s="2"/>
      <c r="J14" s="2"/>
      <c r="K14" s="2"/>
      <c r="L14" s="2"/>
      <c r="M14" s="2"/>
      <c r="N14" s="2"/>
    </row>
    <row r="15" spans="1:14" x14ac:dyDescent="0.25">
      <c r="A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" s="2" t="s">
        <v>1496</v>
      </c>
      <c r="I15" s="2"/>
      <c r="J15" s="2"/>
      <c r="K15" s="2"/>
      <c r="L15" s="2"/>
      <c r="M15" s="2"/>
      <c r="N15" s="2"/>
    </row>
    <row r="16" spans="1:14" x14ac:dyDescent="0.25">
      <c r="A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" s="2" t="s">
        <v>1496</v>
      </c>
      <c r="I16" s="2"/>
      <c r="J16" s="2"/>
      <c r="K16" s="2"/>
      <c r="L16" s="2"/>
      <c r="M16" s="2"/>
      <c r="N16" s="2"/>
    </row>
    <row r="17" spans="1:14" x14ac:dyDescent="0.25">
      <c r="A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" s="2" t="s">
        <v>1496</v>
      </c>
      <c r="I17" s="2"/>
      <c r="J17" s="2"/>
      <c r="K17" s="2"/>
      <c r="L17" s="2"/>
      <c r="M17" s="2"/>
      <c r="N17" s="2"/>
    </row>
    <row r="18" spans="1:14" x14ac:dyDescent="0.25">
      <c r="A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" s="2" t="s">
        <v>1496</v>
      </c>
      <c r="I18" s="2"/>
      <c r="J18" s="2"/>
      <c r="K18" s="2"/>
      <c r="L18" s="2"/>
      <c r="M18" s="2"/>
      <c r="N18" s="2"/>
    </row>
    <row r="19" spans="1:14" x14ac:dyDescent="0.25">
      <c r="A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" s="2" t="s">
        <v>1496</v>
      </c>
      <c r="I19" s="2"/>
      <c r="J19" s="2"/>
      <c r="K19" s="2"/>
      <c r="L19" s="2"/>
      <c r="M19" s="2"/>
      <c r="N19" s="2"/>
    </row>
    <row r="20" spans="1:14" x14ac:dyDescent="0.25">
      <c r="A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" s="2" t="s">
        <v>1496</v>
      </c>
      <c r="I20" s="2"/>
      <c r="J20" s="2"/>
      <c r="K20" s="2"/>
      <c r="L20" s="2"/>
      <c r="M20" s="2"/>
      <c r="N20" s="2"/>
    </row>
    <row r="21" spans="1:14" x14ac:dyDescent="0.25">
      <c r="A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" s="2" t="s">
        <v>1496</v>
      </c>
      <c r="I21" s="2"/>
      <c r="J21" s="2"/>
      <c r="K21" s="2"/>
      <c r="L21" s="2"/>
      <c r="M21" s="2"/>
      <c r="N21" s="2"/>
    </row>
    <row r="22" spans="1:14" x14ac:dyDescent="0.25">
      <c r="A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" s="2" t="s">
        <v>1496</v>
      </c>
      <c r="I22" s="2"/>
      <c r="J22" s="2"/>
      <c r="K22" s="2"/>
      <c r="L22" s="2"/>
      <c r="M22" s="2"/>
      <c r="N22" s="2"/>
    </row>
    <row r="23" spans="1:14" x14ac:dyDescent="0.25">
      <c r="A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" s="2" t="s">
        <v>1496</v>
      </c>
      <c r="I23" s="2"/>
      <c r="J23" s="2"/>
      <c r="K23" s="2"/>
      <c r="L23" s="2"/>
      <c r="M23" s="2"/>
      <c r="N23" s="2"/>
    </row>
    <row r="24" spans="1:14" x14ac:dyDescent="0.25">
      <c r="A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" s="2" t="s">
        <v>1496</v>
      </c>
      <c r="I24" s="2"/>
      <c r="J24" s="2"/>
      <c r="K24" s="2"/>
      <c r="L24" s="2"/>
      <c r="M24" s="2"/>
      <c r="N24" s="2"/>
    </row>
    <row r="25" spans="1:14" x14ac:dyDescent="0.25">
      <c r="A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" s="2" t="s">
        <v>1496</v>
      </c>
      <c r="I25" s="2"/>
      <c r="J25" s="2"/>
      <c r="K25" s="2"/>
      <c r="L25" s="2"/>
      <c r="M25" s="2"/>
      <c r="N25" s="2"/>
    </row>
    <row r="26" spans="1:14" x14ac:dyDescent="0.25">
      <c r="A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" s="2" t="s">
        <v>1496</v>
      </c>
      <c r="I26" s="2"/>
      <c r="J26" s="2"/>
      <c r="K26" s="2"/>
      <c r="L26" s="2"/>
      <c r="M26" s="2"/>
      <c r="N26" s="2"/>
    </row>
    <row r="27" spans="1:14" x14ac:dyDescent="0.25">
      <c r="A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" s="2" t="s">
        <v>1496</v>
      </c>
      <c r="I27" s="2"/>
      <c r="J27" s="2"/>
      <c r="K27" s="2"/>
      <c r="L27" s="2"/>
      <c r="M27" s="2"/>
      <c r="N27" s="2"/>
    </row>
    <row r="28" spans="1:14" x14ac:dyDescent="0.25">
      <c r="A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" s="2" t="s">
        <v>1496</v>
      </c>
      <c r="I28" s="2"/>
      <c r="J28" s="2"/>
      <c r="K28" s="2"/>
      <c r="L28" s="2"/>
      <c r="M28" s="2"/>
      <c r="N28" s="2"/>
    </row>
    <row r="29" spans="1:14" x14ac:dyDescent="0.25">
      <c r="A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" s="2" t="s">
        <v>1496</v>
      </c>
      <c r="I29" s="2"/>
      <c r="J29" s="2"/>
      <c r="K29" s="2"/>
      <c r="L29" s="2"/>
      <c r="M29" s="2"/>
      <c r="N29" s="2"/>
    </row>
    <row r="30" spans="1:14" x14ac:dyDescent="0.25">
      <c r="A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" s="2" t="s">
        <v>1496</v>
      </c>
      <c r="I30" s="2"/>
      <c r="J30" s="2"/>
      <c r="K30" s="2"/>
      <c r="L30" s="2"/>
      <c r="M30" s="2"/>
      <c r="N30" s="2"/>
    </row>
    <row r="31" spans="1:14" x14ac:dyDescent="0.25">
      <c r="A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" s="2" t="s">
        <v>1496</v>
      </c>
      <c r="I31" s="2"/>
      <c r="J31" s="2"/>
      <c r="K31" s="2"/>
      <c r="L31" s="2"/>
      <c r="M31" s="2"/>
      <c r="N31" s="2"/>
    </row>
    <row r="32" spans="1:14" x14ac:dyDescent="0.25">
      <c r="A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2" s="2" t="s">
        <v>1496</v>
      </c>
      <c r="I32" s="2"/>
      <c r="J32" s="2"/>
      <c r="K32" s="2"/>
      <c r="L32" s="2"/>
      <c r="M32" s="2"/>
      <c r="N32" s="2"/>
    </row>
    <row r="33" spans="1:14" x14ac:dyDescent="0.25">
      <c r="A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3" s="2" t="s">
        <v>1496</v>
      </c>
      <c r="I33" s="2"/>
      <c r="J33" s="2"/>
      <c r="K33" s="2"/>
      <c r="L33" s="2"/>
      <c r="M33" s="2"/>
      <c r="N33" s="2"/>
    </row>
    <row r="34" spans="1:14" x14ac:dyDescent="0.25">
      <c r="A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4" s="2" t="s">
        <v>1496</v>
      </c>
      <c r="I34" s="2"/>
      <c r="J34" s="2"/>
      <c r="K34" s="2"/>
      <c r="L34" s="2"/>
      <c r="M34" s="2"/>
      <c r="N34" s="2"/>
    </row>
    <row r="35" spans="1:14" x14ac:dyDescent="0.25">
      <c r="A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5" s="2" t="s">
        <v>1496</v>
      </c>
      <c r="I35" s="2"/>
      <c r="J35" s="2"/>
      <c r="K35" s="2"/>
      <c r="L35" s="2"/>
      <c r="M35" s="2"/>
      <c r="N35" s="2"/>
    </row>
    <row r="36" spans="1:14" x14ac:dyDescent="0.25">
      <c r="A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6" s="2" t="s">
        <v>1496</v>
      </c>
      <c r="I36" s="2"/>
      <c r="J36" s="2"/>
      <c r="K36" s="2"/>
      <c r="L36" s="2"/>
      <c r="M36" s="2"/>
      <c r="N36" s="2"/>
    </row>
    <row r="37" spans="1:14" x14ac:dyDescent="0.25">
      <c r="A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7" s="2" t="s">
        <v>1496</v>
      </c>
      <c r="I37" s="2"/>
      <c r="J37" s="2"/>
      <c r="K37" s="2"/>
      <c r="L37" s="2"/>
      <c r="M37" s="2"/>
      <c r="N37" s="2"/>
    </row>
    <row r="38" spans="1:14" x14ac:dyDescent="0.25">
      <c r="A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8" s="2" t="s">
        <v>1496</v>
      </c>
      <c r="I38" s="2"/>
      <c r="J38" s="2"/>
      <c r="K38" s="2"/>
      <c r="L38" s="2"/>
      <c r="M38" s="2"/>
      <c r="N38" s="2"/>
    </row>
    <row r="39" spans="1:14" x14ac:dyDescent="0.25">
      <c r="A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9" s="2" t="s">
        <v>1496</v>
      </c>
      <c r="I39" s="2"/>
      <c r="J39" s="2"/>
      <c r="K39" s="2"/>
      <c r="L39" s="2"/>
      <c r="M39" s="2"/>
      <c r="N39" s="2"/>
    </row>
    <row r="40" spans="1:14" x14ac:dyDescent="0.25">
      <c r="A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0" s="2" t="s">
        <v>1496</v>
      </c>
      <c r="I40" s="2"/>
      <c r="J40" s="2"/>
      <c r="K40" s="2"/>
      <c r="L40" s="2"/>
      <c r="M40" s="2"/>
      <c r="N40" s="2"/>
    </row>
    <row r="41" spans="1:14" x14ac:dyDescent="0.25">
      <c r="A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1" s="2" t="s">
        <v>1496</v>
      </c>
      <c r="I41" s="2"/>
      <c r="J41" s="2"/>
      <c r="K41" s="2"/>
      <c r="L41" s="2"/>
      <c r="M41" s="2"/>
      <c r="N41" s="2"/>
    </row>
    <row r="42" spans="1:14" x14ac:dyDescent="0.25">
      <c r="A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2" s="2" t="s">
        <v>1496</v>
      </c>
      <c r="I42" s="2"/>
      <c r="J42" s="2"/>
      <c r="K42" s="2"/>
      <c r="L42" s="2"/>
      <c r="M42" s="2"/>
      <c r="N42" s="2"/>
    </row>
    <row r="43" spans="1:14" x14ac:dyDescent="0.25">
      <c r="A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3" s="2" t="s">
        <v>1496</v>
      </c>
      <c r="I43" s="2"/>
      <c r="J43" s="2"/>
      <c r="K43" s="2"/>
      <c r="L43" s="2"/>
      <c r="M43" s="2"/>
      <c r="N43" s="2"/>
    </row>
    <row r="44" spans="1:14" x14ac:dyDescent="0.25">
      <c r="A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4" s="2" t="s">
        <v>1496</v>
      </c>
      <c r="I44" s="2"/>
      <c r="J44" s="2"/>
      <c r="K44" s="2"/>
      <c r="L44" s="2"/>
      <c r="M44" s="2"/>
      <c r="N44" s="2"/>
    </row>
    <row r="45" spans="1:14" x14ac:dyDescent="0.25">
      <c r="A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5" s="2" t="s">
        <v>1496</v>
      </c>
      <c r="I45" s="2"/>
      <c r="J45" s="2"/>
      <c r="K45" s="2"/>
      <c r="L45" s="2"/>
      <c r="M45" s="2"/>
      <c r="N45" s="2"/>
    </row>
    <row r="46" spans="1:14" x14ac:dyDescent="0.25">
      <c r="A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6" s="2" t="s">
        <v>1496</v>
      </c>
      <c r="I46" s="2"/>
      <c r="J46" s="2"/>
      <c r="K46" s="2"/>
      <c r="L46" s="2"/>
      <c r="M46" s="2"/>
      <c r="N46" s="2"/>
    </row>
    <row r="47" spans="1:14" x14ac:dyDescent="0.25">
      <c r="A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7" s="2" t="s">
        <v>1496</v>
      </c>
      <c r="I47" s="2"/>
      <c r="J47" s="2"/>
      <c r="K47" s="2"/>
      <c r="L47" s="2"/>
      <c r="M47" s="2"/>
      <c r="N47" s="2"/>
    </row>
    <row r="48" spans="1:14" x14ac:dyDescent="0.25">
      <c r="A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8" s="2" t="s">
        <v>1496</v>
      </c>
      <c r="I48" s="2"/>
      <c r="J48" s="2"/>
      <c r="K48" s="2"/>
      <c r="L48" s="2"/>
      <c r="M48" s="2"/>
      <c r="N48" s="2"/>
    </row>
    <row r="49" spans="1:14" x14ac:dyDescent="0.25">
      <c r="A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4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49" s="2" t="s">
        <v>1496</v>
      </c>
      <c r="I49" s="2"/>
      <c r="J49" s="2"/>
      <c r="K49" s="2"/>
      <c r="L49" s="2"/>
      <c r="M49" s="2"/>
      <c r="N49" s="2"/>
    </row>
    <row r="50" spans="1:14" x14ac:dyDescent="0.25">
      <c r="A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0" s="2" t="s">
        <v>1496</v>
      </c>
      <c r="I50" s="2"/>
      <c r="J50" s="2"/>
      <c r="K50" s="2"/>
      <c r="L50" s="2"/>
      <c r="M50" s="2"/>
      <c r="N50" s="2"/>
    </row>
    <row r="51" spans="1:14" x14ac:dyDescent="0.25">
      <c r="A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1" s="2" t="s">
        <v>1496</v>
      </c>
      <c r="I51" s="2"/>
      <c r="J51" s="2"/>
      <c r="K51" s="2"/>
      <c r="L51" s="2"/>
      <c r="M51" s="2"/>
      <c r="N51" s="2"/>
    </row>
    <row r="52" spans="1:14" x14ac:dyDescent="0.25">
      <c r="A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2" s="2" t="s">
        <v>1496</v>
      </c>
      <c r="I52" s="2"/>
      <c r="J52" s="2"/>
      <c r="K52" s="2"/>
      <c r="L52" s="2"/>
      <c r="M52" s="2"/>
      <c r="N52" s="2"/>
    </row>
    <row r="53" spans="1:14" x14ac:dyDescent="0.25">
      <c r="A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3" s="2" t="s">
        <v>1496</v>
      </c>
      <c r="I53" s="2"/>
      <c r="J53" s="2"/>
      <c r="K53" s="2"/>
      <c r="L53" s="2"/>
      <c r="M53" s="2"/>
      <c r="N53" s="2"/>
    </row>
    <row r="54" spans="1:14" x14ac:dyDescent="0.25">
      <c r="A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4" s="2" t="s">
        <v>1496</v>
      </c>
      <c r="I54" s="2"/>
      <c r="J54" s="2"/>
      <c r="K54" s="2"/>
      <c r="L54" s="2"/>
      <c r="M54" s="2"/>
      <c r="N54" s="2"/>
    </row>
    <row r="55" spans="1:14" x14ac:dyDescent="0.25">
      <c r="A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5" s="2" t="s">
        <v>1496</v>
      </c>
      <c r="I55" s="2"/>
      <c r="J55" s="2"/>
      <c r="K55" s="2"/>
      <c r="L55" s="2"/>
      <c r="M55" s="2"/>
      <c r="N55" s="2"/>
    </row>
    <row r="56" spans="1:14" x14ac:dyDescent="0.25">
      <c r="A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6" s="2" t="s">
        <v>1496</v>
      </c>
      <c r="I56" s="2"/>
      <c r="J56" s="2"/>
      <c r="K56" s="2"/>
      <c r="L56" s="2"/>
      <c r="M56" s="2"/>
      <c r="N56" s="2"/>
    </row>
    <row r="57" spans="1:14" x14ac:dyDescent="0.25">
      <c r="A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7" s="2" t="s">
        <v>1496</v>
      </c>
      <c r="I57" s="2"/>
      <c r="J57" s="2"/>
      <c r="K57" s="2"/>
      <c r="L57" s="2"/>
      <c r="M57" s="2"/>
      <c r="N57" s="2"/>
    </row>
    <row r="58" spans="1:14" x14ac:dyDescent="0.25">
      <c r="A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8" s="2" t="s">
        <v>1496</v>
      </c>
      <c r="I58" s="2"/>
      <c r="J58" s="2"/>
      <c r="K58" s="2"/>
      <c r="L58" s="2"/>
      <c r="M58" s="2"/>
      <c r="N58" s="2"/>
    </row>
    <row r="59" spans="1:14" x14ac:dyDescent="0.25">
      <c r="A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5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59" s="2" t="s">
        <v>1496</v>
      </c>
      <c r="I59" s="2"/>
      <c r="J59" s="2"/>
      <c r="K59" s="2"/>
      <c r="L59" s="2"/>
      <c r="M59" s="2"/>
      <c r="N59" s="2"/>
    </row>
    <row r="60" spans="1:14" x14ac:dyDescent="0.25">
      <c r="A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0" s="2" t="s">
        <v>1496</v>
      </c>
      <c r="I60" s="2"/>
      <c r="J60" s="2"/>
      <c r="K60" s="2"/>
      <c r="L60" s="2"/>
      <c r="M60" s="2"/>
      <c r="N60" s="2"/>
    </row>
    <row r="61" spans="1:14" x14ac:dyDescent="0.25">
      <c r="A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1" s="2" t="s">
        <v>1496</v>
      </c>
      <c r="I61" s="2"/>
      <c r="J61" s="2"/>
      <c r="K61" s="2"/>
      <c r="L61" s="2"/>
      <c r="M61" s="2"/>
      <c r="N61" s="2"/>
    </row>
    <row r="62" spans="1:14" x14ac:dyDescent="0.25">
      <c r="A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2" s="2" t="s">
        <v>1496</v>
      </c>
      <c r="I62" s="2"/>
      <c r="J62" s="2"/>
      <c r="K62" s="2"/>
      <c r="L62" s="2"/>
      <c r="M62" s="2"/>
      <c r="N62" s="2"/>
    </row>
    <row r="63" spans="1:14" x14ac:dyDescent="0.25">
      <c r="A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3" s="2" t="s">
        <v>1496</v>
      </c>
      <c r="I63" s="2"/>
      <c r="J63" s="2"/>
      <c r="K63" s="2"/>
      <c r="L63" s="2"/>
      <c r="M63" s="2"/>
      <c r="N63" s="2"/>
    </row>
    <row r="64" spans="1:14" x14ac:dyDescent="0.25">
      <c r="A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4" s="2" t="s">
        <v>1496</v>
      </c>
      <c r="I64" s="2"/>
      <c r="J64" s="2"/>
      <c r="K64" s="2"/>
      <c r="L64" s="2"/>
      <c r="M64" s="2"/>
      <c r="N64" s="2"/>
    </row>
    <row r="65" spans="1:14" x14ac:dyDescent="0.25">
      <c r="A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5" s="2" t="s">
        <v>1496</v>
      </c>
      <c r="I65" s="2"/>
      <c r="J65" s="2"/>
      <c r="K65" s="2"/>
      <c r="L65" s="2"/>
      <c r="M65" s="2"/>
      <c r="N65" s="2"/>
    </row>
    <row r="66" spans="1:14" x14ac:dyDescent="0.25">
      <c r="A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6" s="2" t="s">
        <v>1496</v>
      </c>
      <c r="I66" s="2"/>
      <c r="J66" s="2"/>
      <c r="K66" s="2"/>
      <c r="L66" s="2"/>
      <c r="M66" s="2"/>
      <c r="N66" s="2"/>
    </row>
    <row r="67" spans="1:14" x14ac:dyDescent="0.25">
      <c r="A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7" s="2" t="s">
        <v>1496</v>
      </c>
      <c r="I67" s="2"/>
      <c r="J67" s="2"/>
      <c r="K67" s="2"/>
      <c r="L67" s="2"/>
      <c r="M67" s="2"/>
      <c r="N67" s="2"/>
    </row>
    <row r="68" spans="1:14" x14ac:dyDescent="0.25">
      <c r="A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8" s="2" t="s">
        <v>1496</v>
      </c>
      <c r="I68" s="2"/>
      <c r="J68" s="2"/>
      <c r="K68" s="2"/>
      <c r="L68" s="2"/>
      <c r="M68" s="2"/>
      <c r="N68" s="2"/>
    </row>
    <row r="69" spans="1:14" x14ac:dyDescent="0.25">
      <c r="A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6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69" s="2" t="s">
        <v>1496</v>
      </c>
      <c r="I69" s="2"/>
      <c r="J69" s="2"/>
      <c r="K69" s="2"/>
      <c r="L69" s="2"/>
      <c r="M69" s="2"/>
      <c r="N69" s="2"/>
    </row>
    <row r="70" spans="1:14" x14ac:dyDescent="0.25">
      <c r="A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0" s="2" t="s">
        <v>1496</v>
      </c>
      <c r="I70" s="2"/>
      <c r="J70" s="2"/>
      <c r="K70" s="2"/>
      <c r="L70" s="2"/>
      <c r="M70" s="2"/>
      <c r="N70" s="2"/>
    </row>
    <row r="71" spans="1:14" x14ac:dyDescent="0.25">
      <c r="A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1" s="2" t="s">
        <v>1496</v>
      </c>
      <c r="I71" s="2"/>
      <c r="J71" s="2"/>
      <c r="K71" s="2"/>
      <c r="L71" s="2"/>
      <c r="M71" s="2"/>
      <c r="N71" s="2"/>
    </row>
    <row r="72" spans="1:14" x14ac:dyDescent="0.25">
      <c r="A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2" s="2" t="s">
        <v>1496</v>
      </c>
      <c r="I72" s="2"/>
      <c r="J72" s="2"/>
      <c r="K72" s="2"/>
      <c r="L72" s="2"/>
      <c r="M72" s="2"/>
      <c r="N72" s="2"/>
    </row>
    <row r="73" spans="1:14" x14ac:dyDescent="0.25">
      <c r="A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3" s="2" t="s">
        <v>1496</v>
      </c>
      <c r="I73" s="2"/>
      <c r="J73" s="2"/>
      <c r="K73" s="2"/>
      <c r="L73" s="2"/>
      <c r="M73" s="2"/>
      <c r="N73" s="2"/>
    </row>
    <row r="74" spans="1:14" x14ac:dyDescent="0.25">
      <c r="A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4" s="2" t="s">
        <v>1496</v>
      </c>
      <c r="I74" s="2"/>
      <c r="J74" s="2"/>
      <c r="K74" s="2"/>
      <c r="L74" s="2"/>
      <c r="M74" s="2"/>
      <c r="N74" s="2"/>
    </row>
    <row r="75" spans="1:14" x14ac:dyDescent="0.25">
      <c r="A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5" s="2" t="s">
        <v>1496</v>
      </c>
      <c r="I75" s="2"/>
      <c r="J75" s="2"/>
      <c r="K75" s="2"/>
      <c r="L75" s="2"/>
      <c r="M75" s="2"/>
      <c r="N75" s="2"/>
    </row>
    <row r="76" spans="1:14" x14ac:dyDescent="0.25">
      <c r="A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6" s="2" t="s">
        <v>1496</v>
      </c>
      <c r="I76" s="2"/>
      <c r="J76" s="2"/>
      <c r="K76" s="2"/>
      <c r="L76" s="2"/>
      <c r="M76" s="2"/>
      <c r="N76" s="2"/>
    </row>
    <row r="77" spans="1:14" x14ac:dyDescent="0.25">
      <c r="A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7" s="2" t="s">
        <v>1496</v>
      </c>
      <c r="I77" s="2"/>
      <c r="J77" s="2"/>
      <c r="K77" s="2"/>
      <c r="L77" s="2"/>
      <c r="M77" s="2"/>
      <c r="N77" s="2"/>
    </row>
    <row r="78" spans="1:14" x14ac:dyDescent="0.25">
      <c r="A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8" s="2" t="s">
        <v>1496</v>
      </c>
      <c r="I78" s="2"/>
      <c r="J78" s="2"/>
      <c r="K78" s="2"/>
      <c r="L78" s="2"/>
      <c r="M78" s="2"/>
      <c r="N78" s="2"/>
    </row>
    <row r="79" spans="1:14" x14ac:dyDescent="0.25">
      <c r="A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7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79" s="2" t="s">
        <v>1496</v>
      </c>
      <c r="I79" s="2"/>
      <c r="J79" s="2"/>
      <c r="K79" s="2"/>
      <c r="L79" s="2"/>
      <c r="M79" s="2"/>
      <c r="N79" s="2"/>
    </row>
    <row r="80" spans="1:14" x14ac:dyDescent="0.25">
      <c r="A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0" s="2" t="s">
        <v>1496</v>
      </c>
      <c r="I80" s="2"/>
      <c r="J80" s="2"/>
      <c r="K80" s="2"/>
      <c r="L80" s="2"/>
      <c r="M80" s="2"/>
      <c r="N80" s="2"/>
    </row>
    <row r="81" spans="1:14" x14ac:dyDescent="0.25">
      <c r="A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1" s="2" t="s">
        <v>1496</v>
      </c>
      <c r="I81" s="2"/>
      <c r="J81" s="2"/>
      <c r="K81" s="2"/>
      <c r="L81" s="2"/>
      <c r="M81" s="2"/>
      <c r="N81" s="2"/>
    </row>
    <row r="82" spans="1:14" x14ac:dyDescent="0.25">
      <c r="A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2" s="2" t="s">
        <v>1496</v>
      </c>
      <c r="I82" s="2"/>
      <c r="J82" s="2"/>
      <c r="K82" s="2"/>
      <c r="L82" s="2"/>
      <c r="M82" s="2"/>
      <c r="N82" s="2"/>
    </row>
    <row r="83" spans="1:14" x14ac:dyDescent="0.25">
      <c r="A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3" s="2" t="s">
        <v>1496</v>
      </c>
      <c r="I83" s="2"/>
      <c r="J83" s="2"/>
      <c r="K83" s="2"/>
      <c r="L83" s="2"/>
      <c r="M83" s="2"/>
      <c r="N83" s="2"/>
    </row>
    <row r="84" spans="1:14" x14ac:dyDescent="0.25">
      <c r="A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4" s="2" t="s">
        <v>1496</v>
      </c>
      <c r="I84" s="2"/>
      <c r="J84" s="2"/>
      <c r="K84" s="2"/>
      <c r="L84" s="2"/>
      <c r="M84" s="2"/>
      <c r="N84" s="2"/>
    </row>
    <row r="85" spans="1:14" x14ac:dyDescent="0.25">
      <c r="A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5" s="2" t="s">
        <v>1496</v>
      </c>
      <c r="I85" s="2"/>
      <c r="J85" s="2"/>
      <c r="K85" s="2"/>
      <c r="L85" s="2"/>
      <c r="M85" s="2"/>
      <c r="N85" s="2"/>
    </row>
    <row r="86" spans="1:14" x14ac:dyDescent="0.25">
      <c r="A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6" s="2" t="s">
        <v>1496</v>
      </c>
      <c r="I86" s="2"/>
      <c r="J86" s="2"/>
      <c r="K86" s="2"/>
      <c r="L86" s="2"/>
      <c r="M86" s="2"/>
      <c r="N86" s="2"/>
    </row>
    <row r="87" spans="1:14" x14ac:dyDescent="0.25">
      <c r="A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7" s="2" t="s">
        <v>1496</v>
      </c>
      <c r="I87" s="2"/>
      <c r="J87" s="2"/>
      <c r="K87" s="2"/>
      <c r="L87" s="2"/>
      <c r="M87" s="2"/>
      <c r="N87" s="2"/>
    </row>
    <row r="88" spans="1:14" x14ac:dyDescent="0.25">
      <c r="A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8" s="2" t="s">
        <v>1496</v>
      </c>
      <c r="I88" s="2"/>
      <c r="J88" s="2"/>
      <c r="K88" s="2"/>
      <c r="L88" s="2"/>
      <c r="M88" s="2"/>
      <c r="N88" s="2"/>
    </row>
    <row r="89" spans="1:14" x14ac:dyDescent="0.25">
      <c r="A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8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89" s="2" t="s">
        <v>1496</v>
      </c>
      <c r="I89" s="2"/>
      <c r="J89" s="2"/>
      <c r="K89" s="2"/>
      <c r="L89" s="2"/>
      <c r="M89" s="2"/>
      <c r="N89" s="2"/>
    </row>
    <row r="90" spans="1:14" x14ac:dyDescent="0.25">
      <c r="A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0" s="2" t="s">
        <v>1496</v>
      </c>
      <c r="I90" s="2"/>
      <c r="J90" s="2"/>
      <c r="K90" s="2"/>
      <c r="L90" s="2"/>
      <c r="M90" s="2"/>
      <c r="N90" s="2"/>
    </row>
    <row r="91" spans="1:14" x14ac:dyDescent="0.25">
      <c r="A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1" s="2" t="s">
        <v>1496</v>
      </c>
      <c r="I91" s="2"/>
      <c r="J91" s="2"/>
      <c r="K91" s="2"/>
      <c r="L91" s="2"/>
      <c r="M91" s="2"/>
      <c r="N91" s="2"/>
    </row>
    <row r="92" spans="1:14" x14ac:dyDescent="0.25">
      <c r="A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2" s="2" t="s">
        <v>1496</v>
      </c>
      <c r="I92" s="2"/>
      <c r="J92" s="2"/>
      <c r="K92" s="2"/>
      <c r="L92" s="2"/>
      <c r="M92" s="2"/>
      <c r="N92" s="2"/>
    </row>
    <row r="93" spans="1:14" x14ac:dyDescent="0.25">
      <c r="A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3" s="2" t="s">
        <v>1496</v>
      </c>
      <c r="I93" s="2"/>
      <c r="J93" s="2"/>
      <c r="K93" s="2"/>
      <c r="L93" s="2"/>
      <c r="M93" s="2"/>
      <c r="N93" s="2"/>
    </row>
    <row r="94" spans="1:14" x14ac:dyDescent="0.25">
      <c r="A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4" s="2" t="s">
        <v>1496</v>
      </c>
      <c r="I94" s="2"/>
      <c r="J94" s="2"/>
      <c r="K94" s="2"/>
      <c r="L94" s="2"/>
      <c r="M94" s="2"/>
      <c r="N94" s="2"/>
    </row>
    <row r="95" spans="1:14" x14ac:dyDescent="0.25">
      <c r="A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5" s="2" t="s">
        <v>1496</v>
      </c>
      <c r="I95" s="2"/>
      <c r="J95" s="2"/>
      <c r="K95" s="2"/>
      <c r="L95" s="2"/>
      <c r="M95" s="2"/>
      <c r="N95" s="2"/>
    </row>
    <row r="96" spans="1:14" x14ac:dyDescent="0.25">
      <c r="A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6" s="2" t="s">
        <v>1496</v>
      </c>
      <c r="I96" s="2"/>
      <c r="J96" s="2"/>
      <c r="K96" s="2"/>
      <c r="L96" s="2"/>
      <c r="M96" s="2"/>
      <c r="N96" s="2"/>
    </row>
    <row r="97" spans="1:14" x14ac:dyDescent="0.25">
      <c r="A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7" s="2" t="s">
        <v>1496</v>
      </c>
      <c r="I97" s="2"/>
      <c r="J97" s="2"/>
      <c r="K97" s="2"/>
      <c r="L97" s="2"/>
      <c r="M97" s="2"/>
      <c r="N97" s="2"/>
    </row>
    <row r="98" spans="1:14" x14ac:dyDescent="0.25">
      <c r="A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8" s="2" t="s">
        <v>1496</v>
      </c>
      <c r="I98" s="2"/>
      <c r="J98" s="2"/>
      <c r="K98" s="2"/>
      <c r="L98" s="2"/>
      <c r="M98" s="2"/>
      <c r="N98" s="2"/>
    </row>
    <row r="99" spans="1:14" x14ac:dyDescent="0.25">
      <c r="A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9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99" s="2" t="s">
        <v>1496</v>
      </c>
      <c r="I99" s="2"/>
      <c r="J99" s="2"/>
      <c r="K99" s="2"/>
      <c r="L99" s="2"/>
      <c r="M99" s="2"/>
      <c r="N99" s="2"/>
    </row>
    <row r="100" spans="1:14" x14ac:dyDescent="0.25">
      <c r="A1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0" s="2" t="s">
        <v>1496</v>
      </c>
      <c r="I100" s="2"/>
      <c r="J100" s="2"/>
      <c r="K100" s="2"/>
      <c r="L100" s="2"/>
      <c r="M100" s="2"/>
      <c r="N100" s="2"/>
    </row>
    <row r="101" spans="1:14" x14ac:dyDescent="0.25">
      <c r="A1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1" s="2" t="s">
        <v>1496</v>
      </c>
      <c r="I101" s="2"/>
      <c r="J101" s="2"/>
      <c r="K101" s="2"/>
      <c r="L101" s="2"/>
      <c r="M101" s="2"/>
      <c r="N101" s="2"/>
    </row>
    <row r="102" spans="1:14" x14ac:dyDescent="0.25">
      <c r="A1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2" s="2" t="s">
        <v>1496</v>
      </c>
      <c r="I102" s="2"/>
      <c r="J102" s="2"/>
      <c r="K102" s="2"/>
      <c r="L102" s="2"/>
      <c r="M102" s="2"/>
      <c r="N102" s="2"/>
    </row>
    <row r="103" spans="1:14" x14ac:dyDescent="0.25">
      <c r="A1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3" s="2" t="s">
        <v>1496</v>
      </c>
      <c r="I103" s="2"/>
      <c r="J103" s="2"/>
      <c r="K103" s="2"/>
      <c r="L103" s="2"/>
      <c r="M103" s="2"/>
      <c r="N103" s="2"/>
    </row>
    <row r="104" spans="1:14" x14ac:dyDescent="0.25">
      <c r="A1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4" s="2" t="s">
        <v>1496</v>
      </c>
      <c r="I104" s="2"/>
      <c r="J104" s="2"/>
      <c r="K104" s="2"/>
      <c r="L104" s="2"/>
      <c r="M104" s="2"/>
      <c r="N104" s="2"/>
    </row>
    <row r="105" spans="1:14" x14ac:dyDescent="0.25">
      <c r="A1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5" s="2" t="s">
        <v>1496</v>
      </c>
      <c r="I105" s="2"/>
      <c r="J105" s="2"/>
      <c r="K105" s="2"/>
      <c r="L105" s="2"/>
      <c r="M105" s="2"/>
      <c r="N105" s="2"/>
    </row>
    <row r="106" spans="1:14" x14ac:dyDescent="0.25">
      <c r="A1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6" s="2" t="s">
        <v>1496</v>
      </c>
      <c r="I106" s="2"/>
      <c r="J106" s="2"/>
      <c r="K106" s="2"/>
      <c r="L106" s="2"/>
      <c r="M106" s="2"/>
      <c r="N106" s="2"/>
    </row>
    <row r="107" spans="1:14" x14ac:dyDescent="0.25">
      <c r="A1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7" s="2" t="s">
        <v>1496</v>
      </c>
      <c r="I107" s="2"/>
      <c r="J107" s="2"/>
      <c r="K107" s="2"/>
      <c r="L107" s="2"/>
      <c r="M107" s="2"/>
      <c r="N107" s="2"/>
    </row>
    <row r="108" spans="1:14" x14ac:dyDescent="0.25">
      <c r="A1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8" s="2" t="s">
        <v>1496</v>
      </c>
      <c r="I108" s="2"/>
      <c r="J108" s="2"/>
      <c r="K108" s="2"/>
      <c r="L108" s="2"/>
      <c r="M108" s="2"/>
      <c r="N108" s="2"/>
    </row>
    <row r="109" spans="1:14" x14ac:dyDescent="0.25">
      <c r="A1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0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09" s="2" t="s">
        <v>1496</v>
      </c>
      <c r="I109" s="2"/>
      <c r="J109" s="2"/>
      <c r="K109" s="2"/>
      <c r="L109" s="2"/>
      <c r="M109" s="2"/>
      <c r="N109" s="2"/>
    </row>
    <row r="110" spans="1:14" x14ac:dyDescent="0.25">
      <c r="A1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0" s="2" t="s">
        <v>1496</v>
      </c>
      <c r="I110" s="2"/>
      <c r="J110" s="2"/>
      <c r="K110" s="2"/>
      <c r="L110" s="2"/>
      <c r="M110" s="2"/>
      <c r="N110" s="2"/>
    </row>
    <row r="111" spans="1:14" x14ac:dyDescent="0.25">
      <c r="A1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1" s="2" t="s">
        <v>1496</v>
      </c>
      <c r="I111" s="2"/>
      <c r="J111" s="2"/>
      <c r="K111" s="2"/>
      <c r="L111" s="2"/>
      <c r="M111" s="2"/>
      <c r="N111" s="2"/>
    </row>
    <row r="112" spans="1:14" x14ac:dyDescent="0.25">
      <c r="A1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2" s="2" t="s">
        <v>1496</v>
      </c>
      <c r="I112" s="2"/>
      <c r="J112" s="2"/>
      <c r="K112" s="2"/>
      <c r="L112" s="2"/>
      <c r="M112" s="2"/>
      <c r="N112" s="2"/>
    </row>
    <row r="113" spans="1:14" x14ac:dyDescent="0.25">
      <c r="A1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3" s="2" t="s">
        <v>1496</v>
      </c>
      <c r="I113" s="2"/>
      <c r="J113" s="2"/>
      <c r="K113" s="2"/>
      <c r="L113" s="2"/>
      <c r="M113" s="2"/>
      <c r="N113" s="2"/>
    </row>
    <row r="114" spans="1:14" x14ac:dyDescent="0.25">
      <c r="A1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4" s="2" t="s">
        <v>1496</v>
      </c>
      <c r="I114" s="2"/>
      <c r="J114" s="2"/>
      <c r="K114" s="2"/>
      <c r="L114" s="2"/>
      <c r="M114" s="2"/>
      <c r="N114" s="2"/>
    </row>
    <row r="115" spans="1:14" x14ac:dyDescent="0.25">
      <c r="A1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5" s="2" t="s">
        <v>1496</v>
      </c>
      <c r="I115" s="2"/>
      <c r="J115" s="2"/>
      <c r="K115" s="2"/>
      <c r="L115" s="2"/>
      <c r="M115" s="2"/>
      <c r="N115" s="2"/>
    </row>
    <row r="116" spans="1:14" x14ac:dyDescent="0.25">
      <c r="A1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6" s="2" t="s">
        <v>1496</v>
      </c>
      <c r="I116" s="2"/>
      <c r="J116" s="2"/>
      <c r="K116" s="2"/>
      <c r="L116" s="2"/>
      <c r="M116" s="2"/>
      <c r="N116" s="2"/>
    </row>
    <row r="117" spans="1:14" x14ac:dyDescent="0.25">
      <c r="A1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7" s="2" t="s">
        <v>1496</v>
      </c>
      <c r="I117" s="2"/>
      <c r="J117" s="2"/>
      <c r="K117" s="2"/>
      <c r="L117" s="2"/>
      <c r="M117" s="2"/>
      <c r="N117" s="2"/>
    </row>
    <row r="118" spans="1:14" x14ac:dyDescent="0.25">
      <c r="A1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8" s="2" t="s">
        <v>1496</v>
      </c>
      <c r="I118" s="2"/>
      <c r="J118" s="2"/>
      <c r="K118" s="2"/>
      <c r="L118" s="2"/>
      <c r="M118" s="2"/>
      <c r="N118" s="2"/>
    </row>
    <row r="119" spans="1:14" x14ac:dyDescent="0.25">
      <c r="A1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1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19" s="2" t="s">
        <v>1496</v>
      </c>
      <c r="I119" s="2"/>
      <c r="J119" s="2"/>
      <c r="K119" s="2"/>
      <c r="L119" s="2"/>
      <c r="M119" s="2"/>
      <c r="N119" s="2"/>
    </row>
    <row r="120" spans="1:14" x14ac:dyDescent="0.25">
      <c r="A1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0" s="2" t="s">
        <v>1496</v>
      </c>
      <c r="I120" s="2"/>
      <c r="J120" s="2"/>
      <c r="K120" s="2"/>
      <c r="L120" s="2"/>
      <c r="M120" s="2"/>
      <c r="N120" s="2"/>
    </row>
    <row r="121" spans="1:14" x14ac:dyDescent="0.25">
      <c r="A1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1" s="2" t="s">
        <v>1496</v>
      </c>
      <c r="I121" s="2"/>
      <c r="J121" s="2"/>
      <c r="K121" s="2"/>
      <c r="L121" s="2"/>
      <c r="M121" s="2"/>
      <c r="N121" s="2"/>
    </row>
    <row r="122" spans="1:14" x14ac:dyDescent="0.25">
      <c r="A1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2" s="2" t="s">
        <v>1496</v>
      </c>
      <c r="I122" s="2"/>
      <c r="J122" s="2"/>
      <c r="K122" s="2"/>
      <c r="L122" s="2"/>
      <c r="M122" s="2"/>
      <c r="N122" s="2"/>
    </row>
    <row r="123" spans="1:14" x14ac:dyDescent="0.25">
      <c r="A1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3" s="2" t="s">
        <v>1496</v>
      </c>
      <c r="I123" s="2"/>
      <c r="J123" s="2"/>
      <c r="K123" s="2"/>
      <c r="L123" s="2"/>
      <c r="M123" s="2"/>
      <c r="N123" s="2"/>
    </row>
    <row r="124" spans="1:14" x14ac:dyDescent="0.25">
      <c r="A1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4" s="2" t="s">
        <v>1496</v>
      </c>
      <c r="I124" s="2"/>
      <c r="J124" s="2"/>
      <c r="K124" s="2"/>
      <c r="L124" s="2"/>
      <c r="M124" s="2"/>
      <c r="N124" s="2"/>
    </row>
    <row r="125" spans="1:14" x14ac:dyDescent="0.25">
      <c r="A1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5" s="2" t="s">
        <v>1496</v>
      </c>
      <c r="I125" s="2"/>
      <c r="J125" s="2"/>
      <c r="K125" s="2"/>
      <c r="L125" s="2"/>
      <c r="M125" s="2"/>
      <c r="N125" s="2"/>
    </row>
    <row r="126" spans="1:14" x14ac:dyDescent="0.25">
      <c r="A1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6" s="2" t="s">
        <v>1496</v>
      </c>
      <c r="I126" s="2"/>
      <c r="J126" s="2"/>
      <c r="K126" s="2"/>
      <c r="L126" s="2"/>
      <c r="M126" s="2"/>
      <c r="N126" s="2"/>
    </row>
    <row r="127" spans="1:14" x14ac:dyDescent="0.25">
      <c r="A1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7" s="2" t="s">
        <v>1496</v>
      </c>
      <c r="I127" s="2"/>
      <c r="J127" s="2"/>
      <c r="K127" s="2"/>
      <c r="L127" s="2"/>
      <c r="M127" s="2"/>
      <c r="N127" s="2"/>
    </row>
    <row r="128" spans="1:14" x14ac:dyDescent="0.25">
      <c r="A1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8" s="2" t="s">
        <v>1496</v>
      </c>
      <c r="I128" s="2"/>
      <c r="J128" s="2"/>
      <c r="K128" s="2"/>
      <c r="L128" s="2"/>
      <c r="M128" s="2"/>
      <c r="N128" s="2"/>
    </row>
    <row r="129" spans="1:14" x14ac:dyDescent="0.25">
      <c r="A1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2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29" s="2" t="s">
        <v>1496</v>
      </c>
      <c r="I129" s="2"/>
      <c r="J129" s="2"/>
      <c r="K129" s="2"/>
      <c r="L129" s="2"/>
      <c r="M129" s="2"/>
      <c r="N129" s="2"/>
    </row>
    <row r="130" spans="1:14" x14ac:dyDescent="0.25">
      <c r="A1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0" s="2" t="s">
        <v>1496</v>
      </c>
      <c r="I130" s="2"/>
      <c r="J130" s="2"/>
      <c r="K130" s="2"/>
      <c r="L130" s="2"/>
      <c r="M130" s="2"/>
      <c r="N130" s="2"/>
    </row>
    <row r="131" spans="1:14" x14ac:dyDescent="0.25">
      <c r="A1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1" s="2" t="s">
        <v>1496</v>
      </c>
      <c r="I131" s="2"/>
      <c r="J131" s="2"/>
      <c r="K131" s="2"/>
      <c r="L131" s="2"/>
      <c r="M131" s="2"/>
      <c r="N131" s="2"/>
    </row>
    <row r="132" spans="1:14" x14ac:dyDescent="0.25">
      <c r="A1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2" s="2" t="s">
        <v>1496</v>
      </c>
      <c r="I132" s="2"/>
      <c r="J132" s="2"/>
      <c r="K132" s="2"/>
      <c r="L132" s="2"/>
      <c r="M132" s="2"/>
      <c r="N132" s="2"/>
    </row>
    <row r="133" spans="1:14" x14ac:dyDescent="0.25">
      <c r="A1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3" s="2" t="s">
        <v>1496</v>
      </c>
      <c r="I133" s="2"/>
      <c r="J133" s="2"/>
      <c r="K133" s="2"/>
      <c r="L133" s="2"/>
      <c r="M133" s="2"/>
      <c r="N133" s="2"/>
    </row>
    <row r="134" spans="1:14" x14ac:dyDescent="0.25">
      <c r="A1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4" s="2" t="s">
        <v>1496</v>
      </c>
      <c r="I134" s="2"/>
      <c r="J134" s="2"/>
      <c r="K134" s="2"/>
      <c r="L134" s="2"/>
      <c r="M134" s="2"/>
      <c r="N134" s="2"/>
    </row>
    <row r="135" spans="1:14" x14ac:dyDescent="0.25">
      <c r="A1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5" s="2" t="s">
        <v>1496</v>
      </c>
      <c r="I135" s="2"/>
      <c r="J135" s="2"/>
      <c r="K135" s="2"/>
      <c r="L135" s="2"/>
      <c r="M135" s="2"/>
      <c r="N135" s="2"/>
    </row>
    <row r="136" spans="1:14" x14ac:dyDescent="0.25">
      <c r="A1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6" s="2" t="s">
        <v>1496</v>
      </c>
      <c r="I136" s="2"/>
      <c r="J136" s="2"/>
      <c r="K136" s="2"/>
      <c r="L136" s="2"/>
      <c r="M136" s="2"/>
      <c r="N136" s="2"/>
    </row>
    <row r="137" spans="1:14" x14ac:dyDescent="0.25">
      <c r="A1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7" s="2" t="s">
        <v>1496</v>
      </c>
      <c r="I137" s="2"/>
      <c r="J137" s="2"/>
      <c r="K137" s="2"/>
      <c r="L137" s="2"/>
      <c r="M137" s="2"/>
      <c r="N137" s="2"/>
    </row>
    <row r="138" spans="1:14" x14ac:dyDescent="0.25">
      <c r="A1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8" s="2" t="s">
        <v>1496</v>
      </c>
      <c r="I138" s="2"/>
      <c r="J138" s="2"/>
      <c r="K138" s="2"/>
      <c r="L138" s="2"/>
      <c r="M138" s="2"/>
      <c r="N138" s="2"/>
    </row>
    <row r="139" spans="1:14" x14ac:dyDescent="0.25">
      <c r="A1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3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39" s="2" t="s">
        <v>1496</v>
      </c>
      <c r="I139" s="2"/>
      <c r="J139" s="2"/>
      <c r="K139" s="2"/>
      <c r="L139" s="2"/>
      <c r="M139" s="2"/>
      <c r="N139" s="2"/>
    </row>
    <row r="140" spans="1:14" x14ac:dyDescent="0.25">
      <c r="A1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0" s="2" t="s">
        <v>1496</v>
      </c>
      <c r="I140" s="2"/>
      <c r="J140" s="2"/>
      <c r="K140" s="2"/>
      <c r="L140" s="2"/>
      <c r="M140" s="2"/>
      <c r="N140" s="2"/>
    </row>
    <row r="141" spans="1:14" x14ac:dyDescent="0.25">
      <c r="A1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1" s="2" t="s">
        <v>1496</v>
      </c>
      <c r="I141" s="2"/>
      <c r="J141" s="2"/>
      <c r="K141" s="2"/>
      <c r="L141" s="2"/>
      <c r="M141" s="2"/>
      <c r="N141" s="2"/>
    </row>
    <row r="142" spans="1:14" x14ac:dyDescent="0.25">
      <c r="A1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2" s="2" t="s">
        <v>1496</v>
      </c>
      <c r="I142" s="2"/>
      <c r="J142" s="2"/>
      <c r="K142" s="2"/>
      <c r="L142" s="2"/>
      <c r="M142" s="2"/>
      <c r="N142" s="2"/>
    </row>
    <row r="143" spans="1:14" x14ac:dyDescent="0.25">
      <c r="A1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3" s="2" t="s">
        <v>1496</v>
      </c>
      <c r="I143" s="2"/>
      <c r="J143" s="2"/>
      <c r="K143" s="2"/>
      <c r="L143" s="2"/>
      <c r="M143" s="2"/>
      <c r="N143" s="2"/>
    </row>
    <row r="144" spans="1:14" x14ac:dyDescent="0.25">
      <c r="A1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4" s="2" t="s">
        <v>1496</v>
      </c>
      <c r="I144" s="2"/>
      <c r="J144" s="2"/>
      <c r="K144" s="2"/>
      <c r="L144" s="2"/>
      <c r="M144" s="2"/>
      <c r="N144" s="2"/>
    </row>
    <row r="145" spans="1:14" x14ac:dyDescent="0.25">
      <c r="A1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5" s="2" t="s">
        <v>1496</v>
      </c>
      <c r="I145" s="2"/>
      <c r="J145" s="2"/>
      <c r="K145" s="2"/>
      <c r="L145" s="2"/>
      <c r="M145" s="2"/>
      <c r="N145" s="2"/>
    </row>
    <row r="146" spans="1:14" x14ac:dyDescent="0.25">
      <c r="A1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6" s="2" t="s">
        <v>1496</v>
      </c>
      <c r="I146" s="2"/>
      <c r="J146" s="2"/>
      <c r="K146" s="2"/>
      <c r="L146" s="2"/>
      <c r="M146" s="2"/>
      <c r="N146" s="2"/>
    </row>
    <row r="147" spans="1:14" x14ac:dyDescent="0.25">
      <c r="A1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7" s="2" t="s">
        <v>1496</v>
      </c>
      <c r="I147" s="2"/>
      <c r="J147" s="2"/>
      <c r="K147" s="2"/>
      <c r="L147" s="2"/>
      <c r="M147" s="2"/>
      <c r="N147" s="2"/>
    </row>
    <row r="148" spans="1:14" x14ac:dyDescent="0.25">
      <c r="A1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8" s="2" t="s">
        <v>1496</v>
      </c>
      <c r="I148" s="2"/>
      <c r="J148" s="2"/>
      <c r="K148" s="2"/>
      <c r="L148" s="2"/>
      <c r="M148" s="2"/>
      <c r="N148" s="2"/>
    </row>
    <row r="149" spans="1:14" x14ac:dyDescent="0.25">
      <c r="A1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4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49" s="2" t="s">
        <v>1496</v>
      </c>
      <c r="I149" s="2"/>
      <c r="J149" s="2"/>
      <c r="K149" s="2"/>
      <c r="L149" s="2"/>
      <c r="M149" s="2"/>
      <c r="N149" s="2"/>
    </row>
    <row r="150" spans="1:14" x14ac:dyDescent="0.25">
      <c r="A1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0" s="2" t="s">
        <v>1496</v>
      </c>
      <c r="I150" s="2"/>
      <c r="J150" s="2"/>
      <c r="K150" s="2"/>
      <c r="L150" s="2"/>
      <c r="M150" s="2"/>
      <c r="N150" s="2"/>
    </row>
    <row r="151" spans="1:14" x14ac:dyDescent="0.25">
      <c r="A1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1" s="2" t="s">
        <v>1496</v>
      </c>
      <c r="I151" s="2"/>
      <c r="J151" s="2"/>
      <c r="K151" s="2"/>
      <c r="L151" s="2"/>
      <c r="M151" s="2"/>
      <c r="N151" s="2"/>
    </row>
    <row r="152" spans="1:14" x14ac:dyDescent="0.25">
      <c r="A1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2" s="2" t="s">
        <v>1496</v>
      </c>
      <c r="I152" s="2"/>
      <c r="J152" s="2"/>
      <c r="K152" s="2"/>
      <c r="L152" s="2"/>
      <c r="M152" s="2"/>
      <c r="N152" s="2"/>
    </row>
    <row r="153" spans="1:14" x14ac:dyDescent="0.25">
      <c r="A1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3" s="2" t="s">
        <v>1496</v>
      </c>
      <c r="I153" s="2"/>
      <c r="J153" s="2"/>
      <c r="K153" s="2"/>
      <c r="L153" s="2"/>
      <c r="M153" s="2"/>
      <c r="N153" s="2"/>
    </row>
    <row r="154" spans="1:14" x14ac:dyDescent="0.25">
      <c r="A1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4" s="2" t="s">
        <v>1496</v>
      </c>
      <c r="I154" s="2"/>
      <c r="J154" s="2"/>
      <c r="K154" s="2"/>
      <c r="L154" s="2"/>
      <c r="M154" s="2"/>
      <c r="N154" s="2"/>
    </row>
    <row r="155" spans="1:14" x14ac:dyDescent="0.25">
      <c r="A1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5" s="2" t="s">
        <v>1496</v>
      </c>
      <c r="I155" s="2"/>
      <c r="J155" s="2"/>
      <c r="K155" s="2"/>
      <c r="L155" s="2"/>
      <c r="M155" s="2"/>
      <c r="N155" s="2"/>
    </row>
    <row r="156" spans="1:14" x14ac:dyDescent="0.25">
      <c r="A1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6" s="2" t="s">
        <v>1496</v>
      </c>
      <c r="I156" s="2"/>
      <c r="J156" s="2"/>
      <c r="K156" s="2"/>
      <c r="L156" s="2"/>
      <c r="M156" s="2"/>
      <c r="N156" s="2"/>
    </row>
    <row r="157" spans="1:14" x14ac:dyDescent="0.25">
      <c r="A1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7" s="2" t="s">
        <v>1496</v>
      </c>
      <c r="I157" s="2"/>
      <c r="J157" s="2"/>
      <c r="K157" s="2"/>
      <c r="L157" s="2"/>
      <c r="M157" s="2"/>
      <c r="N157" s="2"/>
    </row>
    <row r="158" spans="1:14" x14ac:dyDescent="0.25">
      <c r="A1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8" s="2" t="s">
        <v>1496</v>
      </c>
      <c r="I158" s="2"/>
      <c r="J158" s="2"/>
      <c r="K158" s="2"/>
      <c r="L158" s="2"/>
      <c r="M158" s="2"/>
      <c r="N158" s="2"/>
    </row>
    <row r="159" spans="1:14" x14ac:dyDescent="0.25">
      <c r="A1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5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59" s="2" t="s">
        <v>1496</v>
      </c>
      <c r="I159" s="2"/>
      <c r="J159" s="2"/>
      <c r="K159" s="2"/>
      <c r="L159" s="2"/>
      <c r="M159" s="2"/>
      <c r="N159" s="2"/>
    </row>
    <row r="160" spans="1:14" x14ac:dyDescent="0.25">
      <c r="A1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0" s="2" t="s">
        <v>1496</v>
      </c>
      <c r="I160" s="2"/>
      <c r="J160" s="2"/>
      <c r="K160" s="2"/>
      <c r="L160" s="2"/>
      <c r="M160" s="2"/>
      <c r="N160" s="2"/>
    </row>
    <row r="161" spans="1:14" x14ac:dyDescent="0.25">
      <c r="A1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1" s="2" t="s">
        <v>1496</v>
      </c>
      <c r="I161" s="2"/>
      <c r="J161" s="2"/>
      <c r="K161" s="2"/>
      <c r="L161" s="2"/>
      <c r="M161" s="2"/>
      <c r="N161" s="2"/>
    </row>
    <row r="162" spans="1:14" x14ac:dyDescent="0.25">
      <c r="A1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2" s="2" t="s">
        <v>1496</v>
      </c>
      <c r="I162" s="2"/>
      <c r="J162" s="2"/>
      <c r="K162" s="2"/>
      <c r="L162" s="2"/>
      <c r="M162" s="2"/>
      <c r="N162" s="2"/>
    </row>
    <row r="163" spans="1:14" x14ac:dyDescent="0.25">
      <c r="A1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3" s="2" t="s">
        <v>1496</v>
      </c>
      <c r="I163" s="2"/>
      <c r="J163" s="2"/>
      <c r="K163" s="2"/>
      <c r="L163" s="2"/>
      <c r="M163" s="2"/>
      <c r="N163" s="2"/>
    </row>
    <row r="164" spans="1:14" x14ac:dyDescent="0.25">
      <c r="A1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4" s="2" t="s">
        <v>1496</v>
      </c>
      <c r="I164" s="2"/>
      <c r="J164" s="2"/>
      <c r="K164" s="2"/>
      <c r="L164" s="2"/>
      <c r="M164" s="2"/>
      <c r="N164" s="2"/>
    </row>
    <row r="165" spans="1:14" x14ac:dyDescent="0.25">
      <c r="A1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5" s="2" t="s">
        <v>1496</v>
      </c>
      <c r="I165" s="2"/>
      <c r="J165" s="2"/>
      <c r="K165" s="2"/>
      <c r="L165" s="2"/>
      <c r="M165" s="2"/>
      <c r="N165" s="2"/>
    </row>
    <row r="166" spans="1:14" x14ac:dyDescent="0.25">
      <c r="A1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6" s="2" t="s">
        <v>1496</v>
      </c>
      <c r="I166" s="2"/>
      <c r="J166" s="2"/>
      <c r="K166" s="2"/>
      <c r="L166" s="2"/>
      <c r="M166" s="2"/>
      <c r="N166" s="2"/>
    </row>
    <row r="167" spans="1:14" x14ac:dyDescent="0.25">
      <c r="A1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7" s="2" t="s">
        <v>1496</v>
      </c>
      <c r="I167" s="2"/>
      <c r="J167" s="2"/>
      <c r="K167" s="2"/>
      <c r="L167" s="2"/>
      <c r="M167" s="2"/>
      <c r="N167" s="2"/>
    </row>
    <row r="168" spans="1:14" x14ac:dyDescent="0.25">
      <c r="A1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8" s="2" t="s">
        <v>1496</v>
      </c>
      <c r="I168" s="2"/>
      <c r="J168" s="2"/>
      <c r="K168" s="2"/>
      <c r="L168" s="2"/>
      <c r="M168" s="2"/>
      <c r="N168" s="2"/>
    </row>
    <row r="169" spans="1:14" x14ac:dyDescent="0.25">
      <c r="A1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6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69" s="2" t="s">
        <v>1496</v>
      </c>
      <c r="I169" s="2"/>
      <c r="J169" s="2"/>
      <c r="K169" s="2"/>
      <c r="L169" s="2"/>
      <c r="M169" s="2"/>
      <c r="N169" s="2"/>
    </row>
    <row r="170" spans="1:14" x14ac:dyDescent="0.25">
      <c r="A1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0" s="2" t="s">
        <v>1496</v>
      </c>
      <c r="I170" s="2"/>
      <c r="J170" s="2"/>
      <c r="K170" s="2"/>
      <c r="L170" s="2"/>
      <c r="M170" s="2"/>
      <c r="N170" s="2"/>
    </row>
    <row r="171" spans="1:14" x14ac:dyDescent="0.25">
      <c r="A1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1" s="2" t="s">
        <v>1496</v>
      </c>
      <c r="I171" s="2"/>
      <c r="J171" s="2"/>
      <c r="K171" s="2"/>
      <c r="L171" s="2"/>
      <c r="M171" s="2"/>
      <c r="N171" s="2"/>
    </row>
    <row r="172" spans="1:14" x14ac:dyDescent="0.25">
      <c r="A1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2" s="2" t="s">
        <v>1496</v>
      </c>
      <c r="I172" s="2"/>
      <c r="J172" s="2"/>
      <c r="K172" s="2"/>
      <c r="L172" s="2"/>
      <c r="M172" s="2"/>
      <c r="N172" s="2"/>
    </row>
    <row r="173" spans="1:14" x14ac:dyDescent="0.25">
      <c r="A1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3" s="2" t="s">
        <v>1496</v>
      </c>
      <c r="I173" s="2"/>
      <c r="J173" s="2"/>
      <c r="K173" s="2"/>
      <c r="L173" s="2"/>
      <c r="M173" s="2"/>
      <c r="N173" s="2"/>
    </row>
    <row r="174" spans="1:14" x14ac:dyDescent="0.25">
      <c r="A1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4" s="2" t="s">
        <v>1496</v>
      </c>
      <c r="I174" s="2"/>
      <c r="J174" s="2"/>
      <c r="K174" s="2"/>
      <c r="L174" s="2"/>
      <c r="M174" s="2"/>
      <c r="N174" s="2"/>
    </row>
    <row r="175" spans="1:14" x14ac:dyDescent="0.25">
      <c r="A1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5" s="2" t="s">
        <v>1496</v>
      </c>
      <c r="I175" s="2"/>
      <c r="J175" s="2"/>
      <c r="K175" s="2"/>
      <c r="L175" s="2"/>
      <c r="M175" s="2"/>
      <c r="N175" s="2"/>
    </row>
    <row r="176" spans="1:14" x14ac:dyDescent="0.25">
      <c r="A1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6" s="2" t="s">
        <v>1496</v>
      </c>
      <c r="I176" s="2"/>
      <c r="J176" s="2"/>
      <c r="K176" s="2"/>
      <c r="L176" s="2"/>
      <c r="M176" s="2"/>
      <c r="N176" s="2"/>
    </row>
    <row r="177" spans="1:14" x14ac:dyDescent="0.25">
      <c r="A1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7" s="2" t="s">
        <v>1496</v>
      </c>
      <c r="I177" s="2"/>
      <c r="J177" s="2"/>
      <c r="K177" s="2"/>
      <c r="L177" s="2"/>
      <c r="M177" s="2"/>
      <c r="N177" s="2"/>
    </row>
    <row r="178" spans="1:14" x14ac:dyDescent="0.25">
      <c r="A1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8" s="2" t="s">
        <v>1496</v>
      </c>
      <c r="I178" s="2"/>
      <c r="J178" s="2"/>
      <c r="K178" s="2"/>
      <c r="L178" s="2"/>
      <c r="M178" s="2"/>
      <c r="N178" s="2"/>
    </row>
    <row r="179" spans="1:14" x14ac:dyDescent="0.25">
      <c r="A1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7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79" s="2" t="s">
        <v>1496</v>
      </c>
      <c r="I179" s="2"/>
      <c r="J179" s="2"/>
      <c r="K179" s="2"/>
      <c r="L179" s="2"/>
      <c r="M179" s="2"/>
      <c r="N179" s="2"/>
    </row>
    <row r="180" spans="1:14" x14ac:dyDescent="0.25">
      <c r="A1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0" s="2" t="s">
        <v>1496</v>
      </c>
      <c r="I180" s="2"/>
      <c r="J180" s="2"/>
      <c r="K180" s="2"/>
      <c r="L180" s="2"/>
      <c r="M180" s="2"/>
      <c r="N180" s="2"/>
    </row>
    <row r="181" spans="1:14" x14ac:dyDescent="0.25">
      <c r="A1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1" s="2" t="s">
        <v>1496</v>
      </c>
      <c r="I181" s="2"/>
      <c r="J181" s="2"/>
      <c r="K181" s="2"/>
      <c r="L181" s="2"/>
      <c r="M181" s="2"/>
      <c r="N181" s="2"/>
    </row>
    <row r="182" spans="1:14" x14ac:dyDescent="0.25">
      <c r="A1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2" s="2" t="s">
        <v>1496</v>
      </c>
      <c r="I182" s="2"/>
      <c r="J182" s="2"/>
      <c r="K182" s="2"/>
      <c r="L182" s="2"/>
      <c r="M182" s="2"/>
      <c r="N182" s="2"/>
    </row>
    <row r="183" spans="1:14" x14ac:dyDescent="0.25">
      <c r="A1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3" s="2" t="s">
        <v>1496</v>
      </c>
      <c r="I183" s="2"/>
      <c r="J183" s="2"/>
      <c r="K183" s="2"/>
      <c r="L183" s="2"/>
      <c r="M183" s="2"/>
      <c r="N183" s="2"/>
    </row>
    <row r="184" spans="1:14" x14ac:dyDescent="0.25">
      <c r="A1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4" s="2" t="s">
        <v>1496</v>
      </c>
      <c r="I184" s="2"/>
      <c r="J184" s="2"/>
      <c r="K184" s="2"/>
      <c r="L184" s="2"/>
      <c r="M184" s="2"/>
      <c r="N184" s="2"/>
    </row>
    <row r="185" spans="1:14" x14ac:dyDescent="0.25">
      <c r="A1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5" s="2" t="s">
        <v>1496</v>
      </c>
      <c r="I185" s="2"/>
      <c r="J185" s="2"/>
      <c r="K185" s="2"/>
      <c r="L185" s="2"/>
      <c r="M185" s="2"/>
      <c r="N185" s="2"/>
    </row>
    <row r="186" spans="1:14" x14ac:dyDescent="0.25">
      <c r="A1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6" s="2" t="s">
        <v>1496</v>
      </c>
      <c r="I186" s="2"/>
      <c r="J186" s="2"/>
      <c r="K186" s="2"/>
      <c r="L186" s="2"/>
      <c r="M186" s="2"/>
      <c r="N186" s="2"/>
    </row>
    <row r="187" spans="1:14" x14ac:dyDescent="0.25">
      <c r="A1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7" s="2" t="s">
        <v>1496</v>
      </c>
      <c r="I187" s="2"/>
      <c r="J187" s="2"/>
      <c r="K187" s="2"/>
      <c r="L187" s="2"/>
      <c r="M187" s="2"/>
      <c r="N187" s="2"/>
    </row>
    <row r="188" spans="1:14" x14ac:dyDescent="0.25">
      <c r="A1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8" s="2" t="s">
        <v>1496</v>
      </c>
      <c r="I188" s="2"/>
      <c r="J188" s="2"/>
      <c r="K188" s="2"/>
      <c r="L188" s="2"/>
      <c r="M188" s="2"/>
      <c r="N188" s="2"/>
    </row>
    <row r="189" spans="1:14" x14ac:dyDescent="0.25">
      <c r="A1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8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89" s="2" t="s">
        <v>1496</v>
      </c>
      <c r="I189" s="2"/>
      <c r="J189" s="2"/>
      <c r="K189" s="2"/>
      <c r="L189" s="2"/>
      <c r="M189" s="2"/>
      <c r="N189" s="2"/>
    </row>
    <row r="190" spans="1:14" x14ac:dyDescent="0.25">
      <c r="A1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0" s="2" t="s">
        <v>1496</v>
      </c>
      <c r="I190" s="2"/>
      <c r="J190" s="2"/>
      <c r="K190" s="2"/>
      <c r="L190" s="2"/>
      <c r="M190" s="2"/>
      <c r="N190" s="2"/>
    </row>
    <row r="191" spans="1:14" x14ac:dyDescent="0.25">
      <c r="A1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1" s="2" t="s">
        <v>1496</v>
      </c>
      <c r="I191" s="2"/>
      <c r="J191" s="2"/>
      <c r="K191" s="2"/>
      <c r="L191" s="2"/>
      <c r="M191" s="2"/>
      <c r="N191" s="2"/>
    </row>
    <row r="192" spans="1:14" x14ac:dyDescent="0.25">
      <c r="A1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2" s="2" t="s">
        <v>1496</v>
      </c>
      <c r="I192" s="2"/>
      <c r="J192" s="2"/>
      <c r="K192" s="2"/>
      <c r="L192" s="2"/>
      <c r="M192" s="2"/>
      <c r="N192" s="2"/>
    </row>
    <row r="193" spans="1:14" x14ac:dyDescent="0.25">
      <c r="A1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3" s="2" t="s">
        <v>1496</v>
      </c>
      <c r="I193" s="2"/>
      <c r="J193" s="2"/>
      <c r="K193" s="2"/>
      <c r="L193" s="2"/>
      <c r="M193" s="2"/>
      <c r="N193" s="2"/>
    </row>
    <row r="194" spans="1:14" x14ac:dyDescent="0.25">
      <c r="A1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4" s="2" t="s">
        <v>1496</v>
      </c>
      <c r="I194" s="2"/>
      <c r="J194" s="2"/>
      <c r="K194" s="2"/>
      <c r="L194" s="2"/>
      <c r="M194" s="2"/>
      <c r="N194" s="2"/>
    </row>
    <row r="195" spans="1:14" x14ac:dyDescent="0.25">
      <c r="A1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5" s="2" t="s">
        <v>1496</v>
      </c>
      <c r="I195" s="2"/>
      <c r="J195" s="2"/>
      <c r="K195" s="2"/>
      <c r="L195" s="2"/>
      <c r="M195" s="2"/>
      <c r="N195" s="2"/>
    </row>
    <row r="196" spans="1:14" x14ac:dyDescent="0.25">
      <c r="A1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6" s="2" t="s">
        <v>1496</v>
      </c>
      <c r="I196" s="2"/>
      <c r="J196" s="2"/>
      <c r="K196" s="2"/>
      <c r="L196" s="2"/>
      <c r="M196" s="2"/>
      <c r="N196" s="2"/>
    </row>
    <row r="197" spans="1:14" x14ac:dyDescent="0.25">
      <c r="A1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7" s="2" t="s">
        <v>1496</v>
      </c>
      <c r="I197" s="2"/>
      <c r="J197" s="2"/>
      <c r="K197" s="2"/>
      <c r="L197" s="2"/>
      <c r="M197" s="2"/>
      <c r="N197" s="2"/>
    </row>
    <row r="198" spans="1:14" x14ac:dyDescent="0.25">
      <c r="A1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8" s="2" t="s">
        <v>1496</v>
      </c>
      <c r="I198" s="2"/>
      <c r="J198" s="2"/>
      <c r="K198" s="2"/>
      <c r="L198" s="2"/>
      <c r="M198" s="2"/>
      <c r="N198" s="2"/>
    </row>
    <row r="199" spans="1:14" x14ac:dyDescent="0.25">
      <c r="A1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1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1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1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1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19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1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199" s="2" t="s">
        <v>1496</v>
      </c>
      <c r="I199" s="2"/>
      <c r="J199" s="2"/>
      <c r="K199" s="2"/>
      <c r="L199" s="2"/>
      <c r="M199" s="2"/>
      <c r="N199" s="2"/>
    </row>
    <row r="200" spans="1:14" x14ac:dyDescent="0.25">
      <c r="A2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0" s="2" t="s">
        <v>1496</v>
      </c>
      <c r="I200" s="2"/>
      <c r="J200" s="2"/>
      <c r="K200" s="2"/>
      <c r="L200" s="2"/>
      <c r="M200" s="2"/>
      <c r="N200" s="2"/>
    </row>
    <row r="201" spans="1:14" x14ac:dyDescent="0.25">
      <c r="A2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1" s="2" t="s">
        <v>1496</v>
      </c>
      <c r="I201" s="2"/>
      <c r="J201" s="2"/>
      <c r="K201" s="2"/>
      <c r="L201" s="2"/>
      <c r="M201" s="2"/>
      <c r="N201" s="2"/>
    </row>
    <row r="202" spans="1:14" x14ac:dyDescent="0.25">
      <c r="A2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2" s="2" t="s">
        <v>1496</v>
      </c>
      <c r="I202" s="2"/>
      <c r="J202" s="2"/>
      <c r="K202" s="2"/>
      <c r="L202" s="2"/>
      <c r="M202" s="2"/>
      <c r="N202" s="2"/>
    </row>
    <row r="203" spans="1:14" x14ac:dyDescent="0.25">
      <c r="A2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3" s="2" t="s">
        <v>1496</v>
      </c>
      <c r="I203" s="2"/>
      <c r="J203" s="2"/>
      <c r="K203" s="2"/>
      <c r="L203" s="2"/>
      <c r="M203" s="2"/>
      <c r="N203" s="2"/>
    </row>
    <row r="204" spans="1:14" x14ac:dyDescent="0.25">
      <c r="A2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4" s="2" t="s">
        <v>1496</v>
      </c>
      <c r="I204" s="2"/>
      <c r="J204" s="2"/>
      <c r="K204" s="2"/>
      <c r="L204" s="2"/>
      <c r="M204" s="2"/>
      <c r="N204" s="2"/>
    </row>
    <row r="205" spans="1:14" x14ac:dyDescent="0.25">
      <c r="A2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5" s="2" t="s">
        <v>1496</v>
      </c>
      <c r="I205" s="2"/>
      <c r="J205" s="2"/>
      <c r="K205" s="2"/>
      <c r="L205" s="2"/>
      <c r="M205" s="2"/>
      <c r="N205" s="2"/>
    </row>
    <row r="206" spans="1:14" x14ac:dyDescent="0.25">
      <c r="A2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6" s="2" t="s">
        <v>1496</v>
      </c>
      <c r="I206" s="2"/>
      <c r="J206" s="2"/>
      <c r="K206" s="2"/>
      <c r="L206" s="2"/>
      <c r="M206" s="2"/>
      <c r="N206" s="2"/>
    </row>
    <row r="207" spans="1:14" x14ac:dyDescent="0.25">
      <c r="A2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7" s="2" t="s">
        <v>1496</v>
      </c>
      <c r="I207" s="2"/>
      <c r="J207" s="2"/>
      <c r="K207" s="2"/>
      <c r="L207" s="2"/>
      <c r="M207" s="2"/>
      <c r="N207" s="2"/>
    </row>
    <row r="208" spans="1:14" x14ac:dyDescent="0.25">
      <c r="A2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8" s="2" t="s">
        <v>1496</v>
      </c>
      <c r="I208" s="2"/>
      <c r="J208" s="2"/>
      <c r="K208" s="2"/>
      <c r="L208" s="2"/>
      <c r="M208" s="2"/>
      <c r="N208" s="2"/>
    </row>
    <row r="209" spans="1:14" x14ac:dyDescent="0.25">
      <c r="A2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0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09" s="2" t="s">
        <v>1496</v>
      </c>
      <c r="I209" s="2"/>
      <c r="J209" s="2"/>
      <c r="K209" s="2"/>
      <c r="L209" s="2"/>
      <c r="M209" s="2"/>
      <c r="N209" s="2"/>
    </row>
    <row r="210" spans="1:14" x14ac:dyDescent="0.25">
      <c r="A2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0" s="2" t="s">
        <v>1496</v>
      </c>
      <c r="I210" s="2"/>
      <c r="J210" s="2"/>
      <c r="K210" s="2"/>
      <c r="L210" s="2"/>
      <c r="M210" s="2"/>
      <c r="N210" s="2"/>
    </row>
    <row r="211" spans="1:14" x14ac:dyDescent="0.25">
      <c r="A2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1" s="2" t="s">
        <v>1496</v>
      </c>
      <c r="I211" s="2"/>
      <c r="J211" s="2"/>
      <c r="K211" s="2"/>
      <c r="L211" s="2"/>
      <c r="M211" s="2"/>
      <c r="N211" s="2"/>
    </row>
    <row r="212" spans="1:14" x14ac:dyDescent="0.25">
      <c r="A2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2" s="2" t="s">
        <v>1496</v>
      </c>
      <c r="I212" s="2"/>
      <c r="J212" s="2"/>
      <c r="K212" s="2"/>
      <c r="L212" s="2"/>
      <c r="M212" s="2"/>
      <c r="N212" s="2"/>
    </row>
    <row r="213" spans="1:14" x14ac:dyDescent="0.25">
      <c r="A2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3" s="2" t="s">
        <v>1496</v>
      </c>
      <c r="I213" s="2"/>
      <c r="J213" s="2"/>
      <c r="K213" s="2"/>
      <c r="L213" s="2"/>
      <c r="M213" s="2"/>
      <c r="N213" s="2"/>
    </row>
    <row r="214" spans="1:14" x14ac:dyDescent="0.25">
      <c r="A2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4" s="2" t="s">
        <v>1496</v>
      </c>
      <c r="I214" s="2"/>
      <c r="J214" s="2"/>
      <c r="K214" s="2"/>
      <c r="L214" s="2"/>
      <c r="M214" s="2"/>
      <c r="N214" s="2"/>
    </row>
    <row r="215" spans="1:14" x14ac:dyDescent="0.25">
      <c r="A2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5" s="2" t="s">
        <v>1496</v>
      </c>
      <c r="I215" s="2"/>
      <c r="J215" s="2"/>
      <c r="K215" s="2"/>
      <c r="L215" s="2"/>
      <c r="M215" s="2"/>
      <c r="N215" s="2"/>
    </row>
    <row r="216" spans="1:14" x14ac:dyDescent="0.25">
      <c r="A2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6" s="2" t="s">
        <v>1496</v>
      </c>
      <c r="I216" s="2"/>
      <c r="J216" s="2"/>
      <c r="K216" s="2"/>
      <c r="L216" s="2"/>
      <c r="M216" s="2"/>
      <c r="N216" s="2"/>
    </row>
    <row r="217" spans="1:14" x14ac:dyDescent="0.25">
      <c r="A2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7" s="2" t="s">
        <v>1496</v>
      </c>
      <c r="I217" s="2"/>
      <c r="J217" s="2"/>
      <c r="K217" s="2"/>
      <c r="L217" s="2"/>
      <c r="M217" s="2"/>
      <c r="N217" s="2"/>
    </row>
    <row r="218" spans="1:14" x14ac:dyDescent="0.25">
      <c r="A2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8" s="2" t="s">
        <v>1496</v>
      </c>
      <c r="I218" s="2"/>
      <c r="J218" s="2"/>
      <c r="K218" s="2"/>
      <c r="L218" s="2"/>
      <c r="M218" s="2"/>
      <c r="N218" s="2"/>
    </row>
    <row r="219" spans="1:14" x14ac:dyDescent="0.25">
      <c r="A2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1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19" s="2" t="s">
        <v>1496</v>
      </c>
      <c r="I219" s="2"/>
      <c r="J219" s="2"/>
      <c r="K219" s="2"/>
      <c r="L219" s="2"/>
      <c r="M219" s="2"/>
      <c r="N219" s="2"/>
    </row>
    <row r="220" spans="1:14" x14ac:dyDescent="0.25">
      <c r="A2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0" s="2" t="s">
        <v>1496</v>
      </c>
      <c r="I220" s="2"/>
      <c r="J220" s="2"/>
      <c r="K220" s="2"/>
      <c r="L220" s="2"/>
      <c r="M220" s="2"/>
      <c r="N220" s="2"/>
    </row>
    <row r="221" spans="1:14" x14ac:dyDescent="0.25">
      <c r="A2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1" s="2" t="s">
        <v>1496</v>
      </c>
      <c r="I221" s="2"/>
      <c r="J221" s="2"/>
      <c r="K221" s="2"/>
      <c r="L221" s="2"/>
      <c r="M221" s="2"/>
      <c r="N221" s="2"/>
    </row>
    <row r="222" spans="1:14" x14ac:dyDescent="0.25">
      <c r="A2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2" s="2" t="s">
        <v>1496</v>
      </c>
      <c r="I222" s="2"/>
      <c r="J222" s="2"/>
      <c r="K222" s="2"/>
      <c r="L222" s="2"/>
      <c r="M222" s="2"/>
      <c r="N222" s="2"/>
    </row>
    <row r="223" spans="1:14" x14ac:dyDescent="0.25">
      <c r="A2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3" s="2" t="s">
        <v>1496</v>
      </c>
      <c r="I223" s="2"/>
      <c r="J223" s="2"/>
      <c r="K223" s="2"/>
      <c r="L223" s="2"/>
      <c r="M223" s="2"/>
      <c r="N223" s="2"/>
    </row>
    <row r="224" spans="1:14" x14ac:dyDescent="0.25">
      <c r="A2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4" s="2" t="s">
        <v>1496</v>
      </c>
      <c r="I224" s="2"/>
      <c r="J224" s="2"/>
      <c r="K224" s="2"/>
      <c r="L224" s="2"/>
      <c r="M224" s="2"/>
      <c r="N224" s="2"/>
    </row>
    <row r="225" spans="1:14" x14ac:dyDescent="0.25">
      <c r="A2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5" s="2" t="s">
        <v>1496</v>
      </c>
      <c r="I225" s="2"/>
      <c r="J225" s="2"/>
      <c r="K225" s="2"/>
      <c r="L225" s="2"/>
      <c r="M225" s="2"/>
      <c r="N225" s="2"/>
    </row>
    <row r="226" spans="1:14" x14ac:dyDescent="0.25">
      <c r="A2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6" s="2" t="s">
        <v>1496</v>
      </c>
      <c r="I226" s="2"/>
      <c r="J226" s="2"/>
      <c r="K226" s="2"/>
      <c r="L226" s="2"/>
      <c r="M226" s="2"/>
      <c r="N226" s="2"/>
    </row>
    <row r="227" spans="1:14" x14ac:dyDescent="0.25">
      <c r="A2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7" s="2" t="s">
        <v>1496</v>
      </c>
      <c r="I227" s="2"/>
      <c r="J227" s="2"/>
      <c r="K227" s="2"/>
      <c r="L227" s="2"/>
      <c r="M227" s="2"/>
      <c r="N227" s="2"/>
    </row>
    <row r="228" spans="1:14" x14ac:dyDescent="0.25">
      <c r="A2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8" s="2" t="s">
        <v>1496</v>
      </c>
      <c r="I228" s="2"/>
      <c r="J228" s="2"/>
      <c r="K228" s="2"/>
      <c r="L228" s="2"/>
      <c r="M228" s="2"/>
      <c r="N228" s="2"/>
    </row>
    <row r="229" spans="1:14" x14ac:dyDescent="0.25">
      <c r="A2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2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2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29" s="2" t="s">
        <v>1496</v>
      </c>
      <c r="I229" s="2"/>
      <c r="J229" s="2"/>
      <c r="K229" s="2"/>
      <c r="L229" s="2"/>
      <c r="M229" s="2"/>
      <c r="N229" s="2"/>
    </row>
    <row r="230" spans="1:14" x14ac:dyDescent="0.25">
      <c r="A2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0" s="2" t="s">
        <v>1496</v>
      </c>
      <c r="I230" s="2"/>
      <c r="J230" s="2"/>
      <c r="K230" s="2"/>
      <c r="L230" s="2"/>
      <c r="M230" s="2"/>
      <c r="N230" s="2"/>
    </row>
    <row r="231" spans="1:14" x14ac:dyDescent="0.25">
      <c r="A2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1" s="2" t="s">
        <v>1496</v>
      </c>
      <c r="I231" s="2"/>
      <c r="J231" s="2"/>
      <c r="K231" s="2"/>
      <c r="L231" s="2"/>
      <c r="M231" s="2"/>
      <c r="N231" s="2"/>
    </row>
    <row r="232" spans="1:14" x14ac:dyDescent="0.25">
      <c r="A2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2" s="2" t="s">
        <v>1496</v>
      </c>
      <c r="I232" s="2"/>
      <c r="J232" s="2"/>
      <c r="K232" s="2"/>
      <c r="L232" s="2"/>
      <c r="M232" s="2"/>
      <c r="N232" s="2"/>
    </row>
    <row r="233" spans="1:14" x14ac:dyDescent="0.25">
      <c r="A2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3" s="2" t="s">
        <v>1496</v>
      </c>
      <c r="I233" s="2"/>
      <c r="J233" s="2"/>
      <c r="K233" s="2"/>
      <c r="L233" s="2"/>
      <c r="M233" s="2"/>
      <c r="N233" s="2"/>
    </row>
    <row r="234" spans="1:14" x14ac:dyDescent="0.25">
      <c r="A2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4" s="2" t="s">
        <v>1496</v>
      </c>
      <c r="I234" s="2"/>
      <c r="J234" s="2"/>
      <c r="K234" s="2"/>
      <c r="L234" s="2"/>
      <c r="M234" s="2"/>
      <c r="N234" s="2"/>
    </row>
    <row r="235" spans="1:14" x14ac:dyDescent="0.25">
      <c r="A2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5" s="2" t="s">
        <v>1496</v>
      </c>
      <c r="I235" s="2"/>
      <c r="J235" s="2"/>
      <c r="K235" s="2"/>
      <c r="L235" s="2"/>
      <c r="M235" s="2"/>
      <c r="N235" s="2"/>
    </row>
    <row r="236" spans="1:14" x14ac:dyDescent="0.25">
      <c r="A2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6" s="2" t="s">
        <v>1496</v>
      </c>
      <c r="I236" s="2"/>
      <c r="J236" s="2"/>
      <c r="K236" s="2"/>
      <c r="L236" s="2"/>
      <c r="M236" s="2"/>
      <c r="N236" s="2"/>
    </row>
    <row r="237" spans="1:14" x14ac:dyDescent="0.25">
      <c r="A2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7" s="2" t="s">
        <v>1496</v>
      </c>
      <c r="I237" s="2"/>
      <c r="J237" s="2"/>
      <c r="K237" s="2"/>
      <c r="L237" s="2"/>
      <c r="M237" s="2"/>
      <c r="N237" s="2"/>
    </row>
    <row r="238" spans="1:14" x14ac:dyDescent="0.25">
      <c r="A2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8" s="2" t="s">
        <v>1496</v>
      </c>
      <c r="I238" s="2"/>
      <c r="J238" s="2"/>
      <c r="K238" s="2"/>
      <c r="L238" s="2"/>
      <c r="M238" s="2"/>
      <c r="N238" s="2"/>
    </row>
    <row r="239" spans="1:14" x14ac:dyDescent="0.25">
      <c r="A2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3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3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39" s="2" t="s">
        <v>1496</v>
      </c>
      <c r="I239" s="2"/>
      <c r="J239" s="2"/>
      <c r="K239" s="2"/>
      <c r="L239" s="2"/>
      <c r="M239" s="2"/>
      <c r="N239" s="2"/>
    </row>
    <row r="240" spans="1:14" x14ac:dyDescent="0.25">
      <c r="A2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0" s="2" t="s">
        <v>1496</v>
      </c>
      <c r="I240" s="2"/>
      <c r="J240" s="2"/>
      <c r="K240" s="2"/>
      <c r="L240" s="2"/>
      <c r="M240" s="2"/>
      <c r="N240" s="2"/>
    </row>
    <row r="241" spans="1:14" x14ac:dyDescent="0.25">
      <c r="A2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1" s="2" t="s">
        <v>1496</v>
      </c>
      <c r="I241" s="2"/>
      <c r="J241" s="2"/>
      <c r="K241" s="2"/>
      <c r="L241" s="2"/>
      <c r="M241" s="2"/>
      <c r="N241" s="2"/>
    </row>
    <row r="242" spans="1:14" x14ac:dyDescent="0.25">
      <c r="A2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2" s="2" t="s">
        <v>1496</v>
      </c>
      <c r="I242" s="2"/>
      <c r="J242" s="2"/>
      <c r="K242" s="2"/>
      <c r="L242" s="2"/>
      <c r="M242" s="2"/>
      <c r="N242" s="2"/>
    </row>
    <row r="243" spans="1:14" x14ac:dyDescent="0.25">
      <c r="A2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3" s="2" t="s">
        <v>1496</v>
      </c>
      <c r="I243" s="2"/>
      <c r="J243" s="2"/>
      <c r="K243" s="2"/>
      <c r="L243" s="2"/>
      <c r="M243" s="2"/>
      <c r="N243" s="2"/>
    </row>
    <row r="244" spans="1:14" x14ac:dyDescent="0.25">
      <c r="A2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4" s="2" t="s">
        <v>1496</v>
      </c>
      <c r="I244" s="2"/>
      <c r="J244" s="2"/>
      <c r="K244" s="2"/>
      <c r="L244" s="2"/>
      <c r="M244" s="2"/>
      <c r="N244" s="2"/>
    </row>
    <row r="245" spans="1:14" x14ac:dyDescent="0.25">
      <c r="A2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5" s="2" t="s">
        <v>1496</v>
      </c>
      <c r="I245" s="2"/>
      <c r="J245" s="2"/>
      <c r="K245" s="2"/>
      <c r="L245" s="2"/>
      <c r="M245" s="2"/>
      <c r="N245" s="2"/>
    </row>
    <row r="246" spans="1:14" x14ac:dyDescent="0.25">
      <c r="A2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6" s="2" t="s">
        <v>1496</v>
      </c>
      <c r="I246" s="2"/>
      <c r="J246" s="2"/>
      <c r="K246" s="2"/>
      <c r="L246" s="2"/>
      <c r="M246" s="2"/>
      <c r="N246" s="2"/>
    </row>
    <row r="247" spans="1:14" x14ac:dyDescent="0.25">
      <c r="A2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7" s="2" t="s">
        <v>1496</v>
      </c>
      <c r="I247" s="2"/>
      <c r="J247" s="2"/>
      <c r="K247" s="2"/>
      <c r="L247" s="2"/>
      <c r="M247" s="2"/>
      <c r="N247" s="2"/>
    </row>
    <row r="248" spans="1:14" x14ac:dyDescent="0.25">
      <c r="A2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8" s="2" t="s">
        <v>1496</v>
      </c>
      <c r="I248" s="2"/>
      <c r="J248" s="2"/>
      <c r="K248" s="2"/>
      <c r="L248" s="2"/>
      <c r="M248" s="2"/>
      <c r="N248" s="2"/>
    </row>
    <row r="249" spans="1:14" x14ac:dyDescent="0.25">
      <c r="A2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4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4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49" s="2" t="s">
        <v>1496</v>
      </c>
      <c r="I249" s="2"/>
      <c r="J249" s="2"/>
      <c r="K249" s="2"/>
      <c r="L249" s="2"/>
      <c r="M249" s="2"/>
      <c r="N249" s="2"/>
    </row>
    <row r="250" spans="1:14" x14ac:dyDescent="0.25">
      <c r="A2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0" s="2" t="s">
        <v>1496</v>
      </c>
      <c r="I250" s="2"/>
      <c r="J250" s="2"/>
      <c r="K250" s="2"/>
      <c r="L250" s="2"/>
      <c r="M250" s="2"/>
      <c r="N250" s="2"/>
    </row>
    <row r="251" spans="1:14" x14ac:dyDescent="0.25">
      <c r="A2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1" s="2" t="s">
        <v>1496</v>
      </c>
      <c r="I251" s="2"/>
      <c r="J251" s="2"/>
      <c r="K251" s="2"/>
      <c r="L251" s="2"/>
      <c r="M251" s="2"/>
      <c r="N251" s="2"/>
    </row>
    <row r="252" spans="1:14" x14ac:dyDescent="0.25">
      <c r="A2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2" s="2" t="s">
        <v>1496</v>
      </c>
      <c r="I252" s="2"/>
      <c r="J252" s="2"/>
      <c r="K252" s="2"/>
      <c r="L252" s="2"/>
      <c r="M252" s="2"/>
      <c r="N252" s="2"/>
    </row>
    <row r="253" spans="1:14" x14ac:dyDescent="0.25">
      <c r="A2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3" s="2" t="s">
        <v>1496</v>
      </c>
      <c r="I253" s="2"/>
      <c r="J253" s="2"/>
      <c r="K253" s="2"/>
      <c r="L253" s="2"/>
      <c r="M253" s="2"/>
      <c r="N253" s="2"/>
    </row>
    <row r="254" spans="1:14" x14ac:dyDescent="0.25">
      <c r="A2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4" s="2" t="s">
        <v>1496</v>
      </c>
      <c r="I254" s="2"/>
      <c r="J254" s="2"/>
      <c r="K254" s="2"/>
      <c r="L254" s="2"/>
      <c r="M254" s="2"/>
      <c r="N254" s="2"/>
    </row>
    <row r="255" spans="1:14" x14ac:dyDescent="0.25">
      <c r="A2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5" s="2" t="s">
        <v>1496</v>
      </c>
      <c r="I255" s="2"/>
      <c r="J255" s="2"/>
      <c r="K255" s="2"/>
      <c r="L255" s="2"/>
      <c r="M255" s="2"/>
      <c r="N255" s="2"/>
    </row>
    <row r="256" spans="1:14" x14ac:dyDescent="0.25">
      <c r="A2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6" s="2" t="s">
        <v>1496</v>
      </c>
      <c r="I256" s="2"/>
      <c r="J256" s="2"/>
      <c r="K256" s="2"/>
      <c r="L256" s="2"/>
      <c r="M256" s="2"/>
      <c r="N256" s="2"/>
    </row>
    <row r="257" spans="1:14" x14ac:dyDescent="0.25">
      <c r="A2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7" s="2" t="s">
        <v>1496</v>
      </c>
      <c r="I257" s="2"/>
      <c r="J257" s="2"/>
      <c r="K257" s="2"/>
      <c r="L257" s="2"/>
      <c r="M257" s="2"/>
      <c r="N257" s="2"/>
    </row>
    <row r="258" spans="1:14" x14ac:dyDescent="0.25">
      <c r="A2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8" s="2" t="s">
        <v>1496</v>
      </c>
      <c r="I258" s="2"/>
      <c r="J258" s="2"/>
      <c r="K258" s="2"/>
      <c r="L258" s="2"/>
      <c r="M258" s="2"/>
      <c r="N258" s="2"/>
    </row>
    <row r="259" spans="1:14" x14ac:dyDescent="0.25">
      <c r="A2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5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5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59" s="2" t="s">
        <v>1496</v>
      </c>
      <c r="I259" s="2"/>
      <c r="J259" s="2"/>
      <c r="K259" s="2"/>
      <c r="L259" s="2"/>
      <c r="M259" s="2"/>
      <c r="N259" s="2"/>
    </row>
    <row r="260" spans="1:14" x14ac:dyDescent="0.25">
      <c r="A2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0" s="2" t="s">
        <v>1496</v>
      </c>
      <c r="I260" s="2"/>
      <c r="J260" s="2"/>
      <c r="K260" s="2"/>
      <c r="L260" s="2"/>
      <c r="M260" s="2"/>
      <c r="N260" s="2"/>
    </row>
    <row r="261" spans="1:14" x14ac:dyDescent="0.25">
      <c r="A2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1" s="2" t="s">
        <v>1496</v>
      </c>
      <c r="I261" s="2"/>
      <c r="J261" s="2"/>
      <c r="K261" s="2"/>
      <c r="L261" s="2"/>
      <c r="M261" s="2"/>
      <c r="N261" s="2"/>
    </row>
    <row r="262" spans="1:14" x14ac:dyDescent="0.25">
      <c r="A2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2" s="2" t="s">
        <v>1496</v>
      </c>
      <c r="I262" s="2"/>
      <c r="J262" s="2"/>
      <c r="K262" s="2"/>
      <c r="L262" s="2"/>
      <c r="M262" s="2"/>
      <c r="N262" s="2"/>
    </row>
    <row r="263" spans="1:14" x14ac:dyDescent="0.25">
      <c r="A2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3" s="2" t="s">
        <v>1496</v>
      </c>
      <c r="I263" s="2"/>
      <c r="J263" s="2"/>
      <c r="K263" s="2"/>
      <c r="L263" s="2"/>
      <c r="M263" s="2"/>
      <c r="N263" s="2"/>
    </row>
    <row r="264" spans="1:14" x14ac:dyDescent="0.25">
      <c r="A2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4" s="2" t="s">
        <v>1496</v>
      </c>
      <c r="I264" s="2"/>
      <c r="J264" s="2"/>
      <c r="K264" s="2"/>
      <c r="L264" s="2"/>
      <c r="M264" s="2"/>
      <c r="N264" s="2"/>
    </row>
    <row r="265" spans="1:14" x14ac:dyDescent="0.25">
      <c r="A2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5" s="2" t="s">
        <v>1496</v>
      </c>
      <c r="I265" s="2"/>
      <c r="J265" s="2"/>
      <c r="K265" s="2"/>
      <c r="L265" s="2"/>
      <c r="M265" s="2"/>
      <c r="N265" s="2"/>
    </row>
    <row r="266" spans="1:14" x14ac:dyDescent="0.25">
      <c r="A2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6" s="2" t="s">
        <v>1496</v>
      </c>
      <c r="I266" s="2"/>
      <c r="J266" s="2"/>
      <c r="K266" s="2"/>
      <c r="L266" s="2"/>
      <c r="M266" s="2"/>
      <c r="N266" s="2"/>
    </row>
    <row r="267" spans="1:14" x14ac:dyDescent="0.25">
      <c r="A2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7" s="2" t="s">
        <v>1496</v>
      </c>
      <c r="I267" s="2"/>
      <c r="J267" s="2"/>
      <c r="K267" s="2"/>
      <c r="L267" s="2"/>
      <c r="M267" s="2"/>
      <c r="N267" s="2"/>
    </row>
    <row r="268" spans="1:14" x14ac:dyDescent="0.25">
      <c r="A2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8" s="2" t="s">
        <v>1496</v>
      </c>
      <c r="I268" s="2"/>
      <c r="J268" s="2"/>
      <c r="K268" s="2"/>
      <c r="L268" s="2"/>
      <c r="M268" s="2"/>
      <c r="N268" s="2"/>
    </row>
    <row r="269" spans="1:14" x14ac:dyDescent="0.25">
      <c r="A2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6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6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69" s="2" t="s">
        <v>1496</v>
      </c>
      <c r="I269" s="2"/>
      <c r="J269" s="2"/>
      <c r="K269" s="2"/>
      <c r="L269" s="2"/>
      <c r="M269" s="2"/>
      <c r="N269" s="2"/>
    </row>
    <row r="270" spans="1:14" x14ac:dyDescent="0.25">
      <c r="A2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0" s="2" t="s">
        <v>1496</v>
      </c>
      <c r="I270" s="2"/>
      <c r="J270" s="2"/>
      <c r="K270" s="2"/>
      <c r="L270" s="2"/>
      <c r="M270" s="2"/>
      <c r="N270" s="2"/>
    </row>
    <row r="271" spans="1:14" x14ac:dyDescent="0.25">
      <c r="A2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1" s="2" t="s">
        <v>1496</v>
      </c>
      <c r="I271" s="2"/>
      <c r="J271" s="2"/>
      <c r="K271" s="2"/>
      <c r="L271" s="2"/>
      <c r="M271" s="2"/>
      <c r="N271" s="2"/>
    </row>
    <row r="272" spans="1:14" x14ac:dyDescent="0.25">
      <c r="A2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2" s="2" t="s">
        <v>1496</v>
      </c>
      <c r="I272" s="2"/>
      <c r="J272" s="2"/>
      <c r="K272" s="2"/>
      <c r="L272" s="2"/>
      <c r="M272" s="2"/>
      <c r="N272" s="2"/>
    </row>
    <row r="273" spans="1:14" x14ac:dyDescent="0.25">
      <c r="A2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3" s="2" t="s">
        <v>1496</v>
      </c>
      <c r="I273" s="2"/>
      <c r="J273" s="2"/>
      <c r="K273" s="2"/>
      <c r="L273" s="2"/>
      <c r="M273" s="2"/>
      <c r="N273" s="2"/>
    </row>
    <row r="274" spans="1:14" x14ac:dyDescent="0.25">
      <c r="A2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4" s="2" t="s">
        <v>1496</v>
      </c>
      <c r="I274" s="2"/>
      <c r="J274" s="2"/>
      <c r="K274" s="2"/>
      <c r="L274" s="2"/>
      <c r="M274" s="2"/>
      <c r="N274" s="2"/>
    </row>
    <row r="275" spans="1:14" x14ac:dyDescent="0.25">
      <c r="A2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5" s="2" t="s">
        <v>1496</v>
      </c>
      <c r="I275" s="2"/>
      <c r="J275" s="2"/>
      <c r="K275" s="2"/>
      <c r="L275" s="2"/>
      <c r="M275" s="2"/>
      <c r="N275" s="2"/>
    </row>
    <row r="276" spans="1:14" x14ac:dyDescent="0.25">
      <c r="A2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6" s="2" t="s">
        <v>1496</v>
      </c>
      <c r="I276" s="2"/>
      <c r="J276" s="2"/>
      <c r="K276" s="2"/>
      <c r="L276" s="2"/>
      <c r="M276" s="2"/>
      <c r="N276" s="2"/>
    </row>
    <row r="277" spans="1:14" x14ac:dyDescent="0.25">
      <c r="A2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7" s="2" t="s">
        <v>1496</v>
      </c>
      <c r="I277" s="2"/>
      <c r="J277" s="2"/>
      <c r="K277" s="2"/>
      <c r="L277" s="2"/>
      <c r="M277" s="2"/>
      <c r="N277" s="2"/>
    </row>
    <row r="278" spans="1:14" x14ac:dyDescent="0.25">
      <c r="A2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8" s="2" t="s">
        <v>1496</v>
      </c>
      <c r="I278" s="2"/>
      <c r="J278" s="2"/>
      <c r="K278" s="2"/>
      <c r="L278" s="2"/>
      <c r="M278" s="2"/>
      <c r="N278" s="2"/>
    </row>
    <row r="279" spans="1:14" x14ac:dyDescent="0.25">
      <c r="A2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7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7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79" s="2" t="s">
        <v>1496</v>
      </c>
      <c r="I279" s="2"/>
      <c r="J279" s="2"/>
      <c r="K279" s="2"/>
      <c r="L279" s="2"/>
      <c r="M279" s="2"/>
      <c r="N279" s="2"/>
    </row>
    <row r="280" spans="1:14" x14ac:dyDescent="0.25">
      <c r="A2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0" s="2" t="s">
        <v>1496</v>
      </c>
      <c r="I280" s="2"/>
      <c r="J280" s="2"/>
      <c r="K280" s="2"/>
      <c r="L280" s="2"/>
      <c r="M280" s="2"/>
      <c r="N280" s="2"/>
    </row>
    <row r="281" spans="1:14" x14ac:dyDescent="0.25">
      <c r="A2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1" s="2" t="s">
        <v>1496</v>
      </c>
      <c r="I281" s="2"/>
      <c r="J281" s="2"/>
      <c r="K281" s="2"/>
      <c r="L281" s="2"/>
      <c r="M281" s="2"/>
      <c r="N281" s="2"/>
    </row>
    <row r="282" spans="1:14" x14ac:dyDescent="0.25">
      <c r="A2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2" s="2" t="s">
        <v>1496</v>
      </c>
      <c r="I282" s="2"/>
      <c r="J282" s="2"/>
      <c r="K282" s="2"/>
      <c r="L282" s="2"/>
      <c r="M282" s="2"/>
      <c r="N282" s="2"/>
    </row>
    <row r="283" spans="1:14" x14ac:dyDescent="0.25">
      <c r="A2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3" s="2" t="s">
        <v>1496</v>
      </c>
      <c r="I283" s="2"/>
      <c r="J283" s="2"/>
      <c r="K283" s="2"/>
      <c r="L283" s="2"/>
      <c r="M283" s="2"/>
      <c r="N283" s="2"/>
    </row>
    <row r="284" spans="1:14" x14ac:dyDescent="0.25">
      <c r="A2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4" s="2" t="s">
        <v>1496</v>
      </c>
      <c r="I284" s="2"/>
      <c r="J284" s="2"/>
      <c r="K284" s="2"/>
      <c r="L284" s="2"/>
      <c r="M284" s="2"/>
      <c r="N284" s="2"/>
    </row>
    <row r="285" spans="1:14" x14ac:dyDescent="0.25">
      <c r="A2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5" s="2" t="s">
        <v>1496</v>
      </c>
      <c r="I285" s="2"/>
      <c r="J285" s="2"/>
      <c r="K285" s="2"/>
      <c r="L285" s="2"/>
      <c r="M285" s="2"/>
      <c r="N285" s="2"/>
    </row>
    <row r="286" spans="1:14" x14ac:dyDescent="0.25">
      <c r="A2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6" s="2" t="s">
        <v>1496</v>
      </c>
      <c r="I286" s="2"/>
      <c r="J286" s="2"/>
      <c r="K286" s="2"/>
      <c r="L286" s="2"/>
      <c r="M286" s="2"/>
      <c r="N286" s="2"/>
    </row>
    <row r="287" spans="1:14" x14ac:dyDescent="0.25">
      <c r="A2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7" s="2" t="s">
        <v>1496</v>
      </c>
      <c r="I287" s="2"/>
      <c r="J287" s="2"/>
      <c r="K287" s="2"/>
      <c r="L287" s="2"/>
      <c r="M287" s="2"/>
      <c r="N287" s="2"/>
    </row>
    <row r="288" spans="1:14" x14ac:dyDescent="0.25">
      <c r="A2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8" s="2" t="s">
        <v>1496</v>
      </c>
      <c r="I288" s="2"/>
      <c r="J288" s="2"/>
      <c r="K288" s="2"/>
      <c r="L288" s="2"/>
      <c r="M288" s="2"/>
      <c r="N288" s="2"/>
    </row>
    <row r="289" spans="1:14" x14ac:dyDescent="0.25">
      <c r="A2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8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8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89" s="2" t="s">
        <v>1496</v>
      </c>
      <c r="I289" s="2"/>
      <c r="J289" s="2"/>
      <c r="K289" s="2"/>
      <c r="L289" s="2"/>
      <c r="M289" s="2"/>
      <c r="N289" s="2"/>
    </row>
    <row r="290" spans="1:14" x14ac:dyDescent="0.25">
      <c r="A2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0" s="2" t="s">
        <v>1496</v>
      </c>
      <c r="I290" s="2"/>
      <c r="J290" s="2"/>
      <c r="K290" s="2"/>
      <c r="L290" s="2"/>
      <c r="M290" s="2"/>
      <c r="N290" s="2"/>
    </row>
    <row r="291" spans="1:14" x14ac:dyDescent="0.25">
      <c r="A2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1" s="2" t="s">
        <v>1496</v>
      </c>
      <c r="I291" s="2"/>
      <c r="J291" s="2"/>
      <c r="K291" s="2"/>
      <c r="L291" s="2"/>
      <c r="M291" s="2"/>
      <c r="N291" s="2"/>
    </row>
    <row r="292" spans="1:14" x14ac:dyDescent="0.25">
      <c r="A2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2" s="2" t="s">
        <v>1496</v>
      </c>
      <c r="I292" s="2"/>
      <c r="J292" s="2"/>
      <c r="K292" s="2"/>
      <c r="L292" s="2"/>
      <c r="M292" s="2"/>
      <c r="N292" s="2"/>
    </row>
    <row r="293" spans="1:14" x14ac:dyDescent="0.25">
      <c r="A2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3" s="2" t="s">
        <v>1496</v>
      </c>
      <c r="I293" s="2"/>
      <c r="J293" s="2"/>
      <c r="K293" s="2"/>
      <c r="L293" s="2"/>
      <c r="M293" s="2"/>
      <c r="N293" s="2"/>
    </row>
    <row r="294" spans="1:14" x14ac:dyDescent="0.25">
      <c r="A2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4" s="2" t="s">
        <v>1496</v>
      </c>
      <c r="I294" s="2"/>
      <c r="J294" s="2"/>
      <c r="K294" s="2"/>
      <c r="L294" s="2"/>
      <c r="M294" s="2"/>
      <c r="N294" s="2"/>
    </row>
    <row r="295" spans="1:14" x14ac:dyDescent="0.25">
      <c r="A2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5" s="2" t="s">
        <v>1496</v>
      </c>
      <c r="I295" s="2"/>
      <c r="J295" s="2"/>
      <c r="K295" s="2"/>
      <c r="L295" s="2"/>
      <c r="M295" s="2"/>
      <c r="N295" s="2"/>
    </row>
    <row r="296" spans="1:14" x14ac:dyDescent="0.25">
      <c r="A2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6" s="2" t="s">
        <v>1496</v>
      </c>
      <c r="I296" s="2"/>
      <c r="J296" s="2"/>
      <c r="K296" s="2"/>
      <c r="L296" s="2"/>
      <c r="M296" s="2"/>
      <c r="N296" s="2"/>
    </row>
    <row r="297" spans="1:14" x14ac:dyDescent="0.25">
      <c r="A2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7" s="2" t="s">
        <v>1496</v>
      </c>
      <c r="I297" s="2"/>
      <c r="J297" s="2"/>
      <c r="K297" s="2"/>
      <c r="L297" s="2"/>
      <c r="M297" s="2"/>
      <c r="N297" s="2"/>
    </row>
    <row r="298" spans="1:14" x14ac:dyDescent="0.25">
      <c r="A2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8" s="2" t="s">
        <v>1496</v>
      </c>
      <c r="I298" s="2"/>
      <c r="J298" s="2"/>
      <c r="K298" s="2"/>
      <c r="L298" s="2"/>
      <c r="M298" s="2"/>
      <c r="N298" s="2"/>
    </row>
    <row r="299" spans="1:14" x14ac:dyDescent="0.25">
      <c r="A2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2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2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2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2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29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29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299" s="2" t="s">
        <v>1496</v>
      </c>
      <c r="I299" s="2"/>
      <c r="J299" s="2"/>
      <c r="K299" s="2"/>
      <c r="L299" s="2"/>
      <c r="M299" s="2"/>
      <c r="N299" s="2"/>
    </row>
    <row r="300" spans="1:14" x14ac:dyDescent="0.25">
      <c r="A3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0" s="2" t="s">
        <v>1496</v>
      </c>
      <c r="I300" s="2"/>
      <c r="J300" s="2"/>
      <c r="K300" s="2"/>
      <c r="L300" s="2"/>
      <c r="M300" s="2"/>
      <c r="N300" s="2"/>
    </row>
    <row r="301" spans="1:14" x14ac:dyDescent="0.25">
      <c r="A3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1" s="2" t="s">
        <v>1496</v>
      </c>
      <c r="I301" s="2"/>
      <c r="J301" s="2"/>
      <c r="K301" s="2"/>
      <c r="L301" s="2"/>
      <c r="M301" s="2"/>
      <c r="N301" s="2"/>
    </row>
    <row r="302" spans="1:14" x14ac:dyDescent="0.25">
      <c r="A3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2" s="2" t="s">
        <v>1496</v>
      </c>
      <c r="I302" s="2"/>
      <c r="J302" s="2"/>
      <c r="K302" s="2"/>
      <c r="L302" s="2"/>
      <c r="M302" s="2"/>
      <c r="N302" s="2"/>
    </row>
    <row r="303" spans="1:14" x14ac:dyDescent="0.25">
      <c r="A3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3" s="2" t="s">
        <v>1496</v>
      </c>
      <c r="I303" s="2"/>
      <c r="J303" s="2"/>
      <c r="K303" s="2"/>
      <c r="L303" s="2"/>
      <c r="M303" s="2"/>
      <c r="N303" s="2"/>
    </row>
    <row r="304" spans="1:14" x14ac:dyDescent="0.25">
      <c r="A3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4" s="2" t="s">
        <v>1496</v>
      </c>
      <c r="I304" s="2"/>
      <c r="J304" s="2"/>
      <c r="K304" s="2"/>
      <c r="L304" s="2"/>
      <c r="M304" s="2"/>
      <c r="N304" s="2"/>
    </row>
    <row r="305" spans="1:14" x14ac:dyDescent="0.25">
      <c r="A3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5" s="2" t="s">
        <v>1496</v>
      </c>
      <c r="I305" s="2"/>
      <c r="J305" s="2"/>
      <c r="K305" s="2"/>
      <c r="L305" s="2"/>
      <c r="M305" s="2"/>
      <c r="N305" s="2"/>
    </row>
    <row r="306" spans="1:14" x14ac:dyDescent="0.25">
      <c r="A3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6" s="2" t="s">
        <v>1496</v>
      </c>
      <c r="I306" s="2"/>
      <c r="J306" s="2"/>
      <c r="K306" s="2"/>
      <c r="L306" s="2"/>
      <c r="M306" s="2"/>
      <c r="N306" s="2"/>
    </row>
    <row r="307" spans="1:14" x14ac:dyDescent="0.25">
      <c r="A3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7" s="2" t="s">
        <v>1496</v>
      </c>
      <c r="I307" s="2"/>
      <c r="J307" s="2"/>
      <c r="K307" s="2"/>
      <c r="L307" s="2"/>
      <c r="M307" s="2"/>
      <c r="N307" s="2"/>
    </row>
    <row r="308" spans="1:14" x14ac:dyDescent="0.25">
      <c r="A3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8" s="2" t="s">
        <v>1496</v>
      </c>
      <c r="I308" s="2"/>
      <c r="J308" s="2"/>
      <c r="K308" s="2"/>
      <c r="L308" s="2"/>
      <c r="M308" s="2"/>
      <c r="N308" s="2"/>
    </row>
    <row r="309" spans="1:14" x14ac:dyDescent="0.25">
      <c r="A3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0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0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09" s="2" t="s">
        <v>1496</v>
      </c>
      <c r="I309" s="2"/>
      <c r="J309" s="2"/>
      <c r="K309" s="2"/>
      <c r="L309" s="2"/>
      <c r="M309" s="2"/>
      <c r="N309" s="2"/>
    </row>
    <row r="310" spans="1:14" x14ac:dyDescent="0.25">
      <c r="A3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0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0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0" s="2" t="s">
        <v>1496</v>
      </c>
      <c r="I310" s="2"/>
      <c r="J310" s="2"/>
      <c r="K310" s="2"/>
      <c r="L310" s="2"/>
      <c r="M310" s="2"/>
      <c r="N310" s="2"/>
    </row>
    <row r="311" spans="1:14" x14ac:dyDescent="0.25">
      <c r="A3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1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1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1" s="2" t="s">
        <v>1496</v>
      </c>
      <c r="I311" s="2"/>
      <c r="J311" s="2"/>
      <c r="K311" s="2"/>
      <c r="L311" s="2"/>
      <c r="M311" s="2"/>
      <c r="N311" s="2"/>
    </row>
    <row r="312" spans="1:14" x14ac:dyDescent="0.25">
      <c r="A3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2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2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2" s="2" t="s">
        <v>1496</v>
      </c>
      <c r="I312" s="2"/>
      <c r="J312" s="2"/>
      <c r="K312" s="2"/>
      <c r="L312" s="2"/>
      <c r="M312" s="2"/>
      <c r="N312" s="2"/>
    </row>
    <row r="313" spans="1:14" x14ac:dyDescent="0.25">
      <c r="A3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3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3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3" s="2" t="s">
        <v>1496</v>
      </c>
      <c r="I313" s="2"/>
      <c r="J313" s="2"/>
      <c r="K313" s="2"/>
      <c r="L313" s="2"/>
      <c r="M313" s="2"/>
      <c r="N313" s="2"/>
    </row>
    <row r="314" spans="1:14" x14ac:dyDescent="0.25">
      <c r="A3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4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4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4" s="2" t="s">
        <v>1496</v>
      </c>
      <c r="I314" s="2"/>
      <c r="J314" s="2"/>
      <c r="K314" s="2"/>
      <c r="L314" s="2"/>
      <c r="M314" s="2"/>
      <c r="N314" s="2"/>
    </row>
    <row r="315" spans="1:14" x14ac:dyDescent="0.25">
      <c r="A3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5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5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5" s="2" t="s">
        <v>1496</v>
      </c>
      <c r="I315" s="2"/>
      <c r="J315" s="2"/>
      <c r="K315" s="2"/>
      <c r="L315" s="2"/>
      <c r="M315" s="2"/>
      <c r="N315" s="2"/>
    </row>
    <row r="316" spans="1:14" x14ac:dyDescent="0.25">
      <c r="A3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6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6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6" s="2" t="s">
        <v>1496</v>
      </c>
      <c r="I316" s="2"/>
      <c r="J316" s="2"/>
      <c r="K316" s="2"/>
      <c r="L316" s="2"/>
      <c r="M316" s="2"/>
      <c r="N316" s="2"/>
    </row>
    <row r="317" spans="1:14" x14ac:dyDescent="0.25">
      <c r="A3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7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7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7" s="2" t="s">
        <v>1496</v>
      </c>
      <c r="I317" s="2"/>
      <c r="J317" s="2"/>
      <c r="K317" s="2"/>
      <c r="L317" s="2"/>
      <c r="M317" s="2"/>
      <c r="N317" s="2"/>
    </row>
    <row r="318" spans="1:14" x14ac:dyDescent="0.25">
      <c r="A3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8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8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8" s="2" t="s">
        <v>1496</v>
      </c>
      <c r="I318" s="2"/>
      <c r="J318" s="2"/>
      <c r="K318" s="2"/>
      <c r="L318" s="2"/>
      <c r="M318" s="2"/>
      <c r="N318" s="2"/>
    </row>
    <row r="319" spans="1:14" x14ac:dyDescent="0.25">
      <c r="A3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B3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C3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D3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E3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F319" s="11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G319" s="2" t="str">
        <v>KeyError: 'FORMATO'
    raise KeyError(gpr)
  File "C:\ProgramData\Anaconda3\envs\excel_enhancer\lib\site-packages\pandas\core\groupby\grouper.py", line 600, in get_grouper
    mutated=self.mutated,
  File "C:\ProgramData\Anaconda3\envs\excel_enhancer\lib\site-packages\pandas\core\groupby\groupby.py", line 410, in __init__
    observed=observed,
  File "C:\ProgramData\Anaconda3\envs\excel_enhancer\lib\site-packages\pandas\core\frame.py", line 5810, in groupby
    grouped = df.groupby(groups)
  File "C:\Users\User\Documents\MEGAsync\python_projects\PRODUCTS\excel_enhancer\excel_enhancer.py", line 264, in xl_group_by
    output = f(*args, **kwargs)
  File "C:\Users\User\Documents\MEGAsync\python_projects\PRODUCTS\excel_enhancer\core.py", line 897, in wrapper
    ret = func(*args)
  File "C:\ProgramData\Anaconda3\envs\excel_enhancer\lib\site-packages\xlwings\udfs.py", line 537, in call_udf
    res = call_udf(script, fname, args, this_workbook, FromVariant(caller))
  File "C:\ProgramData\Anaconda3\envs\excel_enhancer\lib\site-packages\xlwings\server.py", line 195, in CallUDF
    return func(*args)
  File "C:\ProgramData\Anaconda3\envs\excel_enhancer\lib\site-packages\win32com\server\policy.py", line 586, in _invokeex_
    return S_OK, -1, self._invokeex_(dispid, lcid, wFlags, args, None, None)
  File "C:\ProgramData\Anaconda3\envs\excel_enhancer\lib\site-packages\win32com\server\policy.py", line 283, in _invoke_
    return self._invoke_(dispid, lcid, wFlags, args)
  File "C:\ProgramData\Anaconda3\envs\excel_enhancer\lib\site-packages\win32com\server\policy.py", line 278, in _Invoke_</v>
      </c>
      <c r="H319" s="2" t="s">
        <v>1496</v>
      </c>
      <c r="I319" s="2"/>
      <c r="J319" s="2"/>
      <c r="K319" s="2"/>
      <c r="L319" s="2"/>
      <c r="M319" s="2"/>
      <c r="N319" s="2"/>
    </row>
    <row r="320" spans="1:14" x14ac:dyDescent="0.25">
      <c r="A320" s="2"/>
      <c r="B320" s="2"/>
      <c r="C320" s="2"/>
      <c r="D320" s="2"/>
      <c r="E320" s="2"/>
      <c r="F320" s="11"/>
      <c r="G320" s="2"/>
      <c r="H320" s="2" t="s">
        <v>1496</v>
      </c>
      <c r="I320" s="2"/>
      <c r="J320" s="2"/>
      <c r="K320" s="2"/>
      <c r="L320" s="2"/>
      <c r="M320" s="2"/>
      <c r="N320" s="2"/>
    </row>
    <row r="321" spans="1:14" x14ac:dyDescent="0.25">
      <c r="A321" s="2"/>
      <c r="B321" s="2"/>
      <c r="C321" s="2"/>
      <c r="D321" s="2"/>
      <c r="E321" s="2"/>
      <c r="F321" s="11"/>
      <c r="G321" s="2"/>
      <c r="H321" s="2" t="s">
        <v>1496</v>
      </c>
      <c r="I321" s="2"/>
      <c r="J321" s="2"/>
      <c r="K321" s="2"/>
      <c r="L321" s="2"/>
      <c r="M321" s="2"/>
      <c r="N321" s="2"/>
    </row>
    <row r="322" spans="1:14" x14ac:dyDescent="0.25">
      <c r="A322" s="2"/>
      <c r="B322" s="2"/>
      <c r="C322" s="2"/>
      <c r="D322" s="2"/>
      <c r="E322" s="2"/>
      <c r="F322" s="11"/>
      <c r="G322" s="2"/>
      <c r="H322" s="2" t="s">
        <v>1496</v>
      </c>
      <c r="I322" s="2"/>
      <c r="J322" s="2"/>
      <c r="K322" s="2"/>
      <c r="L322" s="2"/>
      <c r="M322" s="2"/>
      <c r="N322" s="2"/>
    </row>
    <row r="323" spans="1:14" x14ac:dyDescent="0.25">
      <c r="A323" s="2"/>
      <c r="B323" s="2"/>
      <c r="C323" s="2"/>
      <c r="D323" s="2"/>
      <c r="E323" s="2"/>
      <c r="F323" s="11"/>
      <c r="G323" s="2"/>
      <c r="H323" s="2" t="s">
        <v>1496</v>
      </c>
      <c r="I323" s="2"/>
      <c r="J323" s="2"/>
      <c r="K323" s="2"/>
      <c r="L323" s="2"/>
      <c r="M323" s="2"/>
      <c r="N323" s="2"/>
    </row>
    <row r="324" spans="1:14" x14ac:dyDescent="0.25">
      <c r="A324" s="2"/>
      <c r="B324" s="2"/>
      <c r="C324" s="2"/>
      <c r="D324" s="2"/>
      <c r="E324" s="2"/>
      <c r="F324" s="11"/>
      <c r="G324" s="2"/>
      <c r="H324" s="2" t="s">
        <v>1496</v>
      </c>
      <c r="I324" s="2"/>
      <c r="J324" s="2"/>
      <c r="K324" s="2"/>
      <c r="L324" s="2"/>
      <c r="M324" s="2"/>
      <c r="N324" s="2"/>
    </row>
    <row r="325" spans="1:14" x14ac:dyDescent="0.25">
      <c r="A325" s="2"/>
      <c r="B325" s="2"/>
      <c r="C325" s="2"/>
      <c r="D325" s="2"/>
      <c r="E325" s="2"/>
      <c r="F325" s="11"/>
      <c r="G325" s="2"/>
      <c r="H325" s="2" t="s">
        <v>1496</v>
      </c>
      <c r="I325" s="2"/>
      <c r="J325" s="2"/>
      <c r="K325" s="2"/>
      <c r="L325" s="2"/>
      <c r="M325" s="2"/>
      <c r="N325" s="2"/>
    </row>
    <row r="326" spans="1:14" x14ac:dyDescent="0.25">
      <c r="A326" s="2"/>
      <c r="B326" s="2"/>
      <c r="C326" s="2"/>
      <c r="D326" s="2"/>
      <c r="E326" s="2"/>
      <c r="F326" s="11"/>
      <c r="G326" s="2"/>
      <c r="H326" s="2" t="s">
        <v>1496</v>
      </c>
      <c r="I326" s="2"/>
      <c r="J326" s="2"/>
      <c r="K326" s="2"/>
      <c r="L326" s="2"/>
      <c r="M326" s="2"/>
      <c r="N326" s="2"/>
    </row>
    <row r="327" spans="1:14" x14ac:dyDescent="0.25">
      <c r="A327" s="2"/>
      <c r="B327" s="2"/>
      <c r="C327" s="2"/>
      <c r="D327" s="2"/>
      <c r="E327" s="2"/>
      <c r="F327" s="11"/>
      <c r="G327" s="2"/>
      <c r="H327" s="2" t="s">
        <v>1496</v>
      </c>
      <c r="I327" s="2"/>
      <c r="J327" s="2"/>
      <c r="K327" s="2"/>
      <c r="L327" s="2"/>
      <c r="M327" s="2"/>
      <c r="N327" s="2"/>
    </row>
    <row r="328" spans="1:14" x14ac:dyDescent="0.25">
      <c r="A328" s="2"/>
      <c r="B328" s="2"/>
      <c r="C328" s="2"/>
      <c r="D328" s="2"/>
      <c r="E328" s="2"/>
      <c r="F328" s="11"/>
      <c r="G328" s="2"/>
      <c r="H328" s="2" t="s">
        <v>1496</v>
      </c>
      <c r="I328" s="2"/>
      <c r="J328" s="2"/>
      <c r="K328" s="2"/>
      <c r="L328" s="2"/>
      <c r="M328" s="2"/>
      <c r="N328" s="2"/>
    </row>
    <row r="329" spans="1:14" x14ac:dyDescent="0.25">
      <c r="A329" s="2"/>
      <c r="B329" s="2"/>
      <c r="C329" s="2"/>
      <c r="D329" s="2"/>
      <c r="E329" s="2"/>
      <c r="F329" s="11"/>
      <c r="G329" s="2"/>
      <c r="H329" s="2" t="s">
        <v>1496</v>
      </c>
      <c r="I329" s="2"/>
      <c r="J329" s="2"/>
      <c r="K329" s="2"/>
      <c r="L329" s="2"/>
      <c r="M329" s="2"/>
      <c r="N329" s="2"/>
    </row>
    <row r="330" spans="1:14" x14ac:dyDescent="0.25">
      <c r="A330" s="2"/>
      <c r="B330" s="2"/>
      <c r="C330" s="2"/>
      <c r="D330" s="2"/>
      <c r="E330" s="2"/>
      <c r="F330" s="11"/>
      <c r="G330" s="2"/>
      <c r="H330" s="2" t="s">
        <v>1496</v>
      </c>
      <c r="I330" s="2"/>
      <c r="J330" s="2"/>
      <c r="K330" s="2"/>
      <c r="L330" s="2"/>
      <c r="M330" s="2"/>
      <c r="N330" s="2"/>
    </row>
    <row r="331" spans="1:14" x14ac:dyDescent="0.25">
      <c r="A331" s="2"/>
      <c r="B331" s="2"/>
      <c r="C331" s="2"/>
      <c r="D331" s="2"/>
      <c r="E331" s="2"/>
      <c r="F331" s="11"/>
      <c r="G331" s="2"/>
      <c r="H331" s="2" t="s">
        <v>1496</v>
      </c>
      <c r="I331" s="2"/>
      <c r="J331" s="2"/>
      <c r="K331" s="2"/>
      <c r="L331" s="2"/>
      <c r="M331" s="2"/>
      <c r="N331" s="2"/>
    </row>
    <row r="332" spans="1:14" x14ac:dyDescent="0.25">
      <c r="A332" s="2"/>
      <c r="B332" s="2"/>
      <c r="C332" s="2"/>
      <c r="D332" s="2"/>
      <c r="E332" s="2"/>
      <c r="F332" s="11"/>
      <c r="G332" s="2"/>
      <c r="H332" s="2" t="s">
        <v>1496</v>
      </c>
      <c r="I332" s="2"/>
      <c r="J332" s="2"/>
      <c r="K332" s="2"/>
      <c r="L332" s="2"/>
      <c r="M332" s="2"/>
      <c r="N332" s="2"/>
    </row>
    <row r="333" spans="1:14" x14ac:dyDescent="0.25">
      <c r="A333" s="2"/>
      <c r="B333" s="2"/>
      <c r="C333" s="2"/>
      <c r="D333" s="2"/>
      <c r="E333" s="2"/>
      <c r="F333" s="11"/>
      <c r="G333" s="2"/>
      <c r="H333" s="2" t="s">
        <v>1496</v>
      </c>
      <c r="I333" s="2"/>
      <c r="J333" s="2"/>
      <c r="K333" s="2"/>
      <c r="L333" s="2"/>
      <c r="M333" s="2"/>
      <c r="N333" s="2"/>
    </row>
    <row r="334" spans="1:14" x14ac:dyDescent="0.25">
      <c r="A334" s="2"/>
      <c r="B334" s="2"/>
      <c r="C334" s="2"/>
      <c r="D334" s="2"/>
      <c r="E334" s="2"/>
      <c r="F334" s="11"/>
      <c r="G334" s="2"/>
      <c r="H334" s="2" t="s">
        <v>1496</v>
      </c>
      <c r="I334" s="2"/>
      <c r="J334" s="2"/>
      <c r="K334" s="2"/>
      <c r="L334" s="2"/>
      <c r="M334" s="2"/>
      <c r="N334" s="2"/>
    </row>
    <row r="335" spans="1:14" x14ac:dyDescent="0.25">
      <c r="A335" s="2"/>
      <c r="B335" s="2"/>
      <c r="C335" s="2"/>
      <c r="D335" s="2"/>
      <c r="E335" s="2"/>
      <c r="F335" s="11"/>
      <c r="G335" s="2"/>
      <c r="H335" s="2" t="s">
        <v>1496</v>
      </c>
      <c r="I335" s="2"/>
      <c r="J335" s="2"/>
      <c r="K335" s="2"/>
      <c r="L335" s="2"/>
      <c r="M335" s="2"/>
      <c r="N335" s="2"/>
    </row>
    <row r="336" spans="1:14" x14ac:dyDescent="0.25">
      <c r="A336" s="2"/>
      <c r="B336" s="2"/>
      <c r="C336" s="2"/>
      <c r="D336" s="2"/>
      <c r="E336" s="2"/>
      <c r="F336" s="11"/>
      <c r="G336" s="2"/>
      <c r="H336" s="2" t="s">
        <v>1496</v>
      </c>
      <c r="I336" s="2"/>
      <c r="J336" s="2"/>
      <c r="K336" s="2"/>
      <c r="L336" s="2"/>
      <c r="M336" s="2"/>
      <c r="N336" s="2"/>
    </row>
    <row r="337" spans="1:14" x14ac:dyDescent="0.25">
      <c r="A337" s="2"/>
      <c r="B337" s="2"/>
      <c r="C337" s="2"/>
      <c r="D337" s="2"/>
      <c r="E337" s="2"/>
      <c r="F337" s="11"/>
      <c r="G337" s="2"/>
      <c r="H337" s="2" t="s">
        <v>1496</v>
      </c>
      <c r="I337" s="2"/>
      <c r="J337" s="2"/>
      <c r="K337" s="2"/>
      <c r="L337" s="2"/>
      <c r="M337" s="2"/>
      <c r="N337" s="2"/>
    </row>
    <row r="338" spans="1:14" x14ac:dyDescent="0.25">
      <c r="A338" s="2"/>
      <c r="B338" s="2"/>
      <c r="C338" s="2"/>
      <c r="D338" s="2"/>
      <c r="E338" s="2"/>
      <c r="F338" s="11"/>
      <c r="G338" s="2"/>
      <c r="H338" s="2" t="s">
        <v>1496</v>
      </c>
      <c r="I338" s="2"/>
      <c r="J338" s="2"/>
      <c r="K338" s="2"/>
      <c r="L338" s="2"/>
      <c r="M338" s="2"/>
      <c r="N338" s="2"/>
    </row>
    <row r="339" spans="1:14" x14ac:dyDescent="0.25">
      <c r="A339" s="2"/>
      <c r="B339" s="2"/>
      <c r="C339" s="2"/>
      <c r="D339" s="2"/>
      <c r="E339" s="2"/>
      <c r="F339" s="11"/>
      <c r="G339" s="2"/>
      <c r="H339" s="2" t="s">
        <v>1496</v>
      </c>
      <c r="I339" s="2"/>
      <c r="J339" s="2"/>
      <c r="K339" s="2"/>
      <c r="L339" s="2"/>
      <c r="M339" s="2"/>
      <c r="N339" s="2"/>
    </row>
    <row r="340" spans="1:14" x14ac:dyDescent="0.25">
      <c r="A340" s="2"/>
      <c r="B340" s="2"/>
      <c r="C340" s="2"/>
      <c r="D340" s="2"/>
      <c r="E340" s="2"/>
      <c r="F340" s="11"/>
      <c r="G340" s="2"/>
      <c r="H340" s="2" t="s">
        <v>1496</v>
      </c>
      <c r="I340" s="2"/>
      <c r="J340" s="2"/>
      <c r="K340" s="2"/>
      <c r="L340" s="2"/>
      <c r="M340" s="2"/>
      <c r="N340" s="2"/>
    </row>
    <row r="341" spans="1:14" x14ac:dyDescent="0.25">
      <c r="A341" s="2"/>
      <c r="B341" s="2"/>
      <c r="C341" s="2"/>
      <c r="D341" s="2"/>
      <c r="E341" s="2"/>
      <c r="F341" s="11"/>
      <c r="G341" s="2"/>
      <c r="H341" s="2" t="s">
        <v>1496</v>
      </c>
      <c r="I341" s="2"/>
      <c r="J341" s="2"/>
      <c r="K341" s="2"/>
      <c r="L341" s="2"/>
      <c r="M341" s="2"/>
      <c r="N341" s="2"/>
    </row>
    <row r="342" spans="1:14" x14ac:dyDescent="0.25">
      <c r="A342" s="2"/>
      <c r="B342" s="2"/>
      <c r="C342" s="2"/>
      <c r="D342" s="2"/>
      <c r="E342" s="2"/>
      <c r="F342" s="11"/>
      <c r="G342" s="2"/>
      <c r="H342" s="2" t="s">
        <v>1496</v>
      </c>
      <c r="I342" s="2"/>
      <c r="J342" s="2"/>
      <c r="K342" s="2"/>
      <c r="L342" s="2"/>
      <c r="M342" s="2"/>
      <c r="N342" s="2"/>
    </row>
    <row r="343" spans="1:14" x14ac:dyDescent="0.25">
      <c r="A343" s="2"/>
      <c r="B343" s="2"/>
      <c r="C343" s="2"/>
      <c r="D343" s="2"/>
      <c r="E343" s="2"/>
      <c r="F343" s="11"/>
      <c r="G343" s="2"/>
      <c r="H343" s="2" t="s">
        <v>1496</v>
      </c>
      <c r="I343" s="2"/>
      <c r="J343" s="2"/>
      <c r="K343" s="2"/>
      <c r="L343" s="2"/>
      <c r="M343" s="2"/>
      <c r="N343" s="2"/>
    </row>
    <row r="344" spans="1:14" x14ac:dyDescent="0.25">
      <c r="A344" s="2"/>
      <c r="B344" s="2"/>
      <c r="C344" s="2"/>
      <c r="D344" s="2"/>
      <c r="E344" s="2"/>
      <c r="F344" s="11"/>
      <c r="G344" s="2"/>
      <c r="H344" s="2" t="s">
        <v>1496</v>
      </c>
      <c r="I344" s="2"/>
      <c r="J344" s="2"/>
      <c r="K344" s="2"/>
      <c r="L344" s="2"/>
      <c r="M344" s="2"/>
      <c r="N344" s="2"/>
    </row>
  </sheetData>
  <autoFilter ref="A1:H344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N28"/>
  <sheetViews>
    <sheetView topLeftCell="B1" workbookViewId="0">
      <selection activeCell="D3" sqref="D3"/>
    </sheetView>
  </sheetViews>
  <sheetFormatPr baseColWidth="10" defaultRowHeight="15.75" x14ac:dyDescent="0.25"/>
  <cols>
    <col min="10" max="10" width="11.25" bestFit="1" customWidth="1"/>
    <col min="12" max="12" width="16.125" customWidth="1"/>
  </cols>
  <sheetData>
    <row r="1" spans="1:14" ht="67.5" customHeight="1" x14ac:dyDescent="0.25">
      <c r="A1" t="s">
        <v>1482</v>
      </c>
      <c r="B1" t="s">
        <v>1483</v>
      </c>
      <c r="D1" s="18" t="s">
        <v>1827</v>
      </c>
      <c r="E1" s="18"/>
      <c r="G1" s="17" t="s">
        <v>1828</v>
      </c>
      <c r="H1" s="17"/>
      <c r="J1" s="2" t="s">
        <v>1829</v>
      </c>
      <c r="M1" s="2"/>
      <c r="N1" s="2"/>
    </row>
    <row r="2" spans="1:14" x14ac:dyDescent="0.25">
      <c r="A2" t="s">
        <v>1484</v>
      </c>
      <c r="B2">
        <v>19</v>
      </c>
      <c r="D2" s="2" t="str">
        <f t="array" ref="D2:E21">xf_fit_table(A:B)</f>
        <v>NOMBRES</v>
      </c>
      <c r="E2" s="2" t="str">
        <v>SUM VALORES</v>
      </c>
      <c r="F2" s="2"/>
      <c r="G2" t="str">
        <f t="array" ref="G2:H11">xl_expand_down(A:B)</f>
        <v>NOMBRES</v>
      </c>
      <c r="H2" t="str">
        <v>SUM VALORES</v>
      </c>
      <c r="J2" t="str">
        <f>xf_test_data(A:B)</f>
        <v>&lt;class 'list'&gt;
[['NOMBRES', 'SUM VALORES'], ['NOMBRE 1', 19.0], ['NOMBRE 7', 2.0], ['NOMBRE 5', 5.0], ['NOMBRE 7', 2.0], ['NOMBRE 44', 5.0], ['nombre 22', 2.0], ['nombre 211', 2.0], ['nombre 222', 22.0], ['ss', 'sss'], [None, None], ['sss', 'ddddd 2'], ['ss', 'sss'], ['sss', None], ['NOMBRE 19', 5.0], [None, 2.0], ['NOMBRE 14', 2.0], ['NOMBRE 24', 2.0], ['NOMBRE 44', 2.0], ['NOMBRE 67', 2.0]]</v>
      </c>
      <c r="M2" s="2"/>
      <c r="N2" s="2"/>
    </row>
    <row r="3" spans="1:14" x14ac:dyDescent="0.25">
      <c r="A3" t="s">
        <v>1486</v>
      </c>
      <c r="B3">
        <v>2</v>
      </c>
      <c r="D3" s="2" t="str">
        <v>NOMBRE 1</v>
      </c>
      <c r="E3" s="2">
        <v>19</v>
      </c>
      <c r="F3" s="2"/>
      <c r="G3" t="str">
        <v>NOMBRE 1</v>
      </c>
      <c r="H3">
        <v>19</v>
      </c>
      <c r="J3" t="str">
        <f>xf_test_data(A1:B20)</f>
        <v>&lt;class 'list'&gt;
[['NOMBRES', 'SUM VALORES'], ['NOMBRE 1', 19.0], ['NOMBRE 7', 2.0], ['NOMBRE 5', 5.0], ['NOMBRE 7', 2.0], ['NOMBRE 44', 5.0], ['nombre 22', 2.0], ['nombre 211', 2.0], ['nombre 222', 22.0], ['ss', 'sss'], [None, None], ['sss', 'ddddd 2'], ['ss', 'sss'], ['sss', None], ['NOMBRE 19', 5.0], [None, 2.0], ['NOMBRE 14', 2.0], ['NOMBRE 24', 2.0], ['NOMBRE 44', 2.0], ['NOMBRE 67', 2.0]]</v>
      </c>
      <c r="M3" s="2"/>
      <c r="N3" s="2"/>
    </row>
    <row r="4" spans="1:14" x14ac:dyDescent="0.25">
      <c r="A4" t="s">
        <v>1485</v>
      </c>
      <c r="B4">
        <v>5</v>
      </c>
      <c r="D4" t="str">
        <v>NOMBRE 7</v>
      </c>
      <c r="E4" s="2">
        <v>2</v>
      </c>
      <c r="F4" s="2"/>
      <c r="G4" t="str">
        <v>NOMBRE 7</v>
      </c>
      <c r="H4">
        <v>2</v>
      </c>
      <c r="J4" t="b">
        <f>EXACT(J2,J3)</f>
        <v>1</v>
      </c>
      <c r="M4" s="2"/>
      <c r="N4" s="2"/>
    </row>
    <row r="5" spans="1:14" x14ac:dyDescent="0.25">
      <c r="A5" t="s">
        <v>1486</v>
      </c>
      <c r="B5">
        <v>2</v>
      </c>
      <c r="D5" t="str">
        <v>NOMBRE 5</v>
      </c>
      <c r="E5">
        <v>5</v>
      </c>
      <c r="F5" s="2"/>
      <c r="G5" t="str">
        <v>NOMBRE 5</v>
      </c>
      <c r="H5">
        <v>5</v>
      </c>
      <c r="M5" s="2"/>
      <c r="N5" s="2"/>
    </row>
    <row r="6" spans="1:14" x14ac:dyDescent="0.25">
      <c r="A6" t="s">
        <v>1487</v>
      </c>
      <c r="B6">
        <v>5</v>
      </c>
      <c r="D6" t="str">
        <v>NOMBRE 7</v>
      </c>
      <c r="E6">
        <v>2</v>
      </c>
      <c r="G6" t="str">
        <v>NOMBRE 7</v>
      </c>
      <c r="H6">
        <v>2</v>
      </c>
      <c r="J6" t="s">
        <v>1830</v>
      </c>
      <c r="M6" s="2"/>
      <c r="N6" s="2"/>
    </row>
    <row r="7" spans="1:14" x14ac:dyDescent="0.25">
      <c r="A7" t="s">
        <v>1492</v>
      </c>
      <c r="B7">
        <v>2</v>
      </c>
      <c r="D7" t="str">
        <v>NOMBRE 44</v>
      </c>
      <c r="E7">
        <v>5</v>
      </c>
      <c r="G7" t="str">
        <v>NOMBRE 44</v>
      </c>
      <c r="H7">
        <v>5</v>
      </c>
      <c r="J7" t="str">
        <f>xf_test_data(xf_fit_table(A1:B200))</f>
        <v>&lt;class 'list'&gt;
[['NOMBRES', 'SUM VALORES'], ['NOMBRE 1', 19.0], ['NOMBRE 7', 2.0], ['NOMBRE 5', 5.0], ['NOMBRE 7', 2.0], ['NOMBRE 44', 5.0], ['nombre 22', 2.0], ['nombre 211', 2.0], ['nombre 222', 22.0], ['ss', 'sss'], ['', ''], ['sss', 'ddddd 2'], ['ss', 'sss'], ['sss', ''], ['NOMBRE 19', 5.0], ['', 2.0], ['NOMBRE 14', 2.0], ['NOMBRE 24', 2.0], ['NOMBRE 44', 2.0], ['NOMBRE 67', 2.0]]</v>
      </c>
      <c r="M7" s="2"/>
      <c r="N7" s="2"/>
    </row>
    <row r="8" spans="1:14" x14ac:dyDescent="0.25">
      <c r="A8" t="s">
        <v>1493</v>
      </c>
      <c r="B8">
        <v>2</v>
      </c>
      <c r="D8" t="str">
        <v>nombre 22</v>
      </c>
      <c r="E8">
        <v>2</v>
      </c>
      <c r="G8" t="str">
        <v>nombre 22</v>
      </c>
      <c r="H8">
        <v>2</v>
      </c>
      <c r="J8" t="b">
        <f>NOT(EXACT(J2,J7))</f>
        <v>1</v>
      </c>
      <c r="M8" s="2"/>
      <c r="N8" s="2"/>
    </row>
    <row r="9" spans="1:14" x14ac:dyDescent="0.25">
      <c r="A9" t="s">
        <v>1494</v>
      </c>
      <c r="B9">
        <v>22</v>
      </c>
      <c r="D9" t="str">
        <v>nombre 211</v>
      </c>
      <c r="E9">
        <v>2</v>
      </c>
      <c r="G9" t="str">
        <v>nombre 211</v>
      </c>
      <c r="H9">
        <v>2</v>
      </c>
      <c r="M9" s="2"/>
      <c r="N9" s="2"/>
    </row>
    <row r="10" spans="1:14" x14ac:dyDescent="0.25">
      <c r="A10" t="s">
        <v>1495</v>
      </c>
      <c r="B10" t="s">
        <v>1497</v>
      </c>
      <c r="D10" t="str">
        <v>nombre 222</v>
      </c>
      <c r="E10">
        <v>22</v>
      </c>
      <c r="G10" t="str">
        <v>nombre 222</v>
      </c>
      <c r="H10">
        <v>22</v>
      </c>
      <c r="M10" s="2"/>
      <c r="N10" s="2"/>
    </row>
    <row r="11" spans="1:14" x14ac:dyDescent="0.25">
      <c r="D11" t="str">
        <v>ss</v>
      </c>
      <c r="E11" t="str">
        <v>sss</v>
      </c>
      <c r="G11" t="str">
        <v>ss</v>
      </c>
      <c r="H11" t="str">
        <v>sss</v>
      </c>
    </row>
    <row r="12" spans="1:14" x14ac:dyDescent="0.25">
      <c r="A12" t="s">
        <v>1497</v>
      </c>
      <c r="B12" t="s">
        <v>1825</v>
      </c>
      <c r="D12" t="str">
        <v/>
      </c>
      <c r="E12" t="str">
        <v/>
      </c>
    </row>
    <row r="13" spans="1:14" x14ac:dyDescent="0.25">
      <c r="A13" t="s">
        <v>1495</v>
      </c>
      <c r="B13" t="s">
        <v>1497</v>
      </c>
      <c r="D13" t="str">
        <v>sss</v>
      </c>
      <c r="E13" t="str">
        <v>ddddd 2</v>
      </c>
    </row>
    <row r="14" spans="1:14" x14ac:dyDescent="0.25">
      <c r="A14" t="s">
        <v>1497</v>
      </c>
      <c r="D14" t="str">
        <v>ss</v>
      </c>
      <c r="E14" t="str">
        <v>sss</v>
      </c>
    </row>
    <row r="15" spans="1:14" x14ac:dyDescent="0.25">
      <c r="A15" t="s">
        <v>1488</v>
      </c>
      <c r="B15">
        <v>5</v>
      </c>
      <c r="D15" t="str">
        <v>sss</v>
      </c>
      <c r="E15" t="str">
        <v/>
      </c>
    </row>
    <row r="16" spans="1:14" x14ac:dyDescent="0.25">
      <c r="B16">
        <v>2</v>
      </c>
      <c r="D16" t="str">
        <v>NOMBRE 19</v>
      </c>
      <c r="E16">
        <v>5</v>
      </c>
    </row>
    <row r="17" spans="1:5" x14ac:dyDescent="0.25">
      <c r="A17" t="s">
        <v>1489</v>
      </c>
      <c r="B17">
        <v>2</v>
      </c>
      <c r="D17" t="str">
        <v/>
      </c>
      <c r="E17">
        <v>2</v>
      </c>
    </row>
    <row r="18" spans="1:5" x14ac:dyDescent="0.25">
      <c r="A18" t="s">
        <v>1491</v>
      </c>
      <c r="B18">
        <v>2</v>
      </c>
      <c r="D18" s="2" t="str">
        <v>NOMBRE 14</v>
      </c>
      <c r="E18" s="2">
        <v>2</v>
      </c>
    </row>
    <row r="19" spans="1:5" x14ac:dyDescent="0.25">
      <c r="A19" t="s">
        <v>1487</v>
      </c>
      <c r="B19">
        <v>2</v>
      </c>
      <c r="D19" s="2" t="str">
        <v>NOMBRE 24</v>
      </c>
      <c r="E19" s="2">
        <v>2</v>
      </c>
    </row>
    <row r="20" spans="1:5" x14ac:dyDescent="0.25">
      <c r="A20" t="s">
        <v>1490</v>
      </c>
      <c r="B20">
        <v>2</v>
      </c>
      <c r="D20" s="2" t="str">
        <v>NOMBRE 44</v>
      </c>
      <c r="E20" s="2">
        <v>2</v>
      </c>
    </row>
    <row r="21" spans="1:5" x14ac:dyDescent="0.25">
      <c r="D21" s="2" t="str">
        <v>NOMBRE 67</v>
      </c>
      <c r="E21" s="2">
        <v>2</v>
      </c>
    </row>
    <row r="22" spans="1:5" x14ac:dyDescent="0.25">
      <c r="D22" s="2"/>
      <c r="E22" s="2"/>
    </row>
    <row r="23" spans="1:5" x14ac:dyDescent="0.25">
      <c r="D23" s="2"/>
      <c r="E23" s="2"/>
    </row>
    <row r="24" spans="1:5" x14ac:dyDescent="0.25">
      <c r="D24" s="2"/>
      <c r="E24" s="2"/>
    </row>
    <row r="25" spans="1:5" x14ac:dyDescent="0.25">
      <c r="D25" s="2"/>
      <c r="E25" s="2"/>
    </row>
    <row r="26" spans="1:5" x14ac:dyDescent="0.25">
      <c r="D26" s="2"/>
      <c r="E26" s="2"/>
    </row>
    <row r="27" spans="1:5" x14ac:dyDescent="0.25">
      <c r="D27" s="2"/>
      <c r="E27" s="2"/>
    </row>
    <row r="28" spans="1:5" x14ac:dyDescent="0.25">
      <c r="D28" s="2"/>
      <c r="E28" s="2"/>
    </row>
  </sheetData>
  <mergeCells count="2">
    <mergeCell ref="G1:H1"/>
    <mergeCell ref="D1:E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28"/>
  <sheetViews>
    <sheetView workbookViewId="0">
      <selection activeCell="G7" sqref="G7"/>
    </sheetView>
  </sheetViews>
  <sheetFormatPr baseColWidth="10" defaultRowHeight="15.75" x14ac:dyDescent="0.25"/>
  <cols>
    <col min="12" max="12" width="16.125" customWidth="1"/>
  </cols>
  <sheetData>
    <row r="1" spans="1:14" x14ac:dyDescent="0.25">
      <c r="A1" t="s">
        <v>1482</v>
      </c>
      <c r="B1" t="s">
        <v>1483</v>
      </c>
      <c r="D1" s="2" t="str">
        <f t="array" ref="D1:E3">xl_filter_by(xl_sort_by(xf_fit_table(A:B),"NOMBRES" ),"NOMBRES","1",#N/A,2,TRUE,,,FALSE)</f>
        <v>NOMBRES</v>
      </c>
      <c r="E1" s="2" t="str">
        <v>SUM VALORES</v>
      </c>
      <c r="G1" t="str">
        <f t="array" ref="G1:H12">xl_filter_by(xl_sort_by(xf_fit_table(A:B),"NOMBRES" ),"SUM VALORES","2",#N/A,2,TRUE,,,FALSE)</f>
        <v>NOMBRES</v>
      </c>
      <c r="H1" t="str">
        <v>SUM VALORES</v>
      </c>
      <c r="M1" s="2"/>
      <c r="N1" s="2"/>
    </row>
    <row r="2" spans="1:14" x14ac:dyDescent="0.25">
      <c r="A2" t="s">
        <v>1484</v>
      </c>
      <c r="B2">
        <v>19</v>
      </c>
      <c r="D2" s="2" t="str">
        <v>NOMBRE 1</v>
      </c>
      <c r="E2" s="2">
        <v>19</v>
      </c>
      <c r="F2" s="2"/>
      <c r="G2" t="str">
        <v/>
      </c>
      <c r="H2">
        <v>2</v>
      </c>
      <c r="M2" s="2"/>
      <c r="N2" s="2"/>
    </row>
    <row r="3" spans="1:14" x14ac:dyDescent="0.25">
      <c r="A3" t="s">
        <v>1486</v>
      </c>
      <c r="B3">
        <v>2</v>
      </c>
      <c r="D3" s="2" t="str">
        <v>nombre 211</v>
      </c>
      <c r="E3" s="2">
        <v>2</v>
      </c>
      <c r="F3" s="2"/>
      <c r="G3" t="str">
        <v>NOMBRE 14</v>
      </c>
      <c r="H3">
        <v>2</v>
      </c>
      <c r="M3" s="2"/>
      <c r="N3" s="2"/>
    </row>
    <row r="4" spans="1:14" x14ac:dyDescent="0.25">
      <c r="A4" t="s">
        <v>1485</v>
      </c>
      <c r="B4">
        <v>5</v>
      </c>
      <c r="E4" s="2"/>
      <c r="F4" s="2"/>
      <c r="G4" t="str">
        <v>NOMBRE 24</v>
      </c>
      <c r="H4">
        <v>2</v>
      </c>
      <c r="M4" s="2"/>
      <c r="N4" s="2"/>
    </row>
    <row r="5" spans="1:14" x14ac:dyDescent="0.25">
      <c r="A5" t="s">
        <v>1486</v>
      </c>
      <c r="B5">
        <v>2</v>
      </c>
      <c r="F5" s="2"/>
      <c r="G5" t="str">
        <v>NOMBRE 44</v>
      </c>
      <c r="H5">
        <v>2</v>
      </c>
      <c r="M5" s="2"/>
      <c r="N5" s="2"/>
    </row>
    <row r="6" spans="1:14" x14ac:dyDescent="0.25">
      <c r="A6" t="s">
        <v>1487</v>
      </c>
      <c r="B6">
        <v>5</v>
      </c>
      <c r="G6" t="str">
        <v>NOMBRE 67</v>
      </c>
      <c r="H6">
        <v>2</v>
      </c>
      <c r="M6" s="2"/>
      <c r="N6" s="2"/>
    </row>
    <row r="7" spans="1:14" x14ac:dyDescent="0.25">
      <c r="A7" t="s">
        <v>1492</v>
      </c>
      <c r="B7">
        <v>2</v>
      </c>
      <c r="G7" t="str">
        <v>NOMBRE 7</v>
      </c>
      <c r="H7">
        <v>2</v>
      </c>
      <c r="M7" s="2"/>
      <c r="N7" s="2"/>
    </row>
    <row r="8" spans="1:14" x14ac:dyDescent="0.25">
      <c r="A8" t="s">
        <v>1493</v>
      </c>
      <c r="B8">
        <v>2</v>
      </c>
      <c r="G8" t="str">
        <v>NOMBRE 7</v>
      </c>
      <c r="H8">
        <v>2</v>
      </c>
      <c r="M8" s="2"/>
      <c r="N8" s="2"/>
    </row>
    <row r="9" spans="1:14" x14ac:dyDescent="0.25">
      <c r="A9" t="s">
        <v>1494</v>
      </c>
      <c r="B9">
        <v>22</v>
      </c>
      <c r="G9" t="str">
        <v>nombre 211</v>
      </c>
      <c r="H9">
        <v>2</v>
      </c>
      <c r="M9" s="2"/>
      <c r="N9" s="2"/>
    </row>
    <row r="10" spans="1:14" x14ac:dyDescent="0.25">
      <c r="A10" t="s">
        <v>1495</v>
      </c>
      <c r="B10" t="s">
        <v>1497</v>
      </c>
      <c r="G10" t="str">
        <v>nombre 22</v>
      </c>
      <c r="H10">
        <v>2</v>
      </c>
      <c r="M10" s="2"/>
      <c r="N10" s="2"/>
    </row>
    <row r="11" spans="1:14" x14ac:dyDescent="0.25">
      <c r="G11" t="str">
        <v>nombre 222</v>
      </c>
      <c r="H11">
        <v>22</v>
      </c>
    </row>
    <row r="12" spans="1:14" x14ac:dyDescent="0.25">
      <c r="A12" t="s">
        <v>1497</v>
      </c>
      <c r="B12" t="s">
        <v>1825</v>
      </c>
      <c r="G12" t="str">
        <v>sss</v>
      </c>
      <c r="H12" t="str">
        <v>ddddd 2</v>
      </c>
    </row>
    <row r="13" spans="1:14" x14ac:dyDescent="0.25">
      <c r="A13" t="s">
        <v>1495</v>
      </c>
      <c r="B13" t="s">
        <v>1497</v>
      </c>
    </row>
    <row r="14" spans="1:14" x14ac:dyDescent="0.25">
      <c r="A14" t="s">
        <v>1497</v>
      </c>
    </row>
    <row r="15" spans="1:14" x14ac:dyDescent="0.25">
      <c r="A15" t="s">
        <v>1488</v>
      </c>
      <c r="B15">
        <v>5</v>
      </c>
    </row>
    <row r="16" spans="1:14" x14ac:dyDescent="0.25">
      <c r="B16">
        <v>2</v>
      </c>
    </row>
    <row r="17" spans="1:8" x14ac:dyDescent="0.25">
      <c r="A17" t="s">
        <v>1489</v>
      </c>
      <c r="B17">
        <v>2</v>
      </c>
    </row>
    <row r="18" spans="1:8" x14ac:dyDescent="0.25">
      <c r="A18" t="s">
        <v>1491</v>
      </c>
      <c r="B18">
        <v>2</v>
      </c>
      <c r="D18" s="2" t="str">
        <f t="array" ref="D18:E18" xml:space="preserve">  xl_filter_by(xl_sort_by(xf_fit_table(A:B),"NOMBRES"),"SUM VALORES",2)</f>
        <v>NOMBRES</v>
      </c>
      <c r="E18" s="2" t="str">
        <v>SUM VALORES</v>
      </c>
      <c r="G18" t="str">
        <f t="array" ref="G18:H18" xml:space="preserve">  xl_filter_by(xl_sort_by(A:B,"NOMBRES"),"SUM VALORES",2)</f>
        <v>NOMBRES</v>
      </c>
      <c r="H18" t="str">
        <v>SUM VALORES</v>
      </c>
    </row>
    <row r="19" spans="1:8" x14ac:dyDescent="0.25">
      <c r="A19" t="s">
        <v>1487</v>
      </c>
      <c r="B19">
        <v>2</v>
      </c>
      <c r="D19" s="2"/>
      <c r="E19" s="2"/>
    </row>
    <row r="20" spans="1:8" x14ac:dyDescent="0.25">
      <c r="A20" t="s">
        <v>1490</v>
      </c>
      <c r="B20">
        <v>2</v>
      </c>
      <c r="D20" s="2"/>
      <c r="E20" s="2"/>
    </row>
    <row r="21" spans="1:8" x14ac:dyDescent="0.25">
      <c r="D21" s="2"/>
      <c r="E21" s="2"/>
    </row>
    <row r="22" spans="1:8" x14ac:dyDescent="0.25">
      <c r="D22" s="2"/>
      <c r="E22" s="2"/>
    </row>
    <row r="23" spans="1:8" x14ac:dyDescent="0.25">
      <c r="D23" s="2"/>
      <c r="E23" s="2"/>
    </row>
    <row r="24" spans="1:8" x14ac:dyDescent="0.25">
      <c r="D24" s="2"/>
      <c r="E24" s="2"/>
    </row>
    <row r="25" spans="1:8" x14ac:dyDescent="0.25">
      <c r="D25" s="2"/>
      <c r="E25" s="2"/>
    </row>
    <row r="26" spans="1:8" x14ac:dyDescent="0.25">
      <c r="D26" s="2"/>
      <c r="E26" s="2"/>
    </row>
    <row r="27" spans="1:8" x14ac:dyDescent="0.25">
      <c r="D27" s="2"/>
      <c r="E27" s="2"/>
    </row>
    <row r="28" spans="1:8" x14ac:dyDescent="0.25">
      <c r="D28" s="2"/>
      <c r="E28" s="2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S28"/>
  <sheetViews>
    <sheetView topLeftCell="J1" workbookViewId="0">
      <selection activeCell="S4" sqref="S4"/>
    </sheetView>
  </sheetViews>
  <sheetFormatPr baseColWidth="10" defaultRowHeight="15.75" x14ac:dyDescent="0.25"/>
  <cols>
    <col min="1" max="2" width="11" style="13"/>
    <col min="3" max="3" width="11.25" bestFit="1" customWidth="1"/>
    <col min="12" max="12" width="16.125" customWidth="1"/>
    <col min="13" max="13" width="11.375" bestFit="1" customWidth="1"/>
    <col min="14" max="14" width="11.375" customWidth="1"/>
    <col min="15" max="15" width="11.375" bestFit="1" customWidth="1"/>
    <col min="16" max="18" width="11.25" bestFit="1" customWidth="1"/>
  </cols>
  <sheetData>
    <row r="1" spans="1:19" ht="53.25" customHeight="1" x14ac:dyDescent="0.25">
      <c r="A1" s="13" t="s">
        <v>1482</v>
      </c>
      <c r="B1" s="13" t="s">
        <v>1483</v>
      </c>
      <c r="D1" s="18" t="s">
        <v>1833</v>
      </c>
      <c r="E1" s="18"/>
      <c r="G1" s="18" t="s">
        <v>1834</v>
      </c>
      <c r="H1" s="18"/>
      <c r="J1" s="18" t="s">
        <v>1835</v>
      </c>
      <c r="K1" s="18"/>
      <c r="M1" s="18" t="s">
        <v>1836</v>
      </c>
      <c r="N1" s="18"/>
      <c r="O1" s="2"/>
      <c r="P1" s="17" t="s">
        <v>1837</v>
      </c>
      <c r="Q1" s="17"/>
    </row>
    <row r="2" spans="1:19" x14ac:dyDescent="0.25">
      <c r="A2" s="13" t="s">
        <v>1484</v>
      </c>
      <c r="B2" s="13">
        <v>19</v>
      </c>
      <c r="D2" s="2" t="str">
        <f t="array" ref="D2:E26">xf_permutations(A:B)</f>
        <v>NOMBRES</v>
      </c>
      <c r="E2" s="2" t="str">
        <v>SUM VALORES</v>
      </c>
      <c r="F2" s="2"/>
      <c r="G2" t="str">
        <f t="array" ref="G2:H18">xf_permutations(A:B,TRUE)</f>
        <v>NOMBRES</v>
      </c>
      <c r="H2" t="str">
        <v>SUM VALORES</v>
      </c>
      <c r="J2" t="str">
        <f t="array" ref="J2:K14">xf_permutations(A1:B5,TRUE,TRUE)</f>
        <v>NOMBRES</v>
      </c>
      <c r="K2" t="str">
        <v>SUM VALORES</v>
      </c>
      <c r="L2" s="13"/>
      <c r="M2" s="2" t="str">
        <f t="array" ref="M2:M6">xf_permutations(B:B)</f>
        <v>SUM VALORES</v>
      </c>
      <c r="N2" s="2"/>
      <c r="O2" s="2"/>
      <c r="P2" t="str">
        <f t="array" ref="P2:Q5">xf_permutations(xf_make_array({"A";"1"},{"B";"2"}))</f>
        <v>A</v>
      </c>
      <c r="Q2" t="str">
        <v>1</v>
      </c>
    </row>
    <row r="3" spans="1:19" x14ac:dyDescent="0.25">
      <c r="A3" s="13" t="s">
        <v>1826</v>
      </c>
      <c r="B3" s="13">
        <v>2</v>
      </c>
      <c r="D3" s="2" t="str">
        <v>NOMBRES</v>
      </c>
      <c r="E3" s="2">
        <v>19</v>
      </c>
      <c r="F3" s="2"/>
      <c r="G3" t="str">
        <v>NOMBRE 1</v>
      </c>
      <c r="H3">
        <v>19</v>
      </c>
      <c r="J3" t="str">
        <v>NOMBRE 1</v>
      </c>
      <c r="K3">
        <v>19</v>
      </c>
      <c r="M3" s="2">
        <v>19</v>
      </c>
      <c r="N3" s="2"/>
      <c r="O3" s="2"/>
      <c r="P3" t="str">
        <v>A</v>
      </c>
      <c r="Q3" t="str">
        <v>2</v>
      </c>
    </row>
    <row r="4" spans="1:19" x14ac:dyDescent="0.25">
      <c r="A4" s="13" t="s">
        <v>1485</v>
      </c>
      <c r="D4" t="str">
        <v>NOMBRES</v>
      </c>
      <c r="E4" s="2">
        <v>2</v>
      </c>
      <c r="F4" s="2"/>
      <c r="G4" t="str">
        <v>NOMBRE 1</v>
      </c>
      <c r="H4">
        <v>2</v>
      </c>
      <c r="J4" t="str">
        <v>NOMBRE 1</v>
      </c>
      <c r="K4">
        <v>2</v>
      </c>
      <c r="M4" s="2">
        <v>2</v>
      </c>
      <c r="N4" s="2"/>
      <c r="O4" s="2"/>
      <c r="P4" t="str">
        <v>B</v>
      </c>
      <c r="Q4" t="str">
        <v>1</v>
      </c>
    </row>
    <row r="5" spans="1:19" x14ac:dyDescent="0.25">
      <c r="A5" s="13" t="s">
        <v>1486</v>
      </c>
      <c r="B5" s="13">
        <v>2</v>
      </c>
      <c r="D5" t="str">
        <v>NOMBRES</v>
      </c>
      <c r="E5" t="str">
        <v/>
      </c>
      <c r="F5" s="2"/>
      <c r="G5" t="str">
        <v>NOMBRE 1</v>
      </c>
      <c r="H5" t="str">
        <v/>
      </c>
      <c r="J5" t="str">
        <v>NOMBRE 1</v>
      </c>
      <c r="K5">
        <v>2</v>
      </c>
      <c r="M5" s="2" t="str">
        <v/>
      </c>
      <c r="N5" s="2"/>
      <c r="O5" s="2"/>
      <c r="P5" t="str">
        <v>B</v>
      </c>
      <c r="Q5" t="str">
        <v>2</v>
      </c>
    </row>
    <row r="6" spans="1:19" x14ac:dyDescent="0.25">
      <c r="D6" t="str">
        <v>NOMBRES</v>
      </c>
      <c r="E6">
        <v>2</v>
      </c>
      <c r="G6" t="str">
        <v>NOMBRE 1</v>
      </c>
      <c r="H6">
        <v>2</v>
      </c>
      <c r="J6" t="str">
        <v>s</v>
      </c>
      <c r="K6">
        <v>19</v>
      </c>
      <c r="M6" s="2">
        <v>2</v>
      </c>
      <c r="N6" s="2"/>
      <c r="O6" s="2"/>
    </row>
    <row r="7" spans="1:19" x14ac:dyDescent="0.25">
      <c r="D7" t="str">
        <v>NOMBRE 1</v>
      </c>
      <c r="E7" t="str">
        <v>SUM VALORES</v>
      </c>
      <c r="G7" t="str">
        <v>s</v>
      </c>
      <c r="H7">
        <v>19</v>
      </c>
      <c r="J7" t="str">
        <v>s</v>
      </c>
      <c r="K7">
        <v>2</v>
      </c>
      <c r="M7" s="2"/>
      <c r="N7" s="2"/>
      <c r="O7" s="2"/>
    </row>
    <row r="8" spans="1:19" x14ac:dyDescent="0.25">
      <c r="D8" t="str">
        <v>NOMBRE 1</v>
      </c>
      <c r="E8">
        <v>19</v>
      </c>
      <c r="G8" t="str">
        <v>s</v>
      </c>
      <c r="H8">
        <v>2</v>
      </c>
      <c r="J8" t="str">
        <v>s</v>
      </c>
      <c r="K8">
        <v>2</v>
      </c>
      <c r="M8" s="2" t="s">
        <v>1838</v>
      </c>
      <c r="N8" s="2"/>
      <c r="O8" s="2"/>
      <c r="P8" t="str">
        <f t="array" ref="P8:Q9">xf_make_array(xf_make_array(A1,M9),xf_make_array(A1,N9))</f>
        <v>NOMBRES</v>
      </c>
      <c r="Q8">
        <v>10</v>
      </c>
      <c r="R8" t="str">
        <f t="array" ref="R8:S9">xf_make_array(xf_make_array(A1,M9),xf_make_array(A1,N9))</f>
        <v>NOMBRES</v>
      </c>
      <c r="S8">
        <v>10</v>
      </c>
    </row>
    <row r="9" spans="1:19" x14ac:dyDescent="0.25">
      <c r="D9" t="str">
        <v>NOMBRE 1</v>
      </c>
      <c r="E9">
        <v>2</v>
      </c>
      <c r="G9" t="str">
        <v>s</v>
      </c>
      <c r="H9" t="str">
        <v/>
      </c>
      <c r="J9" t="str">
        <v>NOMBRE 5</v>
      </c>
      <c r="K9">
        <v>19</v>
      </c>
      <c r="M9" s="2">
        <v>10</v>
      </c>
      <c r="N9" s="2">
        <v>2</v>
      </c>
      <c r="O9" s="2"/>
      <c r="P9" t="str">
        <v>NOMBRES</v>
      </c>
      <c r="Q9">
        <v>2</v>
      </c>
      <c r="R9" t="str">
        <v>NOMBRES</v>
      </c>
      <c r="S9">
        <v>2</v>
      </c>
    </row>
    <row r="10" spans="1:19" x14ac:dyDescent="0.25">
      <c r="D10" t="str">
        <v>NOMBRE 1</v>
      </c>
      <c r="E10" t="str">
        <v/>
      </c>
      <c r="G10" t="str">
        <v>s</v>
      </c>
      <c r="H10">
        <v>2</v>
      </c>
      <c r="J10" t="str">
        <v>NOMBRE 5</v>
      </c>
      <c r="K10">
        <v>2</v>
      </c>
      <c r="M10" s="2"/>
      <c r="N10" s="2"/>
      <c r="O10" s="2"/>
    </row>
    <row r="11" spans="1:19" x14ac:dyDescent="0.25">
      <c r="D11" t="str">
        <v>NOMBRE 1</v>
      </c>
      <c r="E11">
        <v>2</v>
      </c>
      <c r="G11" t="str">
        <v>NOMBRE 5</v>
      </c>
      <c r="H11">
        <v>19</v>
      </c>
      <c r="J11" t="str">
        <v>NOMBRE 5</v>
      </c>
      <c r="K11">
        <v>2</v>
      </c>
    </row>
    <row r="12" spans="1:19" x14ac:dyDescent="0.25">
      <c r="D12" t="str">
        <v>s</v>
      </c>
      <c r="E12" t="str">
        <v>SUM VALORES</v>
      </c>
      <c r="G12" t="str">
        <v>NOMBRE 5</v>
      </c>
      <c r="H12">
        <v>2</v>
      </c>
      <c r="J12" t="str">
        <v>NOMBRE 7</v>
      </c>
      <c r="K12">
        <v>19</v>
      </c>
    </row>
    <row r="13" spans="1:19" x14ac:dyDescent="0.25">
      <c r="D13" t="str">
        <v>s</v>
      </c>
      <c r="E13">
        <v>19</v>
      </c>
      <c r="G13" t="str">
        <v>NOMBRE 5</v>
      </c>
      <c r="H13" t="str">
        <v/>
      </c>
      <c r="J13" t="str">
        <v>NOMBRE 7</v>
      </c>
      <c r="K13">
        <v>2</v>
      </c>
    </row>
    <row r="14" spans="1:19" x14ac:dyDescent="0.25">
      <c r="D14" t="str">
        <v>s</v>
      </c>
      <c r="E14">
        <v>2</v>
      </c>
      <c r="G14" t="str">
        <v>NOMBRE 5</v>
      </c>
      <c r="H14">
        <v>2</v>
      </c>
      <c r="J14" t="str">
        <v>NOMBRE 7</v>
      </c>
      <c r="K14">
        <v>2</v>
      </c>
    </row>
    <row r="15" spans="1:19" x14ac:dyDescent="0.25">
      <c r="D15" t="str">
        <v>s</v>
      </c>
      <c r="E15" t="str">
        <v/>
      </c>
      <c r="G15" t="str">
        <v>NOMBRE 7</v>
      </c>
      <c r="H15">
        <v>19</v>
      </c>
    </row>
    <row r="16" spans="1:19" x14ac:dyDescent="0.25">
      <c r="D16" t="str">
        <v>s</v>
      </c>
      <c r="E16">
        <v>2</v>
      </c>
      <c r="G16" t="str">
        <v>NOMBRE 7</v>
      </c>
      <c r="H16">
        <v>2</v>
      </c>
    </row>
    <row r="17" spans="4:8" x14ac:dyDescent="0.25">
      <c r="D17" t="str">
        <v>NOMBRE 5</v>
      </c>
      <c r="E17" t="str">
        <v>SUM VALORES</v>
      </c>
      <c r="G17" t="str">
        <v>NOMBRE 7</v>
      </c>
      <c r="H17" t="str">
        <v/>
      </c>
    </row>
    <row r="18" spans="4:8" x14ac:dyDescent="0.25">
      <c r="D18" s="2" t="str">
        <v>NOMBRE 5</v>
      </c>
      <c r="E18" s="2">
        <v>19</v>
      </c>
      <c r="G18" t="str">
        <v>NOMBRE 7</v>
      </c>
      <c r="H18">
        <v>2</v>
      </c>
    </row>
    <row r="19" spans="4:8" x14ac:dyDescent="0.25">
      <c r="D19" s="2" t="str">
        <v>NOMBRE 5</v>
      </c>
      <c r="E19" s="2">
        <v>2</v>
      </c>
    </row>
    <row r="20" spans="4:8" x14ac:dyDescent="0.25">
      <c r="D20" s="2" t="str">
        <v>NOMBRE 5</v>
      </c>
      <c r="E20" s="2" t="str">
        <v/>
      </c>
    </row>
    <row r="21" spans="4:8" x14ac:dyDescent="0.25">
      <c r="D21" s="2" t="str">
        <v>NOMBRE 5</v>
      </c>
      <c r="E21" s="2">
        <v>2</v>
      </c>
    </row>
    <row r="22" spans="4:8" x14ac:dyDescent="0.25">
      <c r="D22" s="2" t="str">
        <v>NOMBRE 7</v>
      </c>
      <c r="E22" s="2" t="str">
        <v>SUM VALORES</v>
      </c>
    </row>
    <row r="23" spans="4:8" x14ac:dyDescent="0.25">
      <c r="D23" s="2" t="str">
        <v>NOMBRE 7</v>
      </c>
      <c r="E23" s="2">
        <v>19</v>
      </c>
    </row>
    <row r="24" spans="4:8" x14ac:dyDescent="0.25">
      <c r="D24" s="2" t="str">
        <v>NOMBRE 7</v>
      </c>
      <c r="E24" s="2">
        <v>2</v>
      </c>
    </row>
    <row r="25" spans="4:8" x14ac:dyDescent="0.25">
      <c r="D25" s="2" t="str">
        <v>NOMBRE 7</v>
      </c>
      <c r="E25" s="2" t="str">
        <v/>
      </c>
    </row>
    <row r="26" spans="4:8" x14ac:dyDescent="0.25">
      <c r="D26" s="2" t="str">
        <v>NOMBRE 7</v>
      </c>
      <c r="E26" s="2">
        <v>2</v>
      </c>
    </row>
    <row r="27" spans="4:8" x14ac:dyDescent="0.25">
      <c r="D27" s="2"/>
      <c r="E27" s="2"/>
    </row>
    <row r="28" spans="4:8" x14ac:dyDescent="0.25">
      <c r="D28" s="2"/>
      <c r="E28" s="2"/>
    </row>
  </sheetData>
  <mergeCells count="5">
    <mergeCell ref="D1:E1"/>
    <mergeCell ref="G1:H1"/>
    <mergeCell ref="J1:K1"/>
    <mergeCell ref="P1:Q1"/>
    <mergeCell ref="M1:N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I1198"/>
  <sheetViews>
    <sheetView workbookViewId="0">
      <selection activeCell="I13" sqref="I13"/>
    </sheetView>
  </sheetViews>
  <sheetFormatPr baseColWidth="10" defaultRowHeight="15.75" x14ac:dyDescent="0.25"/>
  <sheetData>
    <row r="2" spans="2:9" x14ac:dyDescent="0.25">
      <c r="B2" t="e">
        <f t="array" aca="1" ref="B2" ca="1">xl_set_watcher("steps",{"expand";TRUE;"shit";"good"})</f>
        <v>#NAME?</v>
      </c>
      <c r="C2" t="s">
        <v>1823</v>
      </c>
      <c r="D2">
        <v>0</v>
      </c>
      <c r="E2" s="2" t="s">
        <v>1822</v>
      </c>
    </row>
    <row r="3" spans="2:9" x14ac:dyDescent="0.25">
      <c r="B3" t="s">
        <v>17</v>
      </c>
      <c r="C3" t="s">
        <v>18</v>
      </c>
      <c r="D3" t="s">
        <v>1097</v>
      </c>
      <c r="E3" t="s">
        <v>1479</v>
      </c>
      <c r="F3" t="s">
        <v>16</v>
      </c>
      <c r="G3" t="s">
        <v>1096</v>
      </c>
      <c r="H3" t="s">
        <v>20</v>
      </c>
      <c r="I3" t="s">
        <v>1824</v>
      </c>
    </row>
    <row r="4" spans="2:9" x14ac:dyDescent="0.25">
      <c r="B4">
        <v>1001</v>
      </c>
      <c r="C4">
        <v>5001</v>
      </c>
      <c r="D4">
        <v>1107064834</v>
      </c>
      <c r="E4" t="s">
        <v>1148</v>
      </c>
      <c r="F4">
        <v>73050501</v>
      </c>
      <c r="G4" t="s">
        <v>1066</v>
      </c>
      <c r="H4">
        <v>316306</v>
      </c>
      <c r="I4">
        <v>2503891</v>
      </c>
    </row>
    <row r="5" spans="2:9" x14ac:dyDescent="0.25">
      <c r="B5">
        <v>1001</v>
      </c>
      <c r="C5">
        <v>5001</v>
      </c>
      <c r="D5">
        <v>1107064834</v>
      </c>
      <c r="E5" t="s">
        <v>1148</v>
      </c>
      <c r="F5">
        <v>73050501</v>
      </c>
      <c r="G5" t="s">
        <v>1066</v>
      </c>
      <c r="H5">
        <v>304366</v>
      </c>
      <c r="I5">
        <v>2503891</v>
      </c>
    </row>
    <row r="6" spans="2:9" x14ac:dyDescent="0.25">
      <c r="B6">
        <v>1001</v>
      </c>
      <c r="C6">
        <v>5001</v>
      </c>
      <c r="D6">
        <v>1107064834</v>
      </c>
      <c r="E6" t="s">
        <v>1148</v>
      </c>
      <c r="F6">
        <v>73050501</v>
      </c>
      <c r="G6" t="s">
        <v>1066</v>
      </c>
      <c r="H6">
        <v>268735</v>
      </c>
      <c r="I6">
        <v>2503891</v>
      </c>
    </row>
    <row r="7" spans="2:9" x14ac:dyDescent="0.25">
      <c r="B7">
        <v>1001</v>
      </c>
      <c r="C7">
        <v>5001</v>
      </c>
      <c r="D7">
        <v>1107064834</v>
      </c>
      <c r="E7" t="s">
        <v>1148</v>
      </c>
      <c r="F7">
        <v>73050501</v>
      </c>
      <c r="G7" t="s">
        <v>1066</v>
      </c>
      <c r="H7">
        <v>283210</v>
      </c>
      <c r="I7">
        <v>2503891</v>
      </c>
    </row>
    <row r="8" spans="2:9" x14ac:dyDescent="0.25">
      <c r="B8">
        <v>1001</v>
      </c>
      <c r="C8">
        <v>5001</v>
      </c>
      <c r="D8">
        <v>1107064834</v>
      </c>
      <c r="E8" t="s">
        <v>1148</v>
      </c>
      <c r="F8">
        <v>73050501</v>
      </c>
      <c r="G8" t="s">
        <v>1066</v>
      </c>
      <c r="H8">
        <v>285432</v>
      </c>
      <c r="I8">
        <v>2503891</v>
      </c>
    </row>
    <row r="9" spans="2:9" x14ac:dyDescent="0.25">
      <c r="B9">
        <v>1001</v>
      </c>
      <c r="C9">
        <v>5001</v>
      </c>
      <c r="D9">
        <v>1107064834</v>
      </c>
      <c r="E9" t="s">
        <v>1148</v>
      </c>
      <c r="F9">
        <v>73050501</v>
      </c>
      <c r="G9" t="s">
        <v>1066</v>
      </c>
      <c r="H9">
        <v>296331</v>
      </c>
      <c r="I9">
        <v>2503891</v>
      </c>
    </row>
    <row r="10" spans="2:9" x14ac:dyDescent="0.25">
      <c r="B10">
        <v>1001</v>
      </c>
      <c r="C10">
        <v>5001</v>
      </c>
      <c r="D10">
        <v>1107064834</v>
      </c>
      <c r="E10" t="s">
        <v>1148</v>
      </c>
      <c r="F10">
        <v>73050501</v>
      </c>
      <c r="G10" t="s">
        <v>1066</v>
      </c>
      <c r="H10">
        <v>284243</v>
      </c>
      <c r="I10">
        <v>2503891</v>
      </c>
    </row>
    <row r="11" spans="2:9" x14ac:dyDescent="0.25">
      <c r="B11">
        <v>1001</v>
      </c>
      <c r="C11">
        <v>5001</v>
      </c>
      <c r="D11">
        <v>1107064834</v>
      </c>
      <c r="E11" t="s">
        <v>1148</v>
      </c>
      <c r="F11">
        <v>73050501</v>
      </c>
      <c r="G11" t="s">
        <v>1066</v>
      </c>
      <c r="H11">
        <v>280443</v>
      </c>
      <c r="I11">
        <v>2503891</v>
      </c>
    </row>
    <row r="12" spans="2:9" x14ac:dyDescent="0.25">
      <c r="B12">
        <v>1001</v>
      </c>
      <c r="C12">
        <v>5001</v>
      </c>
      <c r="D12">
        <v>1107064834</v>
      </c>
      <c r="E12" t="s">
        <v>1148</v>
      </c>
      <c r="F12">
        <v>73050501</v>
      </c>
      <c r="G12" t="s">
        <v>1066</v>
      </c>
      <c r="H12">
        <v>184825</v>
      </c>
      <c r="I12">
        <v>2503891</v>
      </c>
    </row>
    <row r="13" spans="2:9" x14ac:dyDescent="0.25">
      <c r="B13">
        <v>1001</v>
      </c>
      <c r="C13">
        <v>5001</v>
      </c>
      <c r="D13">
        <v>1107064834</v>
      </c>
      <c r="E13" t="s">
        <v>1148</v>
      </c>
      <c r="F13">
        <v>73051506</v>
      </c>
      <c r="G13" t="s">
        <v>1069</v>
      </c>
      <c r="H13">
        <v>55208</v>
      </c>
      <c r="I13">
        <v>616378</v>
      </c>
    </row>
    <row r="14" spans="2:9" x14ac:dyDescent="0.25">
      <c r="B14">
        <v>1001</v>
      </c>
      <c r="C14">
        <v>5001</v>
      </c>
      <c r="D14">
        <v>1107064834</v>
      </c>
      <c r="E14" t="s">
        <v>1148</v>
      </c>
      <c r="F14">
        <v>73051506</v>
      </c>
      <c r="G14" t="s">
        <v>1069</v>
      </c>
      <c r="H14">
        <v>51656</v>
      </c>
      <c r="I14">
        <v>616378</v>
      </c>
    </row>
    <row r="15" spans="2:9" x14ac:dyDescent="0.25">
      <c r="B15">
        <v>1001</v>
      </c>
      <c r="C15">
        <v>5001</v>
      </c>
      <c r="D15">
        <v>1107064834</v>
      </c>
      <c r="E15" t="s">
        <v>1148</v>
      </c>
      <c r="F15">
        <v>73051506</v>
      </c>
      <c r="G15" t="s">
        <v>1069</v>
      </c>
      <c r="H15">
        <v>72393</v>
      </c>
      <c r="I15">
        <v>616378</v>
      </c>
    </row>
    <row r="16" spans="2:9" x14ac:dyDescent="0.25">
      <c r="B16">
        <v>1001</v>
      </c>
      <c r="C16">
        <v>5001</v>
      </c>
      <c r="D16">
        <v>1107064834</v>
      </c>
      <c r="E16" t="s">
        <v>1148</v>
      </c>
      <c r="F16">
        <v>73051506</v>
      </c>
      <c r="G16" t="s">
        <v>1069</v>
      </c>
      <c r="H16">
        <v>75555</v>
      </c>
      <c r="I16">
        <v>616378</v>
      </c>
    </row>
    <row r="17" spans="2:9" x14ac:dyDescent="0.25">
      <c r="B17">
        <v>1001</v>
      </c>
      <c r="C17">
        <v>5001</v>
      </c>
      <c r="D17">
        <v>1107064834</v>
      </c>
      <c r="E17" t="s">
        <v>1148</v>
      </c>
      <c r="F17">
        <v>73051506</v>
      </c>
      <c r="G17" t="s">
        <v>1069</v>
      </c>
      <c r="H17">
        <v>80840</v>
      </c>
      <c r="I17">
        <v>616378</v>
      </c>
    </row>
    <row r="18" spans="2:9" x14ac:dyDescent="0.25">
      <c r="B18">
        <v>1001</v>
      </c>
      <c r="C18">
        <v>5001</v>
      </c>
      <c r="D18">
        <v>1107064834</v>
      </c>
      <c r="E18" t="s">
        <v>1148</v>
      </c>
      <c r="F18">
        <v>73051506</v>
      </c>
      <c r="G18" t="s">
        <v>1069</v>
      </c>
      <c r="H18">
        <v>82812</v>
      </c>
      <c r="I18">
        <v>616378</v>
      </c>
    </row>
    <row r="19" spans="2:9" x14ac:dyDescent="0.25">
      <c r="B19">
        <v>1001</v>
      </c>
      <c r="C19">
        <v>5001</v>
      </c>
      <c r="D19">
        <v>1107064834</v>
      </c>
      <c r="E19" t="s">
        <v>1148</v>
      </c>
      <c r="F19">
        <v>73051506</v>
      </c>
      <c r="G19" t="s">
        <v>1069</v>
      </c>
      <c r="H19">
        <v>82812</v>
      </c>
      <c r="I19">
        <v>616378</v>
      </c>
    </row>
    <row r="20" spans="2:9" x14ac:dyDescent="0.25">
      <c r="B20">
        <v>1001</v>
      </c>
      <c r="C20">
        <v>5001</v>
      </c>
      <c r="D20">
        <v>1107064834</v>
      </c>
      <c r="E20" t="s">
        <v>1148</v>
      </c>
      <c r="F20">
        <v>73051506</v>
      </c>
      <c r="G20" t="s">
        <v>1069</v>
      </c>
      <c r="H20">
        <v>82812</v>
      </c>
      <c r="I20">
        <v>616378</v>
      </c>
    </row>
    <row r="21" spans="2:9" x14ac:dyDescent="0.25">
      <c r="B21">
        <v>1001</v>
      </c>
      <c r="C21">
        <v>5001</v>
      </c>
      <c r="D21">
        <v>1107064834</v>
      </c>
      <c r="E21" t="s">
        <v>1148</v>
      </c>
      <c r="F21">
        <v>73051506</v>
      </c>
      <c r="G21" t="s">
        <v>1069</v>
      </c>
      <c r="H21">
        <v>32290</v>
      </c>
      <c r="I21">
        <v>616378</v>
      </c>
    </row>
    <row r="22" spans="2:9" x14ac:dyDescent="0.25">
      <c r="B22">
        <v>1001</v>
      </c>
      <c r="C22">
        <v>5001</v>
      </c>
      <c r="D22">
        <v>1107064834</v>
      </c>
      <c r="E22" t="s">
        <v>1148</v>
      </c>
      <c r="F22">
        <v>73052701</v>
      </c>
      <c r="G22" t="s">
        <v>1071</v>
      </c>
      <c r="H22">
        <v>45282</v>
      </c>
      <c r="I22">
        <v>388131</v>
      </c>
    </row>
    <row r="23" spans="2:9" x14ac:dyDescent="0.25">
      <c r="B23">
        <v>1001</v>
      </c>
      <c r="C23">
        <v>5001</v>
      </c>
      <c r="D23">
        <v>1107064834</v>
      </c>
      <c r="E23" t="s">
        <v>1148</v>
      </c>
      <c r="F23">
        <v>73052701</v>
      </c>
      <c r="G23" t="s">
        <v>1071</v>
      </c>
      <c r="H23">
        <v>45282</v>
      </c>
      <c r="I23">
        <v>388131</v>
      </c>
    </row>
    <row r="24" spans="2:9" x14ac:dyDescent="0.25">
      <c r="B24">
        <v>1001</v>
      </c>
      <c r="C24">
        <v>5001</v>
      </c>
      <c r="D24">
        <v>1107064834</v>
      </c>
      <c r="E24" t="s">
        <v>1148</v>
      </c>
      <c r="F24">
        <v>73052701</v>
      </c>
      <c r="G24" t="s">
        <v>1071</v>
      </c>
      <c r="H24">
        <v>45282</v>
      </c>
      <c r="I24">
        <v>388131</v>
      </c>
    </row>
    <row r="25" spans="2:9" x14ac:dyDescent="0.25">
      <c r="B25">
        <v>1001</v>
      </c>
      <c r="C25">
        <v>5001</v>
      </c>
      <c r="D25">
        <v>1107064834</v>
      </c>
      <c r="E25" t="s">
        <v>1148</v>
      </c>
      <c r="F25">
        <v>73052701</v>
      </c>
      <c r="G25" t="s">
        <v>1071</v>
      </c>
      <c r="H25">
        <v>45282</v>
      </c>
      <c r="I25">
        <v>388131</v>
      </c>
    </row>
    <row r="26" spans="2:9" x14ac:dyDescent="0.25">
      <c r="B26">
        <v>1001</v>
      </c>
      <c r="C26">
        <v>5001</v>
      </c>
      <c r="D26">
        <v>1107064834</v>
      </c>
      <c r="E26" t="s">
        <v>1148</v>
      </c>
      <c r="F26">
        <v>73052701</v>
      </c>
      <c r="G26" t="s">
        <v>1071</v>
      </c>
      <c r="H26">
        <v>45282</v>
      </c>
      <c r="I26">
        <v>388131</v>
      </c>
    </row>
    <row r="27" spans="2:9" x14ac:dyDescent="0.25">
      <c r="B27">
        <v>1001</v>
      </c>
      <c r="C27">
        <v>5001</v>
      </c>
      <c r="D27">
        <v>1107064834</v>
      </c>
      <c r="E27" t="s">
        <v>1148</v>
      </c>
      <c r="F27">
        <v>73052701</v>
      </c>
      <c r="G27" t="s">
        <v>1071</v>
      </c>
      <c r="H27">
        <v>45282</v>
      </c>
      <c r="I27">
        <v>388131</v>
      </c>
    </row>
    <row r="28" spans="2:9" x14ac:dyDescent="0.25">
      <c r="B28">
        <v>1001</v>
      </c>
      <c r="C28">
        <v>5001</v>
      </c>
      <c r="D28">
        <v>1107064834</v>
      </c>
      <c r="E28" t="s">
        <v>1148</v>
      </c>
      <c r="F28">
        <v>73052701</v>
      </c>
      <c r="G28" t="s">
        <v>1071</v>
      </c>
      <c r="H28">
        <v>45282</v>
      </c>
      <c r="I28">
        <v>388131</v>
      </c>
    </row>
    <row r="29" spans="2:9" x14ac:dyDescent="0.25">
      <c r="B29">
        <v>1001</v>
      </c>
      <c r="C29">
        <v>5001</v>
      </c>
      <c r="D29">
        <v>1107064834</v>
      </c>
      <c r="E29" t="s">
        <v>1148</v>
      </c>
      <c r="F29">
        <v>73052701</v>
      </c>
      <c r="G29" t="s">
        <v>1071</v>
      </c>
      <c r="H29">
        <v>45282</v>
      </c>
      <c r="I29">
        <v>388131</v>
      </c>
    </row>
    <row r="30" spans="2:9" x14ac:dyDescent="0.25">
      <c r="B30">
        <v>1001</v>
      </c>
      <c r="C30">
        <v>5001</v>
      </c>
      <c r="D30">
        <v>1107064834</v>
      </c>
      <c r="E30" t="s">
        <v>1148</v>
      </c>
      <c r="F30">
        <v>73052701</v>
      </c>
      <c r="G30" t="s">
        <v>1071</v>
      </c>
      <c r="H30">
        <v>25875</v>
      </c>
      <c r="I30">
        <v>388131</v>
      </c>
    </row>
    <row r="31" spans="2:9" x14ac:dyDescent="0.25">
      <c r="B31">
        <v>1001</v>
      </c>
      <c r="C31">
        <v>5001</v>
      </c>
      <c r="D31">
        <v>1107064834</v>
      </c>
      <c r="E31" t="s">
        <v>1148</v>
      </c>
      <c r="F31">
        <v>73053601</v>
      </c>
      <c r="G31" t="s">
        <v>1072</v>
      </c>
      <c r="H31">
        <v>64376</v>
      </c>
      <c r="I31">
        <v>64376</v>
      </c>
    </row>
    <row r="32" spans="2:9" x14ac:dyDescent="0.25">
      <c r="B32">
        <v>1001</v>
      </c>
      <c r="C32">
        <v>5001</v>
      </c>
      <c r="D32">
        <v>1107510371</v>
      </c>
      <c r="E32" t="s">
        <v>1389</v>
      </c>
      <c r="F32">
        <v>73050501</v>
      </c>
      <c r="G32" t="s">
        <v>1066</v>
      </c>
      <c r="H32">
        <v>249678</v>
      </c>
      <c r="I32">
        <v>747567</v>
      </c>
    </row>
    <row r="33" spans="2:9" x14ac:dyDescent="0.25">
      <c r="B33">
        <v>1001</v>
      </c>
      <c r="C33">
        <v>5001</v>
      </c>
      <c r="D33">
        <v>1107510371</v>
      </c>
      <c r="E33" t="s">
        <v>1389</v>
      </c>
      <c r="F33">
        <v>73050501</v>
      </c>
      <c r="G33" t="s">
        <v>1066</v>
      </c>
      <c r="H33">
        <v>279977</v>
      </c>
      <c r="I33">
        <v>747567</v>
      </c>
    </row>
    <row r="34" spans="2:9" x14ac:dyDescent="0.25">
      <c r="B34">
        <v>1001</v>
      </c>
      <c r="C34">
        <v>5001</v>
      </c>
      <c r="D34">
        <v>1107510371</v>
      </c>
      <c r="E34" t="s">
        <v>1389</v>
      </c>
      <c r="F34">
        <v>73050501</v>
      </c>
      <c r="G34" t="s">
        <v>1066</v>
      </c>
      <c r="H34">
        <v>204315</v>
      </c>
      <c r="I34">
        <v>747567</v>
      </c>
    </row>
    <row r="35" spans="2:9" x14ac:dyDescent="0.25">
      <c r="B35">
        <v>1001</v>
      </c>
      <c r="C35">
        <v>5001</v>
      </c>
      <c r="D35">
        <v>1107510371</v>
      </c>
      <c r="E35" t="s">
        <v>1389</v>
      </c>
      <c r="F35">
        <v>73050501</v>
      </c>
      <c r="G35" t="s">
        <v>1066</v>
      </c>
      <c r="H35">
        <v>13597</v>
      </c>
      <c r="I35">
        <v>747567</v>
      </c>
    </row>
    <row r="36" spans="2:9" x14ac:dyDescent="0.25">
      <c r="B36">
        <v>1001</v>
      </c>
      <c r="C36">
        <v>5001</v>
      </c>
      <c r="D36">
        <v>1107510371</v>
      </c>
      <c r="E36" t="s">
        <v>1389</v>
      </c>
      <c r="F36">
        <v>73051501</v>
      </c>
      <c r="G36" t="s">
        <v>1067</v>
      </c>
      <c r="H36">
        <v>2309</v>
      </c>
      <c r="I36">
        <v>2309</v>
      </c>
    </row>
    <row r="37" spans="2:9" x14ac:dyDescent="0.25">
      <c r="B37">
        <v>1001</v>
      </c>
      <c r="C37">
        <v>5001</v>
      </c>
      <c r="D37">
        <v>1107510371</v>
      </c>
      <c r="E37" t="s">
        <v>1389</v>
      </c>
      <c r="F37">
        <v>73051506</v>
      </c>
      <c r="G37" t="s">
        <v>1069</v>
      </c>
      <c r="H37">
        <v>41613</v>
      </c>
      <c r="I37">
        <v>124594</v>
      </c>
    </row>
    <row r="38" spans="2:9" x14ac:dyDescent="0.25">
      <c r="B38">
        <v>1001</v>
      </c>
      <c r="C38">
        <v>5001</v>
      </c>
      <c r="D38">
        <v>1107510371</v>
      </c>
      <c r="E38" t="s">
        <v>1389</v>
      </c>
      <c r="F38">
        <v>73051506</v>
      </c>
      <c r="G38" t="s">
        <v>1069</v>
      </c>
      <c r="H38">
        <v>46663</v>
      </c>
      <c r="I38">
        <v>124594</v>
      </c>
    </row>
    <row r="39" spans="2:9" x14ac:dyDescent="0.25">
      <c r="B39">
        <v>1001</v>
      </c>
      <c r="C39">
        <v>5001</v>
      </c>
      <c r="D39">
        <v>1107510371</v>
      </c>
      <c r="E39" t="s">
        <v>1389</v>
      </c>
      <c r="F39">
        <v>73051506</v>
      </c>
      <c r="G39" t="s">
        <v>1069</v>
      </c>
      <c r="H39">
        <v>34052</v>
      </c>
      <c r="I39">
        <v>124594</v>
      </c>
    </row>
    <row r="40" spans="2:9" x14ac:dyDescent="0.25">
      <c r="B40">
        <v>1001</v>
      </c>
      <c r="C40">
        <v>5001</v>
      </c>
      <c r="D40">
        <v>1107510371</v>
      </c>
      <c r="E40" t="s">
        <v>1389</v>
      </c>
      <c r="F40">
        <v>73051506</v>
      </c>
      <c r="G40" t="s">
        <v>1069</v>
      </c>
      <c r="H40">
        <v>2266</v>
      </c>
      <c r="I40">
        <v>124594</v>
      </c>
    </row>
    <row r="41" spans="2:9" x14ac:dyDescent="0.25">
      <c r="B41">
        <v>1001</v>
      </c>
      <c r="C41">
        <v>5001</v>
      </c>
      <c r="D41">
        <v>1107510371</v>
      </c>
      <c r="E41" t="s">
        <v>1389</v>
      </c>
      <c r="F41">
        <v>73052701</v>
      </c>
      <c r="G41" t="s">
        <v>1071</v>
      </c>
      <c r="H41">
        <v>32344</v>
      </c>
      <c r="I41">
        <v>126142</v>
      </c>
    </row>
    <row r="42" spans="2:9" x14ac:dyDescent="0.25">
      <c r="B42">
        <v>1001</v>
      </c>
      <c r="C42">
        <v>5001</v>
      </c>
      <c r="D42">
        <v>1107510371</v>
      </c>
      <c r="E42" t="s">
        <v>1389</v>
      </c>
      <c r="F42">
        <v>73052701</v>
      </c>
      <c r="G42" t="s">
        <v>1071</v>
      </c>
      <c r="H42">
        <v>45282</v>
      </c>
      <c r="I42">
        <v>126142</v>
      </c>
    </row>
    <row r="43" spans="2:9" x14ac:dyDescent="0.25">
      <c r="B43">
        <v>1001</v>
      </c>
      <c r="C43">
        <v>5001</v>
      </c>
      <c r="D43">
        <v>1107510371</v>
      </c>
      <c r="E43" t="s">
        <v>1389</v>
      </c>
      <c r="F43">
        <v>73052701</v>
      </c>
      <c r="G43" t="s">
        <v>1071</v>
      </c>
      <c r="H43">
        <v>45282</v>
      </c>
      <c r="I43">
        <v>126142</v>
      </c>
    </row>
    <row r="44" spans="2:9" x14ac:dyDescent="0.25">
      <c r="B44">
        <v>1001</v>
      </c>
      <c r="C44">
        <v>5001</v>
      </c>
      <c r="D44">
        <v>1107510371</v>
      </c>
      <c r="E44" t="s">
        <v>1389</v>
      </c>
      <c r="F44">
        <v>73052701</v>
      </c>
      <c r="G44" t="s">
        <v>1071</v>
      </c>
      <c r="H44">
        <v>3234</v>
      </c>
      <c r="I44">
        <v>126142</v>
      </c>
    </row>
    <row r="45" spans="2:9" x14ac:dyDescent="0.25">
      <c r="B45">
        <v>1001</v>
      </c>
      <c r="C45">
        <v>5001</v>
      </c>
      <c r="D45">
        <v>1107526039</v>
      </c>
      <c r="E45" t="s">
        <v>1152</v>
      </c>
      <c r="F45">
        <v>73050501</v>
      </c>
      <c r="G45" t="s">
        <v>1066</v>
      </c>
      <c r="H45">
        <v>403994</v>
      </c>
      <c r="I45">
        <v>6250268</v>
      </c>
    </row>
    <row r="46" spans="2:9" x14ac:dyDescent="0.25">
      <c r="B46">
        <v>1001</v>
      </c>
      <c r="C46">
        <v>5001</v>
      </c>
      <c r="D46">
        <v>1107526039</v>
      </c>
      <c r="E46" t="s">
        <v>1152</v>
      </c>
      <c r="F46">
        <v>73050501</v>
      </c>
      <c r="G46" t="s">
        <v>1066</v>
      </c>
      <c r="H46">
        <v>327132</v>
      </c>
      <c r="I46">
        <v>6250268</v>
      </c>
    </row>
    <row r="47" spans="2:9" x14ac:dyDescent="0.25">
      <c r="B47">
        <v>1001</v>
      </c>
      <c r="C47">
        <v>5001</v>
      </c>
      <c r="D47">
        <v>1107526039</v>
      </c>
      <c r="E47" t="s">
        <v>1152</v>
      </c>
      <c r="F47">
        <v>73050501</v>
      </c>
      <c r="G47" t="s">
        <v>1066</v>
      </c>
      <c r="H47">
        <v>313153</v>
      </c>
      <c r="I47">
        <v>6250268</v>
      </c>
    </row>
    <row r="48" spans="2:9" x14ac:dyDescent="0.25">
      <c r="B48">
        <v>1001</v>
      </c>
      <c r="C48">
        <v>5001</v>
      </c>
      <c r="D48">
        <v>1107526039</v>
      </c>
      <c r="E48" t="s">
        <v>1152</v>
      </c>
      <c r="F48">
        <v>73050501</v>
      </c>
      <c r="G48" t="s">
        <v>1066</v>
      </c>
      <c r="H48">
        <v>275150</v>
      </c>
      <c r="I48">
        <v>6250268</v>
      </c>
    </row>
    <row r="49" spans="2:9" x14ac:dyDescent="0.25">
      <c r="B49">
        <v>1001</v>
      </c>
      <c r="C49">
        <v>5001</v>
      </c>
      <c r="D49">
        <v>1107526039</v>
      </c>
      <c r="E49" t="s">
        <v>1152</v>
      </c>
      <c r="F49">
        <v>73050501</v>
      </c>
      <c r="G49" t="s">
        <v>1066</v>
      </c>
      <c r="H49">
        <v>234011</v>
      </c>
      <c r="I49">
        <v>6250268</v>
      </c>
    </row>
    <row r="50" spans="2:9" x14ac:dyDescent="0.25">
      <c r="B50">
        <v>1001</v>
      </c>
      <c r="C50">
        <v>5001</v>
      </c>
      <c r="D50">
        <v>1107526039</v>
      </c>
      <c r="E50" t="s">
        <v>1152</v>
      </c>
      <c r="F50">
        <v>73050501</v>
      </c>
      <c r="G50" t="s">
        <v>1066</v>
      </c>
      <c r="H50">
        <v>302568</v>
      </c>
      <c r="I50">
        <v>6250268</v>
      </c>
    </row>
    <row r="51" spans="2:9" x14ac:dyDescent="0.25">
      <c r="B51">
        <v>1001</v>
      </c>
      <c r="C51">
        <v>5001</v>
      </c>
      <c r="D51">
        <v>1107526039</v>
      </c>
      <c r="E51" t="s">
        <v>1152</v>
      </c>
      <c r="F51">
        <v>73050501</v>
      </c>
      <c r="G51" t="s">
        <v>1066</v>
      </c>
      <c r="H51">
        <v>326298</v>
      </c>
      <c r="I51">
        <v>6250268</v>
      </c>
    </row>
    <row r="52" spans="2:9" x14ac:dyDescent="0.25">
      <c r="B52">
        <v>1001</v>
      </c>
      <c r="C52">
        <v>5001</v>
      </c>
      <c r="D52">
        <v>1107526039</v>
      </c>
      <c r="E52" t="s">
        <v>1152</v>
      </c>
      <c r="F52">
        <v>73050501</v>
      </c>
      <c r="G52" t="s">
        <v>1066</v>
      </c>
      <c r="H52">
        <v>326999</v>
      </c>
      <c r="I52">
        <v>6250268</v>
      </c>
    </row>
    <row r="53" spans="2:9" x14ac:dyDescent="0.25">
      <c r="B53">
        <v>1001</v>
      </c>
      <c r="C53">
        <v>5001</v>
      </c>
      <c r="D53">
        <v>1107526039</v>
      </c>
      <c r="E53" t="s">
        <v>1152</v>
      </c>
      <c r="F53">
        <v>73050501</v>
      </c>
      <c r="G53" t="s">
        <v>1066</v>
      </c>
      <c r="H53">
        <v>300361</v>
      </c>
      <c r="I53">
        <v>6250268</v>
      </c>
    </row>
    <row r="54" spans="2:9" x14ac:dyDescent="0.25">
      <c r="B54">
        <v>1001</v>
      </c>
      <c r="C54">
        <v>5001</v>
      </c>
      <c r="D54">
        <v>1107526039</v>
      </c>
      <c r="E54" t="s">
        <v>1152</v>
      </c>
      <c r="F54">
        <v>73050501</v>
      </c>
      <c r="G54" t="s">
        <v>1066</v>
      </c>
      <c r="H54">
        <v>284324</v>
      </c>
      <c r="I54">
        <v>6250268</v>
      </c>
    </row>
    <row r="55" spans="2:9" x14ac:dyDescent="0.25">
      <c r="B55">
        <v>1001</v>
      </c>
      <c r="C55">
        <v>5001</v>
      </c>
      <c r="D55">
        <v>1107526039</v>
      </c>
      <c r="E55" t="s">
        <v>1152</v>
      </c>
      <c r="F55">
        <v>73050501</v>
      </c>
      <c r="G55" t="s">
        <v>1066</v>
      </c>
      <c r="H55">
        <v>296609</v>
      </c>
      <c r="I55">
        <v>6250268</v>
      </c>
    </row>
    <row r="56" spans="2:9" x14ac:dyDescent="0.25">
      <c r="B56">
        <v>1001</v>
      </c>
      <c r="C56">
        <v>5001</v>
      </c>
      <c r="D56">
        <v>1107526039</v>
      </c>
      <c r="E56" t="s">
        <v>1152</v>
      </c>
      <c r="F56">
        <v>73050501</v>
      </c>
      <c r="G56" t="s">
        <v>1066</v>
      </c>
      <c r="H56">
        <v>293834</v>
      </c>
      <c r="I56">
        <v>6250268</v>
      </c>
    </row>
    <row r="57" spans="2:9" x14ac:dyDescent="0.25">
      <c r="B57">
        <v>1001</v>
      </c>
      <c r="C57">
        <v>5001</v>
      </c>
      <c r="D57">
        <v>1107526039</v>
      </c>
      <c r="E57" t="s">
        <v>1152</v>
      </c>
      <c r="F57">
        <v>73050501</v>
      </c>
      <c r="G57" t="s">
        <v>1066</v>
      </c>
      <c r="H57">
        <v>213410</v>
      </c>
      <c r="I57">
        <v>6250268</v>
      </c>
    </row>
    <row r="58" spans="2:9" x14ac:dyDescent="0.25">
      <c r="B58">
        <v>1001</v>
      </c>
      <c r="C58">
        <v>5001</v>
      </c>
      <c r="D58">
        <v>1107526039</v>
      </c>
      <c r="E58" t="s">
        <v>1152</v>
      </c>
      <c r="F58">
        <v>73050501</v>
      </c>
      <c r="G58" t="s">
        <v>1066</v>
      </c>
      <c r="H58">
        <v>318015</v>
      </c>
      <c r="I58">
        <v>6250268</v>
      </c>
    </row>
    <row r="59" spans="2:9" x14ac:dyDescent="0.25">
      <c r="B59">
        <v>1001</v>
      </c>
      <c r="C59">
        <v>5001</v>
      </c>
      <c r="D59">
        <v>1107526039</v>
      </c>
      <c r="E59" t="s">
        <v>1152</v>
      </c>
      <c r="F59">
        <v>73050501</v>
      </c>
      <c r="G59" t="s">
        <v>1066</v>
      </c>
      <c r="H59">
        <v>309281</v>
      </c>
      <c r="I59">
        <v>6250268</v>
      </c>
    </row>
    <row r="60" spans="2:9" x14ac:dyDescent="0.25">
      <c r="B60">
        <v>1001</v>
      </c>
      <c r="C60">
        <v>5001</v>
      </c>
      <c r="D60">
        <v>1107526039</v>
      </c>
      <c r="E60" t="s">
        <v>1152</v>
      </c>
      <c r="F60">
        <v>73050501</v>
      </c>
      <c r="G60" t="s">
        <v>1066</v>
      </c>
      <c r="H60">
        <v>315212</v>
      </c>
      <c r="I60">
        <v>6250268</v>
      </c>
    </row>
    <row r="61" spans="2:9" x14ac:dyDescent="0.25">
      <c r="B61">
        <v>1001</v>
      </c>
      <c r="C61">
        <v>5001</v>
      </c>
      <c r="D61">
        <v>1107526039</v>
      </c>
      <c r="E61" t="s">
        <v>1152</v>
      </c>
      <c r="F61">
        <v>73050501</v>
      </c>
      <c r="G61" t="s">
        <v>1066</v>
      </c>
      <c r="H61">
        <v>293597</v>
      </c>
      <c r="I61">
        <v>6250268</v>
      </c>
    </row>
    <row r="62" spans="2:9" x14ac:dyDescent="0.25">
      <c r="B62">
        <v>1001</v>
      </c>
      <c r="C62">
        <v>5001</v>
      </c>
      <c r="D62">
        <v>1107526039</v>
      </c>
      <c r="E62" t="s">
        <v>1152</v>
      </c>
      <c r="F62">
        <v>73050501</v>
      </c>
      <c r="G62" t="s">
        <v>1066</v>
      </c>
      <c r="H62">
        <v>290706</v>
      </c>
      <c r="I62">
        <v>6250268</v>
      </c>
    </row>
    <row r="63" spans="2:9" x14ac:dyDescent="0.25">
      <c r="B63">
        <v>1001</v>
      </c>
      <c r="C63">
        <v>5001</v>
      </c>
      <c r="D63">
        <v>1107526039</v>
      </c>
      <c r="E63" t="s">
        <v>1152</v>
      </c>
      <c r="F63">
        <v>73050501</v>
      </c>
      <c r="G63" t="s">
        <v>1066</v>
      </c>
      <c r="H63">
        <v>269857</v>
      </c>
      <c r="I63">
        <v>6250268</v>
      </c>
    </row>
    <row r="64" spans="2:9" x14ac:dyDescent="0.25">
      <c r="B64">
        <v>1001</v>
      </c>
      <c r="C64">
        <v>5001</v>
      </c>
      <c r="D64">
        <v>1107526039</v>
      </c>
      <c r="E64" t="s">
        <v>1152</v>
      </c>
      <c r="F64">
        <v>73050501</v>
      </c>
      <c r="G64" t="s">
        <v>1066</v>
      </c>
      <c r="H64">
        <v>261365</v>
      </c>
      <c r="I64">
        <v>6250268</v>
      </c>
    </row>
    <row r="65" spans="2:9" x14ac:dyDescent="0.25">
      <c r="B65">
        <v>1001</v>
      </c>
      <c r="C65">
        <v>5001</v>
      </c>
      <c r="D65">
        <v>1107526039</v>
      </c>
      <c r="E65" t="s">
        <v>1152</v>
      </c>
      <c r="F65">
        <v>73050501</v>
      </c>
      <c r="G65" t="s">
        <v>1066</v>
      </c>
      <c r="H65">
        <v>294392</v>
      </c>
      <c r="I65">
        <v>6250268</v>
      </c>
    </row>
    <row r="66" spans="2:9" x14ac:dyDescent="0.25">
      <c r="B66">
        <v>1001</v>
      </c>
      <c r="C66">
        <v>5001</v>
      </c>
      <c r="D66">
        <v>1107526039</v>
      </c>
      <c r="E66" t="s">
        <v>1152</v>
      </c>
      <c r="F66">
        <v>73051501</v>
      </c>
      <c r="G66" t="s">
        <v>1067</v>
      </c>
      <c r="H66">
        <v>4034</v>
      </c>
      <c r="I66">
        <v>14999</v>
      </c>
    </row>
    <row r="67" spans="2:9" x14ac:dyDescent="0.25">
      <c r="B67">
        <v>1001</v>
      </c>
      <c r="C67">
        <v>5001</v>
      </c>
      <c r="D67">
        <v>1107526039</v>
      </c>
      <c r="E67" t="s">
        <v>1152</v>
      </c>
      <c r="F67">
        <v>73051501</v>
      </c>
      <c r="G67" t="s">
        <v>1067</v>
      </c>
      <c r="H67">
        <v>640</v>
      </c>
      <c r="I67">
        <v>14999</v>
      </c>
    </row>
    <row r="68" spans="2:9" x14ac:dyDescent="0.25">
      <c r="B68">
        <v>1001</v>
      </c>
      <c r="C68">
        <v>5001</v>
      </c>
      <c r="D68">
        <v>1107526039</v>
      </c>
      <c r="E68" t="s">
        <v>1152</v>
      </c>
      <c r="F68">
        <v>73051501</v>
      </c>
      <c r="G68" t="s">
        <v>1067</v>
      </c>
      <c r="H68">
        <v>2642</v>
      </c>
      <c r="I68">
        <v>14999</v>
      </c>
    </row>
    <row r="69" spans="2:9" x14ac:dyDescent="0.25">
      <c r="B69">
        <v>1001</v>
      </c>
      <c r="C69">
        <v>5001</v>
      </c>
      <c r="D69">
        <v>1107526039</v>
      </c>
      <c r="E69" t="s">
        <v>1152</v>
      </c>
      <c r="F69">
        <v>73051501</v>
      </c>
      <c r="G69" t="s">
        <v>1067</v>
      </c>
      <c r="H69">
        <v>7683</v>
      </c>
      <c r="I69">
        <v>14999</v>
      </c>
    </row>
    <row r="70" spans="2:9" x14ac:dyDescent="0.25">
      <c r="B70">
        <v>1001</v>
      </c>
      <c r="C70">
        <v>5001</v>
      </c>
      <c r="D70">
        <v>1107526039</v>
      </c>
      <c r="E70" t="s">
        <v>1152</v>
      </c>
      <c r="F70">
        <v>73051503</v>
      </c>
      <c r="G70" t="s">
        <v>1068</v>
      </c>
      <c r="H70">
        <v>42357</v>
      </c>
      <c r="I70">
        <v>42357</v>
      </c>
    </row>
    <row r="71" spans="2:9" x14ac:dyDescent="0.25">
      <c r="B71">
        <v>1001</v>
      </c>
      <c r="C71">
        <v>5001</v>
      </c>
      <c r="D71">
        <v>1107526039</v>
      </c>
      <c r="E71" t="s">
        <v>1152</v>
      </c>
      <c r="F71">
        <v>73051506</v>
      </c>
      <c r="G71" t="s">
        <v>1069</v>
      </c>
      <c r="H71">
        <v>69158</v>
      </c>
      <c r="I71">
        <v>1466908</v>
      </c>
    </row>
    <row r="72" spans="2:9" x14ac:dyDescent="0.25">
      <c r="B72">
        <v>1001</v>
      </c>
      <c r="C72">
        <v>5001</v>
      </c>
      <c r="D72">
        <v>1107526039</v>
      </c>
      <c r="E72" t="s">
        <v>1152</v>
      </c>
      <c r="F72">
        <v>73051506</v>
      </c>
      <c r="G72" t="s">
        <v>1069</v>
      </c>
      <c r="H72">
        <v>55208</v>
      </c>
      <c r="I72">
        <v>1466908</v>
      </c>
    </row>
    <row r="73" spans="2:9" x14ac:dyDescent="0.25">
      <c r="B73">
        <v>1001</v>
      </c>
      <c r="C73">
        <v>5001</v>
      </c>
      <c r="D73">
        <v>1107526039</v>
      </c>
      <c r="E73" t="s">
        <v>1152</v>
      </c>
      <c r="F73">
        <v>73051506</v>
      </c>
      <c r="G73" t="s">
        <v>1069</v>
      </c>
      <c r="H73">
        <v>55208</v>
      </c>
      <c r="I73">
        <v>1466908</v>
      </c>
    </row>
    <row r="74" spans="2:9" x14ac:dyDescent="0.25">
      <c r="B74">
        <v>1001</v>
      </c>
      <c r="C74">
        <v>5001</v>
      </c>
      <c r="D74">
        <v>1107526039</v>
      </c>
      <c r="E74" t="s">
        <v>1152</v>
      </c>
      <c r="F74">
        <v>73051506</v>
      </c>
      <c r="G74" t="s">
        <v>1069</v>
      </c>
      <c r="H74">
        <v>82812</v>
      </c>
      <c r="I74">
        <v>1466908</v>
      </c>
    </row>
    <row r="75" spans="2:9" x14ac:dyDescent="0.25">
      <c r="B75">
        <v>1001</v>
      </c>
      <c r="C75">
        <v>5001</v>
      </c>
      <c r="D75">
        <v>1107526039</v>
      </c>
      <c r="E75" t="s">
        <v>1152</v>
      </c>
      <c r="F75">
        <v>73051506</v>
      </c>
      <c r="G75" t="s">
        <v>1069</v>
      </c>
      <c r="H75">
        <v>110415</v>
      </c>
      <c r="I75">
        <v>1466908</v>
      </c>
    </row>
    <row r="76" spans="2:9" x14ac:dyDescent="0.25">
      <c r="B76">
        <v>1001</v>
      </c>
      <c r="C76">
        <v>5001</v>
      </c>
      <c r="D76">
        <v>1107526039</v>
      </c>
      <c r="E76" t="s">
        <v>1152</v>
      </c>
      <c r="F76">
        <v>73051506</v>
      </c>
      <c r="G76" t="s">
        <v>1069</v>
      </c>
      <c r="H76">
        <v>82812</v>
      </c>
      <c r="I76">
        <v>1466908</v>
      </c>
    </row>
    <row r="77" spans="2:9" x14ac:dyDescent="0.25">
      <c r="B77">
        <v>1001</v>
      </c>
      <c r="C77">
        <v>5001</v>
      </c>
      <c r="D77">
        <v>1107526039</v>
      </c>
      <c r="E77" t="s">
        <v>1152</v>
      </c>
      <c r="F77">
        <v>73051506</v>
      </c>
      <c r="G77" t="s">
        <v>1069</v>
      </c>
      <c r="H77">
        <v>55208</v>
      </c>
      <c r="I77">
        <v>1466908</v>
      </c>
    </row>
    <row r="78" spans="2:9" x14ac:dyDescent="0.25">
      <c r="B78">
        <v>1001</v>
      </c>
      <c r="C78">
        <v>5001</v>
      </c>
      <c r="D78">
        <v>1107526039</v>
      </c>
      <c r="E78" t="s">
        <v>1152</v>
      </c>
      <c r="F78">
        <v>73051506</v>
      </c>
      <c r="G78" t="s">
        <v>1069</v>
      </c>
      <c r="H78">
        <v>55208</v>
      </c>
      <c r="I78">
        <v>1466908</v>
      </c>
    </row>
    <row r="79" spans="2:9" x14ac:dyDescent="0.25">
      <c r="B79">
        <v>1001</v>
      </c>
      <c r="C79">
        <v>5001</v>
      </c>
      <c r="D79">
        <v>1107526039</v>
      </c>
      <c r="E79" t="s">
        <v>1152</v>
      </c>
      <c r="F79">
        <v>73051506</v>
      </c>
      <c r="G79" t="s">
        <v>1069</v>
      </c>
      <c r="H79">
        <v>82812</v>
      </c>
      <c r="I79">
        <v>1466908</v>
      </c>
    </row>
    <row r="80" spans="2:9" x14ac:dyDescent="0.25">
      <c r="B80">
        <v>1001</v>
      </c>
      <c r="C80">
        <v>5001</v>
      </c>
      <c r="D80">
        <v>1107526039</v>
      </c>
      <c r="E80" t="s">
        <v>1152</v>
      </c>
      <c r="F80">
        <v>73051506</v>
      </c>
      <c r="G80" t="s">
        <v>1069</v>
      </c>
      <c r="H80">
        <v>82812</v>
      </c>
      <c r="I80">
        <v>1466908</v>
      </c>
    </row>
    <row r="81" spans="2:9" x14ac:dyDescent="0.25">
      <c r="B81">
        <v>1001</v>
      </c>
      <c r="C81">
        <v>5001</v>
      </c>
      <c r="D81">
        <v>1107526039</v>
      </c>
      <c r="E81" t="s">
        <v>1152</v>
      </c>
      <c r="F81">
        <v>73051506</v>
      </c>
      <c r="G81" t="s">
        <v>1069</v>
      </c>
      <c r="H81">
        <v>82812</v>
      </c>
      <c r="I81">
        <v>1466908</v>
      </c>
    </row>
    <row r="82" spans="2:9" x14ac:dyDescent="0.25">
      <c r="B82">
        <v>1001</v>
      </c>
      <c r="C82">
        <v>5001</v>
      </c>
      <c r="D82">
        <v>1107526039</v>
      </c>
      <c r="E82" t="s">
        <v>1152</v>
      </c>
      <c r="F82">
        <v>73051506</v>
      </c>
      <c r="G82" t="s">
        <v>1069</v>
      </c>
      <c r="H82">
        <v>82812</v>
      </c>
      <c r="I82">
        <v>1466908</v>
      </c>
    </row>
    <row r="83" spans="2:9" x14ac:dyDescent="0.25">
      <c r="B83">
        <v>1001</v>
      </c>
      <c r="C83">
        <v>5001</v>
      </c>
      <c r="D83">
        <v>1107526039</v>
      </c>
      <c r="E83" t="s">
        <v>1152</v>
      </c>
      <c r="F83">
        <v>73051506</v>
      </c>
      <c r="G83" t="s">
        <v>1069</v>
      </c>
      <c r="H83">
        <v>70787</v>
      </c>
      <c r="I83">
        <v>1466908</v>
      </c>
    </row>
    <row r="84" spans="2:9" x14ac:dyDescent="0.25">
      <c r="B84">
        <v>1001</v>
      </c>
      <c r="C84">
        <v>5001</v>
      </c>
      <c r="D84">
        <v>1107526039</v>
      </c>
      <c r="E84" t="s">
        <v>1152</v>
      </c>
      <c r="F84">
        <v>73051506</v>
      </c>
      <c r="G84" t="s">
        <v>1069</v>
      </c>
      <c r="H84">
        <v>54021</v>
      </c>
      <c r="I84">
        <v>1466908</v>
      </c>
    </row>
    <row r="85" spans="2:9" x14ac:dyDescent="0.25">
      <c r="B85">
        <v>1001</v>
      </c>
      <c r="C85">
        <v>5001</v>
      </c>
      <c r="D85">
        <v>1107526039</v>
      </c>
      <c r="E85" t="s">
        <v>1152</v>
      </c>
      <c r="F85">
        <v>73051506</v>
      </c>
      <c r="G85" t="s">
        <v>1069</v>
      </c>
      <c r="H85">
        <v>51547</v>
      </c>
      <c r="I85">
        <v>1466908</v>
      </c>
    </row>
    <row r="86" spans="2:9" x14ac:dyDescent="0.25">
      <c r="B86">
        <v>1001</v>
      </c>
      <c r="C86">
        <v>5001</v>
      </c>
      <c r="D86">
        <v>1107526039</v>
      </c>
      <c r="E86" t="s">
        <v>1152</v>
      </c>
      <c r="F86">
        <v>73051506</v>
      </c>
      <c r="G86" t="s">
        <v>1069</v>
      </c>
      <c r="H86">
        <v>52535</v>
      </c>
      <c r="I86">
        <v>1466908</v>
      </c>
    </row>
    <row r="87" spans="2:9" x14ac:dyDescent="0.25">
      <c r="B87">
        <v>1001</v>
      </c>
      <c r="C87">
        <v>5001</v>
      </c>
      <c r="D87">
        <v>1107526039</v>
      </c>
      <c r="E87" t="s">
        <v>1152</v>
      </c>
      <c r="F87">
        <v>73051506</v>
      </c>
      <c r="G87" t="s">
        <v>1069</v>
      </c>
      <c r="H87">
        <v>82812</v>
      </c>
      <c r="I87">
        <v>1466908</v>
      </c>
    </row>
    <row r="88" spans="2:9" x14ac:dyDescent="0.25">
      <c r="B88">
        <v>1001</v>
      </c>
      <c r="C88">
        <v>5001</v>
      </c>
      <c r="D88">
        <v>1107526039</v>
      </c>
      <c r="E88" t="s">
        <v>1152</v>
      </c>
      <c r="F88">
        <v>73051506</v>
      </c>
      <c r="G88" t="s">
        <v>1069</v>
      </c>
      <c r="H88">
        <v>49275</v>
      </c>
      <c r="I88">
        <v>1466908</v>
      </c>
    </row>
    <row r="89" spans="2:9" x14ac:dyDescent="0.25">
      <c r="B89">
        <v>1001</v>
      </c>
      <c r="C89">
        <v>5001</v>
      </c>
      <c r="D89">
        <v>1107526039</v>
      </c>
      <c r="E89" t="s">
        <v>1152</v>
      </c>
      <c r="F89">
        <v>73051506</v>
      </c>
      <c r="G89" t="s">
        <v>1069</v>
      </c>
      <c r="H89">
        <v>110415</v>
      </c>
      <c r="I89">
        <v>1466908</v>
      </c>
    </row>
    <row r="90" spans="2:9" x14ac:dyDescent="0.25">
      <c r="B90">
        <v>1001</v>
      </c>
      <c r="C90">
        <v>5001</v>
      </c>
      <c r="D90">
        <v>1107526039</v>
      </c>
      <c r="E90" t="s">
        <v>1152</v>
      </c>
      <c r="F90">
        <v>73051506</v>
      </c>
      <c r="G90" t="s">
        <v>1069</v>
      </c>
      <c r="H90">
        <v>49174</v>
      </c>
      <c r="I90">
        <v>1466908</v>
      </c>
    </row>
    <row r="91" spans="2:9" x14ac:dyDescent="0.25">
      <c r="B91">
        <v>1001</v>
      </c>
      <c r="C91">
        <v>5001</v>
      </c>
      <c r="D91">
        <v>1107526039</v>
      </c>
      <c r="E91" t="s">
        <v>1152</v>
      </c>
      <c r="F91">
        <v>73051506</v>
      </c>
      <c r="G91" t="s">
        <v>1069</v>
      </c>
      <c r="H91">
        <v>49065</v>
      </c>
      <c r="I91">
        <v>1466908</v>
      </c>
    </row>
    <row r="92" spans="2:9" x14ac:dyDescent="0.25">
      <c r="B92">
        <v>1001</v>
      </c>
      <c r="C92">
        <v>5001</v>
      </c>
      <c r="D92">
        <v>1107526039</v>
      </c>
      <c r="E92" t="s">
        <v>1152</v>
      </c>
      <c r="F92">
        <v>73052401</v>
      </c>
      <c r="G92" t="s">
        <v>1070</v>
      </c>
      <c r="H92">
        <v>27604</v>
      </c>
      <c r="I92">
        <v>27604</v>
      </c>
    </row>
    <row r="93" spans="2:9" x14ac:dyDescent="0.25">
      <c r="B93">
        <v>1001</v>
      </c>
      <c r="C93">
        <v>5001</v>
      </c>
      <c r="D93">
        <v>1107526039</v>
      </c>
      <c r="E93" t="s">
        <v>1152</v>
      </c>
      <c r="F93">
        <v>73052701</v>
      </c>
      <c r="G93" t="s">
        <v>1071</v>
      </c>
      <c r="H93">
        <v>19406</v>
      </c>
      <c r="I93">
        <v>905638</v>
      </c>
    </row>
    <row r="94" spans="2:9" x14ac:dyDescent="0.25">
      <c r="B94">
        <v>1001</v>
      </c>
      <c r="C94">
        <v>5001</v>
      </c>
      <c r="D94">
        <v>1107526039</v>
      </c>
      <c r="E94" t="s">
        <v>1152</v>
      </c>
      <c r="F94">
        <v>73052701</v>
      </c>
      <c r="G94" t="s">
        <v>1071</v>
      </c>
      <c r="H94">
        <v>45282</v>
      </c>
      <c r="I94">
        <v>905638</v>
      </c>
    </row>
    <row r="95" spans="2:9" x14ac:dyDescent="0.25">
      <c r="B95">
        <v>1001</v>
      </c>
      <c r="C95">
        <v>5001</v>
      </c>
      <c r="D95">
        <v>1107526039</v>
      </c>
      <c r="E95" t="s">
        <v>1152</v>
      </c>
      <c r="F95">
        <v>73052701</v>
      </c>
      <c r="G95" t="s">
        <v>1071</v>
      </c>
      <c r="H95">
        <v>45282</v>
      </c>
      <c r="I95">
        <v>905638</v>
      </c>
    </row>
    <row r="96" spans="2:9" x14ac:dyDescent="0.25">
      <c r="B96">
        <v>1001</v>
      </c>
      <c r="C96">
        <v>5001</v>
      </c>
      <c r="D96">
        <v>1107526039</v>
      </c>
      <c r="E96" t="s">
        <v>1152</v>
      </c>
      <c r="F96">
        <v>73052701</v>
      </c>
      <c r="G96" t="s">
        <v>1071</v>
      </c>
      <c r="H96">
        <v>45282</v>
      </c>
      <c r="I96">
        <v>905638</v>
      </c>
    </row>
    <row r="97" spans="2:9" x14ac:dyDescent="0.25">
      <c r="B97">
        <v>1001</v>
      </c>
      <c r="C97">
        <v>5001</v>
      </c>
      <c r="D97">
        <v>1107526039</v>
      </c>
      <c r="E97" t="s">
        <v>1152</v>
      </c>
      <c r="F97">
        <v>73052701</v>
      </c>
      <c r="G97" t="s">
        <v>1071</v>
      </c>
      <c r="H97">
        <v>45282</v>
      </c>
      <c r="I97">
        <v>905638</v>
      </c>
    </row>
    <row r="98" spans="2:9" x14ac:dyDescent="0.25">
      <c r="B98">
        <v>1001</v>
      </c>
      <c r="C98">
        <v>5001</v>
      </c>
      <c r="D98">
        <v>1107526039</v>
      </c>
      <c r="E98" t="s">
        <v>1152</v>
      </c>
      <c r="F98">
        <v>73052701</v>
      </c>
      <c r="G98" t="s">
        <v>1071</v>
      </c>
      <c r="H98">
        <v>45282</v>
      </c>
      <c r="I98">
        <v>905638</v>
      </c>
    </row>
    <row r="99" spans="2:9" x14ac:dyDescent="0.25">
      <c r="B99">
        <v>1001</v>
      </c>
      <c r="C99">
        <v>5001</v>
      </c>
      <c r="D99">
        <v>1107526039</v>
      </c>
      <c r="E99" t="s">
        <v>1152</v>
      </c>
      <c r="F99">
        <v>73052701</v>
      </c>
      <c r="G99" t="s">
        <v>1071</v>
      </c>
      <c r="H99">
        <v>45282</v>
      </c>
      <c r="I99">
        <v>905638</v>
      </c>
    </row>
    <row r="100" spans="2:9" x14ac:dyDescent="0.25">
      <c r="B100">
        <v>1001</v>
      </c>
      <c r="C100">
        <v>5001</v>
      </c>
      <c r="D100">
        <v>1107526039</v>
      </c>
      <c r="E100" t="s">
        <v>1152</v>
      </c>
      <c r="F100">
        <v>73052701</v>
      </c>
      <c r="G100" t="s">
        <v>1071</v>
      </c>
      <c r="H100">
        <v>45282</v>
      </c>
      <c r="I100">
        <v>905638</v>
      </c>
    </row>
    <row r="101" spans="2:9" x14ac:dyDescent="0.25">
      <c r="B101">
        <v>1001</v>
      </c>
      <c r="C101">
        <v>5001</v>
      </c>
      <c r="D101">
        <v>1107526039</v>
      </c>
      <c r="E101" t="s">
        <v>1152</v>
      </c>
      <c r="F101">
        <v>73052701</v>
      </c>
      <c r="G101" t="s">
        <v>1071</v>
      </c>
      <c r="H101">
        <v>45282</v>
      </c>
      <c r="I101">
        <v>905638</v>
      </c>
    </row>
    <row r="102" spans="2:9" x14ac:dyDescent="0.25">
      <c r="B102">
        <v>1001</v>
      </c>
      <c r="C102">
        <v>5001</v>
      </c>
      <c r="D102">
        <v>1107526039</v>
      </c>
      <c r="E102" t="s">
        <v>1152</v>
      </c>
      <c r="F102">
        <v>73052701</v>
      </c>
      <c r="G102" t="s">
        <v>1071</v>
      </c>
      <c r="H102">
        <v>45282</v>
      </c>
      <c r="I102">
        <v>905638</v>
      </c>
    </row>
    <row r="103" spans="2:9" x14ac:dyDescent="0.25">
      <c r="B103">
        <v>1001</v>
      </c>
      <c r="C103">
        <v>5001</v>
      </c>
      <c r="D103">
        <v>1107526039</v>
      </c>
      <c r="E103" t="s">
        <v>1152</v>
      </c>
      <c r="F103">
        <v>73052701</v>
      </c>
      <c r="G103" t="s">
        <v>1071</v>
      </c>
      <c r="H103">
        <v>45282</v>
      </c>
      <c r="I103">
        <v>905638</v>
      </c>
    </row>
    <row r="104" spans="2:9" x14ac:dyDescent="0.25">
      <c r="B104">
        <v>1001</v>
      </c>
      <c r="C104">
        <v>5001</v>
      </c>
      <c r="D104">
        <v>1107526039</v>
      </c>
      <c r="E104" t="s">
        <v>1152</v>
      </c>
      <c r="F104">
        <v>73052701</v>
      </c>
      <c r="G104" t="s">
        <v>1071</v>
      </c>
      <c r="H104">
        <v>45282</v>
      </c>
      <c r="I104">
        <v>905638</v>
      </c>
    </row>
    <row r="105" spans="2:9" x14ac:dyDescent="0.25">
      <c r="B105">
        <v>1001</v>
      </c>
      <c r="C105">
        <v>5001</v>
      </c>
      <c r="D105">
        <v>1107526039</v>
      </c>
      <c r="E105" t="s">
        <v>1152</v>
      </c>
      <c r="F105">
        <v>73052701</v>
      </c>
      <c r="G105" t="s">
        <v>1071</v>
      </c>
      <c r="H105">
        <v>45282</v>
      </c>
      <c r="I105">
        <v>905638</v>
      </c>
    </row>
    <row r="106" spans="2:9" x14ac:dyDescent="0.25">
      <c r="B106">
        <v>1001</v>
      </c>
      <c r="C106">
        <v>5001</v>
      </c>
      <c r="D106">
        <v>1107526039</v>
      </c>
      <c r="E106" t="s">
        <v>1152</v>
      </c>
      <c r="F106">
        <v>73052701</v>
      </c>
      <c r="G106" t="s">
        <v>1071</v>
      </c>
      <c r="H106">
        <v>35578</v>
      </c>
      <c r="I106">
        <v>905638</v>
      </c>
    </row>
    <row r="107" spans="2:9" x14ac:dyDescent="0.25">
      <c r="B107">
        <v>1001</v>
      </c>
      <c r="C107">
        <v>5001</v>
      </c>
      <c r="D107">
        <v>1107526039</v>
      </c>
      <c r="E107" t="s">
        <v>1152</v>
      </c>
      <c r="F107">
        <v>73052701</v>
      </c>
      <c r="G107" t="s">
        <v>1071</v>
      </c>
      <c r="H107">
        <v>35578</v>
      </c>
      <c r="I107">
        <v>905638</v>
      </c>
    </row>
    <row r="108" spans="2:9" x14ac:dyDescent="0.25">
      <c r="B108">
        <v>1001</v>
      </c>
      <c r="C108">
        <v>5001</v>
      </c>
      <c r="D108">
        <v>1107526039</v>
      </c>
      <c r="E108" t="s">
        <v>1152</v>
      </c>
      <c r="F108">
        <v>73052701</v>
      </c>
      <c r="G108" t="s">
        <v>1071</v>
      </c>
      <c r="H108">
        <v>45282</v>
      </c>
      <c r="I108">
        <v>905638</v>
      </c>
    </row>
    <row r="109" spans="2:9" x14ac:dyDescent="0.25">
      <c r="B109">
        <v>1001</v>
      </c>
      <c r="C109">
        <v>5001</v>
      </c>
      <c r="D109">
        <v>1107526039</v>
      </c>
      <c r="E109" t="s">
        <v>1152</v>
      </c>
      <c r="F109">
        <v>73052701</v>
      </c>
      <c r="G109" t="s">
        <v>1071</v>
      </c>
      <c r="H109">
        <v>45282</v>
      </c>
      <c r="I109">
        <v>905638</v>
      </c>
    </row>
    <row r="110" spans="2:9" x14ac:dyDescent="0.25">
      <c r="B110">
        <v>1001</v>
      </c>
      <c r="C110">
        <v>5001</v>
      </c>
      <c r="D110">
        <v>1107526039</v>
      </c>
      <c r="E110" t="s">
        <v>1152</v>
      </c>
      <c r="F110">
        <v>73052701</v>
      </c>
      <c r="G110" t="s">
        <v>1071</v>
      </c>
      <c r="H110">
        <v>45282</v>
      </c>
      <c r="I110">
        <v>905638</v>
      </c>
    </row>
    <row r="111" spans="2:9" x14ac:dyDescent="0.25">
      <c r="B111">
        <v>1001</v>
      </c>
      <c r="C111">
        <v>5001</v>
      </c>
      <c r="D111">
        <v>1107526039</v>
      </c>
      <c r="E111" t="s">
        <v>1152</v>
      </c>
      <c r="F111">
        <v>73052701</v>
      </c>
      <c r="G111" t="s">
        <v>1071</v>
      </c>
      <c r="H111">
        <v>45282</v>
      </c>
      <c r="I111">
        <v>905638</v>
      </c>
    </row>
    <row r="112" spans="2:9" x14ac:dyDescent="0.25">
      <c r="B112">
        <v>1001</v>
      </c>
      <c r="C112">
        <v>5001</v>
      </c>
      <c r="D112">
        <v>1107526039</v>
      </c>
      <c r="E112" t="s">
        <v>1152</v>
      </c>
      <c r="F112">
        <v>73052701</v>
      </c>
      <c r="G112" t="s">
        <v>1071</v>
      </c>
      <c r="H112">
        <v>45282</v>
      </c>
      <c r="I112">
        <v>905638</v>
      </c>
    </row>
    <row r="113" spans="2:9" x14ac:dyDescent="0.25">
      <c r="B113">
        <v>1001</v>
      </c>
      <c r="C113">
        <v>5001</v>
      </c>
      <c r="D113">
        <v>1107526039</v>
      </c>
      <c r="E113" t="s">
        <v>1152</v>
      </c>
      <c r="F113">
        <v>73052701</v>
      </c>
      <c r="G113" t="s">
        <v>1071</v>
      </c>
      <c r="H113">
        <v>45282</v>
      </c>
      <c r="I113">
        <v>905638</v>
      </c>
    </row>
    <row r="114" spans="2:9" x14ac:dyDescent="0.25">
      <c r="B114">
        <v>1001</v>
      </c>
      <c r="C114">
        <v>5001</v>
      </c>
      <c r="D114">
        <v>1143862294</v>
      </c>
      <c r="E114" t="s">
        <v>1142</v>
      </c>
      <c r="F114">
        <v>73050501</v>
      </c>
      <c r="G114" t="s">
        <v>1066</v>
      </c>
      <c r="H114">
        <v>496870</v>
      </c>
      <c r="I114">
        <v>7591071</v>
      </c>
    </row>
    <row r="115" spans="2:9" x14ac:dyDescent="0.25">
      <c r="B115">
        <v>1001</v>
      </c>
      <c r="C115">
        <v>5001</v>
      </c>
      <c r="D115">
        <v>1143862294</v>
      </c>
      <c r="E115" t="s">
        <v>1142</v>
      </c>
      <c r="F115">
        <v>73050501</v>
      </c>
      <c r="G115" t="s">
        <v>1066</v>
      </c>
      <c r="H115">
        <v>331246</v>
      </c>
      <c r="I115">
        <v>7591071</v>
      </c>
    </row>
    <row r="116" spans="2:9" x14ac:dyDescent="0.25">
      <c r="B116">
        <v>1001</v>
      </c>
      <c r="C116">
        <v>5001</v>
      </c>
      <c r="D116">
        <v>1143862294</v>
      </c>
      <c r="E116" t="s">
        <v>1142</v>
      </c>
      <c r="F116">
        <v>73050501</v>
      </c>
      <c r="G116" t="s">
        <v>1066</v>
      </c>
      <c r="H116">
        <v>331246</v>
      </c>
      <c r="I116">
        <v>7591071</v>
      </c>
    </row>
    <row r="117" spans="2:9" x14ac:dyDescent="0.25">
      <c r="B117">
        <v>1001</v>
      </c>
      <c r="C117">
        <v>5001</v>
      </c>
      <c r="D117">
        <v>1143862294</v>
      </c>
      <c r="E117" t="s">
        <v>1142</v>
      </c>
      <c r="F117">
        <v>73050501</v>
      </c>
      <c r="G117" t="s">
        <v>1066</v>
      </c>
      <c r="H117">
        <v>331246</v>
      </c>
      <c r="I117">
        <v>7591071</v>
      </c>
    </row>
    <row r="118" spans="2:9" x14ac:dyDescent="0.25">
      <c r="B118">
        <v>1001</v>
      </c>
      <c r="C118">
        <v>5001</v>
      </c>
      <c r="D118">
        <v>1143862294</v>
      </c>
      <c r="E118" t="s">
        <v>1142</v>
      </c>
      <c r="F118">
        <v>73050501</v>
      </c>
      <c r="G118" t="s">
        <v>1066</v>
      </c>
      <c r="H118">
        <v>331246</v>
      </c>
      <c r="I118">
        <v>7591071</v>
      </c>
    </row>
    <row r="119" spans="2:9" x14ac:dyDescent="0.25">
      <c r="B119">
        <v>1001</v>
      </c>
      <c r="C119">
        <v>5001</v>
      </c>
      <c r="D119">
        <v>1143862294</v>
      </c>
      <c r="E119" t="s">
        <v>1142</v>
      </c>
      <c r="F119">
        <v>73050501</v>
      </c>
      <c r="G119" t="s">
        <v>1066</v>
      </c>
      <c r="H119">
        <v>303643</v>
      </c>
      <c r="I119">
        <v>7591071</v>
      </c>
    </row>
    <row r="120" spans="2:9" x14ac:dyDescent="0.25">
      <c r="B120">
        <v>1001</v>
      </c>
      <c r="C120">
        <v>5001</v>
      </c>
      <c r="D120">
        <v>1143862294</v>
      </c>
      <c r="E120" t="s">
        <v>1142</v>
      </c>
      <c r="F120">
        <v>73050501</v>
      </c>
      <c r="G120" t="s">
        <v>1066</v>
      </c>
      <c r="H120">
        <v>303643</v>
      </c>
      <c r="I120">
        <v>7591071</v>
      </c>
    </row>
    <row r="121" spans="2:9" x14ac:dyDescent="0.25">
      <c r="B121">
        <v>1001</v>
      </c>
      <c r="C121">
        <v>5001</v>
      </c>
      <c r="D121">
        <v>1143862294</v>
      </c>
      <c r="E121" t="s">
        <v>1142</v>
      </c>
      <c r="F121">
        <v>73050501</v>
      </c>
      <c r="G121" t="s">
        <v>1066</v>
      </c>
      <c r="H121">
        <v>303643</v>
      </c>
      <c r="I121">
        <v>7591071</v>
      </c>
    </row>
    <row r="122" spans="2:9" x14ac:dyDescent="0.25">
      <c r="B122">
        <v>1001</v>
      </c>
      <c r="C122">
        <v>5001</v>
      </c>
      <c r="D122">
        <v>1143862294</v>
      </c>
      <c r="E122" t="s">
        <v>1142</v>
      </c>
      <c r="F122">
        <v>73050501</v>
      </c>
      <c r="G122" t="s">
        <v>1066</v>
      </c>
      <c r="H122">
        <v>303643</v>
      </c>
      <c r="I122">
        <v>7591071</v>
      </c>
    </row>
    <row r="123" spans="2:9" x14ac:dyDescent="0.25">
      <c r="B123">
        <v>1001</v>
      </c>
      <c r="C123">
        <v>5001</v>
      </c>
      <c r="D123">
        <v>1143862294</v>
      </c>
      <c r="E123" t="s">
        <v>1142</v>
      </c>
      <c r="F123">
        <v>73050501</v>
      </c>
      <c r="G123" t="s">
        <v>1066</v>
      </c>
      <c r="H123">
        <v>303643</v>
      </c>
      <c r="I123">
        <v>7591071</v>
      </c>
    </row>
    <row r="124" spans="2:9" x14ac:dyDescent="0.25">
      <c r="B124">
        <v>1001</v>
      </c>
      <c r="C124">
        <v>5001</v>
      </c>
      <c r="D124">
        <v>1143862294</v>
      </c>
      <c r="E124" t="s">
        <v>1142</v>
      </c>
      <c r="F124">
        <v>73050501</v>
      </c>
      <c r="G124" t="s">
        <v>1066</v>
      </c>
      <c r="H124">
        <v>303643</v>
      </c>
      <c r="I124">
        <v>7591071</v>
      </c>
    </row>
    <row r="125" spans="2:9" x14ac:dyDescent="0.25">
      <c r="B125">
        <v>1001</v>
      </c>
      <c r="C125">
        <v>5001</v>
      </c>
      <c r="D125">
        <v>1143862294</v>
      </c>
      <c r="E125" t="s">
        <v>1142</v>
      </c>
      <c r="F125">
        <v>73050501</v>
      </c>
      <c r="G125" t="s">
        <v>1066</v>
      </c>
      <c r="H125">
        <v>303643</v>
      </c>
      <c r="I125">
        <v>7591071</v>
      </c>
    </row>
    <row r="126" spans="2:9" x14ac:dyDescent="0.25">
      <c r="B126">
        <v>1001</v>
      </c>
      <c r="C126">
        <v>5001</v>
      </c>
      <c r="D126">
        <v>1143862294</v>
      </c>
      <c r="E126" t="s">
        <v>1142</v>
      </c>
      <c r="F126">
        <v>73050501</v>
      </c>
      <c r="G126" t="s">
        <v>1066</v>
      </c>
      <c r="H126">
        <v>303643</v>
      </c>
      <c r="I126">
        <v>7591071</v>
      </c>
    </row>
    <row r="127" spans="2:9" x14ac:dyDescent="0.25">
      <c r="B127">
        <v>1001</v>
      </c>
      <c r="C127">
        <v>5001</v>
      </c>
      <c r="D127">
        <v>1143862294</v>
      </c>
      <c r="E127" t="s">
        <v>1142</v>
      </c>
      <c r="F127">
        <v>73050501</v>
      </c>
      <c r="G127" t="s">
        <v>1066</v>
      </c>
      <c r="H127">
        <v>303643</v>
      </c>
      <c r="I127">
        <v>7591071</v>
      </c>
    </row>
    <row r="128" spans="2:9" x14ac:dyDescent="0.25">
      <c r="B128">
        <v>1001</v>
      </c>
      <c r="C128">
        <v>5001</v>
      </c>
      <c r="D128">
        <v>1143862294</v>
      </c>
      <c r="E128" t="s">
        <v>1142</v>
      </c>
      <c r="F128">
        <v>73050501</v>
      </c>
      <c r="G128" t="s">
        <v>1066</v>
      </c>
      <c r="H128">
        <v>303643</v>
      </c>
      <c r="I128">
        <v>7591071</v>
      </c>
    </row>
    <row r="129" spans="2:9" x14ac:dyDescent="0.25">
      <c r="B129">
        <v>1001</v>
      </c>
      <c r="C129">
        <v>5001</v>
      </c>
      <c r="D129">
        <v>1143862294</v>
      </c>
      <c r="E129" t="s">
        <v>1142</v>
      </c>
      <c r="F129">
        <v>73050501</v>
      </c>
      <c r="G129" t="s">
        <v>1066</v>
      </c>
      <c r="H129">
        <v>303643</v>
      </c>
      <c r="I129">
        <v>7591071</v>
      </c>
    </row>
    <row r="130" spans="2:9" x14ac:dyDescent="0.25">
      <c r="B130">
        <v>1001</v>
      </c>
      <c r="C130">
        <v>5001</v>
      </c>
      <c r="D130">
        <v>1143862294</v>
      </c>
      <c r="E130" t="s">
        <v>1142</v>
      </c>
      <c r="F130">
        <v>73050501</v>
      </c>
      <c r="G130" t="s">
        <v>1066</v>
      </c>
      <c r="H130">
        <v>303643</v>
      </c>
      <c r="I130">
        <v>7591071</v>
      </c>
    </row>
    <row r="131" spans="2:9" x14ac:dyDescent="0.25">
      <c r="B131">
        <v>1001</v>
      </c>
      <c r="C131">
        <v>5001</v>
      </c>
      <c r="D131">
        <v>1143862294</v>
      </c>
      <c r="E131" t="s">
        <v>1142</v>
      </c>
      <c r="F131">
        <v>73050501</v>
      </c>
      <c r="G131" t="s">
        <v>1066</v>
      </c>
      <c r="H131">
        <v>303643</v>
      </c>
      <c r="I131">
        <v>7591071</v>
      </c>
    </row>
    <row r="132" spans="2:9" x14ac:dyDescent="0.25">
      <c r="B132">
        <v>1001</v>
      </c>
      <c r="C132">
        <v>5001</v>
      </c>
      <c r="D132">
        <v>1143862294</v>
      </c>
      <c r="E132" t="s">
        <v>1142</v>
      </c>
      <c r="F132">
        <v>73050501</v>
      </c>
      <c r="G132" t="s">
        <v>1066</v>
      </c>
      <c r="H132">
        <v>303643</v>
      </c>
      <c r="I132">
        <v>7591071</v>
      </c>
    </row>
    <row r="133" spans="2:9" x14ac:dyDescent="0.25">
      <c r="B133">
        <v>1001</v>
      </c>
      <c r="C133">
        <v>5001</v>
      </c>
      <c r="D133">
        <v>1143862294</v>
      </c>
      <c r="E133" t="s">
        <v>1142</v>
      </c>
      <c r="F133">
        <v>73050501</v>
      </c>
      <c r="G133" t="s">
        <v>1066</v>
      </c>
      <c r="H133">
        <v>303643</v>
      </c>
      <c r="I133">
        <v>7591071</v>
      </c>
    </row>
    <row r="134" spans="2:9" x14ac:dyDescent="0.25">
      <c r="B134">
        <v>1001</v>
      </c>
      <c r="C134">
        <v>5001</v>
      </c>
      <c r="D134">
        <v>1143862294</v>
      </c>
      <c r="E134" t="s">
        <v>1142</v>
      </c>
      <c r="F134">
        <v>73050501</v>
      </c>
      <c r="G134" t="s">
        <v>1066</v>
      </c>
      <c r="H134">
        <v>303643</v>
      </c>
      <c r="I134">
        <v>7591071</v>
      </c>
    </row>
    <row r="135" spans="2:9" x14ac:dyDescent="0.25">
      <c r="B135">
        <v>1001</v>
      </c>
      <c r="C135">
        <v>5001</v>
      </c>
      <c r="D135">
        <v>1143862294</v>
      </c>
      <c r="E135" t="s">
        <v>1142</v>
      </c>
      <c r="F135">
        <v>73050501</v>
      </c>
      <c r="G135" t="s">
        <v>1066</v>
      </c>
      <c r="H135">
        <v>303643</v>
      </c>
      <c r="I135">
        <v>7591071</v>
      </c>
    </row>
    <row r="136" spans="2:9" x14ac:dyDescent="0.25">
      <c r="B136">
        <v>1001</v>
      </c>
      <c r="C136">
        <v>5001</v>
      </c>
      <c r="D136">
        <v>1143862294</v>
      </c>
      <c r="E136" t="s">
        <v>1142</v>
      </c>
      <c r="F136">
        <v>73050501</v>
      </c>
      <c r="G136" t="s">
        <v>1066</v>
      </c>
      <c r="H136">
        <v>303643</v>
      </c>
      <c r="I136">
        <v>7591071</v>
      </c>
    </row>
    <row r="137" spans="2:9" x14ac:dyDescent="0.25">
      <c r="B137">
        <v>1001</v>
      </c>
      <c r="C137">
        <v>5001</v>
      </c>
      <c r="D137">
        <v>1143862294</v>
      </c>
      <c r="E137" t="s">
        <v>1142</v>
      </c>
      <c r="F137">
        <v>73050501</v>
      </c>
      <c r="G137" t="s">
        <v>1066</v>
      </c>
      <c r="H137">
        <v>303643</v>
      </c>
      <c r="I137">
        <v>7591071</v>
      </c>
    </row>
    <row r="138" spans="2:9" x14ac:dyDescent="0.25">
      <c r="B138">
        <v>1001</v>
      </c>
      <c r="C138">
        <v>5001</v>
      </c>
      <c r="D138">
        <v>1143862294</v>
      </c>
      <c r="E138" t="s">
        <v>1142</v>
      </c>
      <c r="F138">
        <v>73051506</v>
      </c>
      <c r="G138" t="s">
        <v>1069</v>
      </c>
      <c r="H138">
        <v>55208</v>
      </c>
      <c r="I138">
        <v>1794260</v>
      </c>
    </row>
    <row r="139" spans="2:9" x14ac:dyDescent="0.25">
      <c r="B139">
        <v>1001</v>
      </c>
      <c r="C139">
        <v>5001</v>
      </c>
      <c r="D139">
        <v>1143862294</v>
      </c>
      <c r="E139" t="s">
        <v>1142</v>
      </c>
      <c r="F139">
        <v>73051506</v>
      </c>
      <c r="G139" t="s">
        <v>1069</v>
      </c>
      <c r="H139">
        <v>55208</v>
      </c>
      <c r="I139">
        <v>1794260</v>
      </c>
    </row>
    <row r="140" spans="2:9" x14ac:dyDescent="0.25">
      <c r="B140">
        <v>1001</v>
      </c>
      <c r="C140">
        <v>5001</v>
      </c>
      <c r="D140">
        <v>1143862294</v>
      </c>
      <c r="E140" t="s">
        <v>1142</v>
      </c>
      <c r="F140">
        <v>73051506</v>
      </c>
      <c r="G140" t="s">
        <v>1069</v>
      </c>
      <c r="H140">
        <v>55208</v>
      </c>
      <c r="I140">
        <v>1794260</v>
      </c>
    </row>
    <row r="141" spans="2:9" x14ac:dyDescent="0.25">
      <c r="B141">
        <v>1001</v>
      </c>
      <c r="C141">
        <v>5001</v>
      </c>
      <c r="D141">
        <v>1143862294</v>
      </c>
      <c r="E141" t="s">
        <v>1142</v>
      </c>
      <c r="F141">
        <v>73051506</v>
      </c>
      <c r="G141" t="s">
        <v>1069</v>
      </c>
      <c r="H141">
        <v>55208</v>
      </c>
      <c r="I141">
        <v>1794260</v>
      </c>
    </row>
    <row r="142" spans="2:9" x14ac:dyDescent="0.25">
      <c r="B142">
        <v>1001</v>
      </c>
      <c r="C142">
        <v>5001</v>
      </c>
      <c r="D142">
        <v>1143862294</v>
      </c>
      <c r="E142" t="s">
        <v>1142</v>
      </c>
      <c r="F142">
        <v>73051506</v>
      </c>
      <c r="G142" t="s">
        <v>1069</v>
      </c>
      <c r="H142">
        <v>82812</v>
      </c>
      <c r="I142">
        <v>1794260</v>
      </c>
    </row>
    <row r="143" spans="2:9" x14ac:dyDescent="0.25">
      <c r="B143">
        <v>1001</v>
      </c>
      <c r="C143">
        <v>5001</v>
      </c>
      <c r="D143">
        <v>1143862294</v>
      </c>
      <c r="E143" t="s">
        <v>1142</v>
      </c>
      <c r="F143">
        <v>73051506</v>
      </c>
      <c r="G143" t="s">
        <v>1069</v>
      </c>
      <c r="H143">
        <v>82812</v>
      </c>
      <c r="I143">
        <v>1794260</v>
      </c>
    </row>
    <row r="144" spans="2:9" x14ac:dyDescent="0.25">
      <c r="B144">
        <v>1001</v>
      </c>
      <c r="C144">
        <v>5001</v>
      </c>
      <c r="D144">
        <v>1143862294</v>
      </c>
      <c r="E144" t="s">
        <v>1142</v>
      </c>
      <c r="F144">
        <v>73051506</v>
      </c>
      <c r="G144" t="s">
        <v>1069</v>
      </c>
      <c r="H144">
        <v>82812</v>
      </c>
      <c r="I144">
        <v>1794260</v>
      </c>
    </row>
    <row r="145" spans="2:9" x14ac:dyDescent="0.25">
      <c r="B145">
        <v>1001</v>
      </c>
      <c r="C145">
        <v>5001</v>
      </c>
      <c r="D145">
        <v>1143862294</v>
      </c>
      <c r="E145" t="s">
        <v>1142</v>
      </c>
      <c r="F145">
        <v>73051506</v>
      </c>
      <c r="G145" t="s">
        <v>1069</v>
      </c>
      <c r="H145">
        <v>82812</v>
      </c>
      <c r="I145">
        <v>1794260</v>
      </c>
    </row>
    <row r="146" spans="2:9" x14ac:dyDescent="0.25">
      <c r="B146">
        <v>1001</v>
      </c>
      <c r="C146">
        <v>5001</v>
      </c>
      <c r="D146">
        <v>1143862294</v>
      </c>
      <c r="E146" t="s">
        <v>1142</v>
      </c>
      <c r="F146">
        <v>73051506</v>
      </c>
      <c r="G146" t="s">
        <v>1069</v>
      </c>
      <c r="H146">
        <v>82812</v>
      </c>
      <c r="I146">
        <v>1794260</v>
      </c>
    </row>
    <row r="147" spans="2:9" x14ac:dyDescent="0.25">
      <c r="B147">
        <v>1001</v>
      </c>
      <c r="C147">
        <v>5001</v>
      </c>
      <c r="D147">
        <v>1143862294</v>
      </c>
      <c r="E147" t="s">
        <v>1142</v>
      </c>
      <c r="F147">
        <v>73051506</v>
      </c>
      <c r="G147" t="s">
        <v>1069</v>
      </c>
      <c r="H147">
        <v>82812</v>
      </c>
      <c r="I147">
        <v>1794260</v>
      </c>
    </row>
    <row r="148" spans="2:9" x14ac:dyDescent="0.25">
      <c r="B148">
        <v>1001</v>
      </c>
      <c r="C148">
        <v>5001</v>
      </c>
      <c r="D148">
        <v>1143862294</v>
      </c>
      <c r="E148" t="s">
        <v>1142</v>
      </c>
      <c r="F148">
        <v>73051506</v>
      </c>
      <c r="G148" t="s">
        <v>1069</v>
      </c>
      <c r="H148">
        <v>82812</v>
      </c>
      <c r="I148">
        <v>1794260</v>
      </c>
    </row>
    <row r="149" spans="2:9" x14ac:dyDescent="0.25">
      <c r="B149">
        <v>1001</v>
      </c>
      <c r="C149">
        <v>5001</v>
      </c>
      <c r="D149">
        <v>1143862294</v>
      </c>
      <c r="E149" t="s">
        <v>1142</v>
      </c>
      <c r="F149">
        <v>73051506</v>
      </c>
      <c r="G149" t="s">
        <v>1069</v>
      </c>
      <c r="H149">
        <v>82812</v>
      </c>
      <c r="I149">
        <v>1794260</v>
      </c>
    </row>
    <row r="150" spans="2:9" x14ac:dyDescent="0.25">
      <c r="B150">
        <v>1001</v>
      </c>
      <c r="C150">
        <v>5001</v>
      </c>
      <c r="D150">
        <v>1143862294</v>
      </c>
      <c r="E150" t="s">
        <v>1142</v>
      </c>
      <c r="F150">
        <v>73051506</v>
      </c>
      <c r="G150" t="s">
        <v>1069</v>
      </c>
      <c r="H150">
        <v>82812</v>
      </c>
      <c r="I150">
        <v>1794260</v>
      </c>
    </row>
    <row r="151" spans="2:9" x14ac:dyDescent="0.25">
      <c r="B151">
        <v>1001</v>
      </c>
      <c r="C151">
        <v>5001</v>
      </c>
      <c r="D151">
        <v>1143862294</v>
      </c>
      <c r="E151" t="s">
        <v>1142</v>
      </c>
      <c r="F151">
        <v>73051506</v>
      </c>
      <c r="G151" t="s">
        <v>1069</v>
      </c>
      <c r="H151">
        <v>82812</v>
      </c>
      <c r="I151">
        <v>1794260</v>
      </c>
    </row>
    <row r="152" spans="2:9" x14ac:dyDescent="0.25">
      <c r="B152">
        <v>1001</v>
      </c>
      <c r="C152">
        <v>5001</v>
      </c>
      <c r="D152">
        <v>1143862294</v>
      </c>
      <c r="E152" t="s">
        <v>1142</v>
      </c>
      <c r="F152">
        <v>73051506</v>
      </c>
      <c r="G152" t="s">
        <v>1069</v>
      </c>
      <c r="H152">
        <v>82812</v>
      </c>
      <c r="I152">
        <v>1794260</v>
      </c>
    </row>
    <row r="153" spans="2:9" x14ac:dyDescent="0.25">
      <c r="B153">
        <v>1001</v>
      </c>
      <c r="C153">
        <v>5001</v>
      </c>
      <c r="D153">
        <v>1143862294</v>
      </c>
      <c r="E153" t="s">
        <v>1142</v>
      </c>
      <c r="F153">
        <v>73051506</v>
      </c>
      <c r="G153" t="s">
        <v>1069</v>
      </c>
      <c r="H153">
        <v>82812</v>
      </c>
      <c r="I153">
        <v>1794260</v>
      </c>
    </row>
    <row r="154" spans="2:9" x14ac:dyDescent="0.25">
      <c r="B154">
        <v>1001</v>
      </c>
      <c r="C154">
        <v>5001</v>
      </c>
      <c r="D154">
        <v>1143862294</v>
      </c>
      <c r="E154" t="s">
        <v>1142</v>
      </c>
      <c r="F154">
        <v>73051506</v>
      </c>
      <c r="G154" t="s">
        <v>1069</v>
      </c>
      <c r="H154">
        <v>82812</v>
      </c>
      <c r="I154">
        <v>1794260</v>
      </c>
    </row>
    <row r="155" spans="2:9" x14ac:dyDescent="0.25">
      <c r="B155">
        <v>1001</v>
      </c>
      <c r="C155">
        <v>5001</v>
      </c>
      <c r="D155">
        <v>1143862294</v>
      </c>
      <c r="E155" t="s">
        <v>1142</v>
      </c>
      <c r="F155">
        <v>73051506</v>
      </c>
      <c r="G155" t="s">
        <v>1069</v>
      </c>
      <c r="H155">
        <v>82812</v>
      </c>
      <c r="I155">
        <v>1794260</v>
      </c>
    </row>
    <row r="156" spans="2:9" x14ac:dyDescent="0.25">
      <c r="B156">
        <v>1001</v>
      </c>
      <c r="C156">
        <v>5001</v>
      </c>
      <c r="D156">
        <v>1143862294</v>
      </c>
      <c r="E156" t="s">
        <v>1142</v>
      </c>
      <c r="F156">
        <v>73051506</v>
      </c>
      <c r="G156" t="s">
        <v>1069</v>
      </c>
      <c r="H156">
        <v>82812</v>
      </c>
      <c r="I156">
        <v>1794260</v>
      </c>
    </row>
    <row r="157" spans="2:9" x14ac:dyDescent="0.25">
      <c r="B157">
        <v>1001</v>
      </c>
      <c r="C157">
        <v>5001</v>
      </c>
      <c r="D157">
        <v>1143862294</v>
      </c>
      <c r="E157" t="s">
        <v>1142</v>
      </c>
      <c r="F157">
        <v>73051506</v>
      </c>
      <c r="G157" t="s">
        <v>1069</v>
      </c>
      <c r="H157">
        <v>82812</v>
      </c>
      <c r="I157">
        <v>1794260</v>
      </c>
    </row>
    <row r="158" spans="2:9" x14ac:dyDescent="0.25">
      <c r="B158">
        <v>1001</v>
      </c>
      <c r="C158">
        <v>5001</v>
      </c>
      <c r="D158">
        <v>1143862294</v>
      </c>
      <c r="E158" t="s">
        <v>1142</v>
      </c>
      <c r="F158">
        <v>73051506</v>
      </c>
      <c r="G158" t="s">
        <v>1069</v>
      </c>
      <c r="H158">
        <v>82812</v>
      </c>
      <c r="I158">
        <v>1794260</v>
      </c>
    </row>
    <row r="159" spans="2:9" x14ac:dyDescent="0.25">
      <c r="B159">
        <v>1001</v>
      </c>
      <c r="C159">
        <v>5001</v>
      </c>
      <c r="D159">
        <v>1143862294</v>
      </c>
      <c r="E159" t="s">
        <v>1142</v>
      </c>
      <c r="F159">
        <v>73051506</v>
      </c>
      <c r="G159" t="s">
        <v>1069</v>
      </c>
      <c r="H159">
        <v>82812</v>
      </c>
      <c r="I159">
        <v>1794260</v>
      </c>
    </row>
    <row r="160" spans="2:9" x14ac:dyDescent="0.25">
      <c r="B160">
        <v>1001</v>
      </c>
      <c r="C160">
        <v>5001</v>
      </c>
      <c r="D160">
        <v>1143862294</v>
      </c>
      <c r="E160" t="s">
        <v>1142</v>
      </c>
      <c r="F160">
        <v>73051506</v>
      </c>
      <c r="G160" t="s">
        <v>1069</v>
      </c>
      <c r="H160">
        <v>82812</v>
      </c>
      <c r="I160">
        <v>1794260</v>
      </c>
    </row>
    <row r="161" spans="2:9" x14ac:dyDescent="0.25">
      <c r="B161">
        <v>1001</v>
      </c>
      <c r="C161">
        <v>5001</v>
      </c>
      <c r="D161">
        <v>1143862294</v>
      </c>
      <c r="E161" t="s">
        <v>1142</v>
      </c>
      <c r="F161">
        <v>73052701</v>
      </c>
      <c r="G161" t="s">
        <v>1071</v>
      </c>
      <c r="H161">
        <v>58219</v>
      </c>
      <c r="I161">
        <v>1099705</v>
      </c>
    </row>
    <row r="162" spans="2:9" x14ac:dyDescent="0.25">
      <c r="B162">
        <v>1001</v>
      </c>
      <c r="C162">
        <v>5001</v>
      </c>
      <c r="D162">
        <v>1143862294</v>
      </c>
      <c r="E162" t="s">
        <v>1142</v>
      </c>
      <c r="F162">
        <v>73052701</v>
      </c>
      <c r="G162" t="s">
        <v>1071</v>
      </c>
      <c r="H162">
        <v>45282</v>
      </c>
      <c r="I162">
        <v>1099705</v>
      </c>
    </row>
    <row r="163" spans="2:9" x14ac:dyDescent="0.25">
      <c r="B163">
        <v>1001</v>
      </c>
      <c r="C163">
        <v>5001</v>
      </c>
      <c r="D163">
        <v>1143862294</v>
      </c>
      <c r="E163" t="s">
        <v>1142</v>
      </c>
      <c r="F163">
        <v>73052701</v>
      </c>
      <c r="G163" t="s">
        <v>1071</v>
      </c>
      <c r="H163">
        <v>45282</v>
      </c>
      <c r="I163">
        <v>1099705</v>
      </c>
    </row>
    <row r="164" spans="2:9" x14ac:dyDescent="0.25">
      <c r="B164">
        <v>1001</v>
      </c>
      <c r="C164">
        <v>5001</v>
      </c>
      <c r="D164">
        <v>1143862294</v>
      </c>
      <c r="E164" t="s">
        <v>1142</v>
      </c>
      <c r="F164">
        <v>73052701</v>
      </c>
      <c r="G164" t="s">
        <v>1071</v>
      </c>
      <c r="H164">
        <v>45282</v>
      </c>
      <c r="I164">
        <v>1099705</v>
      </c>
    </row>
    <row r="165" spans="2:9" x14ac:dyDescent="0.25">
      <c r="B165">
        <v>1001</v>
      </c>
      <c r="C165">
        <v>5001</v>
      </c>
      <c r="D165">
        <v>1143862294</v>
      </c>
      <c r="E165" t="s">
        <v>1142</v>
      </c>
      <c r="F165">
        <v>73052701</v>
      </c>
      <c r="G165" t="s">
        <v>1071</v>
      </c>
      <c r="H165">
        <v>45282</v>
      </c>
      <c r="I165">
        <v>1099705</v>
      </c>
    </row>
    <row r="166" spans="2:9" x14ac:dyDescent="0.25">
      <c r="B166">
        <v>1001</v>
      </c>
      <c r="C166">
        <v>5001</v>
      </c>
      <c r="D166">
        <v>1143862294</v>
      </c>
      <c r="E166" t="s">
        <v>1142</v>
      </c>
      <c r="F166">
        <v>73052701</v>
      </c>
      <c r="G166" t="s">
        <v>1071</v>
      </c>
      <c r="H166">
        <v>45282</v>
      </c>
      <c r="I166">
        <v>1099705</v>
      </c>
    </row>
    <row r="167" spans="2:9" x14ac:dyDescent="0.25">
      <c r="B167">
        <v>1001</v>
      </c>
      <c r="C167">
        <v>5001</v>
      </c>
      <c r="D167">
        <v>1143862294</v>
      </c>
      <c r="E167" t="s">
        <v>1142</v>
      </c>
      <c r="F167">
        <v>73052701</v>
      </c>
      <c r="G167" t="s">
        <v>1071</v>
      </c>
      <c r="H167">
        <v>45282</v>
      </c>
      <c r="I167">
        <v>1099705</v>
      </c>
    </row>
    <row r="168" spans="2:9" x14ac:dyDescent="0.25">
      <c r="B168">
        <v>1001</v>
      </c>
      <c r="C168">
        <v>5001</v>
      </c>
      <c r="D168">
        <v>1143862294</v>
      </c>
      <c r="E168" t="s">
        <v>1142</v>
      </c>
      <c r="F168">
        <v>73052701</v>
      </c>
      <c r="G168" t="s">
        <v>1071</v>
      </c>
      <c r="H168">
        <v>45282</v>
      </c>
      <c r="I168">
        <v>1099705</v>
      </c>
    </row>
    <row r="169" spans="2:9" x14ac:dyDescent="0.25">
      <c r="B169">
        <v>1001</v>
      </c>
      <c r="C169">
        <v>5001</v>
      </c>
      <c r="D169">
        <v>1143862294</v>
      </c>
      <c r="E169" t="s">
        <v>1142</v>
      </c>
      <c r="F169">
        <v>73052701</v>
      </c>
      <c r="G169" t="s">
        <v>1071</v>
      </c>
      <c r="H169">
        <v>45282</v>
      </c>
      <c r="I169">
        <v>1099705</v>
      </c>
    </row>
    <row r="170" spans="2:9" x14ac:dyDescent="0.25">
      <c r="B170">
        <v>1001</v>
      </c>
      <c r="C170">
        <v>5001</v>
      </c>
      <c r="D170">
        <v>1143862294</v>
      </c>
      <c r="E170" t="s">
        <v>1142</v>
      </c>
      <c r="F170">
        <v>73052701</v>
      </c>
      <c r="G170" t="s">
        <v>1071</v>
      </c>
      <c r="H170">
        <v>45282</v>
      </c>
      <c r="I170">
        <v>1099705</v>
      </c>
    </row>
    <row r="171" spans="2:9" x14ac:dyDescent="0.25">
      <c r="B171">
        <v>1001</v>
      </c>
      <c r="C171">
        <v>5001</v>
      </c>
      <c r="D171">
        <v>1143862294</v>
      </c>
      <c r="E171" t="s">
        <v>1142</v>
      </c>
      <c r="F171">
        <v>73052701</v>
      </c>
      <c r="G171" t="s">
        <v>1071</v>
      </c>
      <c r="H171">
        <v>45282</v>
      </c>
      <c r="I171">
        <v>1099705</v>
      </c>
    </row>
    <row r="172" spans="2:9" x14ac:dyDescent="0.25">
      <c r="B172">
        <v>1001</v>
      </c>
      <c r="C172">
        <v>5001</v>
      </c>
      <c r="D172">
        <v>1143862294</v>
      </c>
      <c r="E172" t="s">
        <v>1142</v>
      </c>
      <c r="F172">
        <v>73052701</v>
      </c>
      <c r="G172" t="s">
        <v>1071</v>
      </c>
      <c r="H172">
        <v>45282</v>
      </c>
      <c r="I172">
        <v>1099705</v>
      </c>
    </row>
    <row r="173" spans="2:9" x14ac:dyDescent="0.25">
      <c r="B173">
        <v>1001</v>
      </c>
      <c r="C173">
        <v>5001</v>
      </c>
      <c r="D173">
        <v>1143862294</v>
      </c>
      <c r="E173" t="s">
        <v>1142</v>
      </c>
      <c r="F173">
        <v>73052701</v>
      </c>
      <c r="G173" t="s">
        <v>1071</v>
      </c>
      <c r="H173">
        <v>45282</v>
      </c>
      <c r="I173">
        <v>1099705</v>
      </c>
    </row>
    <row r="174" spans="2:9" x14ac:dyDescent="0.25">
      <c r="B174">
        <v>1001</v>
      </c>
      <c r="C174">
        <v>5001</v>
      </c>
      <c r="D174">
        <v>1143862294</v>
      </c>
      <c r="E174" t="s">
        <v>1142</v>
      </c>
      <c r="F174">
        <v>73052701</v>
      </c>
      <c r="G174" t="s">
        <v>1071</v>
      </c>
      <c r="H174">
        <v>45282</v>
      </c>
      <c r="I174">
        <v>1099705</v>
      </c>
    </row>
    <row r="175" spans="2:9" x14ac:dyDescent="0.25">
      <c r="B175">
        <v>1001</v>
      </c>
      <c r="C175">
        <v>5001</v>
      </c>
      <c r="D175">
        <v>1143862294</v>
      </c>
      <c r="E175" t="s">
        <v>1142</v>
      </c>
      <c r="F175">
        <v>73052701</v>
      </c>
      <c r="G175" t="s">
        <v>1071</v>
      </c>
      <c r="H175">
        <v>45282</v>
      </c>
      <c r="I175">
        <v>1099705</v>
      </c>
    </row>
    <row r="176" spans="2:9" x14ac:dyDescent="0.25">
      <c r="B176">
        <v>1001</v>
      </c>
      <c r="C176">
        <v>5001</v>
      </c>
      <c r="D176">
        <v>1143862294</v>
      </c>
      <c r="E176" t="s">
        <v>1142</v>
      </c>
      <c r="F176">
        <v>73052701</v>
      </c>
      <c r="G176" t="s">
        <v>1071</v>
      </c>
      <c r="H176">
        <v>45282</v>
      </c>
      <c r="I176">
        <v>1099705</v>
      </c>
    </row>
    <row r="177" spans="2:9" x14ac:dyDescent="0.25">
      <c r="B177">
        <v>1001</v>
      </c>
      <c r="C177">
        <v>5001</v>
      </c>
      <c r="D177">
        <v>1143862294</v>
      </c>
      <c r="E177" t="s">
        <v>1142</v>
      </c>
      <c r="F177">
        <v>73052701</v>
      </c>
      <c r="G177" t="s">
        <v>1071</v>
      </c>
      <c r="H177">
        <v>45282</v>
      </c>
      <c r="I177">
        <v>1099705</v>
      </c>
    </row>
    <row r="178" spans="2:9" x14ac:dyDescent="0.25">
      <c r="B178">
        <v>1001</v>
      </c>
      <c r="C178">
        <v>5001</v>
      </c>
      <c r="D178">
        <v>1143862294</v>
      </c>
      <c r="E178" t="s">
        <v>1142</v>
      </c>
      <c r="F178">
        <v>73052701</v>
      </c>
      <c r="G178" t="s">
        <v>1071</v>
      </c>
      <c r="H178">
        <v>45282</v>
      </c>
      <c r="I178">
        <v>1099705</v>
      </c>
    </row>
    <row r="179" spans="2:9" x14ac:dyDescent="0.25">
      <c r="B179">
        <v>1001</v>
      </c>
      <c r="C179">
        <v>5001</v>
      </c>
      <c r="D179">
        <v>1143862294</v>
      </c>
      <c r="E179" t="s">
        <v>1142</v>
      </c>
      <c r="F179">
        <v>73052701</v>
      </c>
      <c r="G179" t="s">
        <v>1071</v>
      </c>
      <c r="H179">
        <v>45282</v>
      </c>
      <c r="I179">
        <v>1099705</v>
      </c>
    </row>
    <row r="180" spans="2:9" x14ac:dyDescent="0.25">
      <c r="B180">
        <v>1001</v>
      </c>
      <c r="C180">
        <v>5001</v>
      </c>
      <c r="D180">
        <v>1143862294</v>
      </c>
      <c r="E180" t="s">
        <v>1142</v>
      </c>
      <c r="F180">
        <v>73052701</v>
      </c>
      <c r="G180" t="s">
        <v>1071</v>
      </c>
      <c r="H180">
        <v>45282</v>
      </c>
      <c r="I180">
        <v>1099705</v>
      </c>
    </row>
    <row r="181" spans="2:9" x14ac:dyDescent="0.25">
      <c r="B181">
        <v>1001</v>
      </c>
      <c r="C181">
        <v>5001</v>
      </c>
      <c r="D181">
        <v>1143862294</v>
      </c>
      <c r="E181" t="s">
        <v>1142</v>
      </c>
      <c r="F181">
        <v>73052701</v>
      </c>
      <c r="G181" t="s">
        <v>1071</v>
      </c>
      <c r="H181">
        <v>45282</v>
      </c>
      <c r="I181">
        <v>1099705</v>
      </c>
    </row>
    <row r="182" spans="2:9" x14ac:dyDescent="0.25">
      <c r="B182">
        <v>1001</v>
      </c>
      <c r="C182">
        <v>5001</v>
      </c>
      <c r="D182">
        <v>1143862294</v>
      </c>
      <c r="E182" t="s">
        <v>1142</v>
      </c>
      <c r="F182">
        <v>73052701</v>
      </c>
      <c r="G182" t="s">
        <v>1071</v>
      </c>
      <c r="H182">
        <v>45282</v>
      </c>
      <c r="I182">
        <v>1099705</v>
      </c>
    </row>
    <row r="183" spans="2:9" x14ac:dyDescent="0.25">
      <c r="B183">
        <v>1001</v>
      </c>
      <c r="C183">
        <v>5001</v>
      </c>
      <c r="D183">
        <v>1143862294</v>
      </c>
      <c r="E183" t="s">
        <v>1142</v>
      </c>
      <c r="F183">
        <v>73052701</v>
      </c>
      <c r="G183" t="s">
        <v>1071</v>
      </c>
      <c r="H183">
        <v>45282</v>
      </c>
      <c r="I183">
        <v>1099705</v>
      </c>
    </row>
    <row r="184" spans="2:9" x14ac:dyDescent="0.25">
      <c r="B184">
        <v>1001</v>
      </c>
      <c r="C184">
        <v>5001</v>
      </c>
      <c r="D184">
        <v>1143862294</v>
      </c>
      <c r="E184" t="s">
        <v>1142</v>
      </c>
      <c r="F184">
        <v>73052701</v>
      </c>
      <c r="G184" t="s">
        <v>1071</v>
      </c>
      <c r="H184">
        <v>45282</v>
      </c>
      <c r="I184">
        <v>1099705</v>
      </c>
    </row>
    <row r="185" spans="2:9" x14ac:dyDescent="0.25">
      <c r="B185">
        <v>1001</v>
      </c>
      <c r="C185">
        <v>5001</v>
      </c>
      <c r="D185">
        <v>1144053800</v>
      </c>
      <c r="E185" t="s">
        <v>1150</v>
      </c>
      <c r="F185">
        <v>73050501</v>
      </c>
      <c r="G185" t="s">
        <v>1066</v>
      </c>
      <c r="H185">
        <v>315965</v>
      </c>
      <c r="I185">
        <v>6814305</v>
      </c>
    </row>
    <row r="186" spans="2:9" x14ac:dyDescent="0.25">
      <c r="B186">
        <v>1001</v>
      </c>
      <c r="C186">
        <v>5001</v>
      </c>
      <c r="D186">
        <v>1144053800</v>
      </c>
      <c r="E186" t="s">
        <v>1150</v>
      </c>
      <c r="F186">
        <v>73050501</v>
      </c>
      <c r="G186" t="s">
        <v>1066</v>
      </c>
      <c r="H186">
        <v>330126</v>
      </c>
      <c r="I186">
        <v>6814305</v>
      </c>
    </row>
    <row r="187" spans="2:9" x14ac:dyDescent="0.25">
      <c r="B187">
        <v>1001</v>
      </c>
      <c r="C187">
        <v>5001</v>
      </c>
      <c r="D187">
        <v>1144053800</v>
      </c>
      <c r="E187" t="s">
        <v>1150</v>
      </c>
      <c r="F187">
        <v>73050501</v>
      </c>
      <c r="G187" t="s">
        <v>1066</v>
      </c>
      <c r="H187">
        <v>327935</v>
      </c>
      <c r="I187">
        <v>6814305</v>
      </c>
    </row>
    <row r="188" spans="2:9" x14ac:dyDescent="0.25">
      <c r="B188">
        <v>1001</v>
      </c>
      <c r="C188">
        <v>5001</v>
      </c>
      <c r="D188">
        <v>1144053800</v>
      </c>
      <c r="E188" t="s">
        <v>1150</v>
      </c>
      <c r="F188">
        <v>73050501</v>
      </c>
      <c r="G188" t="s">
        <v>1066</v>
      </c>
      <c r="H188">
        <v>315736</v>
      </c>
      <c r="I188">
        <v>6814305</v>
      </c>
    </row>
    <row r="189" spans="2:9" x14ac:dyDescent="0.25">
      <c r="B189">
        <v>1001</v>
      </c>
      <c r="C189">
        <v>5001</v>
      </c>
      <c r="D189">
        <v>1144053800</v>
      </c>
      <c r="E189" t="s">
        <v>1150</v>
      </c>
      <c r="F189">
        <v>73050501</v>
      </c>
      <c r="G189" t="s">
        <v>1066</v>
      </c>
      <c r="H189">
        <v>310369</v>
      </c>
      <c r="I189">
        <v>6814305</v>
      </c>
    </row>
    <row r="190" spans="2:9" x14ac:dyDescent="0.25">
      <c r="B190">
        <v>1001</v>
      </c>
      <c r="C190">
        <v>5001</v>
      </c>
      <c r="D190">
        <v>1144053800</v>
      </c>
      <c r="E190" t="s">
        <v>1150</v>
      </c>
      <c r="F190">
        <v>73050501</v>
      </c>
      <c r="G190" t="s">
        <v>1066</v>
      </c>
      <c r="H190">
        <v>265247</v>
      </c>
      <c r="I190">
        <v>6814305</v>
      </c>
    </row>
    <row r="191" spans="2:9" x14ac:dyDescent="0.25">
      <c r="B191">
        <v>1001</v>
      </c>
      <c r="C191">
        <v>5001</v>
      </c>
      <c r="D191">
        <v>1144053800</v>
      </c>
      <c r="E191" t="s">
        <v>1150</v>
      </c>
      <c r="F191">
        <v>73050501</v>
      </c>
      <c r="G191" t="s">
        <v>1066</v>
      </c>
      <c r="H191">
        <v>233985</v>
      </c>
      <c r="I191">
        <v>6814305</v>
      </c>
    </row>
    <row r="192" spans="2:9" x14ac:dyDescent="0.25">
      <c r="B192">
        <v>1001</v>
      </c>
      <c r="C192">
        <v>5001</v>
      </c>
      <c r="D192">
        <v>1144053800</v>
      </c>
      <c r="E192" t="s">
        <v>1150</v>
      </c>
      <c r="F192">
        <v>73050501</v>
      </c>
      <c r="G192" t="s">
        <v>1066</v>
      </c>
      <c r="H192">
        <v>286435</v>
      </c>
      <c r="I192">
        <v>6814305</v>
      </c>
    </row>
    <row r="193" spans="2:9" x14ac:dyDescent="0.25">
      <c r="B193">
        <v>1001</v>
      </c>
      <c r="C193">
        <v>5001</v>
      </c>
      <c r="D193">
        <v>1144053800</v>
      </c>
      <c r="E193" t="s">
        <v>1150</v>
      </c>
      <c r="F193">
        <v>73050501</v>
      </c>
      <c r="G193" t="s">
        <v>1066</v>
      </c>
      <c r="H193">
        <v>308036</v>
      </c>
      <c r="I193">
        <v>6814305</v>
      </c>
    </row>
    <row r="194" spans="2:9" x14ac:dyDescent="0.25">
      <c r="B194">
        <v>1001</v>
      </c>
      <c r="C194">
        <v>5001</v>
      </c>
      <c r="D194">
        <v>1144053800</v>
      </c>
      <c r="E194" t="s">
        <v>1150</v>
      </c>
      <c r="F194">
        <v>73050501</v>
      </c>
      <c r="G194" t="s">
        <v>1066</v>
      </c>
      <c r="H194">
        <v>293386</v>
      </c>
      <c r="I194">
        <v>6814305</v>
      </c>
    </row>
    <row r="195" spans="2:9" x14ac:dyDescent="0.25">
      <c r="B195">
        <v>1001</v>
      </c>
      <c r="C195">
        <v>5001</v>
      </c>
      <c r="D195">
        <v>1144053800</v>
      </c>
      <c r="E195" t="s">
        <v>1150</v>
      </c>
      <c r="F195">
        <v>73050501</v>
      </c>
      <c r="G195" t="s">
        <v>1066</v>
      </c>
      <c r="H195">
        <v>252914</v>
      </c>
      <c r="I195">
        <v>6814305</v>
      </c>
    </row>
    <row r="196" spans="2:9" x14ac:dyDescent="0.25">
      <c r="B196">
        <v>1001</v>
      </c>
      <c r="C196">
        <v>5001</v>
      </c>
      <c r="D196">
        <v>1144053800</v>
      </c>
      <c r="E196" t="s">
        <v>1150</v>
      </c>
      <c r="F196">
        <v>73050501</v>
      </c>
      <c r="G196" t="s">
        <v>1066</v>
      </c>
      <c r="H196">
        <v>250962</v>
      </c>
      <c r="I196">
        <v>6814305</v>
      </c>
    </row>
    <row r="197" spans="2:9" x14ac:dyDescent="0.25">
      <c r="B197">
        <v>1001</v>
      </c>
      <c r="C197">
        <v>5001</v>
      </c>
      <c r="D197">
        <v>1144053800</v>
      </c>
      <c r="E197" t="s">
        <v>1150</v>
      </c>
      <c r="F197">
        <v>73050501</v>
      </c>
      <c r="G197" t="s">
        <v>1066</v>
      </c>
      <c r="H197">
        <v>282488</v>
      </c>
      <c r="I197">
        <v>6814305</v>
      </c>
    </row>
    <row r="198" spans="2:9" x14ac:dyDescent="0.25">
      <c r="B198">
        <v>1001</v>
      </c>
      <c r="C198">
        <v>5001</v>
      </c>
      <c r="D198">
        <v>1144053800</v>
      </c>
      <c r="E198" t="s">
        <v>1150</v>
      </c>
      <c r="F198">
        <v>73050501</v>
      </c>
      <c r="G198" t="s">
        <v>1066</v>
      </c>
      <c r="H198">
        <v>187272</v>
      </c>
      <c r="I198">
        <v>6814305</v>
      </c>
    </row>
    <row r="199" spans="2:9" x14ac:dyDescent="0.25">
      <c r="B199">
        <v>1001</v>
      </c>
      <c r="C199">
        <v>5001</v>
      </c>
      <c r="D199">
        <v>1144053800</v>
      </c>
      <c r="E199" t="s">
        <v>1150</v>
      </c>
      <c r="F199">
        <v>73050501</v>
      </c>
      <c r="G199" t="s">
        <v>1066</v>
      </c>
      <c r="H199">
        <v>243533</v>
      </c>
      <c r="I199">
        <v>6814305</v>
      </c>
    </row>
    <row r="200" spans="2:9" x14ac:dyDescent="0.25">
      <c r="B200">
        <v>1001</v>
      </c>
      <c r="C200">
        <v>5001</v>
      </c>
      <c r="D200">
        <v>1144053800</v>
      </c>
      <c r="E200" t="s">
        <v>1150</v>
      </c>
      <c r="F200">
        <v>73050501</v>
      </c>
      <c r="G200" t="s">
        <v>1066</v>
      </c>
      <c r="H200">
        <v>279667</v>
      </c>
      <c r="I200">
        <v>6814305</v>
      </c>
    </row>
    <row r="201" spans="2:9" x14ac:dyDescent="0.25">
      <c r="B201">
        <v>1001</v>
      </c>
      <c r="C201">
        <v>5001</v>
      </c>
      <c r="D201">
        <v>1144053800</v>
      </c>
      <c r="E201" t="s">
        <v>1150</v>
      </c>
      <c r="F201">
        <v>73050501</v>
      </c>
      <c r="G201" t="s">
        <v>1066</v>
      </c>
      <c r="H201">
        <v>299356</v>
      </c>
      <c r="I201">
        <v>6814305</v>
      </c>
    </row>
    <row r="202" spans="2:9" x14ac:dyDescent="0.25">
      <c r="B202">
        <v>1001</v>
      </c>
      <c r="C202">
        <v>5001</v>
      </c>
      <c r="D202">
        <v>1144053800</v>
      </c>
      <c r="E202" t="s">
        <v>1150</v>
      </c>
      <c r="F202">
        <v>73050501</v>
      </c>
      <c r="G202" t="s">
        <v>1066</v>
      </c>
      <c r="H202">
        <v>304395</v>
      </c>
      <c r="I202">
        <v>6814305</v>
      </c>
    </row>
    <row r="203" spans="2:9" x14ac:dyDescent="0.25">
      <c r="B203">
        <v>1001</v>
      </c>
      <c r="C203">
        <v>5001</v>
      </c>
      <c r="D203">
        <v>1144053800</v>
      </c>
      <c r="E203" t="s">
        <v>1150</v>
      </c>
      <c r="F203">
        <v>73050501</v>
      </c>
      <c r="G203" t="s">
        <v>1066</v>
      </c>
      <c r="H203">
        <v>310531</v>
      </c>
      <c r="I203">
        <v>6814305</v>
      </c>
    </row>
    <row r="204" spans="2:9" x14ac:dyDescent="0.25">
      <c r="B204">
        <v>1001</v>
      </c>
      <c r="C204">
        <v>5001</v>
      </c>
      <c r="D204">
        <v>1144053800</v>
      </c>
      <c r="E204" t="s">
        <v>1150</v>
      </c>
      <c r="F204">
        <v>73050501</v>
      </c>
      <c r="G204" t="s">
        <v>1066</v>
      </c>
      <c r="H204">
        <v>286128</v>
      </c>
      <c r="I204">
        <v>6814305</v>
      </c>
    </row>
    <row r="205" spans="2:9" x14ac:dyDescent="0.25">
      <c r="B205">
        <v>1001</v>
      </c>
      <c r="C205">
        <v>5001</v>
      </c>
      <c r="D205">
        <v>1144053800</v>
      </c>
      <c r="E205" t="s">
        <v>1150</v>
      </c>
      <c r="F205">
        <v>73050501</v>
      </c>
      <c r="G205" t="s">
        <v>1066</v>
      </c>
      <c r="H205">
        <v>268320</v>
      </c>
      <c r="I205">
        <v>6814305</v>
      </c>
    </row>
    <row r="206" spans="2:9" x14ac:dyDescent="0.25">
      <c r="B206">
        <v>1001</v>
      </c>
      <c r="C206">
        <v>5001</v>
      </c>
      <c r="D206">
        <v>1144053800</v>
      </c>
      <c r="E206" t="s">
        <v>1150</v>
      </c>
      <c r="F206">
        <v>73050501</v>
      </c>
      <c r="G206" t="s">
        <v>1066</v>
      </c>
      <c r="H206">
        <v>273558</v>
      </c>
      <c r="I206">
        <v>6814305</v>
      </c>
    </row>
    <row r="207" spans="2:9" x14ac:dyDescent="0.25">
      <c r="B207">
        <v>1001</v>
      </c>
      <c r="C207">
        <v>5001</v>
      </c>
      <c r="D207">
        <v>1144053800</v>
      </c>
      <c r="E207" t="s">
        <v>1150</v>
      </c>
      <c r="F207">
        <v>73050501</v>
      </c>
      <c r="G207" t="s">
        <v>1066</v>
      </c>
      <c r="H207">
        <v>290822</v>
      </c>
      <c r="I207">
        <v>6814305</v>
      </c>
    </row>
    <row r="208" spans="2:9" x14ac:dyDescent="0.25">
      <c r="B208">
        <v>1001</v>
      </c>
      <c r="C208">
        <v>5001</v>
      </c>
      <c r="D208">
        <v>1144053800</v>
      </c>
      <c r="E208" t="s">
        <v>1150</v>
      </c>
      <c r="F208">
        <v>73050501</v>
      </c>
      <c r="G208" t="s">
        <v>1066</v>
      </c>
      <c r="H208">
        <v>297139</v>
      </c>
      <c r="I208">
        <v>6814305</v>
      </c>
    </row>
    <row r="209" spans="2:9" x14ac:dyDescent="0.25">
      <c r="B209">
        <v>1001</v>
      </c>
      <c r="C209">
        <v>5001</v>
      </c>
      <c r="D209">
        <v>1144053800</v>
      </c>
      <c r="E209" t="s">
        <v>1150</v>
      </c>
      <c r="F209">
        <v>73051501</v>
      </c>
      <c r="G209" t="s">
        <v>1067</v>
      </c>
      <c r="H209">
        <v>2788</v>
      </c>
      <c r="I209">
        <v>19500</v>
      </c>
    </row>
    <row r="210" spans="2:9" x14ac:dyDescent="0.25">
      <c r="B210">
        <v>1001</v>
      </c>
      <c r="C210">
        <v>5001</v>
      </c>
      <c r="D210">
        <v>1144053800</v>
      </c>
      <c r="E210" t="s">
        <v>1150</v>
      </c>
      <c r="F210">
        <v>73051501</v>
      </c>
      <c r="G210" t="s">
        <v>1067</v>
      </c>
      <c r="H210">
        <v>2843</v>
      </c>
      <c r="I210">
        <v>19500</v>
      </c>
    </row>
    <row r="211" spans="2:9" x14ac:dyDescent="0.25">
      <c r="B211">
        <v>1001</v>
      </c>
      <c r="C211">
        <v>5001</v>
      </c>
      <c r="D211">
        <v>1144053800</v>
      </c>
      <c r="E211" t="s">
        <v>1150</v>
      </c>
      <c r="F211">
        <v>73051501</v>
      </c>
      <c r="G211" t="s">
        <v>1067</v>
      </c>
      <c r="H211">
        <v>1712</v>
      </c>
      <c r="I211">
        <v>19500</v>
      </c>
    </row>
    <row r="212" spans="2:9" x14ac:dyDescent="0.25">
      <c r="B212">
        <v>1001</v>
      </c>
      <c r="C212">
        <v>5001</v>
      </c>
      <c r="D212">
        <v>1144053800</v>
      </c>
      <c r="E212" t="s">
        <v>1150</v>
      </c>
      <c r="F212">
        <v>73051501</v>
      </c>
      <c r="G212" t="s">
        <v>1067</v>
      </c>
      <c r="H212">
        <v>12157</v>
      </c>
      <c r="I212">
        <v>19500</v>
      </c>
    </row>
    <row r="213" spans="2:9" x14ac:dyDescent="0.25">
      <c r="B213">
        <v>1001</v>
      </c>
      <c r="C213">
        <v>5001</v>
      </c>
      <c r="D213">
        <v>1144053800</v>
      </c>
      <c r="E213" t="s">
        <v>1150</v>
      </c>
      <c r="F213">
        <v>73051506</v>
      </c>
      <c r="G213" t="s">
        <v>1069</v>
      </c>
      <c r="H213">
        <v>55208</v>
      </c>
      <c r="I213">
        <v>1592540</v>
      </c>
    </row>
    <row r="214" spans="2:9" x14ac:dyDescent="0.25">
      <c r="B214">
        <v>1001</v>
      </c>
      <c r="C214">
        <v>5001</v>
      </c>
      <c r="D214">
        <v>1144053800</v>
      </c>
      <c r="E214" t="s">
        <v>1150</v>
      </c>
      <c r="F214">
        <v>73051506</v>
      </c>
      <c r="G214" t="s">
        <v>1069</v>
      </c>
      <c r="H214">
        <v>55208</v>
      </c>
      <c r="I214">
        <v>1592540</v>
      </c>
    </row>
    <row r="215" spans="2:9" x14ac:dyDescent="0.25">
      <c r="B215">
        <v>1001</v>
      </c>
      <c r="C215">
        <v>5001</v>
      </c>
      <c r="D215">
        <v>1144053800</v>
      </c>
      <c r="E215" t="s">
        <v>1150</v>
      </c>
      <c r="F215">
        <v>73051506</v>
      </c>
      <c r="G215" t="s">
        <v>1069</v>
      </c>
      <c r="H215">
        <v>55208</v>
      </c>
      <c r="I215">
        <v>1592540</v>
      </c>
    </row>
    <row r="216" spans="2:9" x14ac:dyDescent="0.25">
      <c r="B216">
        <v>1001</v>
      </c>
      <c r="C216">
        <v>5001</v>
      </c>
      <c r="D216">
        <v>1144053800</v>
      </c>
      <c r="E216" t="s">
        <v>1150</v>
      </c>
      <c r="F216">
        <v>73051506</v>
      </c>
      <c r="G216" t="s">
        <v>1069</v>
      </c>
      <c r="H216">
        <v>53249</v>
      </c>
      <c r="I216">
        <v>1592540</v>
      </c>
    </row>
    <row r="217" spans="2:9" x14ac:dyDescent="0.25">
      <c r="B217">
        <v>1001</v>
      </c>
      <c r="C217">
        <v>5001</v>
      </c>
      <c r="D217">
        <v>1144053800</v>
      </c>
      <c r="E217" t="s">
        <v>1150</v>
      </c>
      <c r="F217">
        <v>73051506</v>
      </c>
      <c r="G217" t="s">
        <v>1069</v>
      </c>
      <c r="H217">
        <v>51728</v>
      </c>
      <c r="I217">
        <v>1592540</v>
      </c>
    </row>
    <row r="218" spans="2:9" x14ac:dyDescent="0.25">
      <c r="B218">
        <v>1001</v>
      </c>
      <c r="C218">
        <v>5001</v>
      </c>
      <c r="D218">
        <v>1144053800</v>
      </c>
      <c r="E218" t="s">
        <v>1150</v>
      </c>
      <c r="F218">
        <v>73051506</v>
      </c>
      <c r="G218" t="s">
        <v>1069</v>
      </c>
      <c r="H218">
        <v>76362</v>
      </c>
      <c r="I218">
        <v>1592540</v>
      </c>
    </row>
    <row r="219" spans="2:9" x14ac:dyDescent="0.25">
      <c r="B219">
        <v>1001</v>
      </c>
      <c r="C219">
        <v>5001</v>
      </c>
      <c r="D219">
        <v>1144053800</v>
      </c>
      <c r="E219" t="s">
        <v>1150</v>
      </c>
      <c r="F219">
        <v>73051506</v>
      </c>
      <c r="G219" t="s">
        <v>1069</v>
      </c>
      <c r="H219">
        <v>110415</v>
      </c>
      <c r="I219">
        <v>1592540</v>
      </c>
    </row>
    <row r="220" spans="2:9" x14ac:dyDescent="0.25">
      <c r="B220">
        <v>1001</v>
      </c>
      <c r="C220">
        <v>5001</v>
      </c>
      <c r="D220">
        <v>1144053800</v>
      </c>
      <c r="E220" t="s">
        <v>1150</v>
      </c>
      <c r="F220">
        <v>73051506</v>
      </c>
      <c r="G220" t="s">
        <v>1069</v>
      </c>
      <c r="H220">
        <v>82812</v>
      </c>
      <c r="I220">
        <v>1592540</v>
      </c>
    </row>
    <row r="221" spans="2:9" x14ac:dyDescent="0.25">
      <c r="B221">
        <v>1001</v>
      </c>
      <c r="C221">
        <v>5001</v>
      </c>
      <c r="D221">
        <v>1144053800</v>
      </c>
      <c r="E221" t="s">
        <v>1150</v>
      </c>
      <c r="F221">
        <v>73051506</v>
      </c>
      <c r="G221" t="s">
        <v>1069</v>
      </c>
      <c r="H221">
        <v>55208</v>
      </c>
      <c r="I221">
        <v>1592540</v>
      </c>
    </row>
    <row r="222" spans="2:9" x14ac:dyDescent="0.25">
      <c r="B222">
        <v>1001</v>
      </c>
      <c r="C222">
        <v>5001</v>
      </c>
      <c r="D222">
        <v>1144053800</v>
      </c>
      <c r="E222" t="s">
        <v>1150</v>
      </c>
      <c r="F222">
        <v>73051506</v>
      </c>
      <c r="G222" t="s">
        <v>1069</v>
      </c>
      <c r="H222">
        <v>51514</v>
      </c>
      <c r="I222">
        <v>1592540</v>
      </c>
    </row>
    <row r="223" spans="2:9" x14ac:dyDescent="0.25">
      <c r="B223">
        <v>1001</v>
      </c>
      <c r="C223">
        <v>5001</v>
      </c>
      <c r="D223">
        <v>1144053800</v>
      </c>
      <c r="E223" t="s">
        <v>1150</v>
      </c>
      <c r="F223">
        <v>73051506</v>
      </c>
      <c r="G223" t="s">
        <v>1069</v>
      </c>
      <c r="H223">
        <v>69756</v>
      </c>
      <c r="I223">
        <v>1592540</v>
      </c>
    </row>
    <row r="224" spans="2:9" x14ac:dyDescent="0.25">
      <c r="B224">
        <v>1001</v>
      </c>
      <c r="C224">
        <v>5001</v>
      </c>
      <c r="D224">
        <v>1144053800</v>
      </c>
      <c r="E224" t="s">
        <v>1150</v>
      </c>
      <c r="F224">
        <v>73051506</v>
      </c>
      <c r="G224" t="s">
        <v>1069</v>
      </c>
      <c r="H224">
        <v>73510</v>
      </c>
      <c r="I224">
        <v>1592540</v>
      </c>
    </row>
    <row r="225" spans="2:9" x14ac:dyDescent="0.25">
      <c r="B225">
        <v>1001</v>
      </c>
      <c r="C225">
        <v>5001</v>
      </c>
      <c r="D225">
        <v>1144053800</v>
      </c>
      <c r="E225" t="s">
        <v>1150</v>
      </c>
      <c r="F225">
        <v>73051506</v>
      </c>
      <c r="G225" t="s">
        <v>1069</v>
      </c>
      <c r="H225">
        <v>82812</v>
      </c>
      <c r="I225">
        <v>1592540</v>
      </c>
    </row>
    <row r="226" spans="2:9" x14ac:dyDescent="0.25">
      <c r="B226">
        <v>1001</v>
      </c>
      <c r="C226">
        <v>5001</v>
      </c>
      <c r="D226">
        <v>1144053800</v>
      </c>
      <c r="E226" t="s">
        <v>1150</v>
      </c>
      <c r="F226">
        <v>73051506</v>
      </c>
      <c r="G226" t="s">
        <v>1069</v>
      </c>
      <c r="H226">
        <v>58816</v>
      </c>
      <c r="I226">
        <v>1592540</v>
      </c>
    </row>
    <row r="227" spans="2:9" x14ac:dyDescent="0.25">
      <c r="B227">
        <v>1001</v>
      </c>
      <c r="C227">
        <v>5001</v>
      </c>
      <c r="D227">
        <v>1144053800</v>
      </c>
      <c r="E227" t="s">
        <v>1150</v>
      </c>
      <c r="F227">
        <v>73051506</v>
      </c>
      <c r="G227" t="s">
        <v>1069</v>
      </c>
      <c r="H227">
        <v>68193</v>
      </c>
      <c r="I227">
        <v>1592540</v>
      </c>
    </row>
    <row r="228" spans="2:9" x14ac:dyDescent="0.25">
      <c r="B228">
        <v>1001</v>
      </c>
      <c r="C228">
        <v>5001</v>
      </c>
      <c r="D228">
        <v>1144053800</v>
      </c>
      <c r="E228" t="s">
        <v>1150</v>
      </c>
      <c r="F228">
        <v>73051506</v>
      </c>
      <c r="G228" t="s">
        <v>1069</v>
      </c>
      <c r="H228">
        <v>80295</v>
      </c>
      <c r="I228">
        <v>1592540</v>
      </c>
    </row>
    <row r="229" spans="2:9" x14ac:dyDescent="0.25">
      <c r="B229">
        <v>1001</v>
      </c>
      <c r="C229">
        <v>5001</v>
      </c>
      <c r="D229">
        <v>1144053800</v>
      </c>
      <c r="E229" t="s">
        <v>1150</v>
      </c>
      <c r="F229">
        <v>73051506</v>
      </c>
      <c r="G229" t="s">
        <v>1069</v>
      </c>
      <c r="H229">
        <v>51453</v>
      </c>
      <c r="I229">
        <v>1592540</v>
      </c>
    </row>
    <row r="230" spans="2:9" x14ac:dyDescent="0.25">
      <c r="B230">
        <v>1001</v>
      </c>
      <c r="C230">
        <v>5001</v>
      </c>
      <c r="D230">
        <v>1144053800</v>
      </c>
      <c r="E230" t="s">
        <v>1150</v>
      </c>
      <c r="F230">
        <v>73051506</v>
      </c>
      <c r="G230" t="s">
        <v>1069</v>
      </c>
      <c r="H230">
        <v>52419</v>
      </c>
      <c r="I230">
        <v>1592540</v>
      </c>
    </row>
    <row r="231" spans="2:9" x14ac:dyDescent="0.25">
      <c r="B231">
        <v>1001</v>
      </c>
      <c r="C231">
        <v>5001</v>
      </c>
      <c r="D231">
        <v>1144053800</v>
      </c>
      <c r="E231" t="s">
        <v>1150</v>
      </c>
      <c r="F231">
        <v>73051506</v>
      </c>
      <c r="G231" t="s">
        <v>1069</v>
      </c>
      <c r="H231">
        <v>55208</v>
      </c>
      <c r="I231">
        <v>1592540</v>
      </c>
    </row>
    <row r="232" spans="2:9" x14ac:dyDescent="0.25">
      <c r="B232">
        <v>1001</v>
      </c>
      <c r="C232">
        <v>5001</v>
      </c>
      <c r="D232">
        <v>1144053800</v>
      </c>
      <c r="E232" t="s">
        <v>1150</v>
      </c>
      <c r="F232">
        <v>73051506</v>
      </c>
      <c r="G232" t="s">
        <v>1069</v>
      </c>
      <c r="H232">
        <v>82812</v>
      </c>
      <c r="I232">
        <v>1592540</v>
      </c>
    </row>
    <row r="233" spans="2:9" x14ac:dyDescent="0.25">
      <c r="B233">
        <v>1001</v>
      </c>
      <c r="C233">
        <v>5001</v>
      </c>
      <c r="D233">
        <v>1144053800</v>
      </c>
      <c r="E233" t="s">
        <v>1150</v>
      </c>
      <c r="F233">
        <v>73051506</v>
      </c>
      <c r="G233" t="s">
        <v>1069</v>
      </c>
      <c r="H233">
        <v>55208</v>
      </c>
      <c r="I233">
        <v>1592540</v>
      </c>
    </row>
    <row r="234" spans="2:9" x14ac:dyDescent="0.25">
      <c r="B234">
        <v>1001</v>
      </c>
      <c r="C234">
        <v>5001</v>
      </c>
      <c r="D234">
        <v>1144053800</v>
      </c>
      <c r="E234" t="s">
        <v>1150</v>
      </c>
      <c r="F234">
        <v>73051506</v>
      </c>
      <c r="G234" t="s">
        <v>1069</v>
      </c>
      <c r="H234">
        <v>110415</v>
      </c>
      <c r="I234">
        <v>1592540</v>
      </c>
    </row>
    <row r="235" spans="2:9" x14ac:dyDescent="0.25">
      <c r="B235">
        <v>1001</v>
      </c>
      <c r="C235">
        <v>5001</v>
      </c>
      <c r="D235">
        <v>1144053800</v>
      </c>
      <c r="E235" t="s">
        <v>1150</v>
      </c>
      <c r="F235">
        <v>73051506</v>
      </c>
      <c r="G235" t="s">
        <v>1069</v>
      </c>
      <c r="H235">
        <v>55208</v>
      </c>
      <c r="I235">
        <v>1592540</v>
      </c>
    </row>
    <row r="236" spans="2:9" x14ac:dyDescent="0.25">
      <c r="B236">
        <v>1001</v>
      </c>
      <c r="C236">
        <v>5001</v>
      </c>
      <c r="D236">
        <v>1144053800</v>
      </c>
      <c r="E236" t="s">
        <v>1150</v>
      </c>
      <c r="F236">
        <v>73051506</v>
      </c>
      <c r="G236" t="s">
        <v>1069</v>
      </c>
      <c r="H236">
        <v>49523</v>
      </c>
      <c r="I236">
        <v>1592540</v>
      </c>
    </row>
    <row r="237" spans="2:9" x14ac:dyDescent="0.25">
      <c r="B237">
        <v>1001</v>
      </c>
      <c r="C237">
        <v>5001</v>
      </c>
      <c r="D237">
        <v>1144053800</v>
      </c>
      <c r="E237" t="s">
        <v>1150</v>
      </c>
      <c r="F237">
        <v>73052401</v>
      </c>
      <c r="G237" t="s">
        <v>1070</v>
      </c>
      <c r="H237">
        <v>55208</v>
      </c>
      <c r="I237">
        <v>55208</v>
      </c>
    </row>
    <row r="238" spans="2:9" x14ac:dyDescent="0.25">
      <c r="B238">
        <v>1001</v>
      </c>
      <c r="C238">
        <v>5001</v>
      </c>
      <c r="D238">
        <v>1144053800</v>
      </c>
      <c r="E238" t="s">
        <v>1150</v>
      </c>
      <c r="F238">
        <v>73052701</v>
      </c>
      <c r="G238" t="s">
        <v>1071</v>
      </c>
      <c r="H238">
        <v>45282</v>
      </c>
      <c r="I238">
        <v>1086768</v>
      </c>
    </row>
    <row r="239" spans="2:9" x14ac:dyDescent="0.25">
      <c r="B239">
        <v>1001</v>
      </c>
      <c r="C239">
        <v>5001</v>
      </c>
      <c r="D239">
        <v>1144053800</v>
      </c>
      <c r="E239" t="s">
        <v>1150</v>
      </c>
      <c r="F239">
        <v>73052701</v>
      </c>
      <c r="G239" t="s">
        <v>1071</v>
      </c>
      <c r="H239">
        <v>45282</v>
      </c>
      <c r="I239">
        <v>1086768</v>
      </c>
    </row>
    <row r="240" spans="2:9" x14ac:dyDescent="0.25">
      <c r="B240">
        <v>1001</v>
      </c>
      <c r="C240">
        <v>5001</v>
      </c>
      <c r="D240">
        <v>1144053800</v>
      </c>
      <c r="E240" t="s">
        <v>1150</v>
      </c>
      <c r="F240">
        <v>73052701</v>
      </c>
      <c r="G240" t="s">
        <v>1071</v>
      </c>
      <c r="H240">
        <v>45282</v>
      </c>
      <c r="I240">
        <v>1086768</v>
      </c>
    </row>
    <row r="241" spans="2:9" x14ac:dyDescent="0.25">
      <c r="B241">
        <v>1001</v>
      </c>
      <c r="C241">
        <v>5001</v>
      </c>
      <c r="D241">
        <v>1144053800</v>
      </c>
      <c r="E241" t="s">
        <v>1150</v>
      </c>
      <c r="F241">
        <v>73052701</v>
      </c>
      <c r="G241" t="s">
        <v>1071</v>
      </c>
      <c r="H241">
        <v>45282</v>
      </c>
      <c r="I241">
        <v>1086768</v>
      </c>
    </row>
    <row r="242" spans="2:9" x14ac:dyDescent="0.25">
      <c r="B242">
        <v>1001</v>
      </c>
      <c r="C242">
        <v>5001</v>
      </c>
      <c r="D242">
        <v>1144053800</v>
      </c>
      <c r="E242" t="s">
        <v>1150</v>
      </c>
      <c r="F242">
        <v>73052701</v>
      </c>
      <c r="G242" t="s">
        <v>1071</v>
      </c>
      <c r="H242">
        <v>45282</v>
      </c>
      <c r="I242">
        <v>1086768</v>
      </c>
    </row>
    <row r="243" spans="2:9" x14ac:dyDescent="0.25">
      <c r="B243">
        <v>1001</v>
      </c>
      <c r="C243">
        <v>5001</v>
      </c>
      <c r="D243">
        <v>1144053800</v>
      </c>
      <c r="E243" t="s">
        <v>1150</v>
      </c>
      <c r="F243">
        <v>73052701</v>
      </c>
      <c r="G243" t="s">
        <v>1071</v>
      </c>
      <c r="H243">
        <v>45282</v>
      </c>
      <c r="I243">
        <v>1086768</v>
      </c>
    </row>
    <row r="244" spans="2:9" x14ac:dyDescent="0.25">
      <c r="B244">
        <v>1001</v>
      </c>
      <c r="C244">
        <v>5001</v>
      </c>
      <c r="D244">
        <v>1144053800</v>
      </c>
      <c r="E244" t="s">
        <v>1150</v>
      </c>
      <c r="F244">
        <v>73052701</v>
      </c>
      <c r="G244" t="s">
        <v>1071</v>
      </c>
      <c r="H244">
        <v>45282</v>
      </c>
      <c r="I244">
        <v>1086768</v>
      </c>
    </row>
    <row r="245" spans="2:9" x14ac:dyDescent="0.25">
      <c r="B245">
        <v>1001</v>
      </c>
      <c r="C245">
        <v>5001</v>
      </c>
      <c r="D245">
        <v>1144053800</v>
      </c>
      <c r="E245" t="s">
        <v>1150</v>
      </c>
      <c r="F245">
        <v>73052701</v>
      </c>
      <c r="G245" t="s">
        <v>1071</v>
      </c>
      <c r="H245">
        <v>45282</v>
      </c>
      <c r="I245">
        <v>1086768</v>
      </c>
    </row>
    <row r="246" spans="2:9" x14ac:dyDescent="0.25">
      <c r="B246">
        <v>1001</v>
      </c>
      <c r="C246">
        <v>5001</v>
      </c>
      <c r="D246">
        <v>1144053800</v>
      </c>
      <c r="E246" t="s">
        <v>1150</v>
      </c>
      <c r="F246">
        <v>73052701</v>
      </c>
      <c r="G246" t="s">
        <v>1071</v>
      </c>
      <c r="H246">
        <v>45282</v>
      </c>
      <c r="I246">
        <v>1086768</v>
      </c>
    </row>
    <row r="247" spans="2:9" x14ac:dyDescent="0.25">
      <c r="B247">
        <v>1001</v>
      </c>
      <c r="C247">
        <v>5001</v>
      </c>
      <c r="D247">
        <v>1144053800</v>
      </c>
      <c r="E247" t="s">
        <v>1150</v>
      </c>
      <c r="F247">
        <v>73052701</v>
      </c>
      <c r="G247" t="s">
        <v>1071</v>
      </c>
      <c r="H247">
        <v>45282</v>
      </c>
      <c r="I247">
        <v>1086768</v>
      </c>
    </row>
    <row r="248" spans="2:9" x14ac:dyDescent="0.25">
      <c r="B248">
        <v>1001</v>
      </c>
      <c r="C248">
        <v>5001</v>
      </c>
      <c r="D248">
        <v>1144053800</v>
      </c>
      <c r="E248" t="s">
        <v>1150</v>
      </c>
      <c r="F248">
        <v>73052701</v>
      </c>
      <c r="G248" t="s">
        <v>1071</v>
      </c>
      <c r="H248">
        <v>45282</v>
      </c>
      <c r="I248">
        <v>1086768</v>
      </c>
    </row>
    <row r="249" spans="2:9" x14ac:dyDescent="0.25">
      <c r="B249">
        <v>1001</v>
      </c>
      <c r="C249">
        <v>5001</v>
      </c>
      <c r="D249">
        <v>1144053800</v>
      </c>
      <c r="E249" t="s">
        <v>1150</v>
      </c>
      <c r="F249">
        <v>73052701</v>
      </c>
      <c r="G249" t="s">
        <v>1071</v>
      </c>
      <c r="H249">
        <v>45282</v>
      </c>
      <c r="I249">
        <v>1086768</v>
      </c>
    </row>
    <row r="250" spans="2:9" x14ac:dyDescent="0.25">
      <c r="B250">
        <v>1001</v>
      </c>
      <c r="C250">
        <v>5001</v>
      </c>
      <c r="D250">
        <v>1144053800</v>
      </c>
      <c r="E250" t="s">
        <v>1150</v>
      </c>
      <c r="F250">
        <v>73052701</v>
      </c>
      <c r="G250" t="s">
        <v>1071</v>
      </c>
      <c r="H250">
        <v>45282</v>
      </c>
      <c r="I250">
        <v>1086768</v>
      </c>
    </row>
    <row r="251" spans="2:9" x14ac:dyDescent="0.25">
      <c r="B251">
        <v>1001</v>
      </c>
      <c r="C251">
        <v>5001</v>
      </c>
      <c r="D251">
        <v>1144053800</v>
      </c>
      <c r="E251" t="s">
        <v>1150</v>
      </c>
      <c r="F251">
        <v>73052701</v>
      </c>
      <c r="G251" t="s">
        <v>1071</v>
      </c>
      <c r="H251">
        <v>45282</v>
      </c>
      <c r="I251">
        <v>1086768</v>
      </c>
    </row>
    <row r="252" spans="2:9" x14ac:dyDescent="0.25">
      <c r="B252">
        <v>1001</v>
      </c>
      <c r="C252">
        <v>5001</v>
      </c>
      <c r="D252">
        <v>1144053800</v>
      </c>
      <c r="E252" t="s">
        <v>1150</v>
      </c>
      <c r="F252">
        <v>73052701</v>
      </c>
      <c r="G252" t="s">
        <v>1071</v>
      </c>
      <c r="H252">
        <v>45282</v>
      </c>
      <c r="I252">
        <v>1086768</v>
      </c>
    </row>
    <row r="253" spans="2:9" x14ac:dyDescent="0.25">
      <c r="B253">
        <v>1001</v>
      </c>
      <c r="C253">
        <v>5001</v>
      </c>
      <c r="D253">
        <v>1144053800</v>
      </c>
      <c r="E253" t="s">
        <v>1150</v>
      </c>
      <c r="F253">
        <v>73052701</v>
      </c>
      <c r="G253" t="s">
        <v>1071</v>
      </c>
      <c r="H253">
        <v>45282</v>
      </c>
      <c r="I253">
        <v>1086768</v>
      </c>
    </row>
    <row r="254" spans="2:9" x14ac:dyDescent="0.25">
      <c r="B254">
        <v>1001</v>
      </c>
      <c r="C254">
        <v>5001</v>
      </c>
      <c r="D254">
        <v>1144053800</v>
      </c>
      <c r="E254" t="s">
        <v>1150</v>
      </c>
      <c r="F254">
        <v>73052701</v>
      </c>
      <c r="G254" t="s">
        <v>1071</v>
      </c>
      <c r="H254">
        <v>45282</v>
      </c>
      <c r="I254">
        <v>1086768</v>
      </c>
    </row>
    <row r="255" spans="2:9" x14ac:dyDescent="0.25">
      <c r="B255">
        <v>1001</v>
      </c>
      <c r="C255">
        <v>5001</v>
      </c>
      <c r="D255">
        <v>1144053800</v>
      </c>
      <c r="E255" t="s">
        <v>1150</v>
      </c>
      <c r="F255">
        <v>73052701</v>
      </c>
      <c r="G255" t="s">
        <v>1071</v>
      </c>
      <c r="H255">
        <v>45282</v>
      </c>
      <c r="I255">
        <v>1086768</v>
      </c>
    </row>
    <row r="256" spans="2:9" x14ac:dyDescent="0.25">
      <c r="B256">
        <v>1001</v>
      </c>
      <c r="C256">
        <v>5001</v>
      </c>
      <c r="D256">
        <v>1144053800</v>
      </c>
      <c r="E256" t="s">
        <v>1150</v>
      </c>
      <c r="F256">
        <v>73052701</v>
      </c>
      <c r="G256" t="s">
        <v>1071</v>
      </c>
      <c r="H256">
        <v>45282</v>
      </c>
      <c r="I256">
        <v>1086768</v>
      </c>
    </row>
    <row r="257" spans="2:9" x14ac:dyDescent="0.25">
      <c r="B257">
        <v>1001</v>
      </c>
      <c r="C257">
        <v>5001</v>
      </c>
      <c r="D257">
        <v>1144053800</v>
      </c>
      <c r="E257" t="s">
        <v>1150</v>
      </c>
      <c r="F257">
        <v>73052701</v>
      </c>
      <c r="G257" t="s">
        <v>1071</v>
      </c>
      <c r="H257">
        <v>45282</v>
      </c>
      <c r="I257">
        <v>1086768</v>
      </c>
    </row>
    <row r="258" spans="2:9" x14ac:dyDescent="0.25">
      <c r="B258">
        <v>1001</v>
      </c>
      <c r="C258">
        <v>5001</v>
      </c>
      <c r="D258">
        <v>1144053800</v>
      </c>
      <c r="E258" t="s">
        <v>1150</v>
      </c>
      <c r="F258">
        <v>73052701</v>
      </c>
      <c r="G258" t="s">
        <v>1071</v>
      </c>
      <c r="H258">
        <v>45282</v>
      </c>
      <c r="I258">
        <v>1086768</v>
      </c>
    </row>
    <row r="259" spans="2:9" x14ac:dyDescent="0.25">
      <c r="B259">
        <v>1001</v>
      </c>
      <c r="C259">
        <v>5001</v>
      </c>
      <c r="D259">
        <v>1144053800</v>
      </c>
      <c r="E259" t="s">
        <v>1150</v>
      </c>
      <c r="F259">
        <v>73052701</v>
      </c>
      <c r="G259" t="s">
        <v>1071</v>
      </c>
      <c r="H259">
        <v>45282</v>
      </c>
      <c r="I259">
        <v>1086768</v>
      </c>
    </row>
    <row r="260" spans="2:9" x14ac:dyDescent="0.25">
      <c r="B260">
        <v>1001</v>
      </c>
      <c r="C260">
        <v>5001</v>
      </c>
      <c r="D260">
        <v>1144053800</v>
      </c>
      <c r="E260" t="s">
        <v>1150</v>
      </c>
      <c r="F260">
        <v>73052701</v>
      </c>
      <c r="G260" t="s">
        <v>1071</v>
      </c>
      <c r="H260">
        <v>45282</v>
      </c>
      <c r="I260">
        <v>1086768</v>
      </c>
    </row>
    <row r="261" spans="2:9" x14ac:dyDescent="0.25">
      <c r="B261">
        <v>1001</v>
      </c>
      <c r="C261">
        <v>5001</v>
      </c>
      <c r="D261">
        <v>1144053800</v>
      </c>
      <c r="E261" t="s">
        <v>1150</v>
      </c>
      <c r="F261">
        <v>73052701</v>
      </c>
      <c r="G261" t="s">
        <v>1071</v>
      </c>
      <c r="H261">
        <v>45282</v>
      </c>
      <c r="I261">
        <v>1086768</v>
      </c>
    </row>
    <row r="262" spans="2:9" x14ac:dyDescent="0.25">
      <c r="B262">
        <v>1001</v>
      </c>
      <c r="C262">
        <v>5001</v>
      </c>
      <c r="D262">
        <v>31968309</v>
      </c>
      <c r="E262" t="s">
        <v>1170</v>
      </c>
      <c r="F262">
        <v>73050501</v>
      </c>
      <c r="G262" t="s">
        <v>1066</v>
      </c>
      <c r="H262">
        <v>422275</v>
      </c>
      <c r="I262">
        <v>10134600</v>
      </c>
    </row>
    <row r="263" spans="2:9" x14ac:dyDescent="0.25">
      <c r="B263">
        <v>1001</v>
      </c>
      <c r="C263">
        <v>5001</v>
      </c>
      <c r="D263">
        <v>31968309</v>
      </c>
      <c r="E263" t="s">
        <v>1170</v>
      </c>
      <c r="F263">
        <v>73050501</v>
      </c>
      <c r="G263" t="s">
        <v>1066</v>
      </c>
      <c r="H263">
        <v>422275</v>
      </c>
      <c r="I263">
        <v>10134600</v>
      </c>
    </row>
    <row r="264" spans="2:9" x14ac:dyDescent="0.25">
      <c r="B264">
        <v>1001</v>
      </c>
      <c r="C264">
        <v>5001</v>
      </c>
      <c r="D264">
        <v>31968309</v>
      </c>
      <c r="E264" t="s">
        <v>1170</v>
      </c>
      <c r="F264">
        <v>73050501</v>
      </c>
      <c r="G264" t="s">
        <v>1066</v>
      </c>
      <c r="H264">
        <v>422275</v>
      </c>
      <c r="I264">
        <v>10134600</v>
      </c>
    </row>
    <row r="265" spans="2:9" x14ac:dyDescent="0.25">
      <c r="B265">
        <v>1001</v>
      </c>
      <c r="C265">
        <v>5001</v>
      </c>
      <c r="D265">
        <v>31968309</v>
      </c>
      <c r="E265" t="s">
        <v>1170</v>
      </c>
      <c r="F265">
        <v>73050501</v>
      </c>
      <c r="G265" t="s">
        <v>1066</v>
      </c>
      <c r="H265">
        <v>422275</v>
      </c>
      <c r="I265">
        <v>10134600</v>
      </c>
    </row>
    <row r="266" spans="2:9" x14ac:dyDescent="0.25">
      <c r="B266">
        <v>1001</v>
      </c>
      <c r="C266">
        <v>5001</v>
      </c>
      <c r="D266">
        <v>31968309</v>
      </c>
      <c r="E266" t="s">
        <v>1170</v>
      </c>
      <c r="F266">
        <v>73050501</v>
      </c>
      <c r="G266" t="s">
        <v>1066</v>
      </c>
      <c r="H266">
        <v>422275</v>
      </c>
      <c r="I266">
        <v>10134600</v>
      </c>
    </row>
    <row r="267" spans="2:9" x14ac:dyDescent="0.25">
      <c r="B267">
        <v>1001</v>
      </c>
      <c r="C267">
        <v>5001</v>
      </c>
      <c r="D267">
        <v>31968309</v>
      </c>
      <c r="E267" t="s">
        <v>1170</v>
      </c>
      <c r="F267">
        <v>73050501</v>
      </c>
      <c r="G267" t="s">
        <v>1066</v>
      </c>
      <c r="H267">
        <v>422275</v>
      </c>
      <c r="I267">
        <v>10134600</v>
      </c>
    </row>
    <row r="268" spans="2:9" x14ac:dyDescent="0.25">
      <c r="B268">
        <v>1001</v>
      </c>
      <c r="C268">
        <v>5001</v>
      </c>
      <c r="D268">
        <v>31968309</v>
      </c>
      <c r="E268" t="s">
        <v>1170</v>
      </c>
      <c r="F268">
        <v>73050501</v>
      </c>
      <c r="G268" t="s">
        <v>1066</v>
      </c>
      <c r="H268">
        <v>422275</v>
      </c>
      <c r="I268">
        <v>10134600</v>
      </c>
    </row>
    <row r="269" spans="2:9" x14ac:dyDescent="0.25">
      <c r="B269">
        <v>1001</v>
      </c>
      <c r="C269">
        <v>5001</v>
      </c>
      <c r="D269">
        <v>31968309</v>
      </c>
      <c r="E269" t="s">
        <v>1170</v>
      </c>
      <c r="F269">
        <v>73050501</v>
      </c>
      <c r="G269" t="s">
        <v>1066</v>
      </c>
      <c r="H269">
        <v>422275</v>
      </c>
      <c r="I269">
        <v>10134600</v>
      </c>
    </row>
    <row r="270" spans="2:9" x14ac:dyDescent="0.25">
      <c r="B270">
        <v>1001</v>
      </c>
      <c r="C270">
        <v>5001</v>
      </c>
      <c r="D270">
        <v>31968309</v>
      </c>
      <c r="E270" t="s">
        <v>1170</v>
      </c>
      <c r="F270">
        <v>73050501</v>
      </c>
      <c r="G270" t="s">
        <v>1066</v>
      </c>
      <c r="H270">
        <v>422275</v>
      </c>
      <c r="I270">
        <v>10134600</v>
      </c>
    </row>
    <row r="271" spans="2:9" x14ac:dyDescent="0.25">
      <c r="B271">
        <v>1001</v>
      </c>
      <c r="C271">
        <v>5001</v>
      </c>
      <c r="D271">
        <v>31968309</v>
      </c>
      <c r="E271" t="s">
        <v>1170</v>
      </c>
      <c r="F271">
        <v>73050501</v>
      </c>
      <c r="G271" t="s">
        <v>1066</v>
      </c>
      <c r="H271">
        <v>422275</v>
      </c>
      <c r="I271">
        <v>10134600</v>
      </c>
    </row>
    <row r="272" spans="2:9" x14ac:dyDescent="0.25">
      <c r="B272">
        <v>1001</v>
      </c>
      <c r="C272">
        <v>5001</v>
      </c>
      <c r="D272">
        <v>31968309</v>
      </c>
      <c r="E272" t="s">
        <v>1170</v>
      </c>
      <c r="F272">
        <v>73050501</v>
      </c>
      <c r="G272" t="s">
        <v>1066</v>
      </c>
      <c r="H272">
        <v>422275</v>
      </c>
      <c r="I272">
        <v>10134600</v>
      </c>
    </row>
    <row r="273" spans="2:9" x14ac:dyDescent="0.25">
      <c r="B273">
        <v>1001</v>
      </c>
      <c r="C273">
        <v>5001</v>
      </c>
      <c r="D273">
        <v>31968309</v>
      </c>
      <c r="E273" t="s">
        <v>1170</v>
      </c>
      <c r="F273">
        <v>73050501</v>
      </c>
      <c r="G273" t="s">
        <v>1066</v>
      </c>
      <c r="H273">
        <v>422275</v>
      </c>
      <c r="I273">
        <v>10134600</v>
      </c>
    </row>
    <row r="274" spans="2:9" x14ac:dyDescent="0.25">
      <c r="B274">
        <v>1001</v>
      </c>
      <c r="C274">
        <v>5001</v>
      </c>
      <c r="D274">
        <v>31968309</v>
      </c>
      <c r="E274" t="s">
        <v>1170</v>
      </c>
      <c r="F274">
        <v>73050501</v>
      </c>
      <c r="G274" t="s">
        <v>1066</v>
      </c>
      <c r="H274">
        <v>422275</v>
      </c>
      <c r="I274">
        <v>10134600</v>
      </c>
    </row>
    <row r="275" spans="2:9" x14ac:dyDescent="0.25">
      <c r="B275">
        <v>1001</v>
      </c>
      <c r="C275">
        <v>5001</v>
      </c>
      <c r="D275">
        <v>31968309</v>
      </c>
      <c r="E275" t="s">
        <v>1170</v>
      </c>
      <c r="F275">
        <v>73050501</v>
      </c>
      <c r="G275" t="s">
        <v>1066</v>
      </c>
      <c r="H275">
        <v>422275</v>
      </c>
      <c r="I275">
        <v>10134600</v>
      </c>
    </row>
    <row r="276" spans="2:9" x14ac:dyDescent="0.25">
      <c r="B276">
        <v>1001</v>
      </c>
      <c r="C276">
        <v>5001</v>
      </c>
      <c r="D276">
        <v>31968309</v>
      </c>
      <c r="E276" t="s">
        <v>1170</v>
      </c>
      <c r="F276">
        <v>73050501</v>
      </c>
      <c r="G276" t="s">
        <v>1066</v>
      </c>
      <c r="H276">
        <v>422275</v>
      </c>
      <c r="I276">
        <v>10134600</v>
      </c>
    </row>
    <row r="277" spans="2:9" x14ac:dyDescent="0.25">
      <c r="B277">
        <v>1001</v>
      </c>
      <c r="C277">
        <v>5001</v>
      </c>
      <c r="D277">
        <v>31968309</v>
      </c>
      <c r="E277" t="s">
        <v>1170</v>
      </c>
      <c r="F277">
        <v>73050501</v>
      </c>
      <c r="G277" t="s">
        <v>1066</v>
      </c>
      <c r="H277">
        <v>422275</v>
      </c>
      <c r="I277">
        <v>10134600</v>
      </c>
    </row>
    <row r="278" spans="2:9" x14ac:dyDescent="0.25">
      <c r="B278">
        <v>1001</v>
      </c>
      <c r="C278">
        <v>5001</v>
      </c>
      <c r="D278">
        <v>31968309</v>
      </c>
      <c r="E278" t="s">
        <v>1170</v>
      </c>
      <c r="F278">
        <v>73050501</v>
      </c>
      <c r="G278" t="s">
        <v>1066</v>
      </c>
      <c r="H278">
        <v>422275</v>
      </c>
      <c r="I278">
        <v>10134600</v>
      </c>
    </row>
    <row r="279" spans="2:9" x14ac:dyDescent="0.25">
      <c r="B279">
        <v>1001</v>
      </c>
      <c r="C279">
        <v>5001</v>
      </c>
      <c r="D279">
        <v>31968309</v>
      </c>
      <c r="E279" t="s">
        <v>1170</v>
      </c>
      <c r="F279">
        <v>73050501</v>
      </c>
      <c r="G279" t="s">
        <v>1066</v>
      </c>
      <c r="H279">
        <v>422275</v>
      </c>
      <c r="I279">
        <v>10134600</v>
      </c>
    </row>
    <row r="280" spans="2:9" x14ac:dyDescent="0.25">
      <c r="B280">
        <v>1001</v>
      </c>
      <c r="C280">
        <v>5001</v>
      </c>
      <c r="D280">
        <v>31968309</v>
      </c>
      <c r="E280" t="s">
        <v>1170</v>
      </c>
      <c r="F280">
        <v>73050501</v>
      </c>
      <c r="G280" t="s">
        <v>1066</v>
      </c>
      <c r="H280">
        <v>422275</v>
      </c>
      <c r="I280">
        <v>10134600</v>
      </c>
    </row>
    <row r="281" spans="2:9" x14ac:dyDescent="0.25">
      <c r="B281">
        <v>1001</v>
      </c>
      <c r="C281">
        <v>5001</v>
      </c>
      <c r="D281">
        <v>31968309</v>
      </c>
      <c r="E281" t="s">
        <v>1170</v>
      </c>
      <c r="F281">
        <v>73050501</v>
      </c>
      <c r="G281" t="s">
        <v>1066</v>
      </c>
      <c r="H281">
        <v>422275</v>
      </c>
      <c r="I281">
        <v>10134600</v>
      </c>
    </row>
    <row r="282" spans="2:9" x14ac:dyDescent="0.25">
      <c r="B282">
        <v>1001</v>
      </c>
      <c r="C282">
        <v>5001</v>
      </c>
      <c r="D282">
        <v>31968309</v>
      </c>
      <c r="E282" t="s">
        <v>1170</v>
      </c>
      <c r="F282">
        <v>73050501</v>
      </c>
      <c r="G282" t="s">
        <v>1066</v>
      </c>
      <c r="H282">
        <v>422275</v>
      </c>
      <c r="I282">
        <v>10134600</v>
      </c>
    </row>
    <row r="283" spans="2:9" x14ac:dyDescent="0.25">
      <c r="B283">
        <v>1001</v>
      </c>
      <c r="C283">
        <v>5001</v>
      </c>
      <c r="D283">
        <v>31968309</v>
      </c>
      <c r="E283" t="s">
        <v>1170</v>
      </c>
      <c r="F283">
        <v>73050501</v>
      </c>
      <c r="G283" t="s">
        <v>1066</v>
      </c>
      <c r="H283">
        <v>422275</v>
      </c>
      <c r="I283">
        <v>10134600</v>
      </c>
    </row>
    <row r="284" spans="2:9" x14ac:dyDescent="0.25">
      <c r="B284">
        <v>1001</v>
      </c>
      <c r="C284">
        <v>5001</v>
      </c>
      <c r="D284">
        <v>31968309</v>
      </c>
      <c r="E284" t="s">
        <v>1170</v>
      </c>
      <c r="F284">
        <v>73050501</v>
      </c>
      <c r="G284" t="s">
        <v>1066</v>
      </c>
      <c r="H284">
        <v>422275</v>
      </c>
      <c r="I284">
        <v>10134600</v>
      </c>
    </row>
    <row r="285" spans="2:9" x14ac:dyDescent="0.25">
      <c r="B285">
        <v>1001</v>
      </c>
      <c r="C285">
        <v>5001</v>
      </c>
      <c r="D285">
        <v>31968309</v>
      </c>
      <c r="E285" t="s">
        <v>1170</v>
      </c>
      <c r="F285">
        <v>73050501</v>
      </c>
      <c r="G285" t="s">
        <v>1066</v>
      </c>
      <c r="H285">
        <v>422275</v>
      </c>
      <c r="I285">
        <v>10134600</v>
      </c>
    </row>
    <row r="286" spans="2:9" x14ac:dyDescent="0.25">
      <c r="B286">
        <v>1001</v>
      </c>
      <c r="C286">
        <v>5001</v>
      </c>
      <c r="D286">
        <v>31968309</v>
      </c>
      <c r="E286" t="s">
        <v>1170</v>
      </c>
      <c r="F286">
        <v>73051506</v>
      </c>
      <c r="G286" t="s">
        <v>1069</v>
      </c>
      <c r="H286">
        <v>70379</v>
      </c>
      <c r="I286">
        <v>1734378</v>
      </c>
    </row>
    <row r="287" spans="2:9" x14ac:dyDescent="0.25">
      <c r="B287">
        <v>1001</v>
      </c>
      <c r="C287">
        <v>5001</v>
      </c>
      <c r="D287">
        <v>31968309</v>
      </c>
      <c r="E287" t="s">
        <v>1170</v>
      </c>
      <c r="F287">
        <v>73051506</v>
      </c>
      <c r="G287" t="s">
        <v>1069</v>
      </c>
      <c r="H287">
        <v>70379</v>
      </c>
      <c r="I287">
        <v>1734378</v>
      </c>
    </row>
    <row r="288" spans="2:9" x14ac:dyDescent="0.25">
      <c r="B288">
        <v>1001</v>
      </c>
      <c r="C288">
        <v>5001</v>
      </c>
      <c r="D288">
        <v>31968309</v>
      </c>
      <c r="E288" t="s">
        <v>1170</v>
      </c>
      <c r="F288">
        <v>73051506</v>
      </c>
      <c r="G288" t="s">
        <v>1069</v>
      </c>
      <c r="H288">
        <v>70379</v>
      </c>
      <c r="I288">
        <v>1734378</v>
      </c>
    </row>
    <row r="289" spans="2:9" x14ac:dyDescent="0.25">
      <c r="B289">
        <v>1001</v>
      </c>
      <c r="C289">
        <v>5001</v>
      </c>
      <c r="D289">
        <v>31968309</v>
      </c>
      <c r="E289" t="s">
        <v>1170</v>
      </c>
      <c r="F289">
        <v>73051506</v>
      </c>
      <c r="G289" t="s">
        <v>1069</v>
      </c>
      <c r="H289">
        <v>70379</v>
      </c>
      <c r="I289">
        <v>1734378</v>
      </c>
    </row>
    <row r="290" spans="2:9" x14ac:dyDescent="0.25">
      <c r="B290">
        <v>1001</v>
      </c>
      <c r="C290">
        <v>5001</v>
      </c>
      <c r="D290">
        <v>31968309</v>
      </c>
      <c r="E290" t="s">
        <v>1170</v>
      </c>
      <c r="F290">
        <v>73051506</v>
      </c>
      <c r="G290" t="s">
        <v>1069</v>
      </c>
      <c r="H290">
        <v>70379</v>
      </c>
      <c r="I290">
        <v>1734378</v>
      </c>
    </row>
    <row r="291" spans="2:9" x14ac:dyDescent="0.25">
      <c r="B291">
        <v>1001</v>
      </c>
      <c r="C291">
        <v>5001</v>
      </c>
      <c r="D291">
        <v>31968309</v>
      </c>
      <c r="E291" t="s">
        <v>1170</v>
      </c>
      <c r="F291">
        <v>73051506</v>
      </c>
      <c r="G291" t="s">
        <v>1069</v>
      </c>
      <c r="H291">
        <v>70379</v>
      </c>
      <c r="I291">
        <v>1734378</v>
      </c>
    </row>
    <row r="292" spans="2:9" x14ac:dyDescent="0.25">
      <c r="B292">
        <v>1001</v>
      </c>
      <c r="C292">
        <v>5001</v>
      </c>
      <c r="D292">
        <v>31968309</v>
      </c>
      <c r="E292" t="s">
        <v>1170</v>
      </c>
      <c r="F292">
        <v>73051506</v>
      </c>
      <c r="G292" t="s">
        <v>1069</v>
      </c>
      <c r="H292">
        <v>70379</v>
      </c>
      <c r="I292">
        <v>1734378</v>
      </c>
    </row>
    <row r="293" spans="2:9" x14ac:dyDescent="0.25">
      <c r="B293">
        <v>1001</v>
      </c>
      <c r="C293">
        <v>5001</v>
      </c>
      <c r="D293">
        <v>31968309</v>
      </c>
      <c r="E293" t="s">
        <v>1170</v>
      </c>
      <c r="F293">
        <v>73051506</v>
      </c>
      <c r="G293" t="s">
        <v>1069</v>
      </c>
      <c r="H293">
        <v>70379</v>
      </c>
      <c r="I293">
        <v>1734378</v>
      </c>
    </row>
    <row r="294" spans="2:9" x14ac:dyDescent="0.25">
      <c r="B294">
        <v>1001</v>
      </c>
      <c r="C294">
        <v>5001</v>
      </c>
      <c r="D294">
        <v>31968309</v>
      </c>
      <c r="E294" t="s">
        <v>1170</v>
      </c>
      <c r="F294">
        <v>73051506</v>
      </c>
      <c r="G294" t="s">
        <v>1069</v>
      </c>
      <c r="H294">
        <v>70379</v>
      </c>
      <c r="I294">
        <v>1734378</v>
      </c>
    </row>
    <row r="295" spans="2:9" x14ac:dyDescent="0.25">
      <c r="B295">
        <v>1001</v>
      </c>
      <c r="C295">
        <v>5001</v>
      </c>
      <c r="D295">
        <v>31968309</v>
      </c>
      <c r="E295" t="s">
        <v>1170</v>
      </c>
      <c r="F295">
        <v>73051506</v>
      </c>
      <c r="G295" t="s">
        <v>1069</v>
      </c>
      <c r="H295">
        <v>70379</v>
      </c>
      <c r="I295">
        <v>1734378</v>
      </c>
    </row>
    <row r="296" spans="2:9" x14ac:dyDescent="0.25">
      <c r="B296">
        <v>1001</v>
      </c>
      <c r="C296">
        <v>5001</v>
      </c>
      <c r="D296">
        <v>31968309</v>
      </c>
      <c r="E296" t="s">
        <v>1170</v>
      </c>
      <c r="F296">
        <v>73051506</v>
      </c>
      <c r="G296" t="s">
        <v>1069</v>
      </c>
      <c r="H296">
        <v>70379</v>
      </c>
      <c r="I296">
        <v>1734378</v>
      </c>
    </row>
    <row r="297" spans="2:9" x14ac:dyDescent="0.25">
      <c r="B297">
        <v>1001</v>
      </c>
      <c r="C297">
        <v>5001</v>
      </c>
      <c r="D297">
        <v>31968309</v>
      </c>
      <c r="E297" t="s">
        <v>1170</v>
      </c>
      <c r="F297">
        <v>73051506</v>
      </c>
      <c r="G297" t="s">
        <v>1069</v>
      </c>
      <c r="H297">
        <v>70379</v>
      </c>
      <c r="I297">
        <v>1734378</v>
      </c>
    </row>
    <row r="298" spans="2:9" x14ac:dyDescent="0.25">
      <c r="B298">
        <v>1001</v>
      </c>
      <c r="C298">
        <v>5001</v>
      </c>
      <c r="D298">
        <v>31968309</v>
      </c>
      <c r="E298" t="s">
        <v>1170</v>
      </c>
      <c r="F298">
        <v>73051506</v>
      </c>
      <c r="G298" t="s">
        <v>1069</v>
      </c>
      <c r="H298">
        <v>70379</v>
      </c>
      <c r="I298">
        <v>1734378</v>
      </c>
    </row>
    <row r="299" spans="2:9" x14ac:dyDescent="0.25">
      <c r="B299">
        <v>1001</v>
      </c>
      <c r="C299">
        <v>5001</v>
      </c>
      <c r="D299">
        <v>31968309</v>
      </c>
      <c r="E299" t="s">
        <v>1170</v>
      </c>
      <c r="F299">
        <v>73051506</v>
      </c>
      <c r="G299" t="s">
        <v>1069</v>
      </c>
      <c r="H299">
        <v>70379</v>
      </c>
      <c r="I299">
        <v>1734378</v>
      </c>
    </row>
    <row r="300" spans="2:9" x14ac:dyDescent="0.25">
      <c r="B300">
        <v>1001</v>
      </c>
      <c r="C300">
        <v>5001</v>
      </c>
      <c r="D300">
        <v>31968309</v>
      </c>
      <c r="E300" t="s">
        <v>1170</v>
      </c>
      <c r="F300">
        <v>73051506</v>
      </c>
      <c r="G300" t="s">
        <v>1069</v>
      </c>
      <c r="H300">
        <v>70379</v>
      </c>
      <c r="I300">
        <v>1734378</v>
      </c>
    </row>
    <row r="301" spans="2:9" x14ac:dyDescent="0.25">
      <c r="B301">
        <v>1001</v>
      </c>
      <c r="C301">
        <v>5001</v>
      </c>
      <c r="D301">
        <v>31968309</v>
      </c>
      <c r="E301" t="s">
        <v>1170</v>
      </c>
      <c r="F301">
        <v>73051506</v>
      </c>
      <c r="G301" t="s">
        <v>1069</v>
      </c>
      <c r="H301">
        <v>70379</v>
      </c>
      <c r="I301">
        <v>1734378</v>
      </c>
    </row>
    <row r="302" spans="2:9" x14ac:dyDescent="0.25">
      <c r="B302">
        <v>1001</v>
      </c>
      <c r="C302">
        <v>5001</v>
      </c>
      <c r="D302">
        <v>31968309</v>
      </c>
      <c r="E302" t="s">
        <v>1170</v>
      </c>
      <c r="F302">
        <v>73051506</v>
      </c>
      <c r="G302" t="s">
        <v>1069</v>
      </c>
      <c r="H302">
        <v>45282</v>
      </c>
      <c r="I302">
        <v>1734378</v>
      </c>
    </row>
    <row r="303" spans="2:9" x14ac:dyDescent="0.25">
      <c r="B303">
        <v>1001</v>
      </c>
      <c r="C303">
        <v>5001</v>
      </c>
      <c r="D303">
        <v>31968309</v>
      </c>
      <c r="E303" t="s">
        <v>1170</v>
      </c>
      <c r="F303">
        <v>73051506</v>
      </c>
      <c r="G303" t="s">
        <v>1069</v>
      </c>
      <c r="H303">
        <v>70379</v>
      </c>
      <c r="I303">
        <v>1734378</v>
      </c>
    </row>
    <row r="304" spans="2:9" x14ac:dyDescent="0.25">
      <c r="B304">
        <v>1001</v>
      </c>
      <c r="C304">
        <v>5001</v>
      </c>
      <c r="D304">
        <v>31968309</v>
      </c>
      <c r="E304" t="s">
        <v>1170</v>
      </c>
      <c r="F304">
        <v>73051506</v>
      </c>
      <c r="G304" t="s">
        <v>1069</v>
      </c>
      <c r="H304">
        <v>70379</v>
      </c>
      <c r="I304">
        <v>1734378</v>
      </c>
    </row>
    <row r="305" spans="2:9" x14ac:dyDescent="0.25">
      <c r="B305">
        <v>1001</v>
      </c>
      <c r="C305">
        <v>5001</v>
      </c>
      <c r="D305">
        <v>31968309</v>
      </c>
      <c r="E305" t="s">
        <v>1170</v>
      </c>
      <c r="F305">
        <v>73051506</v>
      </c>
      <c r="G305" t="s">
        <v>1069</v>
      </c>
      <c r="H305">
        <v>70379</v>
      </c>
      <c r="I305">
        <v>1734378</v>
      </c>
    </row>
    <row r="306" spans="2:9" x14ac:dyDescent="0.25">
      <c r="B306">
        <v>1001</v>
      </c>
      <c r="C306">
        <v>5001</v>
      </c>
      <c r="D306">
        <v>31968309</v>
      </c>
      <c r="E306" t="s">
        <v>1170</v>
      </c>
      <c r="F306">
        <v>73051506</v>
      </c>
      <c r="G306" t="s">
        <v>1069</v>
      </c>
      <c r="H306">
        <v>70379</v>
      </c>
      <c r="I306">
        <v>1734378</v>
      </c>
    </row>
    <row r="307" spans="2:9" x14ac:dyDescent="0.25">
      <c r="B307">
        <v>1001</v>
      </c>
      <c r="C307">
        <v>5001</v>
      </c>
      <c r="D307">
        <v>31968309</v>
      </c>
      <c r="E307" t="s">
        <v>1170</v>
      </c>
      <c r="F307">
        <v>73051506</v>
      </c>
      <c r="G307" t="s">
        <v>1069</v>
      </c>
      <c r="H307">
        <v>70379</v>
      </c>
      <c r="I307">
        <v>1734378</v>
      </c>
    </row>
    <row r="308" spans="2:9" x14ac:dyDescent="0.25">
      <c r="B308">
        <v>1001</v>
      </c>
      <c r="C308">
        <v>5001</v>
      </c>
      <c r="D308">
        <v>31968309</v>
      </c>
      <c r="E308" t="s">
        <v>1170</v>
      </c>
      <c r="F308">
        <v>73051506</v>
      </c>
      <c r="G308" t="s">
        <v>1069</v>
      </c>
      <c r="H308">
        <v>70379</v>
      </c>
      <c r="I308">
        <v>1734378</v>
      </c>
    </row>
    <row r="309" spans="2:9" x14ac:dyDescent="0.25">
      <c r="B309">
        <v>1001</v>
      </c>
      <c r="C309">
        <v>5001</v>
      </c>
      <c r="D309">
        <v>31968309</v>
      </c>
      <c r="E309" t="s">
        <v>1170</v>
      </c>
      <c r="F309">
        <v>73051506</v>
      </c>
      <c r="G309" t="s">
        <v>1069</v>
      </c>
      <c r="H309">
        <v>70379</v>
      </c>
      <c r="I309">
        <v>1734378</v>
      </c>
    </row>
    <row r="310" spans="2:9" x14ac:dyDescent="0.25">
      <c r="B310">
        <v>1001</v>
      </c>
      <c r="C310">
        <v>5001</v>
      </c>
      <c r="D310">
        <v>31968309</v>
      </c>
      <c r="E310" t="s">
        <v>1170</v>
      </c>
      <c r="F310">
        <v>73051506</v>
      </c>
      <c r="G310" t="s">
        <v>1069</v>
      </c>
      <c r="H310">
        <v>70379</v>
      </c>
      <c r="I310">
        <v>1734378</v>
      </c>
    </row>
    <row r="311" spans="2:9" x14ac:dyDescent="0.25">
      <c r="B311">
        <v>1001</v>
      </c>
      <c r="C311">
        <v>5001</v>
      </c>
      <c r="D311">
        <v>31968309</v>
      </c>
      <c r="E311" t="s">
        <v>1170</v>
      </c>
      <c r="F311">
        <v>73052701</v>
      </c>
      <c r="G311" t="s">
        <v>1071</v>
      </c>
      <c r="H311">
        <v>45282</v>
      </c>
      <c r="I311">
        <v>1041486</v>
      </c>
    </row>
    <row r="312" spans="2:9" x14ac:dyDescent="0.25">
      <c r="B312">
        <v>1001</v>
      </c>
      <c r="C312">
        <v>5001</v>
      </c>
      <c r="D312">
        <v>31968309</v>
      </c>
      <c r="E312" t="s">
        <v>1170</v>
      </c>
      <c r="F312">
        <v>73052701</v>
      </c>
      <c r="G312" t="s">
        <v>1071</v>
      </c>
      <c r="H312">
        <v>45282</v>
      </c>
      <c r="I312">
        <v>1041486</v>
      </c>
    </row>
    <row r="313" spans="2:9" x14ac:dyDescent="0.25">
      <c r="B313">
        <v>1001</v>
      </c>
      <c r="C313">
        <v>5001</v>
      </c>
      <c r="D313">
        <v>31968309</v>
      </c>
      <c r="E313" t="s">
        <v>1170</v>
      </c>
      <c r="F313">
        <v>73052701</v>
      </c>
      <c r="G313" t="s">
        <v>1071</v>
      </c>
      <c r="H313">
        <v>45282</v>
      </c>
      <c r="I313">
        <v>1041486</v>
      </c>
    </row>
    <row r="314" spans="2:9" x14ac:dyDescent="0.25">
      <c r="B314">
        <v>1001</v>
      </c>
      <c r="C314">
        <v>5001</v>
      </c>
      <c r="D314">
        <v>31968309</v>
      </c>
      <c r="E314" t="s">
        <v>1170</v>
      </c>
      <c r="F314">
        <v>73052701</v>
      </c>
      <c r="G314" t="s">
        <v>1071</v>
      </c>
      <c r="H314">
        <v>45282</v>
      </c>
      <c r="I314">
        <v>1041486</v>
      </c>
    </row>
    <row r="315" spans="2:9" x14ac:dyDescent="0.25">
      <c r="B315">
        <v>1001</v>
      </c>
      <c r="C315">
        <v>5001</v>
      </c>
      <c r="D315">
        <v>31968309</v>
      </c>
      <c r="E315" t="s">
        <v>1170</v>
      </c>
      <c r="F315">
        <v>73052701</v>
      </c>
      <c r="G315" t="s">
        <v>1071</v>
      </c>
      <c r="H315">
        <v>45282</v>
      </c>
      <c r="I315">
        <v>1041486</v>
      </c>
    </row>
    <row r="316" spans="2:9" x14ac:dyDescent="0.25">
      <c r="B316">
        <v>1001</v>
      </c>
      <c r="C316">
        <v>5001</v>
      </c>
      <c r="D316">
        <v>31968309</v>
      </c>
      <c r="E316" t="s">
        <v>1170</v>
      </c>
      <c r="F316">
        <v>73052701</v>
      </c>
      <c r="G316" t="s">
        <v>1071</v>
      </c>
      <c r="H316">
        <v>45282</v>
      </c>
      <c r="I316">
        <v>1041486</v>
      </c>
    </row>
    <row r="317" spans="2:9" x14ac:dyDescent="0.25">
      <c r="B317">
        <v>1001</v>
      </c>
      <c r="C317">
        <v>5001</v>
      </c>
      <c r="D317">
        <v>31968309</v>
      </c>
      <c r="E317" t="s">
        <v>1170</v>
      </c>
      <c r="F317">
        <v>73052701</v>
      </c>
      <c r="G317" t="s">
        <v>1071</v>
      </c>
      <c r="H317">
        <v>45282</v>
      </c>
      <c r="I317">
        <v>1041486</v>
      </c>
    </row>
    <row r="318" spans="2:9" x14ac:dyDescent="0.25">
      <c r="B318">
        <v>1001</v>
      </c>
      <c r="C318">
        <v>5001</v>
      </c>
      <c r="D318">
        <v>31968309</v>
      </c>
      <c r="E318" t="s">
        <v>1170</v>
      </c>
      <c r="F318">
        <v>73052701</v>
      </c>
      <c r="G318" t="s">
        <v>1071</v>
      </c>
      <c r="H318">
        <v>45282</v>
      </c>
      <c r="I318">
        <v>1041486</v>
      </c>
    </row>
    <row r="319" spans="2:9" x14ac:dyDescent="0.25">
      <c r="B319">
        <v>1001</v>
      </c>
      <c r="C319">
        <v>5001</v>
      </c>
      <c r="D319">
        <v>31968309</v>
      </c>
      <c r="E319" t="s">
        <v>1170</v>
      </c>
      <c r="F319">
        <v>73052701</v>
      </c>
      <c r="G319" t="s">
        <v>1071</v>
      </c>
      <c r="H319">
        <v>45282</v>
      </c>
      <c r="I319">
        <v>1041486</v>
      </c>
    </row>
    <row r="320" spans="2:9" x14ac:dyDescent="0.25">
      <c r="B320">
        <v>1001</v>
      </c>
      <c r="C320">
        <v>5001</v>
      </c>
      <c r="D320">
        <v>31968309</v>
      </c>
      <c r="E320" t="s">
        <v>1170</v>
      </c>
      <c r="F320">
        <v>73052701</v>
      </c>
      <c r="G320" t="s">
        <v>1071</v>
      </c>
      <c r="H320">
        <v>45282</v>
      </c>
      <c r="I320">
        <v>1041486</v>
      </c>
    </row>
    <row r="321" spans="2:9" x14ac:dyDescent="0.25">
      <c r="B321">
        <v>1001</v>
      </c>
      <c r="C321">
        <v>5001</v>
      </c>
      <c r="D321">
        <v>31968309</v>
      </c>
      <c r="E321" t="s">
        <v>1170</v>
      </c>
      <c r="F321">
        <v>73052701</v>
      </c>
      <c r="G321" t="s">
        <v>1071</v>
      </c>
      <c r="H321">
        <v>45282</v>
      </c>
      <c r="I321">
        <v>1041486</v>
      </c>
    </row>
    <row r="322" spans="2:9" x14ac:dyDescent="0.25">
      <c r="B322">
        <v>1001</v>
      </c>
      <c r="C322">
        <v>5001</v>
      </c>
      <c r="D322">
        <v>31968309</v>
      </c>
      <c r="E322" t="s">
        <v>1170</v>
      </c>
      <c r="F322">
        <v>73052701</v>
      </c>
      <c r="G322" t="s">
        <v>1071</v>
      </c>
      <c r="H322">
        <v>45282</v>
      </c>
      <c r="I322">
        <v>1041486</v>
      </c>
    </row>
    <row r="323" spans="2:9" x14ac:dyDescent="0.25">
      <c r="B323">
        <v>1001</v>
      </c>
      <c r="C323">
        <v>5001</v>
      </c>
      <c r="D323">
        <v>31968309</v>
      </c>
      <c r="E323" t="s">
        <v>1170</v>
      </c>
      <c r="F323">
        <v>73052701</v>
      </c>
      <c r="G323" t="s">
        <v>1071</v>
      </c>
      <c r="H323">
        <v>45282</v>
      </c>
      <c r="I323">
        <v>1041486</v>
      </c>
    </row>
    <row r="324" spans="2:9" x14ac:dyDescent="0.25">
      <c r="B324">
        <v>1001</v>
      </c>
      <c r="C324">
        <v>5001</v>
      </c>
      <c r="D324">
        <v>31968309</v>
      </c>
      <c r="E324" t="s">
        <v>1170</v>
      </c>
      <c r="F324">
        <v>73052701</v>
      </c>
      <c r="G324" t="s">
        <v>1071</v>
      </c>
      <c r="H324">
        <v>45282</v>
      </c>
      <c r="I324">
        <v>1041486</v>
      </c>
    </row>
    <row r="325" spans="2:9" x14ac:dyDescent="0.25">
      <c r="B325">
        <v>1001</v>
      </c>
      <c r="C325">
        <v>5001</v>
      </c>
      <c r="D325">
        <v>31968309</v>
      </c>
      <c r="E325" t="s">
        <v>1170</v>
      </c>
      <c r="F325">
        <v>73052701</v>
      </c>
      <c r="G325" t="s">
        <v>1071</v>
      </c>
      <c r="H325">
        <v>45282</v>
      </c>
      <c r="I325">
        <v>1041486</v>
      </c>
    </row>
    <row r="326" spans="2:9" x14ac:dyDescent="0.25">
      <c r="B326">
        <v>1001</v>
      </c>
      <c r="C326">
        <v>5001</v>
      </c>
      <c r="D326">
        <v>31968309</v>
      </c>
      <c r="E326" t="s">
        <v>1170</v>
      </c>
      <c r="F326">
        <v>73052701</v>
      </c>
      <c r="G326" t="s">
        <v>1071</v>
      </c>
      <c r="H326">
        <v>45282</v>
      </c>
      <c r="I326">
        <v>1041486</v>
      </c>
    </row>
    <row r="327" spans="2:9" x14ac:dyDescent="0.25">
      <c r="B327">
        <v>1001</v>
      </c>
      <c r="C327">
        <v>5001</v>
      </c>
      <c r="D327">
        <v>31968309</v>
      </c>
      <c r="E327" t="s">
        <v>1170</v>
      </c>
      <c r="F327">
        <v>73052701</v>
      </c>
      <c r="G327" t="s">
        <v>1071</v>
      </c>
      <c r="H327">
        <v>45282</v>
      </c>
      <c r="I327">
        <v>1041486</v>
      </c>
    </row>
    <row r="328" spans="2:9" x14ac:dyDescent="0.25">
      <c r="B328">
        <v>1001</v>
      </c>
      <c r="C328">
        <v>5001</v>
      </c>
      <c r="D328">
        <v>31968309</v>
      </c>
      <c r="E328" t="s">
        <v>1170</v>
      </c>
      <c r="F328">
        <v>73052701</v>
      </c>
      <c r="G328" t="s">
        <v>1071</v>
      </c>
      <c r="H328">
        <v>45282</v>
      </c>
      <c r="I328">
        <v>1041486</v>
      </c>
    </row>
    <row r="329" spans="2:9" x14ac:dyDescent="0.25">
      <c r="B329">
        <v>1001</v>
      </c>
      <c r="C329">
        <v>5001</v>
      </c>
      <c r="D329">
        <v>31968309</v>
      </c>
      <c r="E329" t="s">
        <v>1170</v>
      </c>
      <c r="F329">
        <v>73052701</v>
      </c>
      <c r="G329" t="s">
        <v>1071</v>
      </c>
      <c r="H329">
        <v>45282</v>
      </c>
      <c r="I329">
        <v>1041486</v>
      </c>
    </row>
    <row r="330" spans="2:9" x14ac:dyDescent="0.25">
      <c r="B330">
        <v>1001</v>
      </c>
      <c r="C330">
        <v>5001</v>
      </c>
      <c r="D330">
        <v>31968309</v>
      </c>
      <c r="E330" t="s">
        <v>1170</v>
      </c>
      <c r="F330">
        <v>73052701</v>
      </c>
      <c r="G330" t="s">
        <v>1071</v>
      </c>
      <c r="H330">
        <v>45282</v>
      </c>
      <c r="I330">
        <v>1041486</v>
      </c>
    </row>
    <row r="331" spans="2:9" x14ac:dyDescent="0.25">
      <c r="B331">
        <v>1001</v>
      </c>
      <c r="C331">
        <v>5001</v>
      </c>
      <c r="D331">
        <v>31968309</v>
      </c>
      <c r="E331" t="s">
        <v>1170</v>
      </c>
      <c r="F331">
        <v>73052701</v>
      </c>
      <c r="G331" t="s">
        <v>1071</v>
      </c>
      <c r="H331">
        <v>45282</v>
      </c>
      <c r="I331">
        <v>1041486</v>
      </c>
    </row>
    <row r="332" spans="2:9" x14ac:dyDescent="0.25">
      <c r="B332">
        <v>1001</v>
      </c>
      <c r="C332">
        <v>5001</v>
      </c>
      <c r="D332">
        <v>31968309</v>
      </c>
      <c r="E332" t="s">
        <v>1170</v>
      </c>
      <c r="F332">
        <v>73052701</v>
      </c>
      <c r="G332" t="s">
        <v>1071</v>
      </c>
      <c r="H332">
        <v>45282</v>
      </c>
      <c r="I332">
        <v>1041486</v>
      </c>
    </row>
    <row r="333" spans="2:9" x14ac:dyDescent="0.25">
      <c r="B333">
        <v>1001</v>
      </c>
      <c r="C333">
        <v>5001</v>
      </c>
      <c r="D333">
        <v>31968309</v>
      </c>
      <c r="E333" t="s">
        <v>1170</v>
      </c>
      <c r="F333">
        <v>73052701</v>
      </c>
      <c r="G333" t="s">
        <v>1071</v>
      </c>
      <c r="H333">
        <v>45282</v>
      </c>
      <c r="I333">
        <v>1041486</v>
      </c>
    </row>
    <row r="334" spans="2:9" x14ac:dyDescent="0.25">
      <c r="B334">
        <v>1001</v>
      </c>
      <c r="C334">
        <v>5001</v>
      </c>
      <c r="D334">
        <v>94506247</v>
      </c>
      <c r="E334" t="s">
        <v>1154</v>
      </c>
      <c r="F334">
        <v>73050501</v>
      </c>
      <c r="G334" t="s">
        <v>1066</v>
      </c>
      <c r="H334">
        <v>422581</v>
      </c>
      <c r="I334">
        <v>8671322</v>
      </c>
    </row>
    <row r="335" spans="2:9" x14ac:dyDescent="0.25">
      <c r="B335">
        <v>1001</v>
      </c>
      <c r="C335">
        <v>5001</v>
      </c>
      <c r="D335">
        <v>94506247</v>
      </c>
      <c r="E335" t="s">
        <v>1154</v>
      </c>
      <c r="F335">
        <v>73050501</v>
      </c>
      <c r="G335" t="s">
        <v>1066</v>
      </c>
      <c r="H335">
        <v>418079</v>
      </c>
      <c r="I335">
        <v>8671322</v>
      </c>
    </row>
    <row r="336" spans="2:9" x14ac:dyDescent="0.25">
      <c r="B336">
        <v>1001</v>
      </c>
      <c r="C336">
        <v>5001</v>
      </c>
      <c r="D336">
        <v>94506247</v>
      </c>
      <c r="E336" t="s">
        <v>1154</v>
      </c>
      <c r="F336">
        <v>73050501</v>
      </c>
      <c r="G336" t="s">
        <v>1066</v>
      </c>
      <c r="H336">
        <v>414932</v>
      </c>
      <c r="I336">
        <v>8671322</v>
      </c>
    </row>
    <row r="337" spans="2:9" x14ac:dyDescent="0.25">
      <c r="B337">
        <v>1001</v>
      </c>
      <c r="C337">
        <v>5001</v>
      </c>
      <c r="D337">
        <v>94506247</v>
      </c>
      <c r="E337" t="s">
        <v>1154</v>
      </c>
      <c r="F337">
        <v>73050501</v>
      </c>
      <c r="G337" t="s">
        <v>1066</v>
      </c>
      <c r="H337">
        <v>408954</v>
      </c>
      <c r="I337">
        <v>8671322</v>
      </c>
    </row>
    <row r="338" spans="2:9" x14ac:dyDescent="0.25">
      <c r="B338">
        <v>1001</v>
      </c>
      <c r="C338">
        <v>5001</v>
      </c>
      <c r="D338">
        <v>94506247</v>
      </c>
      <c r="E338" t="s">
        <v>1154</v>
      </c>
      <c r="F338">
        <v>73050501</v>
      </c>
      <c r="G338" t="s">
        <v>1066</v>
      </c>
      <c r="H338">
        <v>391369</v>
      </c>
      <c r="I338">
        <v>8671322</v>
      </c>
    </row>
    <row r="339" spans="2:9" x14ac:dyDescent="0.25">
      <c r="B339">
        <v>1001</v>
      </c>
      <c r="C339">
        <v>5001</v>
      </c>
      <c r="D339">
        <v>94506247</v>
      </c>
      <c r="E339" t="s">
        <v>1154</v>
      </c>
      <c r="F339">
        <v>73050501</v>
      </c>
      <c r="G339" t="s">
        <v>1066</v>
      </c>
      <c r="H339">
        <v>379928</v>
      </c>
      <c r="I339">
        <v>8671322</v>
      </c>
    </row>
    <row r="340" spans="2:9" x14ac:dyDescent="0.25">
      <c r="B340">
        <v>1001</v>
      </c>
      <c r="C340">
        <v>5001</v>
      </c>
      <c r="D340">
        <v>94506247</v>
      </c>
      <c r="E340" t="s">
        <v>1154</v>
      </c>
      <c r="F340">
        <v>73050501</v>
      </c>
      <c r="G340" t="s">
        <v>1066</v>
      </c>
      <c r="H340">
        <v>192015</v>
      </c>
      <c r="I340">
        <v>8671322</v>
      </c>
    </row>
    <row r="341" spans="2:9" x14ac:dyDescent="0.25">
      <c r="B341">
        <v>1001</v>
      </c>
      <c r="C341">
        <v>5001</v>
      </c>
      <c r="D341">
        <v>94506247</v>
      </c>
      <c r="E341" t="s">
        <v>1154</v>
      </c>
      <c r="F341">
        <v>73050501</v>
      </c>
      <c r="G341" t="s">
        <v>1066</v>
      </c>
      <c r="H341">
        <v>350591</v>
      </c>
      <c r="I341">
        <v>8671322</v>
      </c>
    </row>
    <row r="342" spans="2:9" x14ac:dyDescent="0.25">
      <c r="B342">
        <v>1001</v>
      </c>
      <c r="C342">
        <v>5001</v>
      </c>
      <c r="D342">
        <v>94506247</v>
      </c>
      <c r="E342" t="s">
        <v>1154</v>
      </c>
      <c r="F342">
        <v>73050501</v>
      </c>
      <c r="G342" t="s">
        <v>1066</v>
      </c>
      <c r="H342">
        <v>415569</v>
      </c>
      <c r="I342">
        <v>8671322</v>
      </c>
    </row>
    <row r="343" spans="2:9" x14ac:dyDescent="0.25">
      <c r="B343">
        <v>1001</v>
      </c>
      <c r="C343">
        <v>5001</v>
      </c>
      <c r="D343">
        <v>94506247</v>
      </c>
      <c r="E343" t="s">
        <v>1154</v>
      </c>
      <c r="F343">
        <v>73050501</v>
      </c>
      <c r="G343" t="s">
        <v>1066</v>
      </c>
      <c r="H343">
        <v>395909</v>
      </c>
      <c r="I343">
        <v>8671322</v>
      </c>
    </row>
    <row r="344" spans="2:9" x14ac:dyDescent="0.25">
      <c r="B344">
        <v>1001</v>
      </c>
      <c r="C344">
        <v>5001</v>
      </c>
      <c r="D344">
        <v>94506247</v>
      </c>
      <c r="E344" t="s">
        <v>1154</v>
      </c>
      <c r="F344">
        <v>73050501</v>
      </c>
      <c r="G344" t="s">
        <v>1066</v>
      </c>
      <c r="H344">
        <v>305365</v>
      </c>
      <c r="I344">
        <v>8671322</v>
      </c>
    </row>
    <row r="345" spans="2:9" x14ac:dyDescent="0.25">
      <c r="B345">
        <v>1001</v>
      </c>
      <c r="C345">
        <v>5001</v>
      </c>
      <c r="D345">
        <v>94506247</v>
      </c>
      <c r="E345" t="s">
        <v>1154</v>
      </c>
      <c r="F345">
        <v>73050501</v>
      </c>
      <c r="G345" t="s">
        <v>1066</v>
      </c>
      <c r="H345">
        <v>309441</v>
      </c>
      <c r="I345">
        <v>8671322</v>
      </c>
    </row>
    <row r="346" spans="2:9" x14ac:dyDescent="0.25">
      <c r="B346">
        <v>1001</v>
      </c>
      <c r="C346">
        <v>5001</v>
      </c>
      <c r="D346">
        <v>94506247</v>
      </c>
      <c r="E346" t="s">
        <v>1154</v>
      </c>
      <c r="F346">
        <v>73050501</v>
      </c>
      <c r="G346" t="s">
        <v>1066</v>
      </c>
      <c r="H346">
        <v>372069</v>
      </c>
      <c r="I346">
        <v>8671322</v>
      </c>
    </row>
    <row r="347" spans="2:9" x14ac:dyDescent="0.25">
      <c r="B347">
        <v>1001</v>
      </c>
      <c r="C347">
        <v>5001</v>
      </c>
      <c r="D347">
        <v>94506247</v>
      </c>
      <c r="E347" t="s">
        <v>1154</v>
      </c>
      <c r="F347">
        <v>73050501</v>
      </c>
      <c r="G347" t="s">
        <v>1066</v>
      </c>
      <c r="H347">
        <v>344080</v>
      </c>
      <c r="I347">
        <v>8671322</v>
      </c>
    </row>
    <row r="348" spans="2:9" x14ac:dyDescent="0.25">
      <c r="B348">
        <v>1001</v>
      </c>
      <c r="C348">
        <v>5001</v>
      </c>
      <c r="D348">
        <v>94506247</v>
      </c>
      <c r="E348" t="s">
        <v>1154</v>
      </c>
      <c r="F348">
        <v>73050501</v>
      </c>
      <c r="G348" t="s">
        <v>1066</v>
      </c>
      <c r="H348">
        <v>369574</v>
      </c>
      <c r="I348">
        <v>8671322</v>
      </c>
    </row>
    <row r="349" spans="2:9" x14ac:dyDescent="0.25">
      <c r="B349">
        <v>1001</v>
      </c>
      <c r="C349">
        <v>5001</v>
      </c>
      <c r="D349">
        <v>94506247</v>
      </c>
      <c r="E349" t="s">
        <v>1154</v>
      </c>
      <c r="F349">
        <v>73050501</v>
      </c>
      <c r="G349" t="s">
        <v>1066</v>
      </c>
      <c r="H349">
        <v>364584</v>
      </c>
      <c r="I349">
        <v>8671322</v>
      </c>
    </row>
    <row r="350" spans="2:9" x14ac:dyDescent="0.25">
      <c r="B350">
        <v>1001</v>
      </c>
      <c r="C350">
        <v>5001</v>
      </c>
      <c r="D350">
        <v>94506247</v>
      </c>
      <c r="E350" t="s">
        <v>1154</v>
      </c>
      <c r="F350">
        <v>73050501</v>
      </c>
      <c r="G350" t="s">
        <v>1066</v>
      </c>
      <c r="H350">
        <v>316816</v>
      </c>
      <c r="I350">
        <v>8671322</v>
      </c>
    </row>
    <row r="351" spans="2:9" x14ac:dyDescent="0.25">
      <c r="B351">
        <v>1001</v>
      </c>
      <c r="C351">
        <v>5001</v>
      </c>
      <c r="D351">
        <v>94506247</v>
      </c>
      <c r="E351" t="s">
        <v>1154</v>
      </c>
      <c r="F351">
        <v>73050501</v>
      </c>
      <c r="G351" t="s">
        <v>1066</v>
      </c>
      <c r="H351">
        <v>372753</v>
      </c>
      <c r="I351">
        <v>8671322</v>
      </c>
    </row>
    <row r="352" spans="2:9" x14ac:dyDescent="0.25">
      <c r="B352">
        <v>1001</v>
      </c>
      <c r="C352">
        <v>5001</v>
      </c>
      <c r="D352">
        <v>94506247</v>
      </c>
      <c r="E352" t="s">
        <v>1154</v>
      </c>
      <c r="F352">
        <v>73050501</v>
      </c>
      <c r="G352" t="s">
        <v>1066</v>
      </c>
      <c r="H352">
        <v>333924</v>
      </c>
      <c r="I352">
        <v>8671322</v>
      </c>
    </row>
    <row r="353" spans="2:9" x14ac:dyDescent="0.25">
      <c r="B353">
        <v>1001</v>
      </c>
      <c r="C353">
        <v>5001</v>
      </c>
      <c r="D353">
        <v>94506247</v>
      </c>
      <c r="E353" t="s">
        <v>1154</v>
      </c>
      <c r="F353">
        <v>73050501</v>
      </c>
      <c r="G353" t="s">
        <v>1066</v>
      </c>
      <c r="H353">
        <v>367778</v>
      </c>
      <c r="I353">
        <v>8671322</v>
      </c>
    </row>
    <row r="354" spans="2:9" x14ac:dyDescent="0.25">
      <c r="B354">
        <v>1001</v>
      </c>
      <c r="C354">
        <v>5001</v>
      </c>
      <c r="D354">
        <v>94506247</v>
      </c>
      <c r="E354" t="s">
        <v>1154</v>
      </c>
      <c r="F354">
        <v>73050501</v>
      </c>
      <c r="G354" t="s">
        <v>1066</v>
      </c>
      <c r="H354">
        <v>384770</v>
      </c>
      <c r="I354">
        <v>8671322</v>
      </c>
    </row>
    <row r="355" spans="2:9" x14ac:dyDescent="0.25">
      <c r="B355">
        <v>1001</v>
      </c>
      <c r="C355">
        <v>5001</v>
      </c>
      <c r="D355">
        <v>94506247</v>
      </c>
      <c r="E355" t="s">
        <v>1154</v>
      </c>
      <c r="F355">
        <v>73050501</v>
      </c>
      <c r="G355" t="s">
        <v>1066</v>
      </c>
      <c r="H355">
        <v>341855</v>
      </c>
      <c r="I355">
        <v>8671322</v>
      </c>
    </row>
    <row r="356" spans="2:9" x14ac:dyDescent="0.25">
      <c r="B356">
        <v>1001</v>
      </c>
      <c r="C356">
        <v>5001</v>
      </c>
      <c r="D356">
        <v>94506247</v>
      </c>
      <c r="E356" t="s">
        <v>1154</v>
      </c>
      <c r="F356">
        <v>73050501</v>
      </c>
      <c r="G356" t="s">
        <v>1066</v>
      </c>
      <c r="H356">
        <v>352571</v>
      </c>
      <c r="I356">
        <v>8671322</v>
      </c>
    </row>
    <row r="357" spans="2:9" x14ac:dyDescent="0.25">
      <c r="B357">
        <v>1001</v>
      </c>
      <c r="C357">
        <v>5001</v>
      </c>
      <c r="D357">
        <v>94506247</v>
      </c>
      <c r="E357" t="s">
        <v>1154</v>
      </c>
      <c r="F357">
        <v>73050501</v>
      </c>
      <c r="G357" t="s">
        <v>1066</v>
      </c>
      <c r="H357">
        <v>345815</v>
      </c>
      <c r="I357">
        <v>8671322</v>
      </c>
    </row>
    <row r="358" spans="2:9" x14ac:dyDescent="0.25">
      <c r="B358">
        <v>1001</v>
      </c>
      <c r="C358">
        <v>5001</v>
      </c>
      <c r="D358">
        <v>94506247</v>
      </c>
      <c r="E358" t="s">
        <v>1154</v>
      </c>
      <c r="F358">
        <v>73051506</v>
      </c>
      <c r="G358" t="s">
        <v>1069</v>
      </c>
      <c r="H358">
        <v>71936</v>
      </c>
      <c r="I358">
        <v>1934134</v>
      </c>
    </row>
    <row r="359" spans="2:9" x14ac:dyDescent="0.25">
      <c r="B359">
        <v>1001</v>
      </c>
      <c r="C359">
        <v>5001</v>
      </c>
      <c r="D359">
        <v>94506247</v>
      </c>
      <c r="E359" t="s">
        <v>1154</v>
      </c>
      <c r="F359">
        <v>73051506</v>
      </c>
      <c r="G359" t="s">
        <v>1069</v>
      </c>
      <c r="H359">
        <v>69680</v>
      </c>
      <c r="I359">
        <v>1934134</v>
      </c>
    </row>
    <row r="360" spans="2:9" x14ac:dyDescent="0.25">
      <c r="B360">
        <v>1001</v>
      </c>
      <c r="C360">
        <v>5001</v>
      </c>
      <c r="D360">
        <v>94506247</v>
      </c>
      <c r="E360" t="s">
        <v>1154</v>
      </c>
      <c r="F360">
        <v>73051506</v>
      </c>
      <c r="G360" t="s">
        <v>1069</v>
      </c>
      <c r="H360">
        <v>70591</v>
      </c>
      <c r="I360">
        <v>1934134</v>
      </c>
    </row>
    <row r="361" spans="2:9" x14ac:dyDescent="0.25">
      <c r="B361">
        <v>1001</v>
      </c>
      <c r="C361">
        <v>5001</v>
      </c>
      <c r="D361">
        <v>94506247</v>
      </c>
      <c r="E361" t="s">
        <v>1154</v>
      </c>
      <c r="F361">
        <v>73051506</v>
      </c>
      <c r="G361" t="s">
        <v>1069</v>
      </c>
      <c r="H361">
        <v>68159</v>
      </c>
      <c r="I361">
        <v>1934134</v>
      </c>
    </row>
    <row r="362" spans="2:9" x14ac:dyDescent="0.25">
      <c r="B362">
        <v>1001</v>
      </c>
      <c r="C362">
        <v>5001</v>
      </c>
      <c r="D362">
        <v>94506247</v>
      </c>
      <c r="E362" t="s">
        <v>1154</v>
      </c>
      <c r="F362">
        <v>73051506</v>
      </c>
      <c r="G362" t="s">
        <v>1069</v>
      </c>
      <c r="H362">
        <v>65228</v>
      </c>
      <c r="I362">
        <v>1934134</v>
      </c>
    </row>
    <row r="363" spans="2:9" x14ac:dyDescent="0.25">
      <c r="B363">
        <v>1001</v>
      </c>
      <c r="C363">
        <v>5001</v>
      </c>
      <c r="D363">
        <v>94506247</v>
      </c>
      <c r="E363" t="s">
        <v>1154</v>
      </c>
      <c r="F363">
        <v>73051506</v>
      </c>
      <c r="G363" t="s">
        <v>1069</v>
      </c>
      <c r="H363">
        <v>100183</v>
      </c>
      <c r="I363">
        <v>1934134</v>
      </c>
    </row>
    <row r="364" spans="2:9" x14ac:dyDescent="0.25">
      <c r="B364">
        <v>1001</v>
      </c>
      <c r="C364">
        <v>5001</v>
      </c>
      <c r="D364">
        <v>94506247</v>
      </c>
      <c r="E364" t="s">
        <v>1154</v>
      </c>
      <c r="F364">
        <v>73051506</v>
      </c>
      <c r="G364" t="s">
        <v>1069</v>
      </c>
      <c r="H364">
        <v>105725</v>
      </c>
      <c r="I364">
        <v>1934134</v>
      </c>
    </row>
    <row r="365" spans="2:9" x14ac:dyDescent="0.25">
      <c r="B365">
        <v>1001</v>
      </c>
      <c r="C365">
        <v>5001</v>
      </c>
      <c r="D365">
        <v>94506247</v>
      </c>
      <c r="E365" t="s">
        <v>1154</v>
      </c>
      <c r="F365">
        <v>73051506</v>
      </c>
      <c r="G365" t="s">
        <v>1069</v>
      </c>
      <c r="H365">
        <v>95293</v>
      </c>
      <c r="I365">
        <v>1934134</v>
      </c>
    </row>
    <row r="366" spans="2:9" x14ac:dyDescent="0.25">
      <c r="B366">
        <v>1001</v>
      </c>
      <c r="C366">
        <v>5001</v>
      </c>
      <c r="D366">
        <v>94506247</v>
      </c>
      <c r="E366" t="s">
        <v>1154</v>
      </c>
      <c r="F366">
        <v>73051506</v>
      </c>
      <c r="G366" t="s">
        <v>1069</v>
      </c>
      <c r="H366">
        <v>69262</v>
      </c>
      <c r="I366">
        <v>1934134</v>
      </c>
    </row>
    <row r="367" spans="2:9" x14ac:dyDescent="0.25">
      <c r="B367">
        <v>1001</v>
      </c>
      <c r="C367">
        <v>5001</v>
      </c>
      <c r="D367">
        <v>94506247</v>
      </c>
      <c r="E367" t="s">
        <v>1154</v>
      </c>
      <c r="F367">
        <v>73051506</v>
      </c>
      <c r="G367" t="s">
        <v>1069</v>
      </c>
      <c r="H367">
        <v>65985</v>
      </c>
      <c r="I367">
        <v>1934134</v>
      </c>
    </row>
    <row r="368" spans="2:9" x14ac:dyDescent="0.25">
      <c r="B368">
        <v>1001</v>
      </c>
      <c r="C368">
        <v>5001</v>
      </c>
      <c r="D368">
        <v>94506247</v>
      </c>
      <c r="E368" t="s">
        <v>1154</v>
      </c>
      <c r="F368">
        <v>73051506</v>
      </c>
      <c r="G368" t="s">
        <v>1069</v>
      </c>
      <c r="H368">
        <v>87755</v>
      </c>
      <c r="I368">
        <v>1934134</v>
      </c>
    </row>
    <row r="369" spans="2:9" x14ac:dyDescent="0.25">
      <c r="B369">
        <v>1001</v>
      </c>
      <c r="C369">
        <v>5001</v>
      </c>
      <c r="D369">
        <v>94506247</v>
      </c>
      <c r="E369" t="s">
        <v>1154</v>
      </c>
      <c r="F369">
        <v>73051506</v>
      </c>
      <c r="G369" t="s">
        <v>1069</v>
      </c>
      <c r="H369">
        <v>88435</v>
      </c>
      <c r="I369">
        <v>1934134</v>
      </c>
    </row>
    <row r="370" spans="2:9" x14ac:dyDescent="0.25">
      <c r="B370">
        <v>1001</v>
      </c>
      <c r="C370">
        <v>5001</v>
      </c>
      <c r="D370">
        <v>94506247</v>
      </c>
      <c r="E370" t="s">
        <v>1154</v>
      </c>
      <c r="F370">
        <v>73051506</v>
      </c>
      <c r="G370" t="s">
        <v>1069</v>
      </c>
      <c r="H370">
        <v>98873</v>
      </c>
      <c r="I370">
        <v>1934134</v>
      </c>
    </row>
    <row r="371" spans="2:9" x14ac:dyDescent="0.25">
      <c r="B371">
        <v>1001</v>
      </c>
      <c r="C371">
        <v>5001</v>
      </c>
      <c r="D371">
        <v>94506247</v>
      </c>
      <c r="E371" t="s">
        <v>1154</v>
      </c>
      <c r="F371">
        <v>73051506</v>
      </c>
      <c r="G371" t="s">
        <v>1069</v>
      </c>
      <c r="H371">
        <v>94208</v>
      </c>
      <c r="I371">
        <v>1934134</v>
      </c>
    </row>
    <row r="372" spans="2:9" x14ac:dyDescent="0.25">
      <c r="B372">
        <v>1001</v>
      </c>
      <c r="C372">
        <v>5001</v>
      </c>
      <c r="D372">
        <v>94506247</v>
      </c>
      <c r="E372" t="s">
        <v>1154</v>
      </c>
      <c r="F372">
        <v>73051506</v>
      </c>
      <c r="G372" t="s">
        <v>1069</v>
      </c>
      <c r="H372">
        <v>98457</v>
      </c>
      <c r="I372">
        <v>1934134</v>
      </c>
    </row>
    <row r="373" spans="2:9" x14ac:dyDescent="0.25">
      <c r="B373">
        <v>1001</v>
      </c>
      <c r="C373">
        <v>5001</v>
      </c>
      <c r="D373">
        <v>94506247</v>
      </c>
      <c r="E373" t="s">
        <v>1154</v>
      </c>
      <c r="F373">
        <v>73051506</v>
      </c>
      <c r="G373" t="s">
        <v>1069</v>
      </c>
      <c r="H373">
        <v>97625</v>
      </c>
      <c r="I373">
        <v>1934134</v>
      </c>
    </row>
    <row r="374" spans="2:9" x14ac:dyDescent="0.25">
      <c r="B374">
        <v>1001</v>
      </c>
      <c r="C374">
        <v>5001</v>
      </c>
      <c r="D374">
        <v>94506247</v>
      </c>
      <c r="E374" t="s">
        <v>1154</v>
      </c>
      <c r="F374">
        <v>73051506</v>
      </c>
      <c r="G374" t="s">
        <v>1069</v>
      </c>
      <c r="H374">
        <v>52803</v>
      </c>
      <c r="I374">
        <v>1934134</v>
      </c>
    </row>
    <row r="375" spans="2:9" x14ac:dyDescent="0.25">
      <c r="B375">
        <v>1001</v>
      </c>
      <c r="C375">
        <v>5001</v>
      </c>
      <c r="D375">
        <v>94506247</v>
      </c>
      <c r="E375" t="s">
        <v>1154</v>
      </c>
      <c r="F375">
        <v>73051506</v>
      </c>
      <c r="G375" t="s">
        <v>1069</v>
      </c>
      <c r="H375">
        <v>62125</v>
      </c>
      <c r="I375">
        <v>1934134</v>
      </c>
    </row>
    <row r="376" spans="2:9" x14ac:dyDescent="0.25">
      <c r="B376">
        <v>1001</v>
      </c>
      <c r="C376">
        <v>5001</v>
      </c>
      <c r="D376">
        <v>94506247</v>
      </c>
      <c r="E376" t="s">
        <v>1154</v>
      </c>
      <c r="F376">
        <v>73051506</v>
      </c>
      <c r="G376" t="s">
        <v>1069</v>
      </c>
      <c r="H376">
        <v>55654</v>
      </c>
      <c r="I376">
        <v>1934134</v>
      </c>
    </row>
    <row r="377" spans="2:9" x14ac:dyDescent="0.25">
      <c r="B377">
        <v>1001</v>
      </c>
      <c r="C377">
        <v>5001</v>
      </c>
      <c r="D377">
        <v>94506247</v>
      </c>
      <c r="E377" t="s">
        <v>1154</v>
      </c>
      <c r="F377">
        <v>73051506</v>
      </c>
      <c r="G377" t="s">
        <v>1069</v>
      </c>
      <c r="H377">
        <v>98158</v>
      </c>
      <c r="I377">
        <v>1934134</v>
      </c>
    </row>
    <row r="378" spans="2:9" x14ac:dyDescent="0.25">
      <c r="B378">
        <v>1001</v>
      </c>
      <c r="C378">
        <v>5001</v>
      </c>
      <c r="D378">
        <v>94506247</v>
      </c>
      <c r="E378" t="s">
        <v>1154</v>
      </c>
      <c r="F378">
        <v>73051506</v>
      </c>
      <c r="G378" t="s">
        <v>1069</v>
      </c>
      <c r="H378">
        <v>64128</v>
      </c>
      <c r="I378">
        <v>1934134</v>
      </c>
    </row>
    <row r="379" spans="2:9" x14ac:dyDescent="0.25">
      <c r="B379">
        <v>1001</v>
      </c>
      <c r="C379">
        <v>5001</v>
      </c>
      <c r="D379">
        <v>94506247</v>
      </c>
      <c r="E379" t="s">
        <v>1154</v>
      </c>
      <c r="F379">
        <v>73051506</v>
      </c>
      <c r="G379" t="s">
        <v>1069</v>
      </c>
      <c r="H379">
        <v>137473</v>
      </c>
      <c r="I379">
        <v>1934134</v>
      </c>
    </row>
    <row r="380" spans="2:9" x14ac:dyDescent="0.25">
      <c r="B380">
        <v>1001</v>
      </c>
      <c r="C380">
        <v>5001</v>
      </c>
      <c r="D380">
        <v>94506247</v>
      </c>
      <c r="E380" t="s">
        <v>1154</v>
      </c>
      <c r="F380">
        <v>73051506</v>
      </c>
      <c r="G380" t="s">
        <v>1069</v>
      </c>
      <c r="H380">
        <v>58762</v>
      </c>
      <c r="I380">
        <v>1934134</v>
      </c>
    </row>
    <row r="381" spans="2:9" x14ac:dyDescent="0.25">
      <c r="B381">
        <v>1001</v>
      </c>
      <c r="C381">
        <v>5001</v>
      </c>
      <c r="D381">
        <v>94506247</v>
      </c>
      <c r="E381" t="s">
        <v>1154</v>
      </c>
      <c r="F381">
        <v>73051506</v>
      </c>
      <c r="G381" t="s">
        <v>1069</v>
      </c>
      <c r="H381">
        <v>57636</v>
      </c>
      <c r="I381">
        <v>1934134</v>
      </c>
    </row>
    <row r="382" spans="2:9" x14ac:dyDescent="0.25">
      <c r="B382">
        <v>1001</v>
      </c>
      <c r="C382">
        <v>5001</v>
      </c>
      <c r="D382">
        <v>94506247</v>
      </c>
      <c r="E382" t="s">
        <v>1154</v>
      </c>
      <c r="F382">
        <v>73052701</v>
      </c>
      <c r="G382" t="s">
        <v>1071</v>
      </c>
      <c r="H382">
        <v>45282</v>
      </c>
      <c r="I382">
        <v>1054422</v>
      </c>
    </row>
    <row r="383" spans="2:9" x14ac:dyDescent="0.25">
      <c r="B383">
        <v>1001</v>
      </c>
      <c r="C383">
        <v>5001</v>
      </c>
      <c r="D383">
        <v>94506247</v>
      </c>
      <c r="E383" t="s">
        <v>1154</v>
      </c>
      <c r="F383">
        <v>73052701</v>
      </c>
      <c r="G383" t="s">
        <v>1071</v>
      </c>
      <c r="H383">
        <v>45282</v>
      </c>
      <c r="I383">
        <v>1054422</v>
      </c>
    </row>
    <row r="384" spans="2:9" x14ac:dyDescent="0.25">
      <c r="B384">
        <v>1001</v>
      </c>
      <c r="C384">
        <v>5001</v>
      </c>
      <c r="D384">
        <v>94506247</v>
      </c>
      <c r="E384" t="s">
        <v>1154</v>
      </c>
      <c r="F384">
        <v>73052701</v>
      </c>
      <c r="G384" t="s">
        <v>1071</v>
      </c>
      <c r="H384">
        <v>45282</v>
      </c>
      <c r="I384">
        <v>1054422</v>
      </c>
    </row>
    <row r="385" spans="2:9" x14ac:dyDescent="0.25">
      <c r="B385">
        <v>1001</v>
      </c>
      <c r="C385">
        <v>5001</v>
      </c>
      <c r="D385">
        <v>94506247</v>
      </c>
      <c r="E385" t="s">
        <v>1154</v>
      </c>
      <c r="F385">
        <v>73052701</v>
      </c>
      <c r="G385" t="s">
        <v>1071</v>
      </c>
      <c r="H385">
        <v>45282</v>
      </c>
      <c r="I385">
        <v>1054422</v>
      </c>
    </row>
    <row r="386" spans="2:9" x14ac:dyDescent="0.25">
      <c r="B386">
        <v>1001</v>
      </c>
      <c r="C386">
        <v>5001</v>
      </c>
      <c r="D386">
        <v>94506247</v>
      </c>
      <c r="E386" t="s">
        <v>1154</v>
      </c>
      <c r="F386">
        <v>73052701</v>
      </c>
      <c r="G386" t="s">
        <v>1071</v>
      </c>
      <c r="H386">
        <v>45282</v>
      </c>
      <c r="I386">
        <v>1054422</v>
      </c>
    </row>
    <row r="387" spans="2:9" x14ac:dyDescent="0.25">
      <c r="B387">
        <v>1001</v>
      </c>
      <c r="C387">
        <v>5001</v>
      </c>
      <c r="D387">
        <v>94506247</v>
      </c>
      <c r="E387" t="s">
        <v>1154</v>
      </c>
      <c r="F387">
        <v>73052701</v>
      </c>
      <c r="G387" t="s">
        <v>1071</v>
      </c>
      <c r="H387">
        <v>45282</v>
      </c>
      <c r="I387">
        <v>1054422</v>
      </c>
    </row>
    <row r="388" spans="2:9" x14ac:dyDescent="0.25">
      <c r="B388">
        <v>1001</v>
      </c>
      <c r="C388">
        <v>5001</v>
      </c>
      <c r="D388">
        <v>94506247</v>
      </c>
      <c r="E388" t="s">
        <v>1154</v>
      </c>
      <c r="F388">
        <v>73052701</v>
      </c>
      <c r="G388" t="s">
        <v>1071</v>
      </c>
      <c r="H388">
        <v>25875</v>
      </c>
      <c r="I388">
        <v>1054422</v>
      </c>
    </row>
    <row r="389" spans="2:9" x14ac:dyDescent="0.25">
      <c r="B389">
        <v>1001</v>
      </c>
      <c r="C389">
        <v>5001</v>
      </c>
      <c r="D389">
        <v>94506247</v>
      </c>
      <c r="E389" t="s">
        <v>1154</v>
      </c>
      <c r="F389">
        <v>73052701</v>
      </c>
      <c r="G389" t="s">
        <v>1071</v>
      </c>
      <c r="H389">
        <v>42047</v>
      </c>
      <c r="I389">
        <v>1054422</v>
      </c>
    </row>
    <row r="390" spans="2:9" x14ac:dyDescent="0.25">
      <c r="B390">
        <v>1001</v>
      </c>
      <c r="C390">
        <v>5001</v>
      </c>
      <c r="D390">
        <v>94506247</v>
      </c>
      <c r="E390" t="s">
        <v>1154</v>
      </c>
      <c r="F390">
        <v>73052701</v>
      </c>
      <c r="G390" t="s">
        <v>1071</v>
      </c>
      <c r="H390">
        <v>45282</v>
      </c>
      <c r="I390">
        <v>1054422</v>
      </c>
    </row>
    <row r="391" spans="2:9" x14ac:dyDescent="0.25">
      <c r="B391">
        <v>1001</v>
      </c>
      <c r="C391">
        <v>5001</v>
      </c>
      <c r="D391">
        <v>94506247</v>
      </c>
      <c r="E391" t="s">
        <v>1154</v>
      </c>
      <c r="F391">
        <v>73052701</v>
      </c>
      <c r="G391" t="s">
        <v>1071</v>
      </c>
      <c r="H391">
        <v>45282</v>
      </c>
      <c r="I391">
        <v>1054422</v>
      </c>
    </row>
    <row r="392" spans="2:9" x14ac:dyDescent="0.25">
      <c r="B392">
        <v>1001</v>
      </c>
      <c r="C392">
        <v>5001</v>
      </c>
      <c r="D392">
        <v>94506247</v>
      </c>
      <c r="E392" t="s">
        <v>1154</v>
      </c>
      <c r="F392">
        <v>73052701</v>
      </c>
      <c r="G392" t="s">
        <v>1071</v>
      </c>
      <c r="H392">
        <v>45282</v>
      </c>
      <c r="I392">
        <v>1054422</v>
      </c>
    </row>
    <row r="393" spans="2:9" x14ac:dyDescent="0.25">
      <c r="B393">
        <v>1001</v>
      </c>
      <c r="C393">
        <v>5001</v>
      </c>
      <c r="D393">
        <v>94506247</v>
      </c>
      <c r="E393" t="s">
        <v>1154</v>
      </c>
      <c r="F393">
        <v>73052701</v>
      </c>
      <c r="G393" t="s">
        <v>1071</v>
      </c>
      <c r="H393">
        <v>45282</v>
      </c>
      <c r="I393">
        <v>1054422</v>
      </c>
    </row>
    <row r="394" spans="2:9" x14ac:dyDescent="0.25">
      <c r="B394">
        <v>1001</v>
      </c>
      <c r="C394">
        <v>5001</v>
      </c>
      <c r="D394">
        <v>94506247</v>
      </c>
      <c r="E394" t="s">
        <v>1154</v>
      </c>
      <c r="F394">
        <v>73052701</v>
      </c>
      <c r="G394" t="s">
        <v>1071</v>
      </c>
      <c r="H394">
        <v>45282</v>
      </c>
      <c r="I394">
        <v>1054422</v>
      </c>
    </row>
    <row r="395" spans="2:9" x14ac:dyDescent="0.25">
      <c r="B395">
        <v>1001</v>
      </c>
      <c r="C395">
        <v>5001</v>
      </c>
      <c r="D395">
        <v>94506247</v>
      </c>
      <c r="E395" t="s">
        <v>1154</v>
      </c>
      <c r="F395">
        <v>73052701</v>
      </c>
      <c r="G395" t="s">
        <v>1071</v>
      </c>
      <c r="H395">
        <v>45282</v>
      </c>
      <c r="I395">
        <v>1054422</v>
      </c>
    </row>
    <row r="396" spans="2:9" x14ac:dyDescent="0.25">
      <c r="B396">
        <v>1001</v>
      </c>
      <c r="C396">
        <v>5001</v>
      </c>
      <c r="D396">
        <v>94506247</v>
      </c>
      <c r="E396" t="s">
        <v>1154</v>
      </c>
      <c r="F396">
        <v>73052701</v>
      </c>
      <c r="G396" t="s">
        <v>1071</v>
      </c>
      <c r="H396">
        <v>45282</v>
      </c>
      <c r="I396">
        <v>1054422</v>
      </c>
    </row>
    <row r="397" spans="2:9" x14ac:dyDescent="0.25">
      <c r="B397">
        <v>1001</v>
      </c>
      <c r="C397">
        <v>5001</v>
      </c>
      <c r="D397">
        <v>94506247</v>
      </c>
      <c r="E397" t="s">
        <v>1154</v>
      </c>
      <c r="F397">
        <v>73052701</v>
      </c>
      <c r="G397" t="s">
        <v>1071</v>
      </c>
      <c r="H397">
        <v>45282</v>
      </c>
      <c r="I397">
        <v>1054422</v>
      </c>
    </row>
    <row r="398" spans="2:9" x14ac:dyDescent="0.25">
      <c r="B398">
        <v>1001</v>
      </c>
      <c r="C398">
        <v>5001</v>
      </c>
      <c r="D398">
        <v>94506247</v>
      </c>
      <c r="E398" t="s">
        <v>1154</v>
      </c>
      <c r="F398">
        <v>73052701</v>
      </c>
      <c r="G398" t="s">
        <v>1071</v>
      </c>
      <c r="H398">
        <v>45282</v>
      </c>
      <c r="I398">
        <v>1054422</v>
      </c>
    </row>
    <row r="399" spans="2:9" x14ac:dyDescent="0.25">
      <c r="B399">
        <v>1001</v>
      </c>
      <c r="C399">
        <v>5001</v>
      </c>
      <c r="D399">
        <v>94506247</v>
      </c>
      <c r="E399" t="s">
        <v>1154</v>
      </c>
      <c r="F399">
        <v>73052701</v>
      </c>
      <c r="G399" t="s">
        <v>1071</v>
      </c>
      <c r="H399">
        <v>45282</v>
      </c>
      <c r="I399">
        <v>1054422</v>
      </c>
    </row>
    <row r="400" spans="2:9" x14ac:dyDescent="0.25">
      <c r="B400">
        <v>1001</v>
      </c>
      <c r="C400">
        <v>5001</v>
      </c>
      <c r="D400">
        <v>94506247</v>
      </c>
      <c r="E400" t="s">
        <v>1154</v>
      </c>
      <c r="F400">
        <v>73052701</v>
      </c>
      <c r="G400" t="s">
        <v>1071</v>
      </c>
      <c r="H400">
        <v>35578</v>
      </c>
      <c r="I400">
        <v>1054422</v>
      </c>
    </row>
    <row r="401" spans="2:9" x14ac:dyDescent="0.25">
      <c r="B401">
        <v>1001</v>
      </c>
      <c r="C401">
        <v>5001</v>
      </c>
      <c r="D401">
        <v>94506247</v>
      </c>
      <c r="E401" t="s">
        <v>1154</v>
      </c>
      <c r="F401">
        <v>73052701</v>
      </c>
      <c r="G401" t="s">
        <v>1071</v>
      </c>
      <c r="H401">
        <v>45282</v>
      </c>
      <c r="I401">
        <v>1054422</v>
      </c>
    </row>
    <row r="402" spans="2:9" x14ac:dyDescent="0.25">
      <c r="B402">
        <v>1001</v>
      </c>
      <c r="C402">
        <v>5001</v>
      </c>
      <c r="D402">
        <v>94506247</v>
      </c>
      <c r="E402" t="s">
        <v>1154</v>
      </c>
      <c r="F402">
        <v>73052701</v>
      </c>
      <c r="G402" t="s">
        <v>1071</v>
      </c>
      <c r="H402">
        <v>45282</v>
      </c>
      <c r="I402">
        <v>1054422</v>
      </c>
    </row>
    <row r="403" spans="2:9" x14ac:dyDescent="0.25">
      <c r="B403">
        <v>1001</v>
      </c>
      <c r="C403">
        <v>5001</v>
      </c>
      <c r="D403">
        <v>94506247</v>
      </c>
      <c r="E403" t="s">
        <v>1154</v>
      </c>
      <c r="F403">
        <v>73052701</v>
      </c>
      <c r="G403" t="s">
        <v>1071</v>
      </c>
      <c r="H403">
        <v>45282</v>
      </c>
      <c r="I403">
        <v>1054422</v>
      </c>
    </row>
    <row r="404" spans="2:9" x14ac:dyDescent="0.25">
      <c r="B404">
        <v>1001</v>
      </c>
      <c r="C404">
        <v>5001</v>
      </c>
      <c r="D404">
        <v>94506247</v>
      </c>
      <c r="E404" t="s">
        <v>1154</v>
      </c>
      <c r="F404">
        <v>73052701</v>
      </c>
      <c r="G404" t="s">
        <v>1071</v>
      </c>
      <c r="H404">
        <v>45282</v>
      </c>
      <c r="I404">
        <v>1054422</v>
      </c>
    </row>
    <row r="405" spans="2:9" x14ac:dyDescent="0.25">
      <c r="B405">
        <v>1001</v>
      </c>
      <c r="C405">
        <v>5001</v>
      </c>
      <c r="D405">
        <v>94506247</v>
      </c>
      <c r="E405" t="s">
        <v>1154</v>
      </c>
      <c r="F405">
        <v>73052701</v>
      </c>
      <c r="G405" t="s">
        <v>1071</v>
      </c>
      <c r="H405">
        <v>45282</v>
      </c>
      <c r="I405">
        <v>1054422</v>
      </c>
    </row>
    <row r="406" spans="2:9" x14ac:dyDescent="0.25">
      <c r="B406">
        <v>1001</v>
      </c>
      <c r="C406">
        <v>5002</v>
      </c>
      <c r="D406">
        <v>1098657461</v>
      </c>
      <c r="E406" t="s">
        <v>1102</v>
      </c>
      <c r="F406">
        <v>23651501</v>
      </c>
      <c r="G406" t="s">
        <v>648</v>
      </c>
      <c r="H406">
        <v>0</v>
      </c>
      <c r="I406">
        <v>0</v>
      </c>
    </row>
    <row r="407" spans="2:9" x14ac:dyDescent="0.25">
      <c r="B407">
        <v>1001</v>
      </c>
      <c r="C407">
        <v>5002</v>
      </c>
      <c r="D407">
        <v>1098657461</v>
      </c>
      <c r="E407" t="s">
        <v>1102</v>
      </c>
      <c r="F407">
        <v>23651501</v>
      </c>
      <c r="G407" t="s">
        <v>648</v>
      </c>
      <c r="H407">
        <v>0</v>
      </c>
      <c r="I407">
        <v>0</v>
      </c>
    </row>
    <row r="408" spans="2:9" x14ac:dyDescent="0.25">
      <c r="B408">
        <v>1001</v>
      </c>
      <c r="C408">
        <v>5002</v>
      </c>
      <c r="D408">
        <v>1098657461</v>
      </c>
      <c r="E408" t="s">
        <v>1102</v>
      </c>
      <c r="F408">
        <v>23651501</v>
      </c>
      <c r="G408" t="s">
        <v>648</v>
      </c>
      <c r="H408">
        <v>0</v>
      </c>
      <c r="I408">
        <v>0</v>
      </c>
    </row>
    <row r="409" spans="2:9" x14ac:dyDescent="0.25">
      <c r="B409">
        <v>1001</v>
      </c>
      <c r="C409">
        <v>5002</v>
      </c>
      <c r="D409">
        <v>1098657461</v>
      </c>
      <c r="E409" t="s">
        <v>1102</v>
      </c>
      <c r="F409">
        <v>23651501</v>
      </c>
      <c r="G409" t="s">
        <v>648</v>
      </c>
      <c r="H409">
        <v>0</v>
      </c>
      <c r="I409">
        <v>0</v>
      </c>
    </row>
    <row r="410" spans="2:9" x14ac:dyDescent="0.25">
      <c r="B410">
        <v>1001</v>
      </c>
      <c r="C410">
        <v>5002</v>
      </c>
      <c r="D410">
        <v>1098657461</v>
      </c>
      <c r="E410" t="s">
        <v>1102</v>
      </c>
      <c r="F410">
        <v>23651501</v>
      </c>
      <c r="G410" t="s">
        <v>648</v>
      </c>
      <c r="H410">
        <v>0</v>
      </c>
      <c r="I410">
        <v>0</v>
      </c>
    </row>
    <row r="411" spans="2:9" x14ac:dyDescent="0.25">
      <c r="B411">
        <v>1001</v>
      </c>
      <c r="C411">
        <v>5002</v>
      </c>
      <c r="D411">
        <v>1098657461</v>
      </c>
      <c r="E411" t="s">
        <v>1102</v>
      </c>
      <c r="F411">
        <v>23651501</v>
      </c>
      <c r="G411" t="s">
        <v>648</v>
      </c>
      <c r="H411">
        <v>0</v>
      </c>
      <c r="I411">
        <v>0</v>
      </c>
    </row>
    <row r="412" spans="2:9" x14ac:dyDescent="0.25">
      <c r="B412">
        <v>1001</v>
      </c>
      <c r="C412">
        <v>5002</v>
      </c>
      <c r="D412">
        <v>1098657461</v>
      </c>
      <c r="E412" t="s">
        <v>1102</v>
      </c>
      <c r="F412">
        <v>23651501</v>
      </c>
      <c r="G412" t="s">
        <v>648</v>
      </c>
      <c r="H412">
        <v>0</v>
      </c>
      <c r="I412">
        <v>0</v>
      </c>
    </row>
    <row r="413" spans="2:9" x14ac:dyDescent="0.25">
      <c r="B413">
        <v>1001</v>
      </c>
      <c r="C413">
        <v>5002</v>
      </c>
      <c r="D413">
        <v>1098657461</v>
      </c>
      <c r="E413" t="s">
        <v>1102</v>
      </c>
      <c r="F413">
        <v>23651502</v>
      </c>
      <c r="G413" t="s">
        <v>649</v>
      </c>
      <c r="H413">
        <v>0</v>
      </c>
      <c r="I413">
        <v>0</v>
      </c>
    </row>
    <row r="414" spans="2:9" x14ac:dyDescent="0.25">
      <c r="B414">
        <v>1001</v>
      </c>
      <c r="C414">
        <v>5002</v>
      </c>
      <c r="D414">
        <v>1098657461</v>
      </c>
      <c r="E414" t="s">
        <v>1102</v>
      </c>
      <c r="F414">
        <v>51109501</v>
      </c>
      <c r="G414" t="s">
        <v>1048</v>
      </c>
      <c r="H414">
        <v>800000</v>
      </c>
      <c r="I414">
        <v>10568000</v>
      </c>
    </row>
    <row r="415" spans="2:9" x14ac:dyDescent="0.25">
      <c r="B415">
        <v>1001</v>
      </c>
      <c r="C415">
        <v>5002</v>
      </c>
      <c r="D415">
        <v>1098657461</v>
      </c>
      <c r="E415" t="s">
        <v>1102</v>
      </c>
      <c r="F415">
        <v>51109501</v>
      </c>
      <c r="G415" t="s">
        <v>1048</v>
      </c>
      <c r="H415">
        <v>890000</v>
      </c>
      <c r="I415">
        <v>10568000</v>
      </c>
    </row>
    <row r="416" spans="2:9" x14ac:dyDescent="0.25">
      <c r="B416">
        <v>1001</v>
      </c>
      <c r="C416">
        <v>5002</v>
      </c>
      <c r="D416">
        <v>1098657461</v>
      </c>
      <c r="E416" t="s">
        <v>1102</v>
      </c>
      <c r="F416">
        <v>51109501</v>
      </c>
      <c r="G416" t="s">
        <v>1048</v>
      </c>
      <c r="H416">
        <v>890000</v>
      </c>
      <c r="I416">
        <v>10568000</v>
      </c>
    </row>
    <row r="417" spans="2:9" x14ac:dyDescent="0.25">
      <c r="B417">
        <v>1001</v>
      </c>
      <c r="C417">
        <v>5002</v>
      </c>
      <c r="D417">
        <v>1098657461</v>
      </c>
      <c r="E417" t="s">
        <v>1102</v>
      </c>
      <c r="F417">
        <v>51109501</v>
      </c>
      <c r="G417" t="s">
        <v>1048</v>
      </c>
      <c r="H417">
        <v>890000</v>
      </c>
      <c r="I417">
        <v>10568000</v>
      </c>
    </row>
    <row r="418" spans="2:9" x14ac:dyDescent="0.25">
      <c r="B418">
        <v>1001</v>
      </c>
      <c r="C418">
        <v>5002</v>
      </c>
      <c r="D418">
        <v>1098657461</v>
      </c>
      <c r="E418" t="s">
        <v>1102</v>
      </c>
      <c r="F418">
        <v>51109501</v>
      </c>
      <c r="G418" t="s">
        <v>1048</v>
      </c>
      <c r="H418">
        <v>890000</v>
      </c>
      <c r="I418">
        <v>10568000</v>
      </c>
    </row>
    <row r="419" spans="2:9" x14ac:dyDescent="0.25">
      <c r="B419">
        <v>1001</v>
      </c>
      <c r="C419">
        <v>5002</v>
      </c>
      <c r="D419">
        <v>1098657461</v>
      </c>
      <c r="E419" t="s">
        <v>1102</v>
      </c>
      <c r="F419">
        <v>51109501</v>
      </c>
      <c r="G419" t="s">
        <v>1048</v>
      </c>
      <c r="H419">
        <v>890000</v>
      </c>
      <c r="I419">
        <v>10568000</v>
      </c>
    </row>
    <row r="420" spans="2:9" x14ac:dyDescent="0.25">
      <c r="B420">
        <v>1001</v>
      </c>
      <c r="C420">
        <v>5002</v>
      </c>
      <c r="D420">
        <v>1098657461</v>
      </c>
      <c r="E420" t="s">
        <v>1102</v>
      </c>
      <c r="F420">
        <v>51109501</v>
      </c>
      <c r="G420" t="s">
        <v>1048</v>
      </c>
      <c r="H420">
        <v>890000</v>
      </c>
      <c r="I420">
        <v>10568000</v>
      </c>
    </row>
    <row r="421" spans="2:9" x14ac:dyDescent="0.25">
      <c r="B421">
        <v>1001</v>
      </c>
      <c r="C421">
        <v>5002</v>
      </c>
      <c r="D421">
        <v>1098657461</v>
      </c>
      <c r="E421" t="s">
        <v>1102</v>
      </c>
      <c r="F421">
        <v>51109501</v>
      </c>
      <c r="G421" t="s">
        <v>1048</v>
      </c>
      <c r="H421">
        <v>890000</v>
      </c>
      <c r="I421">
        <v>10568000</v>
      </c>
    </row>
    <row r="422" spans="2:9" x14ac:dyDescent="0.25">
      <c r="B422">
        <v>1001</v>
      </c>
      <c r="C422">
        <v>5002</v>
      </c>
      <c r="D422">
        <v>1098657461</v>
      </c>
      <c r="E422" t="s">
        <v>1102</v>
      </c>
      <c r="F422">
        <v>51109501</v>
      </c>
      <c r="G422" t="s">
        <v>1048</v>
      </c>
      <c r="H422">
        <v>888000</v>
      </c>
      <c r="I422">
        <v>10568000</v>
      </c>
    </row>
    <row r="423" spans="2:9" x14ac:dyDescent="0.25">
      <c r="B423">
        <v>1001</v>
      </c>
      <c r="C423">
        <v>5002</v>
      </c>
      <c r="D423">
        <v>1098657461</v>
      </c>
      <c r="E423" t="s">
        <v>1102</v>
      </c>
      <c r="F423">
        <v>51109501</v>
      </c>
      <c r="G423" t="s">
        <v>1048</v>
      </c>
      <c r="H423">
        <v>880000</v>
      </c>
      <c r="I423">
        <v>10568000</v>
      </c>
    </row>
    <row r="424" spans="2:9" x14ac:dyDescent="0.25">
      <c r="B424">
        <v>1001</v>
      </c>
      <c r="C424">
        <v>5002</v>
      </c>
      <c r="D424">
        <v>1098657461</v>
      </c>
      <c r="E424" t="s">
        <v>1102</v>
      </c>
      <c r="F424">
        <v>51109501</v>
      </c>
      <c r="G424" t="s">
        <v>1048</v>
      </c>
      <c r="H424">
        <v>880000</v>
      </c>
      <c r="I424">
        <v>10568000</v>
      </c>
    </row>
    <row r="425" spans="2:9" x14ac:dyDescent="0.25">
      <c r="B425">
        <v>1001</v>
      </c>
      <c r="C425">
        <v>5002</v>
      </c>
      <c r="D425">
        <v>1098657461</v>
      </c>
      <c r="E425" t="s">
        <v>1102</v>
      </c>
      <c r="F425">
        <v>51109501</v>
      </c>
      <c r="G425" t="s">
        <v>1048</v>
      </c>
      <c r="H425">
        <v>890000</v>
      </c>
      <c r="I425">
        <v>10568000</v>
      </c>
    </row>
    <row r="426" spans="2:9" x14ac:dyDescent="0.25">
      <c r="B426">
        <v>1001</v>
      </c>
      <c r="C426">
        <v>5002</v>
      </c>
      <c r="D426">
        <v>900510079</v>
      </c>
      <c r="E426" t="s">
        <v>1122</v>
      </c>
      <c r="F426">
        <v>23651502</v>
      </c>
      <c r="G426" t="s">
        <v>649</v>
      </c>
      <c r="H426">
        <v>0</v>
      </c>
      <c r="I426">
        <v>0</v>
      </c>
    </row>
    <row r="427" spans="2:9" x14ac:dyDescent="0.25">
      <c r="B427">
        <v>1001</v>
      </c>
      <c r="C427">
        <v>5002</v>
      </c>
      <c r="D427">
        <v>900510079</v>
      </c>
      <c r="E427" t="s">
        <v>1122</v>
      </c>
      <c r="F427">
        <v>23651502</v>
      </c>
      <c r="G427" t="s">
        <v>649</v>
      </c>
      <c r="H427">
        <v>0</v>
      </c>
      <c r="I427">
        <v>0</v>
      </c>
    </row>
    <row r="428" spans="2:9" x14ac:dyDescent="0.25">
      <c r="B428">
        <v>1001</v>
      </c>
      <c r="C428">
        <v>5002</v>
      </c>
      <c r="D428">
        <v>900510079</v>
      </c>
      <c r="E428" t="s">
        <v>1122</v>
      </c>
      <c r="F428">
        <v>23651502</v>
      </c>
      <c r="G428" t="s">
        <v>649</v>
      </c>
      <c r="H428">
        <v>0</v>
      </c>
      <c r="I428">
        <v>0</v>
      </c>
    </row>
    <row r="429" spans="2:9" x14ac:dyDescent="0.25">
      <c r="B429">
        <v>1001</v>
      </c>
      <c r="C429">
        <v>5002</v>
      </c>
      <c r="D429">
        <v>900510079</v>
      </c>
      <c r="E429" t="s">
        <v>1122</v>
      </c>
      <c r="F429">
        <v>23651502</v>
      </c>
      <c r="G429" t="s">
        <v>649</v>
      </c>
      <c r="H429">
        <v>0</v>
      </c>
      <c r="I429">
        <v>0</v>
      </c>
    </row>
    <row r="430" spans="2:9" x14ac:dyDescent="0.25">
      <c r="B430">
        <v>1001</v>
      </c>
      <c r="C430">
        <v>5002</v>
      </c>
      <c r="D430">
        <v>900510079</v>
      </c>
      <c r="E430" t="s">
        <v>1122</v>
      </c>
      <c r="F430">
        <v>23651502</v>
      </c>
      <c r="G430" t="s">
        <v>649</v>
      </c>
      <c r="H430">
        <v>0</v>
      </c>
      <c r="I430">
        <v>0</v>
      </c>
    </row>
    <row r="431" spans="2:9" x14ac:dyDescent="0.25">
      <c r="B431">
        <v>1001</v>
      </c>
      <c r="C431">
        <v>5002</v>
      </c>
      <c r="D431">
        <v>900510079</v>
      </c>
      <c r="E431" t="s">
        <v>1122</v>
      </c>
      <c r="F431">
        <v>23651502</v>
      </c>
      <c r="G431" t="s">
        <v>649</v>
      </c>
      <c r="H431">
        <v>0</v>
      </c>
      <c r="I431">
        <v>0</v>
      </c>
    </row>
    <row r="432" spans="2:9" x14ac:dyDescent="0.25">
      <c r="B432">
        <v>1001</v>
      </c>
      <c r="C432">
        <v>5002</v>
      </c>
      <c r="D432">
        <v>900510079</v>
      </c>
      <c r="E432" t="s">
        <v>1122</v>
      </c>
      <c r="F432">
        <v>51109501</v>
      </c>
      <c r="G432" t="s">
        <v>1048</v>
      </c>
      <c r="H432">
        <v>100000</v>
      </c>
      <c r="I432">
        <v>600000</v>
      </c>
    </row>
    <row r="433" spans="2:9" x14ac:dyDescent="0.25">
      <c r="B433">
        <v>1001</v>
      </c>
      <c r="C433">
        <v>5002</v>
      </c>
      <c r="D433">
        <v>900510079</v>
      </c>
      <c r="E433" t="s">
        <v>1122</v>
      </c>
      <c r="F433">
        <v>51109501</v>
      </c>
      <c r="G433" t="s">
        <v>1048</v>
      </c>
      <c r="H433">
        <v>100000</v>
      </c>
      <c r="I433">
        <v>600000</v>
      </c>
    </row>
    <row r="434" spans="2:9" x14ac:dyDescent="0.25">
      <c r="B434">
        <v>1001</v>
      </c>
      <c r="C434">
        <v>5002</v>
      </c>
      <c r="D434">
        <v>900510079</v>
      </c>
      <c r="E434" t="s">
        <v>1122</v>
      </c>
      <c r="F434">
        <v>51109501</v>
      </c>
      <c r="G434" t="s">
        <v>1048</v>
      </c>
      <c r="H434">
        <v>100000</v>
      </c>
      <c r="I434">
        <v>600000</v>
      </c>
    </row>
    <row r="435" spans="2:9" x14ac:dyDescent="0.25">
      <c r="B435">
        <v>1001</v>
      </c>
      <c r="C435">
        <v>5002</v>
      </c>
      <c r="D435">
        <v>900510079</v>
      </c>
      <c r="E435" t="s">
        <v>1122</v>
      </c>
      <c r="F435">
        <v>51109501</v>
      </c>
      <c r="G435" t="s">
        <v>1048</v>
      </c>
      <c r="H435">
        <v>100000</v>
      </c>
      <c r="I435">
        <v>600000</v>
      </c>
    </row>
    <row r="436" spans="2:9" x14ac:dyDescent="0.25">
      <c r="B436">
        <v>1001</v>
      </c>
      <c r="C436">
        <v>5002</v>
      </c>
      <c r="D436">
        <v>900510079</v>
      </c>
      <c r="E436" t="s">
        <v>1122</v>
      </c>
      <c r="F436">
        <v>51109501</v>
      </c>
      <c r="G436" t="s">
        <v>1048</v>
      </c>
      <c r="H436">
        <v>100000</v>
      </c>
      <c r="I436">
        <v>600000</v>
      </c>
    </row>
    <row r="437" spans="2:9" x14ac:dyDescent="0.25">
      <c r="B437">
        <v>1001</v>
      </c>
      <c r="C437">
        <v>5002</v>
      </c>
      <c r="D437">
        <v>900510079</v>
      </c>
      <c r="E437" t="s">
        <v>1122</v>
      </c>
      <c r="F437">
        <v>51109501</v>
      </c>
      <c r="G437" t="s">
        <v>1048</v>
      </c>
      <c r="H437">
        <v>100000</v>
      </c>
      <c r="I437">
        <v>600000</v>
      </c>
    </row>
    <row r="438" spans="2:9" x14ac:dyDescent="0.25">
      <c r="B438">
        <v>1001</v>
      </c>
      <c r="C438">
        <v>5003</v>
      </c>
      <c r="D438">
        <v>805012610</v>
      </c>
      <c r="E438" t="s">
        <v>1162</v>
      </c>
      <c r="F438">
        <v>51950501</v>
      </c>
      <c r="G438" t="s">
        <v>1056</v>
      </c>
      <c r="H438">
        <v>3300</v>
      </c>
      <c r="I438">
        <v>26400</v>
      </c>
    </row>
    <row r="439" spans="2:9" x14ac:dyDescent="0.25">
      <c r="B439">
        <v>1001</v>
      </c>
      <c r="C439">
        <v>5003</v>
      </c>
      <c r="D439">
        <v>805012610</v>
      </c>
      <c r="E439" t="s">
        <v>1162</v>
      </c>
      <c r="F439">
        <v>51950501</v>
      </c>
      <c r="G439" t="s">
        <v>1056</v>
      </c>
      <c r="H439">
        <v>3300</v>
      </c>
      <c r="I439">
        <v>26400</v>
      </c>
    </row>
    <row r="440" spans="2:9" x14ac:dyDescent="0.25">
      <c r="B440">
        <v>1001</v>
      </c>
      <c r="C440">
        <v>5003</v>
      </c>
      <c r="D440">
        <v>805012610</v>
      </c>
      <c r="E440" t="s">
        <v>1162</v>
      </c>
      <c r="F440">
        <v>51950501</v>
      </c>
      <c r="G440" t="s">
        <v>1056</v>
      </c>
      <c r="H440">
        <v>3300</v>
      </c>
      <c r="I440">
        <v>26400</v>
      </c>
    </row>
    <row r="441" spans="2:9" x14ac:dyDescent="0.25">
      <c r="B441">
        <v>1001</v>
      </c>
      <c r="C441">
        <v>5003</v>
      </c>
      <c r="D441">
        <v>805012610</v>
      </c>
      <c r="E441" t="s">
        <v>1162</v>
      </c>
      <c r="F441">
        <v>51950501</v>
      </c>
      <c r="G441" t="s">
        <v>1056</v>
      </c>
      <c r="H441">
        <v>3300</v>
      </c>
      <c r="I441">
        <v>26400</v>
      </c>
    </row>
    <row r="442" spans="2:9" x14ac:dyDescent="0.25">
      <c r="B442">
        <v>1001</v>
      </c>
      <c r="C442">
        <v>5003</v>
      </c>
      <c r="D442">
        <v>805012610</v>
      </c>
      <c r="E442" t="s">
        <v>1162</v>
      </c>
      <c r="F442">
        <v>51950501</v>
      </c>
      <c r="G442" t="s">
        <v>1056</v>
      </c>
      <c r="H442">
        <v>3300</v>
      </c>
      <c r="I442">
        <v>26400</v>
      </c>
    </row>
    <row r="443" spans="2:9" x14ac:dyDescent="0.25">
      <c r="B443">
        <v>1001</v>
      </c>
      <c r="C443">
        <v>5003</v>
      </c>
      <c r="D443">
        <v>805012610</v>
      </c>
      <c r="E443" t="s">
        <v>1162</v>
      </c>
      <c r="F443">
        <v>51950501</v>
      </c>
      <c r="G443" t="s">
        <v>1056</v>
      </c>
      <c r="H443">
        <v>3300</v>
      </c>
      <c r="I443">
        <v>26400</v>
      </c>
    </row>
    <row r="444" spans="2:9" x14ac:dyDescent="0.25">
      <c r="B444">
        <v>1001</v>
      </c>
      <c r="C444">
        <v>5003</v>
      </c>
      <c r="D444">
        <v>805012610</v>
      </c>
      <c r="E444" t="s">
        <v>1162</v>
      </c>
      <c r="F444">
        <v>51950501</v>
      </c>
      <c r="G444" t="s">
        <v>1056</v>
      </c>
      <c r="H444">
        <v>3300</v>
      </c>
      <c r="I444">
        <v>26400</v>
      </c>
    </row>
    <row r="445" spans="2:9" x14ac:dyDescent="0.25">
      <c r="B445">
        <v>1001</v>
      </c>
      <c r="C445">
        <v>5003</v>
      </c>
      <c r="D445">
        <v>805012610</v>
      </c>
      <c r="E445" t="s">
        <v>1162</v>
      </c>
      <c r="F445">
        <v>51950501</v>
      </c>
      <c r="G445" t="s">
        <v>1056</v>
      </c>
      <c r="H445">
        <v>3300</v>
      </c>
      <c r="I445">
        <v>26400</v>
      </c>
    </row>
    <row r="446" spans="2:9" x14ac:dyDescent="0.25">
      <c r="B446">
        <v>1001</v>
      </c>
      <c r="C446">
        <v>5004</v>
      </c>
      <c r="D446">
        <v>1127212443</v>
      </c>
      <c r="E446" t="s">
        <v>1174</v>
      </c>
      <c r="F446">
        <v>23652501</v>
      </c>
      <c r="G446" t="s">
        <v>650</v>
      </c>
      <c r="H446">
        <v>0</v>
      </c>
      <c r="I446">
        <v>0</v>
      </c>
    </row>
    <row r="447" spans="2:9" x14ac:dyDescent="0.25">
      <c r="B447">
        <v>1001</v>
      </c>
      <c r="C447">
        <v>5004</v>
      </c>
      <c r="D447">
        <v>1127212443</v>
      </c>
      <c r="E447" t="s">
        <v>1174</v>
      </c>
      <c r="F447">
        <v>23652502</v>
      </c>
      <c r="G447" t="s">
        <v>651</v>
      </c>
      <c r="H447">
        <v>0</v>
      </c>
      <c r="I447">
        <v>0</v>
      </c>
    </row>
    <row r="448" spans="2:9" x14ac:dyDescent="0.25">
      <c r="B448">
        <v>1001</v>
      </c>
      <c r="C448">
        <v>5004</v>
      </c>
      <c r="D448">
        <v>1143840099</v>
      </c>
      <c r="E448" t="s">
        <v>1186</v>
      </c>
      <c r="F448">
        <v>23652502</v>
      </c>
      <c r="G448" t="s">
        <v>651</v>
      </c>
      <c r="H448">
        <v>0</v>
      </c>
      <c r="I448">
        <v>0</v>
      </c>
    </row>
    <row r="449" spans="2:9" x14ac:dyDescent="0.25">
      <c r="B449">
        <v>1001</v>
      </c>
      <c r="C449">
        <v>5004</v>
      </c>
      <c r="D449">
        <v>1143840099</v>
      </c>
      <c r="E449" t="s">
        <v>1186</v>
      </c>
      <c r="F449">
        <v>23652502</v>
      </c>
      <c r="G449" t="s">
        <v>651</v>
      </c>
      <c r="H449">
        <v>0</v>
      </c>
      <c r="I449">
        <v>0</v>
      </c>
    </row>
    <row r="450" spans="2:9" x14ac:dyDescent="0.25">
      <c r="B450">
        <v>1001</v>
      </c>
      <c r="C450">
        <v>5004</v>
      </c>
      <c r="D450">
        <v>16623071</v>
      </c>
      <c r="E450" t="s">
        <v>1176</v>
      </c>
      <c r="F450">
        <v>23652501</v>
      </c>
      <c r="G450" t="s">
        <v>650</v>
      </c>
      <c r="H450">
        <v>0</v>
      </c>
      <c r="I450">
        <v>0</v>
      </c>
    </row>
    <row r="451" spans="2:9" x14ac:dyDescent="0.25">
      <c r="B451">
        <v>1001</v>
      </c>
      <c r="C451">
        <v>5004</v>
      </c>
      <c r="D451">
        <v>16623071</v>
      </c>
      <c r="E451" t="s">
        <v>1176</v>
      </c>
      <c r="F451">
        <v>23652501</v>
      </c>
      <c r="G451" t="s">
        <v>650</v>
      </c>
      <c r="H451">
        <v>0</v>
      </c>
      <c r="I451">
        <v>0</v>
      </c>
    </row>
    <row r="452" spans="2:9" x14ac:dyDescent="0.25">
      <c r="B452">
        <v>1001</v>
      </c>
      <c r="C452">
        <v>5004</v>
      </c>
      <c r="D452">
        <v>16719200</v>
      </c>
      <c r="E452" t="s">
        <v>1116</v>
      </c>
      <c r="F452">
        <v>23652501</v>
      </c>
      <c r="G452" t="s">
        <v>650</v>
      </c>
      <c r="H452">
        <v>0</v>
      </c>
      <c r="I452">
        <v>0</v>
      </c>
    </row>
    <row r="453" spans="2:9" x14ac:dyDescent="0.25">
      <c r="B453">
        <v>1001</v>
      </c>
      <c r="C453">
        <v>5004</v>
      </c>
      <c r="D453">
        <v>16719200</v>
      </c>
      <c r="E453" t="s">
        <v>1116</v>
      </c>
      <c r="F453">
        <v>23652501</v>
      </c>
      <c r="G453" t="s">
        <v>650</v>
      </c>
      <c r="H453">
        <v>0</v>
      </c>
      <c r="I453">
        <v>0</v>
      </c>
    </row>
    <row r="454" spans="2:9" x14ac:dyDescent="0.25">
      <c r="B454">
        <v>1001</v>
      </c>
      <c r="C454">
        <v>5004</v>
      </c>
      <c r="D454">
        <v>16719200</v>
      </c>
      <c r="E454" t="s">
        <v>1116</v>
      </c>
      <c r="F454">
        <v>23652501</v>
      </c>
      <c r="G454" t="s">
        <v>650</v>
      </c>
      <c r="H454">
        <v>0</v>
      </c>
      <c r="I454">
        <v>0</v>
      </c>
    </row>
    <row r="455" spans="2:9" x14ac:dyDescent="0.25">
      <c r="B455">
        <v>1001</v>
      </c>
      <c r="C455">
        <v>5004</v>
      </c>
      <c r="D455">
        <v>16719200</v>
      </c>
      <c r="E455" t="s">
        <v>1116</v>
      </c>
      <c r="F455">
        <v>23652501</v>
      </c>
      <c r="G455" t="s">
        <v>650</v>
      </c>
      <c r="H455">
        <v>0</v>
      </c>
      <c r="I455">
        <v>0</v>
      </c>
    </row>
    <row r="456" spans="2:9" x14ac:dyDescent="0.25">
      <c r="B456">
        <v>1001</v>
      </c>
      <c r="C456">
        <v>5004</v>
      </c>
      <c r="D456">
        <v>16719200</v>
      </c>
      <c r="E456" t="s">
        <v>1116</v>
      </c>
      <c r="F456">
        <v>23652501</v>
      </c>
      <c r="G456" t="s">
        <v>650</v>
      </c>
      <c r="H456">
        <v>0</v>
      </c>
      <c r="I456">
        <v>0</v>
      </c>
    </row>
    <row r="457" spans="2:9" x14ac:dyDescent="0.25">
      <c r="B457">
        <v>1001</v>
      </c>
      <c r="C457">
        <v>5004</v>
      </c>
      <c r="D457">
        <v>16719200</v>
      </c>
      <c r="E457" t="s">
        <v>1116</v>
      </c>
      <c r="F457">
        <v>23652501</v>
      </c>
      <c r="G457" t="s">
        <v>650</v>
      </c>
      <c r="H457">
        <v>0</v>
      </c>
      <c r="I457">
        <v>0</v>
      </c>
    </row>
    <row r="458" spans="2:9" x14ac:dyDescent="0.25">
      <c r="B458">
        <v>1001</v>
      </c>
      <c r="C458">
        <v>5004</v>
      </c>
      <c r="D458">
        <v>16719200</v>
      </c>
      <c r="E458" t="s">
        <v>1116</v>
      </c>
      <c r="F458">
        <v>23652501</v>
      </c>
      <c r="G458" t="s">
        <v>650</v>
      </c>
      <c r="H458">
        <v>0</v>
      </c>
      <c r="I458">
        <v>0</v>
      </c>
    </row>
    <row r="459" spans="2:9" x14ac:dyDescent="0.25">
      <c r="B459">
        <v>1001</v>
      </c>
      <c r="C459">
        <v>5004</v>
      </c>
      <c r="D459">
        <v>16719200</v>
      </c>
      <c r="E459" t="s">
        <v>1116</v>
      </c>
      <c r="F459">
        <v>23652501</v>
      </c>
      <c r="G459" t="s">
        <v>650</v>
      </c>
      <c r="H459">
        <v>0</v>
      </c>
      <c r="I459">
        <v>0</v>
      </c>
    </row>
    <row r="460" spans="2:9" x14ac:dyDescent="0.25">
      <c r="B460">
        <v>1001</v>
      </c>
      <c r="C460">
        <v>5004</v>
      </c>
      <c r="D460">
        <v>16719200</v>
      </c>
      <c r="E460" t="s">
        <v>1116</v>
      </c>
      <c r="F460">
        <v>23652501</v>
      </c>
      <c r="G460" t="s">
        <v>650</v>
      </c>
      <c r="H460">
        <v>0</v>
      </c>
      <c r="I460">
        <v>0</v>
      </c>
    </row>
    <row r="461" spans="2:9" x14ac:dyDescent="0.25">
      <c r="B461">
        <v>1001</v>
      </c>
      <c r="C461">
        <v>5004</v>
      </c>
      <c r="D461">
        <v>16719200</v>
      </c>
      <c r="E461" t="s">
        <v>1116</v>
      </c>
      <c r="F461">
        <v>23652501</v>
      </c>
      <c r="G461" t="s">
        <v>650</v>
      </c>
      <c r="H461">
        <v>0</v>
      </c>
      <c r="I461">
        <v>0</v>
      </c>
    </row>
    <row r="462" spans="2:9" x14ac:dyDescent="0.25">
      <c r="B462">
        <v>1001</v>
      </c>
      <c r="C462">
        <v>5004</v>
      </c>
      <c r="D462">
        <v>16719200</v>
      </c>
      <c r="E462" t="s">
        <v>1116</v>
      </c>
      <c r="F462">
        <v>23652501</v>
      </c>
      <c r="G462" t="s">
        <v>650</v>
      </c>
      <c r="H462">
        <v>0</v>
      </c>
      <c r="I462">
        <v>0</v>
      </c>
    </row>
    <row r="463" spans="2:9" x14ac:dyDescent="0.25">
      <c r="B463">
        <v>1001</v>
      </c>
      <c r="C463">
        <v>5004</v>
      </c>
      <c r="D463">
        <v>16719200</v>
      </c>
      <c r="E463" t="s">
        <v>1116</v>
      </c>
      <c r="F463">
        <v>23652501</v>
      </c>
      <c r="G463" t="s">
        <v>650</v>
      </c>
      <c r="H463">
        <v>0</v>
      </c>
      <c r="I463">
        <v>0</v>
      </c>
    </row>
    <row r="464" spans="2:9" x14ac:dyDescent="0.25">
      <c r="B464">
        <v>1001</v>
      </c>
      <c r="C464">
        <v>5004</v>
      </c>
      <c r="D464">
        <v>16719200</v>
      </c>
      <c r="E464" t="s">
        <v>1116</v>
      </c>
      <c r="F464">
        <v>23652501</v>
      </c>
      <c r="G464" t="s">
        <v>650</v>
      </c>
      <c r="H464">
        <v>0</v>
      </c>
      <c r="I464">
        <v>0</v>
      </c>
    </row>
    <row r="465" spans="2:9" x14ac:dyDescent="0.25">
      <c r="B465">
        <v>1001</v>
      </c>
      <c r="C465">
        <v>5004</v>
      </c>
      <c r="D465">
        <v>16719200</v>
      </c>
      <c r="E465" t="s">
        <v>1116</v>
      </c>
      <c r="F465">
        <v>23652501</v>
      </c>
      <c r="G465" t="s">
        <v>650</v>
      </c>
      <c r="H465">
        <v>0</v>
      </c>
      <c r="I465">
        <v>0</v>
      </c>
    </row>
    <row r="466" spans="2:9" x14ac:dyDescent="0.25">
      <c r="B466">
        <v>1001</v>
      </c>
      <c r="C466">
        <v>5004</v>
      </c>
      <c r="D466">
        <v>16719200</v>
      </c>
      <c r="E466" t="s">
        <v>1116</v>
      </c>
      <c r="F466">
        <v>23652501</v>
      </c>
      <c r="G466" t="s">
        <v>650</v>
      </c>
      <c r="H466">
        <v>0</v>
      </c>
      <c r="I466">
        <v>0</v>
      </c>
    </row>
    <row r="467" spans="2:9" x14ac:dyDescent="0.25">
      <c r="B467">
        <v>1001</v>
      </c>
      <c r="C467">
        <v>5004</v>
      </c>
      <c r="D467">
        <v>16719200</v>
      </c>
      <c r="E467" t="s">
        <v>1116</v>
      </c>
      <c r="F467">
        <v>23652501</v>
      </c>
      <c r="G467" t="s">
        <v>650</v>
      </c>
      <c r="H467">
        <v>0</v>
      </c>
      <c r="I467">
        <v>0</v>
      </c>
    </row>
    <row r="468" spans="2:9" x14ac:dyDescent="0.25">
      <c r="B468">
        <v>1001</v>
      </c>
      <c r="C468">
        <v>5004</v>
      </c>
      <c r="D468">
        <v>16719200</v>
      </c>
      <c r="E468" t="s">
        <v>1116</v>
      </c>
      <c r="F468">
        <v>23652501</v>
      </c>
      <c r="G468" t="s">
        <v>650</v>
      </c>
      <c r="H468">
        <v>0</v>
      </c>
      <c r="I468">
        <v>0</v>
      </c>
    </row>
    <row r="469" spans="2:9" x14ac:dyDescent="0.25">
      <c r="B469">
        <v>1001</v>
      </c>
      <c r="C469">
        <v>5004</v>
      </c>
      <c r="D469">
        <v>31928720</v>
      </c>
      <c r="E469" t="s">
        <v>1120</v>
      </c>
      <c r="F469">
        <v>23652501</v>
      </c>
      <c r="G469" t="s">
        <v>650</v>
      </c>
      <c r="H469">
        <v>0</v>
      </c>
      <c r="I469">
        <v>0</v>
      </c>
    </row>
    <row r="470" spans="2:9" x14ac:dyDescent="0.25">
      <c r="B470">
        <v>1001</v>
      </c>
      <c r="C470">
        <v>5004</v>
      </c>
      <c r="D470">
        <v>901068507</v>
      </c>
      <c r="E470" t="s">
        <v>1106</v>
      </c>
      <c r="F470">
        <v>23652501</v>
      </c>
      <c r="G470" t="s">
        <v>650</v>
      </c>
      <c r="H470">
        <v>0</v>
      </c>
      <c r="I470">
        <v>0</v>
      </c>
    </row>
    <row r="471" spans="2:9" x14ac:dyDescent="0.25">
      <c r="B471">
        <v>1001</v>
      </c>
      <c r="C471">
        <v>5004</v>
      </c>
      <c r="D471">
        <v>901068507</v>
      </c>
      <c r="E471" t="s">
        <v>1106</v>
      </c>
      <c r="F471">
        <v>23652501</v>
      </c>
      <c r="G471" t="s">
        <v>650</v>
      </c>
      <c r="H471">
        <v>0</v>
      </c>
      <c r="I471">
        <v>0</v>
      </c>
    </row>
    <row r="472" spans="2:9" x14ac:dyDescent="0.25">
      <c r="B472">
        <v>1001</v>
      </c>
      <c r="C472">
        <v>5004</v>
      </c>
      <c r="D472">
        <v>901068507</v>
      </c>
      <c r="E472" t="s">
        <v>1106</v>
      </c>
      <c r="F472">
        <v>23652502</v>
      </c>
      <c r="G472" t="s">
        <v>651</v>
      </c>
      <c r="H472">
        <v>0</v>
      </c>
      <c r="I472">
        <v>0</v>
      </c>
    </row>
    <row r="473" spans="2:9" x14ac:dyDescent="0.25">
      <c r="B473">
        <v>1001</v>
      </c>
      <c r="C473">
        <v>5005</v>
      </c>
      <c r="D473">
        <v>16719200</v>
      </c>
      <c r="E473" t="s">
        <v>1116</v>
      </c>
      <c r="F473">
        <v>23654001</v>
      </c>
      <c r="G473" t="s">
        <v>653</v>
      </c>
      <c r="H473">
        <v>0</v>
      </c>
      <c r="I473">
        <v>0</v>
      </c>
    </row>
    <row r="474" spans="2:9" x14ac:dyDescent="0.25">
      <c r="B474">
        <v>1001</v>
      </c>
      <c r="C474">
        <v>5005</v>
      </c>
      <c r="D474">
        <v>31928720</v>
      </c>
      <c r="E474" t="s">
        <v>1120</v>
      </c>
      <c r="F474">
        <v>23653001</v>
      </c>
      <c r="G474" t="s">
        <v>653</v>
      </c>
      <c r="H474">
        <v>0</v>
      </c>
      <c r="I474">
        <v>0</v>
      </c>
    </row>
    <row r="475" spans="2:9" x14ac:dyDescent="0.25">
      <c r="B475">
        <v>1001</v>
      </c>
      <c r="C475">
        <v>5005</v>
      </c>
      <c r="D475">
        <v>31928720</v>
      </c>
      <c r="E475" t="s">
        <v>1120</v>
      </c>
      <c r="F475">
        <v>23653001</v>
      </c>
      <c r="G475" t="s">
        <v>653</v>
      </c>
      <c r="H475">
        <v>0</v>
      </c>
      <c r="I475">
        <v>0</v>
      </c>
    </row>
    <row r="476" spans="2:9" x14ac:dyDescent="0.25">
      <c r="B476">
        <v>1001</v>
      </c>
      <c r="C476">
        <v>5005</v>
      </c>
      <c r="D476">
        <v>31928720</v>
      </c>
      <c r="E476" t="s">
        <v>1120</v>
      </c>
      <c r="F476">
        <v>23653001</v>
      </c>
      <c r="G476" t="s">
        <v>653</v>
      </c>
      <c r="H476">
        <v>0</v>
      </c>
      <c r="I476">
        <v>0</v>
      </c>
    </row>
    <row r="477" spans="2:9" x14ac:dyDescent="0.25">
      <c r="B477">
        <v>1001</v>
      </c>
      <c r="C477">
        <v>5005</v>
      </c>
      <c r="D477">
        <v>31928720</v>
      </c>
      <c r="E477" t="s">
        <v>1120</v>
      </c>
      <c r="F477">
        <v>23653001</v>
      </c>
      <c r="G477" t="s">
        <v>653</v>
      </c>
      <c r="H477">
        <v>0</v>
      </c>
      <c r="I477">
        <v>0</v>
      </c>
    </row>
    <row r="478" spans="2:9" x14ac:dyDescent="0.25">
      <c r="B478">
        <v>1001</v>
      </c>
      <c r="C478">
        <v>5005</v>
      </c>
      <c r="D478">
        <v>31928720</v>
      </c>
      <c r="E478" t="s">
        <v>1120</v>
      </c>
      <c r="F478">
        <v>23653001</v>
      </c>
      <c r="G478" t="s">
        <v>653</v>
      </c>
      <c r="H478">
        <v>0</v>
      </c>
      <c r="I478">
        <v>0</v>
      </c>
    </row>
    <row r="479" spans="2:9" x14ac:dyDescent="0.25">
      <c r="B479">
        <v>1001</v>
      </c>
      <c r="C479">
        <v>5005</v>
      </c>
      <c r="D479">
        <v>31928720</v>
      </c>
      <c r="E479" t="s">
        <v>1120</v>
      </c>
      <c r="F479">
        <v>23653001</v>
      </c>
      <c r="G479" t="s">
        <v>653</v>
      </c>
      <c r="H479">
        <v>0</v>
      </c>
      <c r="I479">
        <v>0</v>
      </c>
    </row>
    <row r="480" spans="2:9" x14ac:dyDescent="0.25">
      <c r="B480">
        <v>1001</v>
      </c>
      <c r="C480">
        <v>5005</v>
      </c>
      <c r="D480">
        <v>31928720</v>
      </c>
      <c r="E480" t="s">
        <v>1120</v>
      </c>
      <c r="F480">
        <v>23653001</v>
      </c>
      <c r="G480" t="s">
        <v>653</v>
      </c>
      <c r="H480">
        <v>0</v>
      </c>
      <c r="I480">
        <v>0</v>
      </c>
    </row>
    <row r="481" spans="2:9" x14ac:dyDescent="0.25">
      <c r="B481">
        <v>1001</v>
      </c>
      <c r="C481">
        <v>5005</v>
      </c>
      <c r="D481">
        <v>31928720</v>
      </c>
      <c r="E481" t="s">
        <v>1120</v>
      </c>
      <c r="F481">
        <v>23653001</v>
      </c>
      <c r="G481" t="s">
        <v>653</v>
      </c>
      <c r="H481">
        <v>0</v>
      </c>
      <c r="I481">
        <v>0</v>
      </c>
    </row>
    <row r="482" spans="2:9" x14ac:dyDescent="0.25">
      <c r="B482">
        <v>1001</v>
      </c>
      <c r="C482">
        <v>5005</v>
      </c>
      <c r="D482">
        <v>31928720</v>
      </c>
      <c r="E482" t="s">
        <v>1120</v>
      </c>
      <c r="F482">
        <v>23653001</v>
      </c>
      <c r="G482" t="s">
        <v>653</v>
      </c>
      <c r="H482">
        <v>0</v>
      </c>
      <c r="I482">
        <v>0</v>
      </c>
    </row>
    <row r="483" spans="2:9" x14ac:dyDescent="0.25">
      <c r="B483">
        <v>1001</v>
      </c>
      <c r="C483">
        <v>5005</v>
      </c>
      <c r="D483">
        <v>900749690</v>
      </c>
      <c r="E483" t="s">
        <v>1164</v>
      </c>
      <c r="F483">
        <v>23654001</v>
      </c>
      <c r="G483" t="s">
        <v>653</v>
      </c>
      <c r="H483">
        <v>0</v>
      </c>
      <c r="I483">
        <v>0</v>
      </c>
    </row>
    <row r="484" spans="2:9" x14ac:dyDescent="0.25">
      <c r="B484">
        <v>1001</v>
      </c>
      <c r="C484">
        <v>5005</v>
      </c>
      <c r="D484">
        <v>901068507</v>
      </c>
      <c r="E484" t="s">
        <v>1106</v>
      </c>
      <c r="F484">
        <v>23653001</v>
      </c>
      <c r="G484" t="s">
        <v>653</v>
      </c>
      <c r="H484">
        <v>0</v>
      </c>
      <c r="I484">
        <v>0</v>
      </c>
    </row>
    <row r="485" spans="2:9" x14ac:dyDescent="0.25">
      <c r="B485">
        <v>1001</v>
      </c>
      <c r="C485">
        <v>5006</v>
      </c>
      <c r="D485">
        <v>805012610</v>
      </c>
      <c r="E485" t="s">
        <v>1162</v>
      </c>
      <c r="F485">
        <v>53051501</v>
      </c>
      <c r="G485" t="s">
        <v>1061</v>
      </c>
      <c r="H485">
        <v>186274</v>
      </c>
      <c r="I485">
        <v>2484629</v>
      </c>
    </row>
    <row r="486" spans="2:9" x14ac:dyDescent="0.25">
      <c r="B486">
        <v>1001</v>
      </c>
      <c r="C486">
        <v>5006</v>
      </c>
      <c r="D486">
        <v>805012610</v>
      </c>
      <c r="E486" t="s">
        <v>1162</v>
      </c>
      <c r="F486">
        <v>53051501</v>
      </c>
      <c r="G486" t="s">
        <v>1061</v>
      </c>
      <c r="H486">
        <v>420088</v>
      </c>
      <c r="I486">
        <v>2484629</v>
      </c>
    </row>
    <row r="487" spans="2:9" x14ac:dyDescent="0.25">
      <c r="B487">
        <v>1001</v>
      </c>
      <c r="C487">
        <v>5006</v>
      </c>
      <c r="D487">
        <v>805012610</v>
      </c>
      <c r="E487" t="s">
        <v>1162</v>
      </c>
      <c r="F487">
        <v>53051501</v>
      </c>
      <c r="G487" t="s">
        <v>1061</v>
      </c>
      <c r="H487">
        <v>414738</v>
      </c>
      <c r="I487">
        <v>2484629</v>
      </c>
    </row>
    <row r="488" spans="2:9" x14ac:dyDescent="0.25">
      <c r="B488">
        <v>1001</v>
      </c>
      <c r="C488">
        <v>5006</v>
      </c>
      <c r="D488">
        <v>805012610</v>
      </c>
      <c r="E488" t="s">
        <v>1162</v>
      </c>
      <c r="F488">
        <v>53051501</v>
      </c>
      <c r="G488" t="s">
        <v>1061</v>
      </c>
      <c r="H488">
        <v>471502</v>
      </c>
      <c r="I488">
        <v>2484629</v>
      </c>
    </row>
    <row r="489" spans="2:9" x14ac:dyDescent="0.25">
      <c r="B489">
        <v>1001</v>
      </c>
      <c r="C489">
        <v>5006</v>
      </c>
      <c r="D489">
        <v>805012610</v>
      </c>
      <c r="E489" t="s">
        <v>1162</v>
      </c>
      <c r="F489">
        <v>53051501</v>
      </c>
      <c r="G489" t="s">
        <v>1061</v>
      </c>
      <c r="H489">
        <v>349691</v>
      </c>
      <c r="I489">
        <v>2484629</v>
      </c>
    </row>
    <row r="490" spans="2:9" x14ac:dyDescent="0.25">
      <c r="B490">
        <v>1001</v>
      </c>
      <c r="C490">
        <v>5006</v>
      </c>
      <c r="D490">
        <v>805012610</v>
      </c>
      <c r="E490" t="s">
        <v>1162</v>
      </c>
      <c r="F490">
        <v>53051501</v>
      </c>
      <c r="G490" t="s">
        <v>1061</v>
      </c>
      <c r="H490">
        <v>243515</v>
      </c>
      <c r="I490">
        <v>2484629</v>
      </c>
    </row>
    <row r="491" spans="2:9" x14ac:dyDescent="0.25">
      <c r="B491">
        <v>1001</v>
      </c>
      <c r="C491">
        <v>5006</v>
      </c>
      <c r="D491">
        <v>805012610</v>
      </c>
      <c r="E491" t="s">
        <v>1162</v>
      </c>
      <c r="F491">
        <v>53051501</v>
      </c>
      <c r="G491" t="s">
        <v>1061</v>
      </c>
      <c r="H491">
        <v>200105</v>
      </c>
      <c r="I491">
        <v>2484629</v>
      </c>
    </row>
    <row r="492" spans="2:9" x14ac:dyDescent="0.25">
      <c r="B492">
        <v>1001</v>
      </c>
      <c r="C492">
        <v>5006</v>
      </c>
      <c r="D492">
        <v>805012610</v>
      </c>
      <c r="E492" t="s">
        <v>1162</v>
      </c>
      <c r="F492">
        <v>53051501</v>
      </c>
      <c r="G492" t="s">
        <v>1061</v>
      </c>
      <c r="H492">
        <v>278</v>
      </c>
      <c r="I492">
        <v>2484629</v>
      </c>
    </row>
    <row r="493" spans="2:9" x14ac:dyDescent="0.25">
      <c r="B493">
        <v>1001</v>
      </c>
      <c r="C493">
        <v>5006</v>
      </c>
      <c r="D493">
        <v>805012610</v>
      </c>
      <c r="E493" t="s">
        <v>1162</v>
      </c>
      <c r="F493">
        <v>53051501</v>
      </c>
      <c r="G493" t="s">
        <v>1061</v>
      </c>
      <c r="H493">
        <v>198438</v>
      </c>
      <c r="I493">
        <v>2484629</v>
      </c>
    </row>
    <row r="494" spans="2:9" x14ac:dyDescent="0.25">
      <c r="B494">
        <v>1001</v>
      </c>
      <c r="C494">
        <v>5007</v>
      </c>
      <c r="D494">
        <v>900665567</v>
      </c>
      <c r="E494" t="s">
        <v>1178</v>
      </c>
      <c r="F494">
        <v>23652503</v>
      </c>
      <c r="G494" t="s">
        <v>652</v>
      </c>
      <c r="H494">
        <v>0</v>
      </c>
      <c r="I494">
        <v>0</v>
      </c>
    </row>
    <row r="495" spans="2:9" x14ac:dyDescent="0.25">
      <c r="B495">
        <v>1001</v>
      </c>
      <c r="C495">
        <v>5008</v>
      </c>
      <c r="D495">
        <v>1144052002</v>
      </c>
      <c r="E495" t="s">
        <v>1158</v>
      </c>
      <c r="F495">
        <v>15280501</v>
      </c>
      <c r="H495">
        <v>210000</v>
      </c>
      <c r="I495">
        <v>210000</v>
      </c>
    </row>
    <row r="496" spans="2:9" x14ac:dyDescent="0.25">
      <c r="B496">
        <v>1001</v>
      </c>
      <c r="C496">
        <v>5008</v>
      </c>
      <c r="D496">
        <v>16285515</v>
      </c>
      <c r="E496" t="s">
        <v>1156</v>
      </c>
      <c r="F496">
        <v>15200501</v>
      </c>
      <c r="G496">
        <v>0</v>
      </c>
      <c r="H496">
        <v>10000000</v>
      </c>
      <c r="I496">
        <v>10000000</v>
      </c>
    </row>
    <row r="497" spans="2:9" x14ac:dyDescent="0.25">
      <c r="B497">
        <v>1001</v>
      </c>
      <c r="C497">
        <v>5008</v>
      </c>
      <c r="D497">
        <v>16285515</v>
      </c>
      <c r="E497" t="s">
        <v>1156</v>
      </c>
      <c r="F497">
        <v>23654002</v>
      </c>
      <c r="G497">
        <v>0</v>
      </c>
      <c r="H497">
        <v>0</v>
      </c>
      <c r="I497">
        <v>0</v>
      </c>
    </row>
    <row r="498" spans="2:9" x14ac:dyDescent="0.25">
      <c r="B498">
        <v>1001</v>
      </c>
      <c r="C498">
        <v>5008</v>
      </c>
      <c r="D498">
        <v>19456882</v>
      </c>
      <c r="E498" t="s">
        <v>1524</v>
      </c>
      <c r="F498">
        <v>15200501</v>
      </c>
      <c r="G498">
        <v>0</v>
      </c>
      <c r="H498">
        <v>600000</v>
      </c>
      <c r="I498">
        <v>600000</v>
      </c>
    </row>
    <row r="499" spans="2:9" x14ac:dyDescent="0.25">
      <c r="B499">
        <v>1001</v>
      </c>
      <c r="C499">
        <v>5016</v>
      </c>
      <c r="D499">
        <v>1010112682</v>
      </c>
      <c r="E499" t="s">
        <v>1310</v>
      </c>
      <c r="F499">
        <v>51956001</v>
      </c>
      <c r="G499" t="s">
        <v>1059</v>
      </c>
      <c r="H499">
        <v>34000</v>
      </c>
      <c r="I499">
        <v>34000</v>
      </c>
    </row>
    <row r="500" spans="2:9" x14ac:dyDescent="0.25">
      <c r="B500">
        <v>1001</v>
      </c>
      <c r="C500">
        <v>5016</v>
      </c>
      <c r="D500">
        <v>1127212443</v>
      </c>
      <c r="E500" t="s">
        <v>1174</v>
      </c>
      <c r="F500">
        <v>53152001</v>
      </c>
      <c r="G500" t="s">
        <v>1062</v>
      </c>
      <c r="H500">
        <v>16321</v>
      </c>
      <c r="I500">
        <v>16321</v>
      </c>
    </row>
    <row r="501" spans="2:9" x14ac:dyDescent="0.25">
      <c r="B501">
        <v>1001</v>
      </c>
      <c r="C501">
        <v>5016</v>
      </c>
      <c r="D501">
        <v>1130602069</v>
      </c>
      <c r="E501" t="s">
        <v>1326</v>
      </c>
      <c r="F501">
        <v>51956001</v>
      </c>
      <c r="G501" t="s">
        <v>1059</v>
      </c>
      <c r="H501">
        <v>87000</v>
      </c>
      <c r="I501">
        <v>87000</v>
      </c>
    </row>
    <row r="502" spans="2:9" x14ac:dyDescent="0.25">
      <c r="B502">
        <v>1001</v>
      </c>
      <c r="C502">
        <v>5016</v>
      </c>
      <c r="D502">
        <v>1130638393</v>
      </c>
      <c r="E502" t="s">
        <v>1289</v>
      </c>
      <c r="F502">
        <v>51953001</v>
      </c>
      <c r="G502" t="s">
        <v>1057</v>
      </c>
      <c r="H502">
        <v>30000</v>
      </c>
      <c r="I502">
        <v>60000</v>
      </c>
    </row>
    <row r="503" spans="2:9" x14ac:dyDescent="0.25">
      <c r="B503">
        <v>1001</v>
      </c>
      <c r="C503">
        <v>5016</v>
      </c>
      <c r="D503">
        <v>1130638393</v>
      </c>
      <c r="E503" t="s">
        <v>1289</v>
      </c>
      <c r="F503">
        <v>51953001</v>
      </c>
      <c r="G503" t="s">
        <v>1057</v>
      </c>
      <c r="H503">
        <v>30000</v>
      </c>
      <c r="I503">
        <v>60000</v>
      </c>
    </row>
    <row r="504" spans="2:9" x14ac:dyDescent="0.25">
      <c r="B504">
        <v>1001</v>
      </c>
      <c r="C504">
        <v>5016</v>
      </c>
      <c r="D504">
        <v>1130638435</v>
      </c>
      <c r="E504" t="s">
        <v>1361</v>
      </c>
      <c r="F504">
        <v>61208701</v>
      </c>
      <c r="G504" t="s">
        <v>1063</v>
      </c>
      <c r="H504">
        <v>192500</v>
      </c>
      <c r="I504">
        <v>192500</v>
      </c>
    </row>
    <row r="505" spans="2:9" x14ac:dyDescent="0.25">
      <c r="B505">
        <v>1001</v>
      </c>
      <c r="C505">
        <v>5016</v>
      </c>
      <c r="D505">
        <v>1130641550</v>
      </c>
      <c r="E505" t="s">
        <v>1375</v>
      </c>
      <c r="F505">
        <v>62150101</v>
      </c>
      <c r="G505" t="s">
        <v>1065</v>
      </c>
      <c r="H505">
        <v>28000</v>
      </c>
      <c r="I505">
        <v>28000</v>
      </c>
    </row>
    <row r="506" spans="2:9" x14ac:dyDescent="0.25">
      <c r="B506">
        <v>1001</v>
      </c>
      <c r="C506">
        <v>5016</v>
      </c>
      <c r="D506">
        <v>1130673927</v>
      </c>
      <c r="E506" t="s">
        <v>1182</v>
      </c>
      <c r="F506">
        <v>61208701</v>
      </c>
      <c r="G506" t="s">
        <v>1063</v>
      </c>
      <c r="H506">
        <v>695179</v>
      </c>
      <c r="I506">
        <v>695179</v>
      </c>
    </row>
    <row r="507" spans="2:9" x14ac:dyDescent="0.25">
      <c r="B507">
        <v>1001</v>
      </c>
      <c r="C507">
        <v>5016</v>
      </c>
      <c r="D507">
        <v>1143840099</v>
      </c>
      <c r="E507" t="s">
        <v>1186</v>
      </c>
      <c r="F507">
        <v>53152001</v>
      </c>
      <c r="G507" t="s">
        <v>1062</v>
      </c>
      <c r="H507">
        <v>1760</v>
      </c>
      <c r="I507">
        <v>1760</v>
      </c>
    </row>
    <row r="508" spans="2:9" x14ac:dyDescent="0.25">
      <c r="B508">
        <v>1001</v>
      </c>
      <c r="C508">
        <v>5016</v>
      </c>
      <c r="D508">
        <v>1144034352</v>
      </c>
      <c r="E508" t="s">
        <v>1385</v>
      </c>
      <c r="F508">
        <v>62150101</v>
      </c>
      <c r="G508" t="s">
        <v>1065</v>
      </c>
      <c r="H508">
        <v>7000</v>
      </c>
      <c r="I508">
        <v>7000</v>
      </c>
    </row>
    <row r="509" spans="2:9" x14ac:dyDescent="0.25">
      <c r="B509">
        <v>1001</v>
      </c>
      <c r="C509">
        <v>5016</v>
      </c>
      <c r="D509">
        <v>1151934840</v>
      </c>
      <c r="E509" t="s">
        <v>1206</v>
      </c>
      <c r="F509">
        <v>62150101</v>
      </c>
      <c r="G509" t="s">
        <v>1065</v>
      </c>
      <c r="H509">
        <v>1512</v>
      </c>
      <c r="I509">
        <v>12014</v>
      </c>
    </row>
    <row r="510" spans="2:9" x14ac:dyDescent="0.25">
      <c r="B510">
        <v>1001</v>
      </c>
      <c r="C510">
        <v>5016</v>
      </c>
      <c r="D510">
        <v>1151934840</v>
      </c>
      <c r="E510" t="s">
        <v>1206</v>
      </c>
      <c r="F510">
        <v>62150101</v>
      </c>
      <c r="G510" t="s">
        <v>1065</v>
      </c>
      <c r="H510">
        <v>5460</v>
      </c>
      <c r="I510">
        <v>12014</v>
      </c>
    </row>
    <row r="511" spans="2:9" x14ac:dyDescent="0.25">
      <c r="B511">
        <v>1001</v>
      </c>
      <c r="C511">
        <v>5016</v>
      </c>
      <c r="D511">
        <v>1151934840</v>
      </c>
      <c r="E511" t="s">
        <v>1206</v>
      </c>
      <c r="F511">
        <v>62150101</v>
      </c>
      <c r="G511" t="s">
        <v>1065</v>
      </c>
      <c r="H511">
        <v>5042</v>
      </c>
      <c r="I511">
        <v>12014</v>
      </c>
    </row>
    <row r="512" spans="2:9" x14ac:dyDescent="0.25">
      <c r="B512">
        <v>1001</v>
      </c>
      <c r="C512">
        <v>5016</v>
      </c>
      <c r="D512">
        <v>13436094</v>
      </c>
      <c r="E512" t="s">
        <v>1698</v>
      </c>
      <c r="F512">
        <v>51956001</v>
      </c>
      <c r="G512" t="s">
        <v>1059</v>
      </c>
      <c r="H512">
        <v>37500</v>
      </c>
      <c r="I512">
        <v>37500</v>
      </c>
    </row>
    <row r="513" spans="2:9" x14ac:dyDescent="0.25">
      <c r="B513">
        <v>1001</v>
      </c>
      <c r="C513">
        <v>5016</v>
      </c>
      <c r="D513">
        <v>14974772</v>
      </c>
      <c r="E513" t="s">
        <v>1373</v>
      </c>
      <c r="F513">
        <v>62150101</v>
      </c>
      <c r="G513" t="s">
        <v>1065</v>
      </c>
      <c r="H513">
        <v>85000</v>
      </c>
      <c r="I513">
        <v>195000</v>
      </c>
    </row>
    <row r="514" spans="2:9" x14ac:dyDescent="0.25">
      <c r="B514">
        <v>1001</v>
      </c>
      <c r="C514">
        <v>5016</v>
      </c>
      <c r="D514">
        <v>14974772</v>
      </c>
      <c r="E514" t="s">
        <v>1373</v>
      </c>
      <c r="F514">
        <v>62150101</v>
      </c>
      <c r="G514" t="s">
        <v>1065</v>
      </c>
      <c r="H514">
        <v>30000</v>
      </c>
      <c r="I514">
        <v>195000</v>
      </c>
    </row>
    <row r="515" spans="2:9" x14ac:dyDescent="0.25">
      <c r="B515">
        <v>1001</v>
      </c>
      <c r="C515">
        <v>5016</v>
      </c>
      <c r="D515">
        <v>14974772</v>
      </c>
      <c r="E515" t="s">
        <v>1373</v>
      </c>
      <c r="F515">
        <v>62150101</v>
      </c>
      <c r="G515" t="s">
        <v>1065</v>
      </c>
      <c r="H515">
        <v>80000</v>
      </c>
      <c r="I515">
        <v>195000</v>
      </c>
    </row>
    <row r="516" spans="2:9" x14ac:dyDescent="0.25">
      <c r="B516">
        <v>1001</v>
      </c>
      <c r="C516">
        <v>5016</v>
      </c>
      <c r="D516">
        <v>16285515</v>
      </c>
      <c r="E516" t="s">
        <v>1156</v>
      </c>
      <c r="F516">
        <v>53152001</v>
      </c>
      <c r="G516" t="s">
        <v>1062</v>
      </c>
      <c r="H516">
        <v>427000</v>
      </c>
      <c r="I516">
        <v>427000</v>
      </c>
    </row>
    <row r="517" spans="2:9" x14ac:dyDescent="0.25">
      <c r="B517">
        <v>1001</v>
      </c>
      <c r="C517">
        <v>5016</v>
      </c>
      <c r="D517">
        <v>16451416</v>
      </c>
      <c r="E517" t="s">
        <v>1387</v>
      </c>
      <c r="F517">
        <v>62150101</v>
      </c>
      <c r="G517" t="s">
        <v>1065</v>
      </c>
      <c r="H517">
        <v>2400</v>
      </c>
      <c r="I517">
        <v>2400</v>
      </c>
    </row>
    <row r="518" spans="2:9" x14ac:dyDescent="0.25">
      <c r="B518">
        <v>1001</v>
      </c>
      <c r="C518">
        <v>5016</v>
      </c>
      <c r="D518">
        <v>16711436</v>
      </c>
      <c r="E518" t="s">
        <v>1180</v>
      </c>
      <c r="F518">
        <v>53152001</v>
      </c>
      <c r="G518" t="s">
        <v>1062</v>
      </c>
      <c r="H518">
        <v>7010</v>
      </c>
      <c r="I518">
        <v>7010</v>
      </c>
    </row>
    <row r="519" spans="2:9" x14ac:dyDescent="0.25">
      <c r="B519">
        <v>1001</v>
      </c>
      <c r="C519">
        <v>5016</v>
      </c>
      <c r="D519">
        <v>16711436</v>
      </c>
      <c r="E519" t="s">
        <v>1180</v>
      </c>
      <c r="F519">
        <v>62100101</v>
      </c>
      <c r="G519" t="s">
        <v>1064</v>
      </c>
      <c r="H519">
        <v>910420</v>
      </c>
      <c r="I519">
        <v>1977620</v>
      </c>
    </row>
    <row r="520" spans="2:9" x14ac:dyDescent="0.25">
      <c r="B520">
        <v>1001</v>
      </c>
      <c r="C520">
        <v>5016</v>
      </c>
      <c r="D520">
        <v>16711436</v>
      </c>
      <c r="E520" t="s">
        <v>1180</v>
      </c>
      <c r="F520">
        <v>62100101</v>
      </c>
      <c r="G520" t="s">
        <v>1064</v>
      </c>
      <c r="H520">
        <v>1067200</v>
      </c>
      <c r="I520">
        <v>1977620</v>
      </c>
    </row>
    <row r="521" spans="2:9" x14ac:dyDescent="0.25">
      <c r="B521">
        <v>1001</v>
      </c>
      <c r="C521">
        <v>5016</v>
      </c>
      <c r="D521">
        <v>16719200</v>
      </c>
      <c r="E521" t="s">
        <v>1116</v>
      </c>
      <c r="F521">
        <v>53152001</v>
      </c>
      <c r="G521" t="s">
        <v>1062</v>
      </c>
      <c r="H521">
        <v>75000</v>
      </c>
      <c r="I521">
        <v>1050000</v>
      </c>
    </row>
    <row r="522" spans="2:9" x14ac:dyDescent="0.25">
      <c r="B522">
        <v>1001</v>
      </c>
      <c r="C522">
        <v>5016</v>
      </c>
      <c r="D522">
        <v>16719200</v>
      </c>
      <c r="E522" t="s">
        <v>1116</v>
      </c>
      <c r="F522">
        <v>53152001</v>
      </c>
      <c r="G522" t="s">
        <v>1062</v>
      </c>
      <c r="H522">
        <v>75000</v>
      </c>
      <c r="I522">
        <v>1050000</v>
      </c>
    </row>
    <row r="523" spans="2:9" x14ac:dyDescent="0.25">
      <c r="B523">
        <v>1001</v>
      </c>
      <c r="C523">
        <v>5016</v>
      </c>
      <c r="D523">
        <v>16719200</v>
      </c>
      <c r="E523" t="s">
        <v>1116</v>
      </c>
      <c r="F523">
        <v>53152001</v>
      </c>
      <c r="G523" t="s">
        <v>1062</v>
      </c>
      <c r="H523">
        <v>75000</v>
      </c>
      <c r="I523">
        <v>1050000</v>
      </c>
    </row>
    <row r="524" spans="2:9" x14ac:dyDescent="0.25">
      <c r="B524">
        <v>1001</v>
      </c>
      <c r="C524">
        <v>5016</v>
      </c>
      <c r="D524">
        <v>16719200</v>
      </c>
      <c r="E524" t="s">
        <v>1116</v>
      </c>
      <c r="F524">
        <v>53152001</v>
      </c>
      <c r="G524" t="s">
        <v>1062</v>
      </c>
      <c r="H524">
        <v>75000</v>
      </c>
      <c r="I524">
        <v>1050000</v>
      </c>
    </row>
    <row r="525" spans="2:9" x14ac:dyDescent="0.25">
      <c r="B525">
        <v>1001</v>
      </c>
      <c r="C525">
        <v>5016</v>
      </c>
      <c r="D525">
        <v>16719200</v>
      </c>
      <c r="E525" t="s">
        <v>1116</v>
      </c>
      <c r="F525">
        <v>53152001</v>
      </c>
      <c r="G525" t="s">
        <v>1062</v>
      </c>
      <c r="H525">
        <v>75000</v>
      </c>
      <c r="I525">
        <v>1050000</v>
      </c>
    </row>
    <row r="526" spans="2:9" x14ac:dyDescent="0.25">
      <c r="B526">
        <v>1001</v>
      </c>
      <c r="C526">
        <v>5016</v>
      </c>
      <c r="D526">
        <v>16719200</v>
      </c>
      <c r="E526" t="s">
        <v>1116</v>
      </c>
      <c r="F526">
        <v>53152001</v>
      </c>
      <c r="G526" t="s">
        <v>1062</v>
      </c>
      <c r="H526">
        <v>75000</v>
      </c>
      <c r="I526">
        <v>1050000</v>
      </c>
    </row>
    <row r="527" spans="2:9" x14ac:dyDescent="0.25">
      <c r="B527">
        <v>1001</v>
      </c>
      <c r="C527">
        <v>5016</v>
      </c>
      <c r="D527">
        <v>16719200</v>
      </c>
      <c r="E527" t="s">
        <v>1116</v>
      </c>
      <c r="F527">
        <v>53152001</v>
      </c>
      <c r="G527" t="s">
        <v>1062</v>
      </c>
      <c r="H527">
        <v>75000</v>
      </c>
      <c r="I527">
        <v>1050000</v>
      </c>
    </row>
    <row r="528" spans="2:9" x14ac:dyDescent="0.25">
      <c r="B528">
        <v>1001</v>
      </c>
      <c r="C528">
        <v>5016</v>
      </c>
      <c r="D528">
        <v>16719200</v>
      </c>
      <c r="E528" t="s">
        <v>1116</v>
      </c>
      <c r="F528">
        <v>53152001</v>
      </c>
      <c r="G528" t="s">
        <v>1062</v>
      </c>
      <c r="H528">
        <v>50000</v>
      </c>
      <c r="I528">
        <v>1050000</v>
      </c>
    </row>
    <row r="529" spans="2:9" x14ac:dyDescent="0.25">
      <c r="B529">
        <v>1001</v>
      </c>
      <c r="C529">
        <v>5016</v>
      </c>
      <c r="D529">
        <v>16719200</v>
      </c>
      <c r="E529" t="s">
        <v>1116</v>
      </c>
      <c r="F529">
        <v>53152001</v>
      </c>
      <c r="G529" t="s">
        <v>1062</v>
      </c>
      <c r="H529">
        <v>75000</v>
      </c>
      <c r="I529">
        <v>1050000</v>
      </c>
    </row>
    <row r="530" spans="2:9" x14ac:dyDescent="0.25">
      <c r="B530">
        <v>1001</v>
      </c>
      <c r="C530">
        <v>5016</v>
      </c>
      <c r="D530">
        <v>16719200</v>
      </c>
      <c r="E530" t="s">
        <v>1116</v>
      </c>
      <c r="F530">
        <v>53152001</v>
      </c>
      <c r="G530" t="s">
        <v>1062</v>
      </c>
      <c r="H530">
        <v>75000</v>
      </c>
      <c r="I530">
        <v>1050000</v>
      </c>
    </row>
    <row r="531" spans="2:9" x14ac:dyDescent="0.25">
      <c r="B531">
        <v>1001</v>
      </c>
      <c r="C531">
        <v>5016</v>
      </c>
      <c r="D531">
        <v>16719200</v>
      </c>
      <c r="E531" t="s">
        <v>1116</v>
      </c>
      <c r="F531">
        <v>53152001</v>
      </c>
      <c r="G531" t="s">
        <v>1062</v>
      </c>
      <c r="H531">
        <v>75000</v>
      </c>
      <c r="I531">
        <v>1050000</v>
      </c>
    </row>
    <row r="532" spans="2:9" x14ac:dyDescent="0.25">
      <c r="B532">
        <v>1001</v>
      </c>
      <c r="C532">
        <v>5016</v>
      </c>
      <c r="D532">
        <v>16719200</v>
      </c>
      <c r="E532" t="s">
        <v>1116</v>
      </c>
      <c r="F532">
        <v>53152001</v>
      </c>
      <c r="G532" t="s">
        <v>1062</v>
      </c>
      <c r="H532">
        <v>100000</v>
      </c>
      <c r="I532">
        <v>1050000</v>
      </c>
    </row>
    <row r="533" spans="2:9" x14ac:dyDescent="0.25">
      <c r="B533">
        <v>1001</v>
      </c>
      <c r="C533">
        <v>5016</v>
      </c>
      <c r="D533">
        <v>16719200</v>
      </c>
      <c r="E533" t="s">
        <v>1116</v>
      </c>
      <c r="F533">
        <v>53152001</v>
      </c>
      <c r="G533" t="s">
        <v>1062</v>
      </c>
      <c r="H533">
        <v>75000</v>
      </c>
      <c r="I533">
        <v>1050000</v>
      </c>
    </row>
    <row r="534" spans="2:9" x14ac:dyDescent="0.25">
      <c r="B534">
        <v>1001</v>
      </c>
      <c r="C534">
        <v>5016</v>
      </c>
      <c r="D534">
        <v>16719200</v>
      </c>
      <c r="E534" t="s">
        <v>1116</v>
      </c>
      <c r="F534">
        <v>53152001</v>
      </c>
      <c r="G534" t="s">
        <v>1062</v>
      </c>
      <c r="H534">
        <v>75000</v>
      </c>
      <c r="I534">
        <v>1050000</v>
      </c>
    </row>
    <row r="535" spans="2:9" x14ac:dyDescent="0.25">
      <c r="B535">
        <v>1001</v>
      </c>
      <c r="C535">
        <v>5016</v>
      </c>
      <c r="D535">
        <v>16719200</v>
      </c>
      <c r="E535" t="s">
        <v>1116</v>
      </c>
      <c r="F535">
        <v>62100101</v>
      </c>
      <c r="G535" t="s">
        <v>1064</v>
      </c>
      <c r="H535">
        <v>327200</v>
      </c>
      <c r="I535">
        <v>327200</v>
      </c>
    </row>
    <row r="536" spans="2:9" x14ac:dyDescent="0.25">
      <c r="B536">
        <v>1001</v>
      </c>
      <c r="C536">
        <v>5016</v>
      </c>
      <c r="D536">
        <v>19364249</v>
      </c>
      <c r="E536" t="s">
        <v>1666</v>
      </c>
      <c r="F536">
        <v>51550501</v>
      </c>
      <c r="G536" t="s">
        <v>1054</v>
      </c>
      <c r="H536">
        <v>70000</v>
      </c>
      <c r="I536">
        <v>70000</v>
      </c>
    </row>
    <row r="537" spans="2:9" x14ac:dyDescent="0.25">
      <c r="B537">
        <v>1001</v>
      </c>
      <c r="C537">
        <v>5016</v>
      </c>
      <c r="D537">
        <v>21873426</v>
      </c>
      <c r="E537" t="s">
        <v>1198</v>
      </c>
      <c r="F537">
        <v>51956001</v>
      </c>
      <c r="G537" t="s">
        <v>1059</v>
      </c>
      <c r="H537">
        <v>6700</v>
      </c>
      <c r="I537">
        <v>56320</v>
      </c>
    </row>
    <row r="538" spans="2:9" x14ac:dyDescent="0.25">
      <c r="B538">
        <v>1001</v>
      </c>
      <c r="C538">
        <v>5016</v>
      </c>
      <c r="D538">
        <v>21873426</v>
      </c>
      <c r="E538" t="s">
        <v>1198</v>
      </c>
      <c r="F538">
        <v>51956001</v>
      </c>
      <c r="G538" t="s">
        <v>1059</v>
      </c>
      <c r="H538">
        <v>12200</v>
      </c>
      <c r="I538">
        <v>56320</v>
      </c>
    </row>
    <row r="539" spans="2:9" x14ac:dyDescent="0.25">
      <c r="B539">
        <v>1001</v>
      </c>
      <c r="C539">
        <v>5016</v>
      </c>
      <c r="D539">
        <v>21873426</v>
      </c>
      <c r="E539" t="s">
        <v>1198</v>
      </c>
      <c r="F539">
        <v>51956001</v>
      </c>
      <c r="G539" t="s">
        <v>1059</v>
      </c>
      <c r="H539">
        <v>5200</v>
      </c>
      <c r="I539">
        <v>56320</v>
      </c>
    </row>
    <row r="540" spans="2:9" x14ac:dyDescent="0.25">
      <c r="B540">
        <v>1001</v>
      </c>
      <c r="C540">
        <v>5016</v>
      </c>
      <c r="D540">
        <v>21873426</v>
      </c>
      <c r="E540" t="s">
        <v>1198</v>
      </c>
      <c r="F540">
        <v>51956001</v>
      </c>
      <c r="G540" t="s">
        <v>1059</v>
      </c>
      <c r="H540">
        <v>4500</v>
      </c>
      <c r="I540">
        <v>56320</v>
      </c>
    </row>
    <row r="541" spans="2:9" x14ac:dyDescent="0.25">
      <c r="B541">
        <v>1001</v>
      </c>
      <c r="C541">
        <v>5016</v>
      </c>
      <c r="D541">
        <v>21873426</v>
      </c>
      <c r="E541" t="s">
        <v>1198</v>
      </c>
      <c r="F541">
        <v>51956001</v>
      </c>
      <c r="G541" t="s">
        <v>1059</v>
      </c>
      <c r="H541">
        <v>9400</v>
      </c>
      <c r="I541">
        <v>56320</v>
      </c>
    </row>
    <row r="542" spans="2:9" x14ac:dyDescent="0.25">
      <c r="B542">
        <v>1001</v>
      </c>
      <c r="C542">
        <v>5016</v>
      </c>
      <c r="D542">
        <v>21873426</v>
      </c>
      <c r="E542" t="s">
        <v>1198</v>
      </c>
      <c r="F542">
        <v>51956001</v>
      </c>
      <c r="G542" t="s">
        <v>1059</v>
      </c>
      <c r="H542">
        <v>3000</v>
      </c>
      <c r="I542">
        <v>56320</v>
      </c>
    </row>
    <row r="543" spans="2:9" x14ac:dyDescent="0.25">
      <c r="B543">
        <v>1001</v>
      </c>
      <c r="C543">
        <v>5016</v>
      </c>
      <c r="D543">
        <v>21873426</v>
      </c>
      <c r="E543" t="s">
        <v>1198</v>
      </c>
      <c r="F543">
        <v>51956001</v>
      </c>
      <c r="G543" t="s">
        <v>1059</v>
      </c>
      <c r="H543">
        <v>2400</v>
      </c>
      <c r="I543">
        <v>56320</v>
      </c>
    </row>
    <row r="544" spans="2:9" x14ac:dyDescent="0.25">
      <c r="B544">
        <v>1001</v>
      </c>
      <c r="C544">
        <v>5016</v>
      </c>
      <c r="D544">
        <v>21873426</v>
      </c>
      <c r="E544" t="s">
        <v>1198</v>
      </c>
      <c r="F544">
        <v>51956001</v>
      </c>
      <c r="G544" t="s">
        <v>1059</v>
      </c>
      <c r="H544">
        <v>800</v>
      </c>
      <c r="I544">
        <v>56320</v>
      </c>
    </row>
    <row r="545" spans="2:9" x14ac:dyDescent="0.25">
      <c r="B545">
        <v>1001</v>
      </c>
      <c r="C545">
        <v>5016</v>
      </c>
      <c r="D545">
        <v>21873426</v>
      </c>
      <c r="E545" t="s">
        <v>1198</v>
      </c>
      <c r="F545">
        <v>51956001</v>
      </c>
      <c r="G545" t="s">
        <v>1059</v>
      </c>
      <c r="H545">
        <v>8557</v>
      </c>
      <c r="I545">
        <v>56320</v>
      </c>
    </row>
    <row r="546" spans="2:9" x14ac:dyDescent="0.25">
      <c r="B546">
        <v>1001</v>
      </c>
      <c r="C546">
        <v>5016</v>
      </c>
      <c r="D546">
        <v>21873426</v>
      </c>
      <c r="E546" t="s">
        <v>1198</v>
      </c>
      <c r="F546">
        <v>51956001</v>
      </c>
      <c r="G546" t="s">
        <v>1059</v>
      </c>
      <c r="H546">
        <v>3563</v>
      </c>
      <c r="I546">
        <v>56320</v>
      </c>
    </row>
    <row r="547" spans="2:9" x14ac:dyDescent="0.25">
      <c r="B547">
        <v>1001</v>
      </c>
      <c r="C547">
        <v>5016</v>
      </c>
      <c r="D547">
        <v>21873426</v>
      </c>
      <c r="E547" t="s">
        <v>1198</v>
      </c>
      <c r="F547">
        <v>51956501</v>
      </c>
      <c r="G547" t="s">
        <v>1060</v>
      </c>
      <c r="H547">
        <v>2689</v>
      </c>
      <c r="I547">
        <v>2689</v>
      </c>
    </row>
    <row r="548" spans="2:9" x14ac:dyDescent="0.25">
      <c r="B548">
        <v>1001</v>
      </c>
      <c r="C548">
        <v>5016</v>
      </c>
      <c r="D548">
        <v>2411822</v>
      </c>
      <c r="E548" t="s">
        <v>1377</v>
      </c>
      <c r="F548">
        <v>62150101</v>
      </c>
      <c r="G548" t="s">
        <v>1065</v>
      </c>
      <c r="H548">
        <v>23000</v>
      </c>
      <c r="I548">
        <v>44000</v>
      </c>
    </row>
    <row r="549" spans="2:9" x14ac:dyDescent="0.25">
      <c r="B549">
        <v>1001</v>
      </c>
      <c r="C549">
        <v>5016</v>
      </c>
      <c r="D549">
        <v>2411822</v>
      </c>
      <c r="E549" t="s">
        <v>1377</v>
      </c>
      <c r="F549">
        <v>62150101</v>
      </c>
      <c r="G549" t="s">
        <v>1065</v>
      </c>
      <c r="H549">
        <v>21000</v>
      </c>
      <c r="I549">
        <v>44000</v>
      </c>
    </row>
    <row r="550" spans="2:9" x14ac:dyDescent="0.25">
      <c r="B550">
        <v>1001</v>
      </c>
      <c r="C550">
        <v>5016</v>
      </c>
      <c r="D550">
        <v>2461850</v>
      </c>
      <c r="E550" t="s">
        <v>1296</v>
      </c>
      <c r="F550">
        <v>51953001</v>
      </c>
      <c r="G550" t="s">
        <v>1057</v>
      </c>
      <c r="H550">
        <v>40000</v>
      </c>
      <c r="I550">
        <v>40000</v>
      </c>
    </row>
    <row r="551" spans="2:9" x14ac:dyDescent="0.25">
      <c r="B551">
        <v>1001</v>
      </c>
      <c r="C551">
        <v>5016</v>
      </c>
      <c r="D551">
        <v>29055828</v>
      </c>
      <c r="E551" t="s">
        <v>1228</v>
      </c>
      <c r="F551">
        <v>62150101</v>
      </c>
      <c r="G551" t="s">
        <v>1065</v>
      </c>
      <c r="H551">
        <v>11471</v>
      </c>
      <c r="I551">
        <v>11471</v>
      </c>
    </row>
    <row r="552" spans="2:9" x14ac:dyDescent="0.25">
      <c r="B552">
        <v>1001</v>
      </c>
      <c r="C552">
        <v>5016</v>
      </c>
      <c r="D552">
        <v>29399518</v>
      </c>
      <c r="E552" t="s">
        <v>1704</v>
      </c>
      <c r="F552">
        <v>51956001</v>
      </c>
      <c r="G552" t="s">
        <v>1059</v>
      </c>
      <c r="H552">
        <v>66500</v>
      </c>
      <c r="I552">
        <v>66500</v>
      </c>
    </row>
    <row r="553" spans="2:9" x14ac:dyDescent="0.25">
      <c r="B553">
        <v>1001</v>
      </c>
      <c r="C553">
        <v>5016</v>
      </c>
      <c r="D553">
        <v>29707594</v>
      </c>
      <c r="E553" t="s">
        <v>1172</v>
      </c>
      <c r="F553">
        <v>51956001</v>
      </c>
      <c r="G553" t="s">
        <v>1059</v>
      </c>
      <c r="H553">
        <v>37000</v>
      </c>
      <c r="I553">
        <v>560500</v>
      </c>
    </row>
    <row r="554" spans="2:9" x14ac:dyDescent="0.25">
      <c r="B554">
        <v>1001</v>
      </c>
      <c r="C554">
        <v>5016</v>
      </c>
      <c r="D554">
        <v>29707594</v>
      </c>
      <c r="E554" t="s">
        <v>1172</v>
      </c>
      <c r="F554">
        <v>51956001</v>
      </c>
      <c r="G554" t="s">
        <v>1059</v>
      </c>
      <c r="H554">
        <v>19000</v>
      </c>
      <c r="I554">
        <v>560500</v>
      </c>
    </row>
    <row r="555" spans="2:9" x14ac:dyDescent="0.25">
      <c r="B555">
        <v>1001</v>
      </c>
      <c r="C555">
        <v>5016</v>
      </c>
      <c r="D555">
        <v>29707594</v>
      </c>
      <c r="E555" t="s">
        <v>1172</v>
      </c>
      <c r="F555">
        <v>51956001</v>
      </c>
      <c r="G555" t="s">
        <v>1059</v>
      </c>
      <c r="H555">
        <v>28000</v>
      </c>
      <c r="I555">
        <v>560500</v>
      </c>
    </row>
    <row r="556" spans="2:9" x14ac:dyDescent="0.25">
      <c r="B556">
        <v>1001</v>
      </c>
      <c r="C556">
        <v>5016</v>
      </c>
      <c r="D556">
        <v>29707594</v>
      </c>
      <c r="E556" t="s">
        <v>1172</v>
      </c>
      <c r="F556">
        <v>51956001</v>
      </c>
      <c r="G556" t="s">
        <v>1059</v>
      </c>
      <c r="H556">
        <v>19000</v>
      </c>
      <c r="I556">
        <v>560500</v>
      </c>
    </row>
    <row r="557" spans="2:9" x14ac:dyDescent="0.25">
      <c r="B557">
        <v>1001</v>
      </c>
      <c r="C557">
        <v>5016</v>
      </c>
      <c r="D557">
        <v>29707594</v>
      </c>
      <c r="E557" t="s">
        <v>1172</v>
      </c>
      <c r="F557">
        <v>51956001</v>
      </c>
      <c r="G557" t="s">
        <v>1059</v>
      </c>
      <c r="H557">
        <v>37000</v>
      </c>
      <c r="I557">
        <v>560500</v>
      </c>
    </row>
    <row r="558" spans="2:9" x14ac:dyDescent="0.25">
      <c r="B558">
        <v>1001</v>
      </c>
      <c r="C558">
        <v>5016</v>
      </c>
      <c r="D558">
        <v>29707594</v>
      </c>
      <c r="E558" t="s">
        <v>1172</v>
      </c>
      <c r="F558">
        <v>51956001</v>
      </c>
      <c r="G558" t="s">
        <v>1059</v>
      </c>
      <c r="H558">
        <v>28000</v>
      </c>
      <c r="I558">
        <v>560500</v>
      </c>
    </row>
    <row r="559" spans="2:9" x14ac:dyDescent="0.25">
      <c r="B559">
        <v>1001</v>
      </c>
      <c r="C559">
        <v>5016</v>
      </c>
      <c r="D559">
        <v>29707594</v>
      </c>
      <c r="E559" t="s">
        <v>1172</v>
      </c>
      <c r="F559">
        <v>51956001</v>
      </c>
      <c r="G559" t="s">
        <v>1059</v>
      </c>
      <c r="H559">
        <v>18000</v>
      </c>
      <c r="I559">
        <v>560500</v>
      </c>
    </row>
    <row r="560" spans="2:9" x14ac:dyDescent="0.25">
      <c r="B560">
        <v>1001</v>
      </c>
      <c r="C560">
        <v>5016</v>
      </c>
      <c r="D560">
        <v>29707594</v>
      </c>
      <c r="E560" t="s">
        <v>1172</v>
      </c>
      <c r="F560">
        <v>51956001</v>
      </c>
      <c r="G560" t="s">
        <v>1059</v>
      </c>
      <c r="H560">
        <v>19000</v>
      </c>
      <c r="I560">
        <v>560500</v>
      </c>
    </row>
    <row r="561" spans="2:9" x14ac:dyDescent="0.25">
      <c r="B561">
        <v>1001</v>
      </c>
      <c r="C561">
        <v>5016</v>
      </c>
      <c r="D561">
        <v>29707594</v>
      </c>
      <c r="E561" t="s">
        <v>1172</v>
      </c>
      <c r="F561">
        <v>51956001</v>
      </c>
      <c r="G561" t="s">
        <v>1059</v>
      </c>
      <c r="H561">
        <v>28500</v>
      </c>
      <c r="I561">
        <v>560500</v>
      </c>
    </row>
    <row r="562" spans="2:9" x14ac:dyDescent="0.25">
      <c r="B562">
        <v>1001</v>
      </c>
      <c r="C562">
        <v>5016</v>
      </c>
      <c r="D562">
        <v>29707594</v>
      </c>
      <c r="E562" t="s">
        <v>1172</v>
      </c>
      <c r="F562">
        <v>51956001</v>
      </c>
      <c r="G562" t="s">
        <v>1059</v>
      </c>
      <c r="H562">
        <v>40000</v>
      </c>
      <c r="I562">
        <v>560500</v>
      </c>
    </row>
    <row r="563" spans="2:9" x14ac:dyDescent="0.25">
      <c r="B563">
        <v>1001</v>
      </c>
      <c r="C563">
        <v>5016</v>
      </c>
      <c r="D563">
        <v>29707594</v>
      </c>
      <c r="E563" t="s">
        <v>1172</v>
      </c>
      <c r="F563">
        <v>51956001</v>
      </c>
      <c r="G563" t="s">
        <v>1059</v>
      </c>
      <c r="H563">
        <v>51000</v>
      </c>
      <c r="I563">
        <v>560500</v>
      </c>
    </row>
    <row r="564" spans="2:9" x14ac:dyDescent="0.25">
      <c r="B564">
        <v>1001</v>
      </c>
      <c r="C564">
        <v>5016</v>
      </c>
      <c r="D564">
        <v>29707594</v>
      </c>
      <c r="E564" t="s">
        <v>1172</v>
      </c>
      <c r="F564">
        <v>51956001</v>
      </c>
      <c r="G564" t="s">
        <v>1059</v>
      </c>
      <c r="H564">
        <v>20000</v>
      </c>
      <c r="I564">
        <v>560500</v>
      </c>
    </row>
    <row r="565" spans="2:9" x14ac:dyDescent="0.25">
      <c r="B565">
        <v>1001</v>
      </c>
      <c r="C565">
        <v>5016</v>
      </c>
      <c r="D565">
        <v>29707594</v>
      </c>
      <c r="E565" t="s">
        <v>1172</v>
      </c>
      <c r="F565">
        <v>51956001</v>
      </c>
      <c r="G565" t="s">
        <v>1059</v>
      </c>
      <c r="H565">
        <v>30000</v>
      </c>
      <c r="I565">
        <v>560500</v>
      </c>
    </row>
    <row r="566" spans="2:9" x14ac:dyDescent="0.25">
      <c r="B566">
        <v>1001</v>
      </c>
      <c r="C566">
        <v>5016</v>
      </c>
      <c r="D566">
        <v>29707594</v>
      </c>
      <c r="E566" t="s">
        <v>1172</v>
      </c>
      <c r="F566">
        <v>51956001</v>
      </c>
      <c r="G566" t="s">
        <v>1059</v>
      </c>
      <c r="H566">
        <v>20000</v>
      </c>
      <c r="I566">
        <v>560500</v>
      </c>
    </row>
    <row r="567" spans="2:9" x14ac:dyDescent="0.25">
      <c r="B567">
        <v>1001</v>
      </c>
      <c r="C567">
        <v>5016</v>
      </c>
      <c r="D567">
        <v>29707594</v>
      </c>
      <c r="E567" t="s">
        <v>1172</v>
      </c>
      <c r="F567">
        <v>51956001</v>
      </c>
      <c r="G567" t="s">
        <v>1059</v>
      </c>
      <c r="H567">
        <v>30000</v>
      </c>
      <c r="I567">
        <v>560500</v>
      </c>
    </row>
    <row r="568" spans="2:9" x14ac:dyDescent="0.25">
      <c r="B568">
        <v>1001</v>
      </c>
      <c r="C568">
        <v>5016</v>
      </c>
      <c r="D568">
        <v>29707594</v>
      </c>
      <c r="E568" t="s">
        <v>1172</v>
      </c>
      <c r="F568">
        <v>51956001</v>
      </c>
      <c r="G568" t="s">
        <v>1059</v>
      </c>
      <c r="H568">
        <v>80000</v>
      </c>
      <c r="I568">
        <v>560500</v>
      </c>
    </row>
    <row r="569" spans="2:9" x14ac:dyDescent="0.25">
      <c r="B569">
        <v>1001</v>
      </c>
      <c r="C569">
        <v>5016</v>
      </c>
      <c r="D569">
        <v>29707594</v>
      </c>
      <c r="E569" t="s">
        <v>1172</v>
      </c>
      <c r="F569">
        <v>51956001</v>
      </c>
      <c r="G569" t="s">
        <v>1059</v>
      </c>
      <c r="H569">
        <v>10000</v>
      </c>
      <c r="I569">
        <v>560500</v>
      </c>
    </row>
    <row r="570" spans="2:9" x14ac:dyDescent="0.25">
      <c r="B570">
        <v>1001</v>
      </c>
      <c r="C570">
        <v>5016</v>
      </c>
      <c r="D570">
        <v>29707594</v>
      </c>
      <c r="E570" t="s">
        <v>1172</v>
      </c>
      <c r="F570">
        <v>51956001</v>
      </c>
      <c r="G570" t="s">
        <v>1059</v>
      </c>
      <c r="H570">
        <v>36000</v>
      </c>
      <c r="I570">
        <v>560500</v>
      </c>
    </row>
    <row r="571" spans="2:9" x14ac:dyDescent="0.25">
      <c r="B571">
        <v>1001</v>
      </c>
      <c r="C571">
        <v>5016</v>
      </c>
      <c r="D571">
        <v>29707594</v>
      </c>
      <c r="E571" t="s">
        <v>1172</v>
      </c>
      <c r="F571">
        <v>51956001</v>
      </c>
      <c r="G571" t="s">
        <v>1059</v>
      </c>
      <c r="H571">
        <v>10000</v>
      </c>
      <c r="I571">
        <v>560500</v>
      </c>
    </row>
    <row r="572" spans="2:9" x14ac:dyDescent="0.25">
      <c r="B572">
        <v>1001</v>
      </c>
      <c r="C572">
        <v>5016</v>
      </c>
      <c r="D572">
        <v>31200296</v>
      </c>
      <c r="E572" t="s">
        <v>1312</v>
      </c>
      <c r="F572">
        <v>51956001</v>
      </c>
      <c r="G572" t="s">
        <v>1059</v>
      </c>
      <c r="H572">
        <v>40000</v>
      </c>
      <c r="I572">
        <v>529000</v>
      </c>
    </row>
    <row r="573" spans="2:9" x14ac:dyDescent="0.25">
      <c r="B573">
        <v>1001</v>
      </c>
      <c r="C573">
        <v>5016</v>
      </c>
      <c r="D573">
        <v>31200296</v>
      </c>
      <c r="E573" t="s">
        <v>1312</v>
      </c>
      <c r="F573">
        <v>51956001</v>
      </c>
      <c r="G573" t="s">
        <v>1059</v>
      </c>
      <c r="H573">
        <v>20000</v>
      </c>
      <c r="I573">
        <v>529000</v>
      </c>
    </row>
    <row r="574" spans="2:9" x14ac:dyDescent="0.25">
      <c r="B574">
        <v>1001</v>
      </c>
      <c r="C574">
        <v>5016</v>
      </c>
      <c r="D574">
        <v>31200296</v>
      </c>
      <c r="E574" t="s">
        <v>1312</v>
      </c>
      <c r="F574">
        <v>51956001</v>
      </c>
      <c r="G574" t="s">
        <v>1059</v>
      </c>
      <c r="H574">
        <v>14000</v>
      </c>
      <c r="I574">
        <v>529000</v>
      </c>
    </row>
    <row r="575" spans="2:9" x14ac:dyDescent="0.25">
      <c r="B575">
        <v>1001</v>
      </c>
      <c r="C575">
        <v>5016</v>
      </c>
      <c r="D575">
        <v>31200296</v>
      </c>
      <c r="E575" t="s">
        <v>1312</v>
      </c>
      <c r="F575">
        <v>51956001</v>
      </c>
      <c r="G575" t="s">
        <v>1059</v>
      </c>
      <c r="H575">
        <v>10000</v>
      </c>
      <c r="I575">
        <v>529000</v>
      </c>
    </row>
    <row r="576" spans="2:9" x14ac:dyDescent="0.25">
      <c r="B576">
        <v>1001</v>
      </c>
      <c r="C576">
        <v>5016</v>
      </c>
      <c r="D576">
        <v>31200296</v>
      </c>
      <c r="E576" t="s">
        <v>1312</v>
      </c>
      <c r="F576">
        <v>51956001</v>
      </c>
      <c r="G576" t="s">
        <v>1059</v>
      </c>
      <c r="H576">
        <v>30000</v>
      </c>
      <c r="I576">
        <v>529000</v>
      </c>
    </row>
    <row r="577" spans="2:9" x14ac:dyDescent="0.25">
      <c r="B577">
        <v>1001</v>
      </c>
      <c r="C577">
        <v>5016</v>
      </c>
      <c r="D577">
        <v>31200296</v>
      </c>
      <c r="E577" t="s">
        <v>1312</v>
      </c>
      <c r="F577">
        <v>51956001</v>
      </c>
      <c r="G577" t="s">
        <v>1059</v>
      </c>
      <c r="H577">
        <v>10000</v>
      </c>
      <c r="I577">
        <v>529000</v>
      </c>
    </row>
    <row r="578" spans="2:9" x14ac:dyDescent="0.25">
      <c r="B578">
        <v>1001</v>
      </c>
      <c r="C578">
        <v>5016</v>
      </c>
      <c r="D578">
        <v>31200296</v>
      </c>
      <c r="E578" t="s">
        <v>1312</v>
      </c>
      <c r="F578">
        <v>51956001</v>
      </c>
      <c r="G578" t="s">
        <v>1059</v>
      </c>
      <c r="H578">
        <v>20000</v>
      </c>
      <c r="I578">
        <v>529000</v>
      </c>
    </row>
    <row r="579" spans="2:9" x14ac:dyDescent="0.25">
      <c r="B579">
        <v>1001</v>
      </c>
      <c r="C579">
        <v>5016</v>
      </c>
      <c r="D579">
        <v>31200296</v>
      </c>
      <c r="E579" t="s">
        <v>1312</v>
      </c>
      <c r="F579">
        <v>51956001</v>
      </c>
      <c r="G579" t="s">
        <v>1059</v>
      </c>
      <c r="H579">
        <v>10000</v>
      </c>
      <c r="I579">
        <v>529000</v>
      </c>
    </row>
    <row r="580" spans="2:9" x14ac:dyDescent="0.25">
      <c r="B580">
        <v>1001</v>
      </c>
      <c r="C580">
        <v>5016</v>
      </c>
      <c r="D580">
        <v>31200296</v>
      </c>
      <c r="E580" t="s">
        <v>1312</v>
      </c>
      <c r="F580">
        <v>51956001</v>
      </c>
      <c r="G580" t="s">
        <v>1059</v>
      </c>
      <c r="H580">
        <v>34000</v>
      </c>
      <c r="I580">
        <v>529000</v>
      </c>
    </row>
    <row r="581" spans="2:9" x14ac:dyDescent="0.25">
      <c r="B581">
        <v>1001</v>
      </c>
      <c r="C581">
        <v>5016</v>
      </c>
      <c r="D581">
        <v>31200296</v>
      </c>
      <c r="E581" t="s">
        <v>1312</v>
      </c>
      <c r="F581">
        <v>51956001</v>
      </c>
      <c r="G581" t="s">
        <v>1059</v>
      </c>
      <c r="H581">
        <v>10000</v>
      </c>
      <c r="I581">
        <v>529000</v>
      </c>
    </row>
    <row r="582" spans="2:9" x14ac:dyDescent="0.25">
      <c r="B582">
        <v>1001</v>
      </c>
      <c r="C582">
        <v>5016</v>
      </c>
      <c r="D582">
        <v>31200296</v>
      </c>
      <c r="E582" t="s">
        <v>1312</v>
      </c>
      <c r="F582">
        <v>51956001</v>
      </c>
      <c r="G582" t="s">
        <v>1059</v>
      </c>
      <c r="H582">
        <v>10000</v>
      </c>
      <c r="I582">
        <v>529000</v>
      </c>
    </row>
    <row r="583" spans="2:9" x14ac:dyDescent="0.25">
      <c r="B583">
        <v>1001</v>
      </c>
      <c r="C583">
        <v>5016</v>
      </c>
      <c r="D583">
        <v>31200296</v>
      </c>
      <c r="E583" t="s">
        <v>1312</v>
      </c>
      <c r="F583">
        <v>51956001</v>
      </c>
      <c r="G583" t="s">
        <v>1059</v>
      </c>
      <c r="H583">
        <v>10000</v>
      </c>
      <c r="I583">
        <v>529000</v>
      </c>
    </row>
    <row r="584" spans="2:9" x14ac:dyDescent="0.25">
      <c r="B584">
        <v>1001</v>
      </c>
      <c r="C584">
        <v>5016</v>
      </c>
      <c r="D584">
        <v>31200296</v>
      </c>
      <c r="E584" t="s">
        <v>1312</v>
      </c>
      <c r="F584">
        <v>51956001</v>
      </c>
      <c r="G584" t="s">
        <v>1059</v>
      </c>
      <c r="H584">
        <v>18000</v>
      </c>
      <c r="I584">
        <v>529000</v>
      </c>
    </row>
    <row r="585" spans="2:9" x14ac:dyDescent="0.25">
      <c r="B585">
        <v>1001</v>
      </c>
      <c r="C585">
        <v>5016</v>
      </c>
      <c r="D585">
        <v>31200296</v>
      </c>
      <c r="E585" t="s">
        <v>1312</v>
      </c>
      <c r="F585">
        <v>51956001</v>
      </c>
      <c r="G585" t="s">
        <v>1059</v>
      </c>
      <c r="H585">
        <v>18000</v>
      </c>
      <c r="I585">
        <v>529000</v>
      </c>
    </row>
    <row r="586" spans="2:9" x14ac:dyDescent="0.25">
      <c r="B586">
        <v>1001</v>
      </c>
      <c r="C586">
        <v>5016</v>
      </c>
      <c r="D586">
        <v>31200296</v>
      </c>
      <c r="E586" t="s">
        <v>1312</v>
      </c>
      <c r="F586">
        <v>51956001</v>
      </c>
      <c r="G586" t="s">
        <v>1059</v>
      </c>
      <c r="H586">
        <v>18000</v>
      </c>
      <c r="I586">
        <v>529000</v>
      </c>
    </row>
    <row r="587" spans="2:9" x14ac:dyDescent="0.25">
      <c r="B587">
        <v>1001</v>
      </c>
      <c r="C587">
        <v>5016</v>
      </c>
      <c r="D587">
        <v>31200296</v>
      </c>
      <c r="E587" t="s">
        <v>1312</v>
      </c>
      <c r="F587">
        <v>51956001</v>
      </c>
      <c r="G587" t="s">
        <v>1059</v>
      </c>
      <c r="H587">
        <v>22000</v>
      </c>
      <c r="I587">
        <v>529000</v>
      </c>
    </row>
    <row r="588" spans="2:9" x14ac:dyDescent="0.25">
      <c r="B588">
        <v>1001</v>
      </c>
      <c r="C588">
        <v>5016</v>
      </c>
      <c r="D588">
        <v>31200296</v>
      </c>
      <c r="E588" t="s">
        <v>1312</v>
      </c>
      <c r="F588">
        <v>51956001</v>
      </c>
      <c r="G588" t="s">
        <v>1059</v>
      </c>
      <c r="H588">
        <v>18000</v>
      </c>
      <c r="I588">
        <v>529000</v>
      </c>
    </row>
    <row r="589" spans="2:9" x14ac:dyDescent="0.25">
      <c r="B589">
        <v>1001</v>
      </c>
      <c r="C589">
        <v>5016</v>
      </c>
      <c r="D589">
        <v>31200296</v>
      </c>
      <c r="E589" t="s">
        <v>1312</v>
      </c>
      <c r="F589">
        <v>51956001</v>
      </c>
      <c r="G589" t="s">
        <v>1059</v>
      </c>
      <c r="H589">
        <v>18000</v>
      </c>
      <c r="I589">
        <v>529000</v>
      </c>
    </row>
    <row r="590" spans="2:9" x14ac:dyDescent="0.25">
      <c r="B590">
        <v>1001</v>
      </c>
      <c r="C590">
        <v>5016</v>
      </c>
      <c r="D590">
        <v>31200296</v>
      </c>
      <c r="E590" t="s">
        <v>1312</v>
      </c>
      <c r="F590">
        <v>51956001</v>
      </c>
      <c r="G590" t="s">
        <v>1059</v>
      </c>
      <c r="H590">
        <v>18000</v>
      </c>
      <c r="I590">
        <v>529000</v>
      </c>
    </row>
    <row r="591" spans="2:9" x14ac:dyDescent="0.25">
      <c r="B591">
        <v>1001</v>
      </c>
      <c r="C591">
        <v>5016</v>
      </c>
      <c r="D591">
        <v>31200296</v>
      </c>
      <c r="E591" t="s">
        <v>1312</v>
      </c>
      <c r="F591">
        <v>51956001</v>
      </c>
      <c r="G591" t="s">
        <v>1059</v>
      </c>
      <c r="H591">
        <v>47000</v>
      </c>
      <c r="I591">
        <v>529000</v>
      </c>
    </row>
    <row r="592" spans="2:9" x14ac:dyDescent="0.25">
      <c r="B592">
        <v>1001</v>
      </c>
      <c r="C592">
        <v>5016</v>
      </c>
      <c r="D592">
        <v>31200296</v>
      </c>
      <c r="E592" t="s">
        <v>1312</v>
      </c>
      <c r="F592">
        <v>51956001</v>
      </c>
      <c r="G592" t="s">
        <v>1059</v>
      </c>
      <c r="H592">
        <v>38000</v>
      </c>
      <c r="I592">
        <v>529000</v>
      </c>
    </row>
    <row r="593" spans="2:9" x14ac:dyDescent="0.25">
      <c r="B593">
        <v>1001</v>
      </c>
      <c r="C593">
        <v>5016</v>
      </c>
      <c r="D593">
        <v>31200296</v>
      </c>
      <c r="E593" t="s">
        <v>1312</v>
      </c>
      <c r="F593">
        <v>51956001</v>
      </c>
      <c r="G593" t="s">
        <v>1059</v>
      </c>
      <c r="H593">
        <v>10000</v>
      </c>
      <c r="I593">
        <v>529000</v>
      </c>
    </row>
    <row r="594" spans="2:9" x14ac:dyDescent="0.25">
      <c r="B594">
        <v>1001</v>
      </c>
      <c r="C594">
        <v>5016</v>
      </c>
      <c r="D594">
        <v>31200296</v>
      </c>
      <c r="E594" t="s">
        <v>1312</v>
      </c>
      <c r="F594">
        <v>51956001</v>
      </c>
      <c r="G594" t="s">
        <v>1059</v>
      </c>
      <c r="H594">
        <v>18000</v>
      </c>
      <c r="I594">
        <v>529000</v>
      </c>
    </row>
    <row r="595" spans="2:9" x14ac:dyDescent="0.25">
      <c r="B595">
        <v>1001</v>
      </c>
      <c r="C595">
        <v>5016</v>
      </c>
      <c r="D595">
        <v>31200296</v>
      </c>
      <c r="E595" t="s">
        <v>1312</v>
      </c>
      <c r="F595">
        <v>51956001</v>
      </c>
      <c r="G595" t="s">
        <v>1059</v>
      </c>
      <c r="H595">
        <v>18000</v>
      </c>
      <c r="I595">
        <v>529000</v>
      </c>
    </row>
    <row r="596" spans="2:9" x14ac:dyDescent="0.25">
      <c r="B596">
        <v>1001</v>
      </c>
      <c r="C596">
        <v>5016</v>
      </c>
      <c r="D596">
        <v>31200296</v>
      </c>
      <c r="E596" t="s">
        <v>1312</v>
      </c>
      <c r="F596">
        <v>51956001</v>
      </c>
      <c r="G596" t="s">
        <v>1059</v>
      </c>
      <c r="H596">
        <v>20000</v>
      </c>
      <c r="I596">
        <v>529000</v>
      </c>
    </row>
    <row r="597" spans="2:9" x14ac:dyDescent="0.25">
      <c r="B597">
        <v>1001</v>
      </c>
      <c r="C597">
        <v>5016</v>
      </c>
      <c r="D597">
        <v>31200296</v>
      </c>
      <c r="E597" t="s">
        <v>1312</v>
      </c>
      <c r="F597">
        <v>51956001</v>
      </c>
      <c r="G597" t="s">
        <v>1059</v>
      </c>
      <c r="H597">
        <v>30000</v>
      </c>
      <c r="I597">
        <v>529000</v>
      </c>
    </row>
    <row r="598" spans="2:9" x14ac:dyDescent="0.25">
      <c r="B598">
        <v>1001</v>
      </c>
      <c r="C598">
        <v>5016</v>
      </c>
      <c r="D598">
        <v>31205240</v>
      </c>
      <c r="E598" t="s">
        <v>1318</v>
      </c>
      <c r="F598">
        <v>51956001</v>
      </c>
      <c r="G598" t="s">
        <v>1059</v>
      </c>
      <c r="H598">
        <v>73000</v>
      </c>
      <c r="I598">
        <v>1297000</v>
      </c>
    </row>
    <row r="599" spans="2:9" x14ac:dyDescent="0.25">
      <c r="B599">
        <v>1001</v>
      </c>
      <c r="C599">
        <v>5016</v>
      </c>
      <c r="D599">
        <v>31205240</v>
      </c>
      <c r="E599" t="s">
        <v>1318</v>
      </c>
      <c r="F599">
        <v>51956001</v>
      </c>
      <c r="G599" t="s">
        <v>1059</v>
      </c>
      <c r="H599">
        <v>86000</v>
      </c>
      <c r="I599">
        <v>1297000</v>
      </c>
    </row>
    <row r="600" spans="2:9" x14ac:dyDescent="0.25">
      <c r="B600">
        <v>1001</v>
      </c>
      <c r="C600">
        <v>5016</v>
      </c>
      <c r="D600">
        <v>31205240</v>
      </c>
      <c r="E600" t="s">
        <v>1318</v>
      </c>
      <c r="F600">
        <v>51956001</v>
      </c>
      <c r="G600" t="s">
        <v>1059</v>
      </c>
      <c r="H600">
        <v>136000</v>
      </c>
      <c r="I600">
        <v>1297000</v>
      </c>
    </row>
    <row r="601" spans="2:9" x14ac:dyDescent="0.25">
      <c r="B601">
        <v>1001</v>
      </c>
      <c r="C601">
        <v>5016</v>
      </c>
      <c r="D601">
        <v>31205240</v>
      </c>
      <c r="E601" t="s">
        <v>1318</v>
      </c>
      <c r="F601">
        <v>51956001</v>
      </c>
      <c r="G601" t="s">
        <v>1059</v>
      </c>
      <c r="H601">
        <v>199000</v>
      </c>
      <c r="I601">
        <v>1297000</v>
      </c>
    </row>
    <row r="602" spans="2:9" x14ac:dyDescent="0.25">
      <c r="B602">
        <v>1001</v>
      </c>
      <c r="C602">
        <v>5016</v>
      </c>
      <c r="D602">
        <v>31205240</v>
      </c>
      <c r="E602" t="s">
        <v>1318</v>
      </c>
      <c r="F602">
        <v>51956001</v>
      </c>
      <c r="G602" t="s">
        <v>1059</v>
      </c>
      <c r="H602">
        <v>99000</v>
      </c>
      <c r="I602">
        <v>1297000</v>
      </c>
    </row>
    <row r="603" spans="2:9" x14ac:dyDescent="0.25">
      <c r="B603">
        <v>1001</v>
      </c>
      <c r="C603">
        <v>5016</v>
      </c>
      <c r="D603">
        <v>31205240</v>
      </c>
      <c r="E603" t="s">
        <v>1318</v>
      </c>
      <c r="F603">
        <v>51956001</v>
      </c>
      <c r="G603" t="s">
        <v>1059</v>
      </c>
      <c r="H603">
        <v>126000</v>
      </c>
      <c r="I603">
        <v>1297000</v>
      </c>
    </row>
    <row r="604" spans="2:9" x14ac:dyDescent="0.25">
      <c r="B604">
        <v>1001</v>
      </c>
      <c r="C604">
        <v>5016</v>
      </c>
      <c r="D604">
        <v>31205240</v>
      </c>
      <c r="E604" t="s">
        <v>1318</v>
      </c>
      <c r="F604">
        <v>51956001</v>
      </c>
      <c r="G604" t="s">
        <v>1059</v>
      </c>
      <c r="H604">
        <v>99000</v>
      </c>
      <c r="I604">
        <v>1297000</v>
      </c>
    </row>
    <row r="605" spans="2:9" x14ac:dyDescent="0.25">
      <c r="B605">
        <v>1001</v>
      </c>
      <c r="C605">
        <v>5016</v>
      </c>
      <c r="D605">
        <v>31205240</v>
      </c>
      <c r="E605" t="s">
        <v>1318</v>
      </c>
      <c r="F605">
        <v>51956001</v>
      </c>
      <c r="G605" t="s">
        <v>1059</v>
      </c>
      <c r="H605">
        <v>153000</v>
      </c>
      <c r="I605">
        <v>1297000</v>
      </c>
    </row>
    <row r="606" spans="2:9" x14ac:dyDescent="0.25">
      <c r="B606">
        <v>1001</v>
      </c>
      <c r="C606">
        <v>5016</v>
      </c>
      <c r="D606">
        <v>31205240</v>
      </c>
      <c r="E606" t="s">
        <v>1318</v>
      </c>
      <c r="F606">
        <v>51956001</v>
      </c>
      <c r="G606" t="s">
        <v>1059</v>
      </c>
      <c r="H606">
        <v>209000</v>
      </c>
      <c r="I606">
        <v>1297000</v>
      </c>
    </row>
    <row r="607" spans="2:9" x14ac:dyDescent="0.25">
      <c r="B607">
        <v>1001</v>
      </c>
      <c r="C607">
        <v>5016</v>
      </c>
      <c r="D607">
        <v>31205240</v>
      </c>
      <c r="E607" t="s">
        <v>1318</v>
      </c>
      <c r="F607">
        <v>51956001</v>
      </c>
      <c r="G607" t="s">
        <v>1059</v>
      </c>
      <c r="H607">
        <v>117000</v>
      </c>
      <c r="I607">
        <v>1297000</v>
      </c>
    </row>
    <row r="608" spans="2:9" x14ac:dyDescent="0.25">
      <c r="B608">
        <v>1001</v>
      </c>
      <c r="C608">
        <v>5016</v>
      </c>
      <c r="D608">
        <v>31298923</v>
      </c>
      <c r="E608" t="s">
        <v>1308</v>
      </c>
      <c r="F608">
        <v>51956001</v>
      </c>
      <c r="G608" t="s">
        <v>1059</v>
      </c>
      <c r="H608">
        <v>19900</v>
      </c>
      <c r="I608">
        <v>336649</v>
      </c>
    </row>
    <row r="609" spans="2:9" x14ac:dyDescent="0.25">
      <c r="B609">
        <v>1001</v>
      </c>
      <c r="C609">
        <v>5016</v>
      </c>
      <c r="D609">
        <v>31298923</v>
      </c>
      <c r="E609" t="s">
        <v>1308</v>
      </c>
      <c r="F609">
        <v>51956001</v>
      </c>
      <c r="G609" t="s">
        <v>1059</v>
      </c>
      <c r="H609">
        <v>64949</v>
      </c>
      <c r="I609">
        <v>336649</v>
      </c>
    </row>
    <row r="610" spans="2:9" x14ac:dyDescent="0.25">
      <c r="B610">
        <v>1001</v>
      </c>
      <c r="C610">
        <v>5016</v>
      </c>
      <c r="D610">
        <v>31298923</v>
      </c>
      <c r="E610" t="s">
        <v>1308</v>
      </c>
      <c r="F610">
        <v>51956001</v>
      </c>
      <c r="G610" t="s">
        <v>1059</v>
      </c>
      <c r="H610">
        <v>48300</v>
      </c>
      <c r="I610">
        <v>336649</v>
      </c>
    </row>
    <row r="611" spans="2:9" x14ac:dyDescent="0.25">
      <c r="B611">
        <v>1001</v>
      </c>
      <c r="C611">
        <v>5016</v>
      </c>
      <c r="D611">
        <v>31298923</v>
      </c>
      <c r="E611" t="s">
        <v>1308</v>
      </c>
      <c r="F611">
        <v>51956001</v>
      </c>
      <c r="G611" t="s">
        <v>1059</v>
      </c>
      <c r="H611">
        <v>28900</v>
      </c>
      <c r="I611">
        <v>336649</v>
      </c>
    </row>
    <row r="612" spans="2:9" x14ac:dyDescent="0.25">
      <c r="B612">
        <v>1001</v>
      </c>
      <c r="C612">
        <v>5016</v>
      </c>
      <c r="D612">
        <v>31298923</v>
      </c>
      <c r="E612" t="s">
        <v>1308</v>
      </c>
      <c r="F612">
        <v>51956001</v>
      </c>
      <c r="G612" t="s">
        <v>1059</v>
      </c>
      <c r="H612">
        <v>33900</v>
      </c>
      <c r="I612">
        <v>336649</v>
      </c>
    </row>
    <row r="613" spans="2:9" x14ac:dyDescent="0.25">
      <c r="B613">
        <v>1001</v>
      </c>
      <c r="C613">
        <v>5016</v>
      </c>
      <c r="D613">
        <v>31298923</v>
      </c>
      <c r="E613" t="s">
        <v>1308</v>
      </c>
      <c r="F613">
        <v>51956001</v>
      </c>
      <c r="G613" t="s">
        <v>1059</v>
      </c>
      <c r="H613">
        <v>140700</v>
      </c>
      <c r="I613">
        <v>336649</v>
      </c>
    </row>
    <row r="614" spans="2:9" x14ac:dyDescent="0.25">
      <c r="B614">
        <v>1001</v>
      </c>
      <c r="C614">
        <v>5016</v>
      </c>
      <c r="D614">
        <v>31321667</v>
      </c>
      <c r="E614" t="s">
        <v>1291</v>
      </c>
      <c r="F614">
        <v>51953001</v>
      </c>
      <c r="G614" t="s">
        <v>1057</v>
      </c>
      <c r="H614">
        <v>53900</v>
      </c>
      <c r="I614">
        <v>53900</v>
      </c>
    </row>
    <row r="615" spans="2:9" x14ac:dyDescent="0.25">
      <c r="B615">
        <v>1001</v>
      </c>
      <c r="C615">
        <v>5016</v>
      </c>
      <c r="D615">
        <v>31917089</v>
      </c>
      <c r="E615" t="s">
        <v>1232</v>
      </c>
      <c r="F615">
        <v>61208701</v>
      </c>
      <c r="G615" t="s">
        <v>1063</v>
      </c>
      <c r="H615">
        <v>12605</v>
      </c>
      <c r="I615">
        <v>12605</v>
      </c>
    </row>
    <row r="616" spans="2:9" x14ac:dyDescent="0.25">
      <c r="B616">
        <v>1001</v>
      </c>
      <c r="C616">
        <v>5016</v>
      </c>
      <c r="D616">
        <v>31917089</v>
      </c>
      <c r="E616" t="s">
        <v>1232</v>
      </c>
      <c r="F616">
        <v>62150101</v>
      </c>
      <c r="G616" t="s">
        <v>1065</v>
      </c>
      <c r="H616">
        <v>24370</v>
      </c>
      <c r="I616">
        <v>52689</v>
      </c>
    </row>
    <row r="617" spans="2:9" x14ac:dyDescent="0.25">
      <c r="B617">
        <v>1001</v>
      </c>
      <c r="C617">
        <v>5016</v>
      </c>
      <c r="D617">
        <v>31917089</v>
      </c>
      <c r="E617" t="s">
        <v>1232</v>
      </c>
      <c r="F617">
        <v>62150101</v>
      </c>
      <c r="G617" t="s">
        <v>1065</v>
      </c>
      <c r="H617">
        <v>5462</v>
      </c>
      <c r="I617">
        <v>52689</v>
      </c>
    </row>
    <row r="618" spans="2:9" x14ac:dyDescent="0.25">
      <c r="B618">
        <v>1001</v>
      </c>
      <c r="C618">
        <v>5016</v>
      </c>
      <c r="D618">
        <v>31917089</v>
      </c>
      <c r="E618" t="s">
        <v>1232</v>
      </c>
      <c r="F618">
        <v>62150101</v>
      </c>
      <c r="G618" t="s">
        <v>1065</v>
      </c>
      <c r="H618">
        <v>14286</v>
      </c>
      <c r="I618">
        <v>52689</v>
      </c>
    </row>
    <row r="619" spans="2:9" x14ac:dyDescent="0.25">
      <c r="B619">
        <v>1001</v>
      </c>
      <c r="C619">
        <v>5016</v>
      </c>
      <c r="D619">
        <v>31917089</v>
      </c>
      <c r="E619" t="s">
        <v>1232</v>
      </c>
      <c r="F619">
        <v>62150101</v>
      </c>
      <c r="G619" t="s">
        <v>1065</v>
      </c>
      <c r="H619">
        <v>8571</v>
      </c>
      <c r="I619">
        <v>52689</v>
      </c>
    </row>
    <row r="620" spans="2:9" x14ac:dyDescent="0.25">
      <c r="B620">
        <v>1001</v>
      </c>
      <c r="C620">
        <v>5016</v>
      </c>
      <c r="D620">
        <v>31928720</v>
      </c>
      <c r="E620" t="s">
        <v>1120</v>
      </c>
      <c r="F620">
        <v>53152001</v>
      </c>
      <c r="G620" t="s">
        <v>1062</v>
      </c>
      <c r="H620">
        <v>38640</v>
      </c>
      <c r="I620">
        <v>145320</v>
      </c>
    </row>
    <row r="621" spans="2:9" x14ac:dyDescent="0.25">
      <c r="B621">
        <v>1001</v>
      </c>
      <c r="C621">
        <v>5016</v>
      </c>
      <c r="D621">
        <v>31928720</v>
      </c>
      <c r="E621" t="s">
        <v>1120</v>
      </c>
      <c r="F621">
        <v>53152001</v>
      </c>
      <c r="G621" t="s">
        <v>1062</v>
      </c>
      <c r="H621">
        <v>38640</v>
      </c>
      <c r="I621">
        <v>145320</v>
      </c>
    </row>
    <row r="622" spans="2:9" x14ac:dyDescent="0.25">
      <c r="B622">
        <v>1001</v>
      </c>
      <c r="C622">
        <v>5016</v>
      </c>
      <c r="D622">
        <v>31928720</v>
      </c>
      <c r="E622" t="s">
        <v>1120</v>
      </c>
      <c r="F622">
        <v>53152001</v>
      </c>
      <c r="G622" t="s">
        <v>1062</v>
      </c>
      <c r="H622">
        <v>37800</v>
      </c>
      <c r="I622">
        <v>145320</v>
      </c>
    </row>
    <row r="623" spans="2:9" x14ac:dyDescent="0.25">
      <c r="B623">
        <v>1001</v>
      </c>
      <c r="C623">
        <v>5016</v>
      </c>
      <c r="D623">
        <v>31928720</v>
      </c>
      <c r="E623" t="s">
        <v>1120</v>
      </c>
      <c r="F623">
        <v>53152001</v>
      </c>
      <c r="G623" t="s">
        <v>1062</v>
      </c>
      <c r="H623">
        <v>30240</v>
      </c>
      <c r="I623">
        <v>145320</v>
      </c>
    </row>
    <row r="624" spans="2:9" x14ac:dyDescent="0.25">
      <c r="B624">
        <v>1001</v>
      </c>
      <c r="C624">
        <v>5016</v>
      </c>
      <c r="D624">
        <v>34372955</v>
      </c>
      <c r="E624" t="s">
        <v>1381</v>
      </c>
      <c r="F624">
        <v>62150101</v>
      </c>
      <c r="G624" t="s">
        <v>1065</v>
      </c>
      <c r="H624">
        <v>14000</v>
      </c>
      <c r="I624">
        <v>14000</v>
      </c>
    </row>
    <row r="625" spans="2:9" x14ac:dyDescent="0.25">
      <c r="B625">
        <v>1001</v>
      </c>
      <c r="C625">
        <v>5016</v>
      </c>
      <c r="D625">
        <v>6095099</v>
      </c>
      <c r="E625" t="s">
        <v>1196</v>
      </c>
      <c r="F625">
        <v>62100101</v>
      </c>
      <c r="G625" t="s">
        <v>1064</v>
      </c>
      <c r="H625">
        <v>268067</v>
      </c>
      <c r="I625">
        <v>915126</v>
      </c>
    </row>
    <row r="626" spans="2:9" x14ac:dyDescent="0.25">
      <c r="B626">
        <v>1001</v>
      </c>
      <c r="C626">
        <v>5016</v>
      </c>
      <c r="D626">
        <v>6095099</v>
      </c>
      <c r="E626" t="s">
        <v>1196</v>
      </c>
      <c r="F626">
        <v>62100101</v>
      </c>
      <c r="G626" t="s">
        <v>1064</v>
      </c>
      <c r="H626">
        <v>92437</v>
      </c>
      <c r="I626">
        <v>915126</v>
      </c>
    </row>
    <row r="627" spans="2:9" x14ac:dyDescent="0.25">
      <c r="B627">
        <v>1001</v>
      </c>
      <c r="C627">
        <v>5016</v>
      </c>
      <c r="D627">
        <v>6095099</v>
      </c>
      <c r="E627" t="s">
        <v>1196</v>
      </c>
      <c r="F627">
        <v>62100101</v>
      </c>
      <c r="G627" t="s">
        <v>1064</v>
      </c>
      <c r="H627">
        <v>92437</v>
      </c>
      <c r="I627">
        <v>915126</v>
      </c>
    </row>
    <row r="628" spans="2:9" x14ac:dyDescent="0.25">
      <c r="B628">
        <v>1001</v>
      </c>
      <c r="C628">
        <v>5016</v>
      </c>
      <c r="D628">
        <v>6095099</v>
      </c>
      <c r="E628" t="s">
        <v>1196</v>
      </c>
      <c r="F628">
        <v>62100101</v>
      </c>
      <c r="G628" t="s">
        <v>1064</v>
      </c>
      <c r="H628">
        <v>277311</v>
      </c>
      <c r="I628">
        <v>915126</v>
      </c>
    </row>
    <row r="629" spans="2:9" x14ac:dyDescent="0.25">
      <c r="B629">
        <v>1001</v>
      </c>
      <c r="C629">
        <v>5016</v>
      </c>
      <c r="D629">
        <v>6095099</v>
      </c>
      <c r="E629" t="s">
        <v>1196</v>
      </c>
      <c r="F629">
        <v>62100101</v>
      </c>
      <c r="G629" t="s">
        <v>1064</v>
      </c>
      <c r="H629">
        <v>184874</v>
      </c>
      <c r="I629">
        <v>915126</v>
      </c>
    </row>
    <row r="630" spans="2:9" x14ac:dyDescent="0.25">
      <c r="B630">
        <v>1001</v>
      </c>
      <c r="C630">
        <v>5016</v>
      </c>
      <c r="D630">
        <v>66861782</v>
      </c>
      <c r="E630" t="s">
        <v>1363</v>
      </c>
      <c r="F630">
        <v>61208701</v>
      </c>
      <c r="G630" t="s">
        <v>1063</v>
      </c>
      <c r="H630">
        <v>14748</v>
      </c>
      <c r="I630">
        <v>14748</v>
      </c>
    </row>
    <row r="631" spans="2:9" x14ac:dyDescent="0.25">
      <c r="B631">
        <v>1001</v>
      </c>
      <c r="C631">
        <v>5016</v>
      </c>
      <c r="D631">
        <v>700053519</v>
      </c>
      <c r="E631" t="s">
        <v>1336</v>
      </c>
      <c r="F631">
        <v>51956001</v>
      </c>
      <c r="G631" t="s">
        <v>1059</v>
      </c>
      <c r="H631">
        <v>19000</v>
      </c>
      <c r="I631">
        <v>93500</v>
      </c>
    </row>
    <row r="632" spans="2:9" x14ac:dyDescent="0.25">
      <c r="B632">
        <v>1001</v>
      </c>
      <c r="C632">
        <v>5016</v>
      </c>
      <c r="D632">
        <v>700053519</v>
      </c>
      <c r="E632" t="s">
        <v>1336</v>
      </c>
      <c r="F632">
        <v>51956001</v>
      </c>
      <c r="G632" t="s">
        <v>1059</v>
      </c>
      <c r="H632">
        <v>27000</v>
      </c>
      <c r="I632">
        <v>93500</v>
      </c>
    </row>
    <row r="633" spans="2:9" x14ac:dyDescent="0.25">
      <c r="B633">
        <v>1001</v>
      </c>
      <c r="C633">
        <v>5016</v>
      </c>
      <c r="D633">
        <v>700053519</v>
      </c>
      <c r="E633" t="s">
        <v>1336</v>
      </c>
      <c r="F633">
        <v>51956001</v>
      </c>
      <c r="G633" t="s">
        <v>1059</v>
      </c>
      <c r="H633">
        <v>29000</v>
      </c>
      <c r="I633">
        <v>93500</v>
      </c>
    </row>
    <row r="634" spans="2:9" x14ac:dyDescent="0.25">
      <c r="B634">
        <v>1001</v>
      </c>
      <c r="C634">
        <v>5016</v>
      </c>
      <c r="D634">
        <v>700053519</v>
      </c>
      <c r="E634" t="s">
        <v>1336</v>
      </c>
      <c r="F634">
        <v>51956001</v>
      </c>
      <c r="G634" t="s">
        <v>1059</v>
      </c>
      <c r="H634">
        <v>18500</v>
      </c>
      <c r="I634">
        <v>93500</v>
      </c>
    </row>
    <row r="635" spans="2:9" x14ac:dyDescent="0.25">
      <c r="B635">
        <v>1001</v>
      </c>
      <c r="C635">
        <v>5016</v>
      </c>
      <c r="D635">
        <v>700074454</v>
      </c>
      <c r="E635" t="s">
        <v>1338</v>
      </c>
      <c r="F635">
        <v>51956001</v>
      </c>
      <c r="G635" t="s">
        <v>1059</v>
      </c>
      <c r="H635">
        <v>26500</v>
      </c>
      <c r="I635">
        <v>45000</v>
      </c>
    </row>
    <row r="636" spans="2:9" x14ac:dyDescent="0.25">
      <c r="B636">
        <v>1001</v>
      </c>
      <c r="C636">
        <v>5016</v>
      </c>
      <c r="D636">
        <v>700074454</v>
      </c>
      <c r="E636" t="s">
        <v>1338</v>
      </c>
      <c r="F636">
        <v>51956001</v>
      </c>
      <c r="G636" t="s">
        <v>1059</v>
      </c>
      <c r="H636">
        <v>18500</v>
      </c>
      <c r="I636">
        <v>45000</v>
      </c>
    </row>
    <row r="637" spans="2:9" x14ac:dyDescent="0.25">
      <c r="B637">
        <v>1001</v>
      </c>
      <c r="C637">
        <v>5016</v>
      </c>
      <c r="D637">
        <v>800070655</v>
      </c>
      <c r="E637" t="s">
        <v>1320</v>
      </c>
      <c r="F637">
        <v>51956001</v>
      </c>
      <c r="G637" t="s">
        <v>1059</v>
      </c>
      <c r="H637">
        <v>110100</v>
      </c>
      <c r="I637">
        <v>142800</v>
      </c>
    </row>
    <row r="638" spans="2:9" x14ac:dyDescent="0.25">
      <c r="B638">
        <v>1001</v>
      </c>
      <c r="C638">
        <v>5016</v>
      </c>
      <c r="D638">
        <v>800070655</v>
      </c>
      <c r="E638" t="s">
        <v>1320</v>
      </c>
      <c r="F638">
        <v>51956001</v>
      </c>
      <c r="G638" t="s">
        <v>1059</v>
      </c>
      <c r="H638">
        <v>32700</v>
      </c>
      <c r="I638">
        <v>142800</v>
      </c>
    </row>
    <row r="639" spans="2:9" x14ac:dyDescent="0.25">
      <c r="B639">
        <v>1001</v>
      </c>
      <c r="C639">
        <v>5016</v>
      </c>
      <c r="D639">
        <v>800134371</v>
      </c>
      <c r="E639" t="s">
        <v>1112</v>
      </c>
      <c r="F639">
        <v>61208701</v>
      </c>
      <c r="G639" t="s">
        <v>1063</v>
      </c>
      <c r="H639">
        <v>151200</v>
      </c>
      <c r="I639">
        <v>151200</v>
      </c>
    </row>
    <row r="640" spans="2:9" x14ac:dyDescent="0.25">
      <c r="B640">
        <v>1001</v>
      </c>
      <c r="C640">
        <v>5016</v>
      </c>
      <c r="D640">
        <v>800140887</v>
      </c>
      <c r="E640" t="s">
        <v>1668</v>
      </c>
      <c r="F640">
        <v>51559501</v>
      </c>
      <c r="G640" t="s">
        <v>1055</v>
      </c>
      <c r="H640">
        <v>9000</v>
      </c>
      <c r="I640">
        <v>18000</v>
      </c>
    </row>
    <row r="641" spans="2:9" x14ac:dyDescent="0.25">
      <c r="B641">
        <v>1001</v>
      </c>
      <c r="C641">
        <v>5016</v>
      </c>
      <c r="D641">
        <v>800140887</v>
      </c>
      <c r="E641" t="s">
        <v>1668</v>
      </c>
      <c r="F641">
        <v>51559501</v>
      </c>
      <c r="G641" t="s">
        <v>1055</v>
      </c>
      <c r="H641">
        <v>9000</v>
      </c>
      <c r="I641">
        <v>18000</v>
      </c>
    </row>
    <row r="642" spans="2:9" x14ac:dyDescent="0.25">
      <c r="B642">
        <v>1001</v>
      </c>
      <c r="C642">
        <v>5016</v>
      </c>
      <c r="D642">
        <v>800198467</v>
      </c>
      <c r="E642" t="s">
        <v>1365</v>
      </c>
      <c r="F642">
        <v>61208701</v>
      </c>
      <c r="G642" t="s">
        <v>1063</v>
      </c>
      <c r="H642">
        <v>5589</v>
      </c>
      <c r="I642">
        <v>8471</v>
      </c>
    </row>
    <row r="643" spans="2:9" x14ac:dyDescent="0.25">
      <c r="B643">
        <v>1001</v>
      </c>
      <c r="C643">
        <v>5016</v>
      </c>
      <c r="D643">
        <v>800198467</v>
      </c>
      <c r="E643" t="s">
        <v>1365</v>
      </c>
      <c r="F643">
        <v>61208701</v>
      </c>
      <c r="G643" t="s">
        <v>1063</v>
      </c>
      <c r="H643">
        <v>294</v>
      </c>
      <c r="I643">
        <v>8471</v>
      </c>
    </row>
    <row r="644" spans="2:9" x14ac:dyDescent="0.25">
      <c r="B644">
        <v>1001</v>
      </c>
      <c r="C644">
        <v>5016</v>
      </c>
      <c r="D644">
        <v>800198467</v>
      </c>
      <c r="E644" t="s">
        <v>1365</v>
      </c>
      <c r="F644">
        <v>61208701</v>
      </c>
      <c r="G644" t="s">
        <v>1063</v>
      </c>
      <c r="H644">
        <v>2588</v>
      </c>
      <c r="I644">
        <v>8471</v>
      </c>
    </row>
    <row r="645" spans="2:9" x14ac:dyDescent="0.25">
      <c r="B645">
        <v>1001</v>
      </c>
      <c r="C645">
        <v>5016</v>
      </c>
      <c r="D645">
        <v>800198467</v>
      </c>
      <c r="E645" t="s">
        <v>1365</v>
      </c>
      <c r="F645">
        <v>62150101</v>
      </c>
      <c r="G645" t="s">
        <v>1065</v>
      </c>
      <c r="H645">
        <v>30504</v>
      </c>
      <c r="I645">
        <v>30504</v>
      </c>
    </row>
    <row r="646" spans="2:9" x14ac:dyDescent="0.25">
      <c r="B646">
        <v>1001</v>
      </c>
      <c r="C646">
        <v>5016</v>
      </c>
      <c r="D646">
        <v>800215807</v>
      </c>
      <c r="E646" t="s">
        <v>1670</v>
      </c>
      <c r="F646">
        <v>51559501</v>
      </c>
      <c r="G646" t="s">
        <v>1055</v>
      </c>
      <c r="H646">
        <v>6700</v>
      </c>
      <c r="I646">
        <v>15300</v>
      </c>
    </row>
    <row r="647" spans="2:9" x14ac:dyDescent="0.25">
      <c r="B647">
        <v>1001</v>
      </c>
      <c r="C647">
        <v>5016</v>
      </c>
      <c r="D647">
        <v>800215807</v>
      </c>
      <c r="E647" t="s">
        <v>1670</v>
      </c>
      <c r="F647">
        <v>51559501</v>
      </c>
      <c r="G647" t="s">
        <v>1055</v>
      </c>
      <c r="H647">
        <v>8600</v>
      </c>
      <c r="I647">
        <v>15300</v>
      </c>
    </row>
    <row r="648" spans="2:9" x14ac:dyDescent="0.25">
      <c r="B648">
        <v>1001</v>
      </c>
      <c r="C648">
        <v>5016</v>
      </c>
      <c r="D648">
        <v>800244387</v>
      </c>
      <c r="E648" t="s">
        <v>1302</v>
      </c>
      <c r="F648">
        <v>51956001</v>
      </c>
      <c r="G648" t="s">
        <v>1059</v>
      </c>
      <c r="H648">
        <v>15900</v>
      </c>
      <c r="I648">
        <v>93500</v>
      </c>
    </row>
    <row r="649" spans="2:9" x14ac:dyDescent="0.25">
      <c r="B649">
        <v>1001</v>
      </c>
      <c r="C649">
        <v>5016</v>
      </c>
      <c r="D649">
        <v>800244387</v>
      </c>
      <c r="E649" t="s">
        <v>1302</v>
      </c>
      <c r="F649">
        <v>51956001</v>
      </c>
      <c r="G649" t="s">
        <v>1059</v>
      </c>
      <c r="H649">
        <v>31800</v>
      </c>
      <c r="I649">
        <v>93500</v>
      </c>
    </row>
    <row r="650" spans="2:9" x14ac:dyDescent="0.25">
      <c r="B650">
        <v>1001</v>
      </c>
      <c r="C650">
        <v>5016</v>
      </c>
      <c r="D650">
        <v>800244387</v>
      </c>
      <c r="E650" t="s">
        <v>1302</v>
      </c>
      <c r="F650">
        <v>51956001</v>
      </c>
      <c r="G650" t="s">
        <v>1059</v>
      </c>
      <c r="H650">
        <v>27900</v>
      </c>
      <c r="I650">
        <v>93500</v>
      </c>
    </row>
    <row r="651" spans="2:9" x14ac:dyDescent="0.25">
      <c r="B651">
        <v>1001</v>
      </c>
      <c r="C651">
        <v>5016</v>
      </c>
      <c r="D651">
        <v>800244387</v>
      </c>
      <c r="E651" t="s">
        <v>1302</v>
      </c>
      <c r="F651">
        <v>51956001</v>
      </c>
      <c r="G651" t="s">
        <v>1059</v>
      </c>
      <c r="H651">
        <v>17900</v>
      </c>
      <c r="I651">
        <v>93500</v>
      </c>
    </row>
    <row r="652" spans="2:9" x14ac:dyDescent="0.25">
      <c r="B652">
        <v>1001</v>
      </c>
      <c r="C652">
        <v>5016</v>
      </c>
      <c r="D652">
        <v>800254012</v>
      </c>
      <c r="E652" t="s">
        <v>1383</v>
      </c>
      <c r="F652">
        <v>62150101</v>
      </c>
      <c r="G652" t="s">
        <v>1065</v>
      </c>
      <c r="H652">
        <v>31093</v>
      </c>
      <c r="I652">
        <v>31093</v>
      </c>
    </row>
    <row r="653" spans="2:9" x14ac:dyDescent="0.25">
      <c r="B653">
        <v>1001</v>
      </c>
      <c r="C653">
        <v>5016</v>
      </c>
      <c r="D653">
        <v>800256769</v>
      </c>
      <c r="E653" t="s">
        <v>1285</v>
      </c>
      <c r="F653">
        <v>51559501</v>
      </c>
      <c r="G653" t="s">
        <v>1055</v>
      </c>
      <c r="H653">
        <v>8200</v>
      </c>
      <c r="I653">
        <v>24900</v>
      </c>
    </row>
    <row r="654" spans="2:9" x14ac:dyDescent="0.25">
      <c r="B654">
        <v>1001</v>
      </c>
      <c r="C654">
        <v>5016</v>
      </c>
      <c r="D654">
        <v>800256769</v>
      </c>
      <c r="E654" t="s">
        <v>1285</v>
      </c>
      <c r="F654">
        <v>51559501</v>
      </c>
      <c r="G654" t="s">
        <v>1055</v>
      </c>
      <c r="H654">
        <v>8200</v>
      </c>
      <c r="I654">
        <v>24900</v>
      </c>
    </row>
    <row r="655" spans="2:9" x14ac:dyDescent="0.25">
      <c r="B655">
        <v>1001</v>
      </c>
      <c r="C655">
        <v>5016</v>
      </c>
      <c r="D655">
        <v>800256769</v>
      </c>
      <c r="E655" t="s">
        <v>1285</v>
      </c>
      <c r="F655">
        <v>51559501</v>
      </c>
      <c r="G655" t="s">
        <v>1055</v>
      </c>
      <c r="H655">
        <v>8500</v>
      </c>
      <c r="I655">
        <v>24900</v>
      </c>
    </row>
    <row r="656" spans="2:9" x14ac:dyDescent="0.25">
      <c r="B656">
        <v>1001</v>
      </c>
      <c r="C656">
        <v>5016</v>
      </c>
      <c r="D656">
        <v>80275610</v>
      </c>
      <c r="E656" t="s">
        <v>1692</v>
      </c>
      <c r="F656">
        <v>51953501</v>
      </c>
      <c r="G656" t="s">
        <v>1058</v>
      </c>
      <c r="H656">
        <v>100006</v>
      </c>
      <c r="I656">
        <v>100006</v>
      </c>
    </row>
    <row r="657" spans="2:9" x14ac:dyDescent="0.25">
      <c r="B657">
        <v>1001</v>
      </c>
      <c r="C657">
        <v>5016</v>
      </c>
      <c r="D657">
        <v>805000474</v>
      </c>
      <c r="E657" t="s">
        <v>1304</v>
      </c>
      <c r="F657">
        <v>51953501</v>
      </c>
      <c r="G657" t="s">
        <v>1058</v>
      </c>
      <c r="H657">
        <v>20000</v>
      </c>
      <c r="I657">
        <v>20000</v>
      </c>
    </row>
    <row r="658" spans="2:9" x14ac:dyDescent="0.25">
      <c r="B658">
        <v>1001</v>
      </c>
      <c r="C658">
        <v>5016</v>
      </c>
      <c r="D658">
        <v>805000949</v>
      </c>
      <c r="E658" t="s">
        <v>1258</v>
      </c>
      <c r="F658">
        <v>51956501</v>
      </c>
      <c r="G658" t="s">
        <v>1060</v>
      </c>
      <c r="H658">
        <v>5042</v>
      </c>
      <c r="I658">
        <v>5042</v>
      </c>
    </row>
    <row r="659" spans="2:9" x14ac:dyDescent="0.25">
      <c r="B659">
        <v>1001</v>
      </c>
      <c r="C659">
        <v>5016</v>
      </c>
      <c r="D659">
        <v>805012368</v>
      </c>
      <c r="E659" t="s">
        <v>1369</v>
      </c>
      <c r="F659">
        <v>62100101</v>
      </c>
      <c r="G659" t="s">
        <v>1064</v>
      </c>
      <c r="H659">
        <v>120000</v>
      </c>
      <c r="I659">
        <v>120000</v>
      </c>
    </row>
    <row r="660" spans="2:9" x14ac:dyDescent="0.25">
      <c r="B660">
        <v>1001</v>
      </c>
      <c r="C660">
        <v>5016</v>
      </c>
      <c r="D660">
        <v>805012610</v>
      </c>
      <c r="E660" t="s">
        <v>1162</v>
      </c>
      <c r="F660">
        <v>51309501</v>
      </c>
      <c r="G660" t="s">
        <v>1050</v>
      </c>
      <c r="H660">
        <v>34200</v>
      </c>
      <c r="I660">
        <v>268700</v>
      </c>
    </row>
    <row r="661" spans="2:9" x14ac:dyDescent="0.25">
      <c r="B661">
        <v>1001</v>
      </c>
      <c r="C661">
        <v>5016</v>
      </c>
      <c r="D661">
        <v>805012610</v>
      </c>
      <c r="E661" t="s">
        <v>1162</v>
      </c>
      <c r="F661">
        <v>51309501</v>
      </c>
      <c r="G661" t="s">
        <v>1050</v>
      </c>
      <c r="H661">
        <v>33500</v>
      </c>
      <c r="I661">
        <v>268700</v>
      </c>
    </row>
    <row r="662" spans="2:9" x14ac:dyDescent="0.25">
      <c r="B662">
        <v>1001</v>
      </c>
      <c r="C662">
        <v>5016</v>
      </c>
      <c r="D662">
        <v>805012610</v>
      </c>
      <c r="E662" t="s">
        <v>1162</v>
      </c>
      <c r="F662">
        <v>51309501</v>
      </c>
      <c r="G662" t="s">
        <v>1050</v>
      </c>
      <c r="H662">
        <v>33500</v>
      </c>
      <c r="I662">
        <v>268700</v>
      </c>
    </row>
    <row r="663" spans="2:9" x14ac:dyDescent="0.25">
      <c r="B663">
        <v>1001</v>
      </c>
      <c r="C663">
        <v>5016</v>
      </c>
      <c r="D663">
        <v>805012610</v>
      </c>
      <c r="E663" t="s">
        <v>1162</v>
      </c>
      <c r="F663">
        <v>51309501</v>
      </c>
      <c r="G663" t="s">
        <v>1050</v>
      </c>
      <c r="H663">
        <v>33500</v>
      </c>
      <c r="I663">
        <v>268700</v>
      </c>
    </row>
    <row r="664" spans="2:9" x14ac:dyDescent="0.25">
      <c r="B664">
        <v>1001</v>
      </c>
      <c r="C664">
        <v>5016</v>
      </c>
      <c r="D664">
        <v>805012610</v>
      </c>
      <c r="E664" t="s">
        <v>1162</v>
      </c>
      <c r="F664">
        <v>51309501</v>
      </c>
      <c r="G664" t="s">
        <v>1050</v>
      </c>
      <c r="H664">
        <v>33500</v>
      </c>
      <c r="I664">
        <v>268700</v>
      </c>
    </row>
    <row r="665" spans="2:9" x14ac:dyDescent="0.25">
      <c r="B665">
        <v>1001</v>
      </c>
      <c r="C665">
        <v>5016</v>
      </c>
      <c r="D665">
        <v>805012610</v>
      </c>
      <c r="E665" t="s">
        <v>1162</v>
      </c>
      <c r="F665">
        <v>51309501</v>
      </c>
      <c r="G665" t="s">
        <v>1050</v>
      </c>
      <c r="H665">
        <v>33500</v>
      </c>
      <c r="I665">
        <v>268700</v>
      </c>
    </row>
    <row r="666" spans="2:9" x14ac:dyDescent="0.25">
      <c r="B666">
        <v>1001</v>
      </c>
      <c r="C666">
        <v>5016</v>
      </c>
      <c r="D666">
        <v>805012610</v>
      </c>
      <c r="E666" t="s">
        <v>1162</v>
      </c>
      <c r="F666">
        <v>51309501</v>
      </c>
      <c r="G666" t="s">
        <v>1050</v>
      </c>
      <c r="H666">
        <v>33500</v>
      </c>
      <c r="I666">
        <v>268700</v>
      </c>
    </row>
    <row r="667" spans="2:9" x14ac:dyDescent="0.25">
      <c r="B667">
        <v>1001</v>
      </c>
      <c r="C667">
        <v>5016</v>
      </c>
      <c r="D667">
        <v>805012610</v>
      </c>
      <c r="E667" t="s">
        <v>1162</v>
      </c>
      <c r="F667">
        <v>51309501</v>
      </c>
      <c r="G667" t="s">
        <v>1050</v>
      </c>
      <c r="H667">
        <v>33500</v>
      </c>
      <c r="I667">
        <v>268700</v>
      </c>
    </row>
    <row r="668" spans="2:9" x14ac:dyDescent="0.25">
      <c r="B668">
        <v>1001</v>
      </c>
      <c r="C668">
        <v>5016</v>
      </c>
      <c r="D668">
        <v>805018722</v>
      </c>
      <c r="E668" t="s">
        <v>1226</v>
      </c>
      <c r="F668">
        <v>62100101</v>
      </c>
      <c r="G668" t="s">
        <v>1064</v>
      </c>
      <c r="H668">
        <v>1092</v>
      </c>
      <c r="I668">
        <v>4874</v>
      </c>
    </row>
    <row r="669" spans="2:9" x14ac:dyDescent="0.25">
      <c r="B669">
        <v>1001</v>
      </c>
      <c r="C669">
        <v>5016</v>
      </c>
      <c r="D669">
        <v>805018722</v>
      </c>
      <c r="E669" t="s">
        <v>1226</v>
      </c>
      <c r="F669">
        <v>62100101</v>
      </c>
      <c r="G669" t="s">
        <v>1064</v>
      </c>
      <c r="H669">
        <v>3782</v>
      </c>
      <c r="I669">
        <v>4874</v>
      </c>
    </row>
    <row r="670" spans="2:9" x14ac:dyDescent="0.25">
      <c r="B670">
        <v>1001</v>
      </c>
      <c r="C670">
        <v>5016</v>
      </c>
      <c r="D670">
        <v>805022446</v>
      </c>
      <c r="E670" t="s">
        <v>1242</v>
      </c>
      <c r="F670">
        <v>51956501</v>
      </c>
      <c r="G670" t="s">
        <v>1060</v>
      </c>
      <c r="H670">
        <v>5210</v>
      </c>
      <c r="I670">
        <v>5210</v>
      </c>
    </row>
    <row r="671" spans="2:9" x14ac:dyDescent="0.25">
      <c r="B671">
        <v>1001</v>
      </c>
      <c r="C671">
        <v>5016</v>
      </c>
      <c r="D671">
        <v>805025863</v>
      </c>
      <c r="E671" t="s">
        <v>1222</v>
      </c>
      <c r="F671">
        <v>61208701</v>
      </c>
      <c r="G671" t="s">
        <v>1063</v>
      </c>
      <c r="H671">
        <v>45378</v>
      </c>
      <c r="I671">
        <v>1968409</v>
      </c>
    </row>
    <row r="672" spans="2:9" x14ac:dyDescent="0.25">
      <c r="B672">
        <v>1001</v>
      </c>
      <c r="C672">
        <v>5016</v>
      </c>
      <c r="D672">
        <v>805025863</v>
      </c>
      <c r="E672" t="s">
        <v>1222</v>
      </c>
      <c r="F672">
        <v>61208701</v>
      </c>
      <c r="G672" t="s">
        <v>1063</v>
      </c>
      <c r="H672">
        <v>681932</v>
      </c>
      <c r="I672">
        <v>1968409</v>
      </c>
    </row>
    <row r="673" spans="2:9" x14ac:dyDescent="0.25">
      <c r="B673">
        <v>1001</v>
      </c>
      <c r="C673">
        <v>5016</v>
      </c>
      <c r="D673">
        <v>805025863</v>
      </c>
      <c r="E673" t="s">
        <v>1222</v>
      </c>
      <c r="F673">
        <v>61208701</v>
      </c>
      <c r="G673" t="s">
        <v>1063</v>
      </c>
      <c r="H673">
        <v>56341</v>
      </c>
      <c r="I673">
        <v>1968409</v>
      </c>
    </row>
    <row r="674" spans="2:9" x14ac:dyDescent="0.25">
      <c r="B674">
        <v>1001</v>
      </c>
      <c r="C674">
        <v>5016</v>
      </c>
      <c r="D674">
        <v>805025863</v>
      </c>
      <c r="E674" t="s">
        <v>1222</v>
      </c>
      <c r="F674">
        <v>61208701</v>
      </c>
      <c r="G674" t="s">
        <v>1063</v>
      </c>
      <c r="H674">
        <v>1040597</v>
      </c>
      <c r="I674">
        <v>1968409</v>
      </c>
    </row>
    <row r="675" spans="2:9" x14ac:dyDescent="0.25">
      <c r="B675">
        <v>1001</v>
      </c>
      <c r="C675">
        <v>5016</v>
      </c>
      <c r="D675">
        <v>805025863</v>
      </c>
      <c r="E675" t="s">
        <v>1222</v>
      </c>
      <c r="F675">
        <v>61208701</v>
      </c>
      <c r="G675" t="s">
        <v>1063</v>
      </c>
      <c r="H675">
        <v>144161</v>
      </c>
      <c r="I675">
        <v>1968409</v>
      </c>
    </row>
    <row r="676" spans="2:9" x14ac:dyDescent="0.25">
      <c r="B676">
        <v>1001</v>
      </c>
      <c r="C676">
        <v>5016</v>
      </c>
      <c r="D676">
        <v>805025863</v>
      </c>
      <c r="E676" t="s">
        <v>1222</v>
      </c>
      <c r="F676">
        <v>62100101</v>
      </c>
      <c r="G676" t="s">
        <v>1064</v>
      </c>
      <c r="H676">
        <v>575209</v>
      </c>
      <c r="I676">
        <v>575209</v>
      </c>
    </row>
    <row r="677" spans="2:9" x14ac:dyDescent="0.25">
      <c r="B677">
        <v>1001</v>
      </c>
      <c r="C677">
        <v>5016</v>
      </c>
      <c r="D677">
        <v>811034562</v>
      </c>
      <c r="E677" t="s">
        <v>1316</v>
      </c>
      <c r="F677">
        <v>51956001</v>
      </c>
      <c r="G677" t="s">
        <v>1059</v>
      </c>
      <c r="H677">
        <v>120185</v>
      </c>
      <c r="I677">
        <v>285713</v>
      </c>
    </row>
    <row r="678" spans="2:9" x14ac:dyDescent="0.25">
      <c r="B678">
        <v>1001</v>
      </c>
      <c r="C678">
        <v>5016</v>
      </c>
      <c r="D678">
        <v>811034562</v>
      </c>
      <c r="E678" t="s">
        <v>1316</v>
      </c>
      <c r="F678">
        <v>51956001</v>
      </c>
      <c r="G678" t="s">
        <v>1059</v>
      </c>
      <c r="H678">
        <v>165528</v>
      </c>
      <c r="I678">
        <v>285713</v>
      </c>
    </row>
    <row r="679" spans="2:9" x14ac:dyDescent="0.25">
      <c r="B679">
        <v>1001</v>
      </c>
      <c r="C679">
        <v>5016</v>
      </c>
      <c r="D679">
        <v>830052998</v>
      </c>
      <c r="E679" t="s">
        <v>1672</v>
      </c>
      <c r="F679">
        <v>51559501</v>
      </c>
      <c r="G679" t="s">
        <v>1055</v>
      </c>
      <c r="H679">
        <v>9600</v>
      </c>
      <c r="I679">
        <v>19200</v>
      </c>
    </row>
    <row r="680" spans="2:9" x14ac:dyDescent="0.25">
      <c r="B680">
        <v>1001</v>
      </c>
      <c r="C680">
        <v>5016</v>
      </c>
      <c r="D680">
        <v>830052998</v>
      </c>
      <c r="E680" t="s">
        <v>1672</v>
      </c>
      <c r="F680">
        <v>51559501</v>
      </c>
      <c r="G680" t="s">
        <v>1055</v>
      </c>
      <c r="H680">
        <v>9600</v>
      </c>
      <c r="I680">
        <v>19200</v>
      </c>
    </row>
    <row r="681" spans="2:9" x14ac:dyDescent="0.25">
      <c r="B681">
        <v>1001</v>
      </c>
      <c r="C681">
        <v>5016</v>
      </c>
      <c r="D681">
        <v>830053700</v>
      </c>
      <c r="E681" t="s">
        <v>1674</v>
      </c>
      <c r="F681">
        <v>51559501</v>
      </c>
      <c r="G681" t="s">
        <v>1055</v>
      </c>
      <c r="H681">
        <v>10700</v>
      </c>
      <c r="I681">
        <v>21400</v>
      </c>
    </row>
    <row r="682" spans="2:9" x14ac:dyDescent="0.25">
      <c r="B682">
        <v>1001</v>
      </c>
      <c r="C682">
        <v>5016</v>
      </c>
      <c r="D682">
        <v>830053700</v>
      </c>
      <c r="E682" t="s">
        <v>1674</v>
      </c>
      <c r="F682">
        <v>51559501</v>
      </c>
      <c r="G682" t="s">
        <v>1055</v>
      </c>
      <c r="H682">
        <v>10700</v>
      </c>
      <c r="I682">
        <v>21400</v>
      </c>
    </row>
    <row r="683" spans="2:9" x14ac:dyDescent="0.25">
      <c r="B683">
        <v>1001</v>
      </c>
      <c r="C683">
        <v>5016</v>
      </c>
      <c r="D683">
        <v>830053812</v>
      </c>
      <c r="E683" t="s">
        <v>1676</v>
      </c>
      <c r="F683">
        <v>51559501</v>
      </c>
      <c r="G683" t="s">
        <v>1055</v>
      </c>
      <c r="H683">
        <v>9400</v>
      </c>
      <c r="I683">
        <v>29300</v>
      </c>
    </row>
    <row r="684" spans="2:9" x14ac:dyDescent="0.25">
      <c r="B684">
        <v>1001</v>
      </c>
      <c r="C684">
        <v>5016</v>
      </c>
      <c r="D684">
        <v>830053812</v>
      </c>
      <c r="E684" t="s">
        <v>1676</v>
      </c>
      <c r="F684">
        <v>51559501</v>
      </c>
      <c r="G684" t="s">
        <v>1055</v>
      </c>
      <c r="H684">
        <v>10500</v>
      </c>
      <c r="I684">
        <v>29300</v>
      </c>
    </row>
    <row r="685" spans="2:9" x14ac:dyDescent="0.25">
      <c r="B685">
        <v>1001</v>
      </c>
      <c r="C685">
        <v>5016</v>
      </c>
      <c r="D685">
        <v>830053812</v>
      </c>
      <c r="E685" t="s">
        <v>1676</v>
      </c>
      <c r="F685">
        <v>51559501</v>
      </c>
      <c r="G685" t="s">
        <v>1055</v>
      </c>
      <c r="H685">
        <v>9400</v>
      </c>
      <c r="I685">
        <v>29300</v>
      </c>
    </row>
    <row r="686" spans="2:9" x14ac:dyDescent="0.25">
      <c r="B686">
        <v>1001</v>
      </c>
      <c r="C686">
        <v>5016</v>
      </c>
      <c r="D686">
        <v>830054060</v>
      </c>
      <c r="E686" t="s">
        <v>1678</v>
      </c>
      <c r="F686">
        <v>51559501</v>
      </c>
      <c r="G686" t="s">
        <v>1055</v>
      </c>
      <c r="H686">
        <v>10400</v>
      </c>
      <c r="I686">
        <v>10400</v>
      </c>
    </row>
    <row r="687" spans="2:9" x14ac:dyDescent="0.25">
      <c r="B687">
        <v>1001</v>
      </c>
      <c r="C687">
        <v>5016</v>
      </c>
      <c r="D687">
        <v>830054539</v>
      </c>
      <c r="E687" t="s">
        <v>1279</v>
      </c>
      <c r="F687">
        <v>51559501</v>
      </c>
      <c r="G687" t="s">
        <v>1055</v>
      </c>
      <c r="H687">
        <v>7800</v>
      </c>
      <c r="I687">
        <v>15600</v>
      </c>
    </row>
    <row r="688" spans="2:9" x14ac:dyDescent="0.25">
      <c r="B688">
        <v>1001</v>
      </c>
      <c r="C688">
        <v>5016</v>
      </c>
      <c r="D688">
        <v>830054539</v>
      </c>
      <c r="E688" t="s">
        <v>1279</v>
      </c>
      <c r="F688">
        <v>51559501</v>
      </c>
      <c r="G688" t="s">
        <v>1055</v>
      </c>
      <c r="H688">
        <v>7800</v>
      </c>
      <c r="I688">
        <v>15600</v>
      </c>
    </row>
    <row r="689" spans="2:9" x14ac:dyDescent="0.25">
      <c r="B689">
        <v>1001</v>
      </c>
      <c r="C689">
        <v>5016</v>
      </c>
      <c r="D689">
        <v>830055897</v>
      </c>
      <c r="E689" t="s">
        <v>1680</v>
      </c>
      <c r="F689">
        <v>51559501</v>
      </c>
      <c r="G689" t="s">
        <v>1055</v>
      </c>
      <c r="H689">
        <v>4800</v>
      </c>
      <c r="I689">
        <v>4800</v>
      </c>
    </row>
    <row r="690" spans="2:9" x14ac:dyDescent="0.25">
      <c r="B690">
        <v>1001</v>
      </c>
      <c r="C690">
        <v>5016</v>
      </c>
      <c r="D690">
        <v>830087099</v>
      </c>
      <c r="E690" t="s">
        <v>1254</v>
      </c>
      <c r="F690">
        <v>51956501</v>
      </c>
      <c r="G690" t="s">
        <v>1060</v>
      </c>
      <c r="H690">
        <v>2185</v>
      </c>
      <c r="I690">
        <v>8235</v>
      </c>
    </row>
    <row r="691" spans="2:9" x14ac:dyDescent="0.25">
      <c r="B691">
        <v>1001</v>
      </c>
      <c r="C691">
        <v>5016</v>
      </c>
      <c r="D691">
        <v>830087099</v>
      </c>
      <c r="E691" t="s">
        <v>1254</v>
      </c>
      <c r="F691">
        <v>51956501</v>
      </c>
      <c r="G691" t="s">
        <v>1060</v>
      </c>
      <c r="H691">
        <v>6050</v>
      </c>
      <c r="I691">
        <v>8235</v>
      </c>
    </row>
    <row r="692" spans="2:9" x14ac:dyDescent="0.25">
      <c r="B692">
        <v>1001</v>
      </c>
      <c r="C692">
        <v>5016</v>
      </c>
      <c r="D692">
        <v>830506235</v>
      </c>
      <c r="E692" t="s">
        <v>1184</v>
      </c>
      <c r="F692">
        <v>53152001</v>
      </c>
      <c r="G692" t="s">
        <v>1062</v>
      </c>
      <c r="H692">
        <v>5306</v>
      </c>
      <c r="I692">
        <v>5306</v>
      </c>
    </row>
    <row r="693" spans="2:9" x14ac:dyDescent="0.25">
      <c r="B693">
        <v>1001</v>
      </c>
      <c r="C693">
        <v>5016</v>
      </c>
      <c r="D693">
        <v>860002400</v>
      </c>
      <c r="E693" t="s">
        <v>1269</v>
      </c>
      <c r="F693">
        <v>51307501</v>
      </c>
      <c r="G693" t="s">
        <v>1050</v>
      </c>
      <c r="H693">
        <v>357650</v>
      </c>
      <c r="I693">
        <v>357650</v>
      </c>
    </row>
    <row r="694" spans="2:9" x14ac:dyDescent="0.25">
      <c r="B694">
        <v>1001</v>
      </c>
      <c r="C694">
        <v>5016</v>
      </c>
      <c r="D694">
        <v>860025461</v>
      </c>
      <c r="E694" t="s">
        <v>1314</v>
      </c>
      <c r="F694">
        <v>51956001</v>
      </c>
      <c r="G694" t="s">
        <v>1059</v>
      </c>
      <c r="H694">
        <v>9900</v>
      </c>
      <c r="I694">
        <v>22700</v>
      </c>
    </row>
    <row r="695" spans="2:9" x14ac:dyDescent="0.25">
      <c r="B695">
        <v>1001</v>
      </c>
      <c r="C695">
        <v>5016</v>
      </c>
      <c r="D695">
        <v>860025461</v>
      </c>
      <c r="E695" t="s">
        <v>1314</v>
      </c>
      <c r="F695">
        <v>51956001</v>
      </c>
      <c r="G695" t="s">
        <v>1059</v>
      </c>
      <c r="H695">
        <v>12800</v>
      </c>
      <c r="I695">
        <v>22700</v>
      </c>
    </row>
    <row r="696" spans="2:9" x14ac:dyDescent="0.25">
      <c r="B696">
        <v>1001</v>
      </c>
      <c r="C696">
        <v>5016</v>
      </c>
      <c r="D696">
        <v>860037013</v>
      </c>
      <c r="E696" t="s">
        <v>1267</v>
      </c>
      <c r="F696">
        <v>51307501</v>
      </c>
      <c r="G696" t="s">
        <v>1050</v>
      </c>
      <c r="H696">
        <v>673000</v>
      </c>
      <c r="I696">
        <v>673000</v>
      </c>
    </row>
    <row r="697" spans="2:9" x14ac:dyDescent="0.25">
      <c r="B697">
        <v>1001</v>
      </c>
      <c r="C697">
        <v>5016</v>
      </c>
      <c r="D697">
        <v>860037707</v>
      </c>
      <c r="E697" t="s">
        <v>1246</v>
      </c>
      <c r="F697">
        <v>51304001</v>
      </c>
      <c r="G697" t="s">
        <v>1049</v>
      </c>
      <c r="H697">
        <v>1235511.98</v>
      </c>
      <c r="I697">
        <v>1235511.98</v>
      </c>
    </row>
    <row r="698" spans="2:9" x14ac:dyDescent="0.25">
      <c r="B698">
        <v>1001</v>
      </c>
      <c r="C698">
        <v>5016</v>
      </c>
      <c r="D698">
        <v>860058760</v>
      </c>
      <c r="E698" t="s">
        <v>1340</v>
      </c>
      <c r="F698">
        <v>51956501</v>
      </c>
      <c r="G698" t="s">
        <v>1060</v>
      </c>
      <c r="H698">
        <v>2941</v>
      </c>
      <c r="I698">
        <v>2941</v>
      </c>
    </row>
    <row r="699" spans="2:9" x14ac:dyDescent="0.25">
      <c r="B699">
        <v>1001</v>
      </c>
      <c r="C699">
        <v>5016</v>
      </c>
      <c r="D699">
        <v>860533413</v>
      </c>
      <c r="E699" t="s">
        <v>1714</v>
      </c>
      <c r="F699">
        <v>51956001</v>
      </c>
      <c r="G699" t="s">
        <v>1059</v>
      </c>
      <c r="H699">
        <v>21900</v>
      </c>
      <c r="I699">
        <v>21900</v>
      </c>
    </row>
    <row r="700" spans="2:9" x14ac:dyDescent="0.25">
      <c r="B700">
        <v>1001</v>
      </c>
      <c r="C700">
        <v>5016</v>
      </c>
      <c r="D700">
        <v>87246269</v>
      </c>
      <c r="E700" t="s">
        <v>1277</v>
      </c>
      <c r="F700">
        <v>51550501</v>
      </c>
      <c r="G700" t="s">
        <v>1054</v>
      </c>
      <c r="H700">
        <v>360000</v>
      </c>
      <c r="I700">
        <v>360000</v>
      </c>
    </row>
    <row r="701" spans="2:9" x14ac:dyDescent="0.25">
      <c r="B701">
        <v>1001</v>
      </c>
      <c r="C701">
        <v>5016</v>
      </c>
      <c r="D701">
        <v>890300346</v>
      </c>
      <c r="E701" t="s">
        <v>1287</v>
      </c>
      <c r="F701">
        <v>51953001</v>
      </c>
      <c r="G701" t="s">
        <v>1057</v>
      </c>
      <c r="H701">
        <v>5252</v>
      </c>
      <c r="I701">
        <v>11721</v>
      </c>
    </row>
    <row r="702" spans="2:9" x14ac:dyDescent="0.25">
      <c r="B702">
        <v>1001</v>
      </c>
      <c r="C702">
        <v>5016</v>
      </c>
      <c r="D702">
        <v>890300346</v>
      </c>
      <c r="E702" t="s">
        <v>1287</v>
      </c>
      <c r="F702">
        <v>51953001</v>
      </c>
      <c r="G702" t="s">
        <v>1057</v>
      </c>
      <c r="H702">
        <v>6469</v>
      </c>
      <c r="I702">
        <v>11721</v>
      </c>
    </row>
    <row r="703" spans="2:9" x14ac:dyDescent="0.25">
      <c r="B703">
        <v>1001</v>
      </c>
      <c r="C703">
        <v>5016</v>
      </c>
      <c r="D703">
        <v>890301752</v>
      </c>
      <c r="E703" t="s">
        <v>1298</v>
      </c>
      <c r="F703">
        <v>51953001</v>
      </c>
      <c r="G703" t="s">
        <v>1057</v>
      </c>
      <c r="H703">
        <v>129500</v>
      </c>
      <c r="I703">
        <v>129500</v>
      </c>
    </row>
    <row r="704" spans="2:9" x14ac:dyDescent="0.25">
      <c r="B704">
        <v>1001</v>
      </c>
      <c r="C704">
        <v>5016</v>
      </c>
      <c r="D704">
        <v>890308111</v>
      </c>
      <c r="E704" t="s">
        <v>1468</v>
      </c>
      <c r="F704">
        <v>51956001</v>
      </c>
      <c r="G704" t="s">
        <v>1059</v>
      </c>
      <c r="H704">
        <v>13700</v>
      </c>
      <c r="I704">
        <v>13700</v>
      </c>
    </row>
    <row r="705" spans="2:9" x14ac:dyDescent="0.25">
      <c r="B705">
        <v>1001</v>
      </c>
      <c r="C705">
        <v>5016</v>
      </c>
      <c r="D705">
        <v>890309116</v>
      </c>
      <c r="E705" t="s">
        <v>1124</v>
      </c>
      <c r="F705">
        <v>62100101</v>
      </c>
      <c r="G705" t="s">
        <v>1064</v>
      </c>
      <c r="H705">
        <v>20588</v>
      </c>
      <c r="I705">
        <v>20588</v>
      </c>
    </row>
    <row r="706" spans="2:9" x14ac:dyDescent="0.25">
      <c r="B706">
        <v>1001</v>
      </c>
      <c r="C706">
        <v>5016</v>
      </c>
      <c r="D706">
        <v>890309116</v>
      </c>
      <c r="E706" t="s">
        <v>1124</v>
      </c>
      <c r="F706">
        <v>62150101</v>
      </c>
      <c r="G706" t="s">
        <v>1065</v>
      </c>
      <c r="H706">
        <v>8823</v>
      </c>
      <c r="I706">
        <v>406418</v>
      </c>
    </row>
    <row r="707" spans="2:9" x14ac:dyDescent="0.25">
      <c r="B707">
        <v>1001</v>
      </c>
      <c r="C707">
        <v>5016</v>
      </c>
      <c r="D707">
        <v>890309116</v>
      </c>
      <c r="E707" t="s">
        <v>1124</v>
      </c>
      <c r="F707">
        <v>62150101</v>
      </c>
      <c r="G707" t="s">
        <v>1065</v>
      </c>
      <c r="H707">
        <v>18487</v>
      </c>
      <c r="I707">
        <v>406418</v>
      </c>
    </row>
    <row r="708" spans="2:9" x14ac:dyDescent="0.25">
      <c r="B708">
        <v>1001</v>
      </c>
      <c r="C708">
        <v>5016</v>
      </c>
      <c r="D708">
        <v>890309116</v>
      </c>
      <c r="E708" t="s">
        <v>1124</v>
      </c>
      <c r="F708">
        <v>62150101</v>
      </c>
      <c r="G708" t="s">
        <v>1065</v>
      </c>
      <c r="H708">
        <v>9244</v>
      </c>
      <c r="I708">
        <v>406418</v>
      </c>
    </row>
    <row r="709" spans="2:9" x14ac:dyDescent="0.25">
      <c r="B709">
        <v>1001</v>
      </c>
      <c r="C709">
        <v>5016</v>
      </c>
      <c r="D709">
        <v>890309116</v>
      </c>
      <c r="E709" t="s">
        <v>1124</v>
      </c>
      <c r="F709">
        <v>62150101</v>
      </c>
      <c r="G709" t="s">
        <v>1065</v>
      </c>
      <c r="H709">
        <v>12605</v>
      </c>
      <c r="I709">
        <v>406418</v>
      </c>
    </row>
    <row r="710" spans="2:9" x14ac:dyDescent="0.25">
      <c r="B710">
        <v>1001</v>
      </c>
      <c r="C710">
        <v>5016</v>
      </c>
      <c r="D710">
        <v>890309116</v>
      </c>
      <c r="E710" t="s">
        <v>1124</v>
      </c>
      <c r="F710">
        <v>62150101</v>
      </c>
      <c r="G710" t="s">
        <v>1065</v>
      </c>
      <c r="H710">
        <v>65882</v>
      </c>
      <c r="I710">
        <v>406418</v>
      </c>
    </row>
    <row r="711" spans="2:9" x14ac:dyDescent="0.25">
      <c r="B711">
        <v>1001</v>
      </c>
      <c r="C711">
        <v>5016</v>
      </c>
      <c r="D711">
        <v>890309116</v>
      </c>
      <c r="E711" t="s">
        <v>1124</v>
      </c>
      <c r="F711">
        <v>62150101</v>
      </c>
      <c r="G711" t="s">
        <v>1065</v>
      </c>
      <c r="H711">
        <v>30672</v>
      </c>
      <c r="I711">
        <v>406418</v>
      </c>
    </row>
    <row r="712" spans="2:9" x14ac:dyDescent="0.25">
      <c r="B712">
        <v>1001</v>
      </c>
      <c r="C712">
        <v>5016</v>
      </c>
      <c r="D712">
        <v>890309116</v>
      </c>
      <c r="E712" t="s">
        <v>1124</v>
      </c>
      <c r="F712">
        <v>62150101</v>
      </c>
      <c r="G712" t="s">
        <v>1065</v>
      </c>
      <c r="H712">
        <v>6807</v>
      </c>
      <c r="I712">
        <v>406418</v>
      </c>
    </row>
    <row r="713" spans="2:9" x14ac:dyDescent="0.25">
      <c r="B713">
        <v>1001</v>
      </c>
      <c r="C713">
        <v>5016</v>
      </c>
      <c r="D713">
        <v>890309116</v>
      </c>
      <c r="E713" t="s">
        <v>1124</v>
      </c>
      <c r="F713">
        <v>62150101</v>
      </c>
      <c r="G713" t="s">
        <v>1065</v>
      </c>
      <c r="H713">
        <v>5210</v>
      </c>
      <c r="I713">
        <v>406418</v>
      </c>
    </row>
    <row r="714" spans="2:9" x14ac:dyDescent="0.25">
      <c r="B714">
        <v>1001</v>
      </c>
      <c r="C714">
        <v>5016</v>
      </c>
      <c r="D714">
        <v>890309116</v>
      </c>
      <c r="E714" t="s">
        <v>1124</v>
      </c>
      <c r="F714">
        <v>62150101</v>
      </c>
      <c r="G714" t="s">
        <v>1065</v>
      </c>
      <c r="H714">
        <v>48739</v>
      </c>
      <c r="I714">
        <v>406418</v>
      </c>
    </row>
    <row r="715" spans="2:9" x14ac:dyDescent="0.25">
      <c r="B715">
        <v>1001</v>
      </c>
      <c r="C715">
        <v>5016</v>
      </c>
      <c r="D715">
        <v>890309116</v>
      </c>
      <c r="E715" t="s">
        <v>1124</v>
      </c>
      <c r="F715">
        <v>62150101</v>
      </c>
      <c r="G715" t="s">
        <v>1065</v>
      </c>
      <c r="H715">
        <v>16807</v>
      </c>
      <c r="I715">
        <v>406418</v>
      </c>
    </row>
    <row r="716" spans="2:9" x14ac:dyDescent="0.25">
      <c r="B716">
        <v>1001</v>
      </c>
      <c r="C716">
        <v>5016</v>
      </c>
      <c r="D716">
        <v>890309116</v>
      </c>
      <c r="E716" t="s">
        <v>1124</v>
      </c>
      <c r="F716">
        <v>62150101</v>
      </c>
      <c r="G716" t="s">
        <v>1065</v>
      </c>
      <c r="H716">
        <v>12185</v>
      </c>
      <c r="I716">
        <v>406418</v>
      </c>
    </row>
    <row r="717" spans="2:9" x14ac:dyDescent="0.25">
      <c r="B717">
        <v>1001</v>
      </c>
      <c r="C717">
        <v>5016</v>
      </c>
      <c r="D717">
        <v>890309116</v>
      </c>
      <c r="E717" t="s">
        <v>1124</v>
      </c>
      <c r="F717">
        <v>62150101</v>
      </c>
      <c r="G717" t="s">
        <v>1065</v>
      </c>
      <c r="H717">
        <v>32672</v>
      </c>
      <c r="I717">
        <v>406418</v>
      </c>
    </row>
    <row r="718" spans="2:9" x14ac:dyDescent="0.25">
      <c r="B718">
        <v>1001</v>
      </c>
      <c r="C718">
        <v>5016</v>
      </c>
      <c r="D718">
        <v>890309116</v>
      </c>
      <c r="E718" t="s">
        <v>1124</v>
      </c>
      <c r="F718">
        <v>62150101</v>
      </c>
      <c r="G718" t="s">
        <v>1065</v>
      </c>
      <c r="H718">
        <v>16807</v>
      </c>
      <c r="I718">
        <v>406418</v>
      </c>
    </row>
    <row r="719" spans="2:9" x14ac:dyDescent="0.25">
      <c r="B719">
        <v>1001</v>
      </c>
      <c r="C719">
        <v>5016</v>
      </c>
      <c r="D719">
        <v>890309116</v>
      </c>
      <c r="E719" t="s">
        <v>1124</v>
      </c>
      <c r="F719">
        <v>62150101</v>
      </c>
      <c r="G719" t="s">
        <v>1065</v>
      </c>
      <c r="H719">
        <v>19748</v>
      </c>
      <c r="I719">
        <v>406418</v>
      </c>
    </row>
    <row r="720" spans="2:9" x14ac:dyDescent="0.25">
      <c r="B720">
        <v>1001</v>
      </c>
      <c r="C720">
        <v>5016</v>
      </c>
      <c r="D720">
        <v>890309116</v>
      </c>
      <c r="E720" t="s">
        <v>1124</v>
      </c>
      <c r="F720">
        <v>62150101</v>
      </c>
      <c r="G720" t="s">
        <v>1065</v>
      </c>
      <c r="H720">
        <v>24840</v>
      </c>
      <c r="I720">
        <v>406418</v>
      </c>
    </row>
    <row r="721" spans="2:9" x14ac:dyDescent="0.25">
      <c r="B721">
        <v>1001</v>
      </c>
      <c r="C721">
        <v>5016</v>
      </c>
      <c r="D721">
        <v>890309116</v>
      </c>
      <c r="E721" t="s">
        <v>1124</v>
      </c>
      <c r="F721">
        <v>62150101</v>
      </c>
      <c r="G721" t="s">
        <v>1065</v>
      </c>
      <c r="H721">
        <v>13445</v>
      </c>
      <c r="I721">
        <v>406418</v>
      </c>
    </row>
    <row r="722" spans="2:9" x14ac:dyDescent="0.25">
      <c r="B722">
        <v>1001</v>
      </c>
      <c r="C722">
        <v>5016</v>
      </c>
      <c r="D722">
        <v>890309116</v>
      </c>
      <c r="E722" t="s">
        <v>1124</v>
      </c>
      <c r="F722">
        <v>62150101</v>
      </c>
      <c r="G722" t="s">
        <v>1065</v>
      </c>
      <c r="H722">
        <v>40336</v>
      </c>
      <c r="I722">
        <v>406418</v>
      </c>
    </row>
    <row r="723" spans="2:9" x14ac:dyDescent="0.25">
      <c r="B723">
        <v>1001</v>
      </c>
      <c r="C723">
        <v>5016</v>
      </c>
      <c r="D723">
        <v>890309116</v>
      </c>
      <c r="E723" t="s">
        <v>1124</v>
      </c>
      <c r="F723">
        <v>62150101</v>
      </c>
      <c r="G723" t="s">
        <v>1065</v>
      </c>
      <c r="H723">
        <v>23109</v>
      </c>
      <c r="I723">
        <v>406418</v>
      </c>
    </row>
    <row r="724" spans="2:9" x14ac:dyDescent="0.25">
      <c r="B724">
        <v>1001</v>
      </c>
      <c r="C724">
        <v>5016</v>
      </c>
      <c r="D724">
        <v>890310688</v>
      </c>
      <c r="E724" t="s">
        <v>1754</v>
      </c>
      <c r="F724">
        <v>62150101</v>
      </c>
      <c r="G724" t="s">
        <v>1065</v>
      </c>
      <c r="H724">
        <v>207000</v>
      </c>
      <c r="I724">
        <v>467000</v>
      </c>
    </row>
    <row r="725" spans="2:9" x14ac:dyDescent="0.25">
      <c r="B725">
        <v>1001</v>
      </c>
      <c r="C725">
        <v>5016</v>
      </c>
      <c r="D725">
        <v>890310688</v>
      </c>
      <c r="E725" t="s">
        <v>1754</v>
      </c>
      <c r="F725">
        <v>62150101</v>
      </c>
      <c r="G725" t="s">
        <v>1065</v>
      </c>
      <c r="H725">
        <v>260000</v>
      </c>
      <c r="I725">
        <v>467000</v>
      </c>
    </row>
    <row r="726" spans="2:9" x14ac:dyDescent="0.25">
      <c r="B726">
        <v>1001</v>
      </c>
      <c r="C726">
        <v>5016</v>
      </c>
      <c r="D726">
        <v>890310953</v>
      </c>
      <c r="E726" t="s">
        <v>1371</v>
      </c>
      <c r="F726">
        <v>62100101</v>
      </c>
      <c r="G726" t="s">
        <v>1064</v>
      </c>
      <c r="H726">
        <v>82000</v>
      </c>
      <c r="I726">
        <v>150042</v>
      </c>
    </row>
    <row r="727" spans="2:9" x14ac:dyDescent="0.25">
      <c r="B727">
        <v>1001</v>
      </c>
      <c r="C727">
        <v>5016</v>
      </c>
      <c r="D727">
        <v>890310953</v>
      </c>
      <c r="E727" t="s">
        <v>1371</v>
      </c>
      <c r="F727">
        <v>62100101</v>
      </c>
      <c r="G727" t="s">
        <v>1064</v>
      </c>
      <c r="H727">
        <v>68042</v>
      </c>
      <c r="I727">
        <v>150042</v>
      </c>
    </row>
    <row r="728" spans="2:9" x14ac:dyDescent="0.25">
      <c r="B728">
        <v>1001</v>
      </c>
      <c r="C728">
        <v>5016</v>
      </c>
      <c r="D728">
        <v>890314978</v>
      </c>
      <c r="E728" t="s">
        <v>1596</v>
      </c>
      <c r="F728">
        <v>62150101</v>
      </c>
      <c r="G728" t="s">
        <v>1065</v>
      </c>
      <c r="H728">
        <v>119000</v>
      </c>
      <c r="I728">
        <v>119000</v>
      </c>
    </row>
    <row r="729" spans="2:9" x14ac:dyDescent="0.25">
      <c r="B729">
        <v>1001</v>
      </c>
      <c r="C729">
        <v>5016</v>
      </c>
      <c r="D729">
        <v>890320980</v>
      </c>
      <c r="E729" t="s">
        <v>1252</v>
      </c>
      <c r="F729">
        <v>51956501</v>
      </c>
      <c r="G729" t="s">
        <v>1060</v>
      </c>
      <c r="H729">
        <v>2605</v>
      </c>
      <c r="I729">
        <v>10420.040000000001</v>
      </c>
    </row>
    <row r="730" spans="2:9" x14ac:dyDescent="0.25">
      <c r="B730">
        <v>1001</v>
      </c>
      <c r="C730">
        <v>5016</v>
      </c>
      <c r="D730">
        <v>890320980</v>
      </c>
      <c r="E730" t="s">
        <v>1252</v>
      </c>
      <c r="F730">
        <v>51956501</v>
      </c>
      <c r="G730" t="s">
        <v>1060</v>
      </c>
      <c r="H730">
        <v>2605</v>
      </c>
      <c r="I730">
        <v>10420.040000000001</v>
      </c>
    </row>
    <row r="731" spans="2:9" x14ac:dyDescent="0.25">
      <c r="B731">
        <v>1001</v>
      </c>
      <c r="C731">
        <v>5016</v>
      </c>
      <c r="D731">
        <v>890320980</v>
      </c>
      <c r="E731" t="s">
        <v>1252</v>
      </c>
      <c r="F731">
        <v>51956501</v>
      </c>
      <c r="G731" t="s">
        <v>1060</v>
      </c>
      <c r="H731">
        <v>2605.04</v>
      </c>
      <c r="I731">
        <v>10420.040000000001</v>
      </c>
    </row>
    <row r="732" spans="2:9" x14ac:dyDescent="0.25">
      <c r="B732">
        <v>1001</v>
      </c>
      <c r="C732">
        <v>5016</v>
      </c>
      <c r="D732">
        <v>890320980</v>
      </c>
      <c r="E732" t="s">
        <v>1252</v>
      </c>
      <c r="F732">
        <v>51956501</v>
      </c>
      <c r="G732" t="s">
        <v>1060</v>
      </c>
      <c r="H732">
        <v>2605</v>
      </c>
      <c r="I732">
        <v>10420.040000000001</v>
      </c>
    </row>
    <row r="733" spans="2:9" x14ac:dyDescent="0.25">
      <c r="B733">
        <v>1001</v>
      </c>
      <c r="C733">
        <v>5016</v>
      </c>
      <c r="D733">
        <v>890321156</v>
      </c>
      <c r="E733" t="s">
        <v>1660</v>
      </c>
      <c r="F733">
        <v>51956501</v>
      </c>
      <c r="G733" t="s">
        <v>1060</v>
      </c>
      <c r="H733">
        <v>2941</v>
      </c>
      <c r="I733">
        <v>5882</v>
      </c>
    </row>
    <row r="734" spans="2:9" x14ac:dyDescent="0.25">
      <c r="B734">
        <v>1001</v>
      </c>
      <c r="C734">
        <v>5016</v>
      </c>
      <c r="D734">
        <v>890321156</v>
      </c>
      <c r="E734" t="s">
        <v>1660</v>
      </c>
      <c r="F734">
        <v>51956501</v>
      </c>
      <c r="G734" t="s">
        <v>1060</v>
      </c>
      <c r="H734">
        <v>2941</v>
      </c>
      <c r="I734">
        <v>5882</v>
      </c>
    </row>
    <row r="735" spans="2:9" x14ac:dyDescent="0.25">
      <c r="B735">
        <v>1001</v>
      </c>
      <c r="C735">
        <v>5016</v>
      </c>
      <c r="D735">
        <v>890325037</v>
      </c>
      <c r="E735" t="s">
        <v>1324</v>
      </c>
      <c r="F735">
        <v>51956001</v>
      </c>
      <c r="G735" t="s">
        <v>1059</v>
      </c>
      <c r="H735">
        <v>89811</v>
      </c>
      <c r="I735">
        <v>89811</v>
      </c>
    </row>
    <row r="736" spans="2:9" x14ac:dyDescent="0.25">
      <c r="B736">
        <v>1001</v>
      </c>
      <c r="C736">
        <v>5016</v>
      </c>
      <c r="D736">
        <v>890328637</v>
      </c>
      <c r="E736" t="s">
        <v>1118</v>
      </c>
      <c r="F736">
        <v>61208701</v>
      </c>
      <c r="G736" t="s">
        <v>1063</v>
      </c>
      <c r="H736">
        <v>504202</v>
      </c>
      <c r="I736">
        <v>544538</v>
      </c>
    </row>
    <row r="737" spans="2:9" x14ac:dyDescent="0.25">
      <c r="B737">
        <v>1001</v>
      </c>
      <c r="C737">
        <v>5016</v>
      </c>
      <c r="D737">
        <v>890328637</v>
      </c>
      <c r="E737" t="s">
        <v>1118</v>
      </c>
      <c r="F737">
        <v>61208701</v>
      </c>
      <c r="G737" t="s">
        <v>1063</v>
      </c>
      <c r="H737">
        <v>40336</v>
      </c>
      <c r="I737">
        <v>544538</v>
      </c>
    </row>
    <row r="738" spans="2:9" x14ac:dyDescent="0.25">
      <c r="B738">
        <v>1001</v>
      </c>
      <c r="C738">
        <v>5016</v>
      </c>
      <c r="D738">
        <v>890328637</v>
      </c>
      <c r="E738" t="s">
        <v>1118</v>
      </c>
      <c r="F738">
        <v>62100101</v>
      </c>
      <c r="G738" t="s">
        <v>1064</v>
      </c>
      <c r="H738">
        <v>40757</v>
      </c>
      <c r="I738">
        <v>3744652</v>
      </c>
    </row>
    <row r="739" spans="2:9" x14ac:dyDescent="0.25">
      <c r="B739">
        <v>1001</v>
      </c>
      <c r="C739">
        <v>5016</v>
      </c>
      <c r="D739">
        <v>890328637</v>
      </c>
      <c r="E739" t="s">
        <v>1118</v>
      </c>
      <c r="F739">
        <v>62100101</v>
      </c>
      <c r="G739" t="s">
        <v>1064</v>
      </c>
      <c r="H739">
        <v>92437</v>
      </c>
      <c r="I739">
        <v>3744652</v>
      </c>
    </row>
    <row r="740" spans="2:9" x14ac:dyDescent="0.25">
      <c r="B740">
        <v>1001</v>
      </c>
      <c r="C740">
        <v>5016</v>
      </c>
      <c r="D740">
        <v>890328637</v>
      </c>
      <c r="E740" t="s">
        <v>1118</v>
      </c>
      <c r="F740">
        <v>62100101</v>
      </c>
      <c r="G740" t="s">
        <v>1064</v>
      </c>
      <c r="H740">
        <v>92437</v>
      </c>
      <c r="I740">
        <v>3744652</v>
      </c>
    </row>
    <row r="741" spans="2:9" x14ac:dyDescent="0.25">
      <c r="B741">
        <v>1001</v>
      </c>
      <c r="C741">
        <v>5016</v>
      </c>
      <c r="D741">
        <v>890328637</v>
      </c>
      <c r="E741" t="s">
        <v>1118</v>
      </c>
      <c r="F741">
        <v>62100101</v>
      </c>
      <c r="G741" t="s">
        <v>1064</v>
      </c>
      <c r="H741">
        <v>260504</v>
      </c>
      <c r="I741">
        <v>3744652</v>
      </c>
    </row>
    <row r="742" spans="2:9" x14ac:dyDescent="0.25">
      <c r="B742">
        <v>1001</v>
      </c>
      <c r="C742">
        <v>5016</v>
      </c>
      <c r="D742">
        <v>890328637</v>
      </c>
      <c r="E742" t="s">
        <v>1118</v>
      </c>
      <c r="F742">
        <v>62100101</v>
      </c>
      <c r="G742" t="s">
        <v>1064</v>
      </c>
      <c r="H742">
        <v>113025</v>
      </c>
      <c r="I742">
        <v>3744652</v>
      </c>
    </row>
    <row r="743" spans="2:9" x14ac:dyDescent="0.25">
      <c r="B743">
        <v>1001</v>
      </c>
      <c r="C743">
        <v>5016</v>
      </c>
      <c r="D743">
        <v>890328637</v>
      </c>
      <c r="E743" t="s">
        <v>1118</v>
      </c>
      <c r="F743">
        <v>62100101</v>
      </c>
      <c r="G743" t="s">
        <v>1064</v>
      </c>
      <c r="H743">
        <v>164705</v>
      </c>
      <c r="I743">
        <v>3744652</v>
      </c>
    </row>
    <row r="744" spans="2:9" x14ac:dyDescent="0.25">
      <c r="B744">
        <v>1001</v>
      </c>
      <c r="C744">
        <v>5016</v>
      </c>
      <c r="D744">
        <v>890328637</v>
      </c>
      <c r="E744" t="s">
        <v>1118</v>
      </c>
      <c r="F744">
        <v>62100101</v>
      </c>
      <c r="G744" t="s">
        <v>1064</v>
      </c>
      <c r="H744">
        <v>10504</v>
      </c>
      <c r="I744">
        <v>3744652</v>
      </c>
    </row>
    <row r="745" spans="2:9" x14ac:dyDescent="0.25">
      <c r="B745">
        <v>1001</v>
      </c>
      <c r="C745">
        <v>5016</v>
      </c>
      <c r="D745">
        <v>890328637</v>
      </c>
      <c r="E745" t="s">
        <v>1118</v>
      </c>
      <c r="F745">
        <v>62100101</v>
      </c>
      <c r="G745" t="s">
        <v>1064</v>
      </c>
      <c r="H745">
        <v>40336</v>
      </c>
      <c r="I745">
        <v>3744652</v>
      </c>
    </row>
    <row r="746" spans="2:9" x14ac:dyDescent="0.25">
      <c r="B746">
        <v>1001</v>
      </c>
      <c r="C746">
        <v>5016</v>
      </c>
      <c r="D746">
        <v>890328637</v>
      </c>
      <c r="E746" t="s">
        <v>1118</v>
      </c>
      <c r="F746">
        <v>62100101</v>
      </c>
      <c r="G746" t="s">
        <v>1064</v>
      </c>
      <c r="H746">
        <v>221848</v>
      </c>
      <c r="I746">
        <v>3744652</v>
      </c>
    </row>
    <row r="747" spans="2:9" x14ac:dyDescent="0.25">
      <c r="B747">
        <v>1001</v>
      </c>
      <c r="C747">
        <v>5016</v>
      </c>
      <c r="D747">
        <v>890328637</v>
      </c>
      <c r="E747" t="s">
        <v>1118</v>
      </c>
      <c r="F747">
        <v>62100101</v>
      </c>
      <c r="G747" t="s">
        <v>1064</v>
      </c>
      <c r="H747">
        <v>40336</v>
      </c>
      <c r="I747">
        <v>3744652</v>
      </c>
    </row>
    <row r="748" spans="2:9" x14ac:dyDescent="0.25">
      <c r="B748">
        <v>1001</v>
      </c>
      <c r="C748">
        <v>5016</v>
      </c>
      <c r="D748">
        <v>890328637</v>
      </c>
      <c r="E748" t="s">
        <v>1118</v>
      </c>
      <c r="F748">
        <v>62100101</v>
      </c>
      <c r="G748" t="s">
        <v>1064</v>
      </c>
      <c r="H748">
        <v>40336</v>
      </c>
      <c r="I748">
        <v>3744652</v>
      </c>
    </row>
    <row r="749" spans="2:9" x14ac:dyDescent="0.25">
      <c r="B749">
        <v>1001</v>
      </c>
      <c r="C749">
        <v>5016</v>
      </c>
      <c r="D749">
        <v>890328637</v>
      </c>
      <c r="E749" t="s">
        <v>1118</v>
      </c>
      <c r="F749">
        <v>62100101</v>
      </c>
      <c r="G749" t="s">
        <v>1064</v>
      </c>
      <c r="H749">
        <v>40336</v>
      </c>
      <c r="I749">
        <v>3744652</v>
      </c>
    </row>
    <row r="750" spans="2:9" x14ac:dyDescent="0.25">
      <c r="B750">
        <v>1001</v>
      </c>
      <c r="C750">
        <v>5016</v>
      </c>
      <c r="D750">
        <v>890328637</v>
      </c>
      <c r="E750" t="s">
        <v>1118</v>
      </c>
      <c r="F750">
        <v>62100101</v>
      </c>
      <c r="G750" t="s">
        <v>1064</v>
      </c>
      <c r="H750">
        <v>77311</v>
      </c>
      <c r="I750">
        <v>3744652</v>
      </c>
    </row>
    <row r="751" spans="2:9" x14ac:dyDescent="0.25">
      <c r="B751">
        <v>1001</v>
      </c>
      <c r="C751">
        <v>5016</v>
      </c>
      <c r="D751">
        <v>890328637</v>
      </c>
      <c r="E751" t="s">
        <v>1118</v>
      </c>
      <c r="F751">
        <v>62100101</v>
      </c>
      <c r="G751" t="s">
        <v>1064</v>
      </c>
      <c r="H751">
        <v>115968</v>
      </c>
      <c r="I751">
        <v>3744652</v>
      </c>
    </row>
    <row r="752" spans="2:9" x14ac:dyDescent="0.25">
      <c r="B752">
        <v>1001</v>
      </c>
      <c r="C752">
        <v>5016</v>
      </c>
      <c r="D752">
        <v>890328637</v>
      </c>
      <c r="E752" t="s">
        <v>1118</v>
      </c>
      <c r="F752">
        <v>62100101</v>
      </c>
      <c r="G752" t="s">
        <v>1064</v>
      </c>
      <c r="H752">
        <v>80672</v>
      </c>
      <c r="I752">
        <v>3744652</v>
      </c>
    </row>
    <row r="753" spans="2:9" x14ac:dyDescent="0.25">
      <c r="B753">
        <v>1001</v>
      </c>
      <c r="C753">
        <v>5016</v>
      </c>
      <c r="D753">
        <v>890328637</v>
      </c>
      <c r="E753" t="s">
        <v>1118</v>
      </c>
      <c r="F753">
        <v>62100101</v>
      </c>
      <c r="G753" t="s">
        <v>1064</v>
      </c>
      <c r="H753">
        <v>172269</v>
      </c>
      <c r="I753">
        <v>3744652</v>
      </c>
    </row>
    <row r="754" spans="2:9" x14ac:dyDescent="0.25">
      <c r="B754">
        <v>1001</v>
      </c>
      <c r="C754">
        <v>5016</v>
      </c>
      <c r="D754">
        <v>890328637</v>
      </c>
      <c r="E754" t="s">
        <v>1118</v>
      </c>
      <c r="F754">
        <v>62100101</v>
      </c>
      <c r="G754" t="s">
        <v>1064</v>
      </c>
      <c r="H754">
        <v>172269</v>
      </c>
      <c r="I754">
        <v>3744652</v>
      </c>
    </row>
    <row r="755" spans="2:9" x14ac:dyDescent="0.25">
      <c r="B755">
        <v>1001</v>
      </c>
      <c r="C755">
        <v>5016</v>
      </c>
      <c r="D755">
        <v>890328637</v>
      </c>
      <c r="E755" t="s">
        <v>1118</v>
      </c>
      <c r="F755">
        <v>62100101</v>
      </c>
      <c r="G755" t="s">
        <v>1064</v>
      </c>
      <c r="H755">
        <v>86554</v>
      </c>
      <c r="I755">
        <v>3744652</v>
      </c>
    </row>
    <row r="756" spans="2:9" x14ac:dyDescent="0.25">
      <c r="B756">
        <v>1001</v>
      </c>
      <c r="C756">
        <v>5016</v>
      </c>
      <c r="D756">
        <v>890328637</v>
      </c>
      <c r="E756" t="s">
        <v>1118</v>
      </c>
      <c r="F756">
        <v>62100101</v>
      </c>
      <c r="G756" t="s">
        <v>1064</v>
      </c>
      <c r="H756">
        <v>46219</v>
      </c>
      <c r="I756">
        <v>3744652</v>
      </c>
    </row>
    <row r="757" spans="2:9" x14ac:dyDescent="0.25">
      <c r="B757">
        <v>1001</v>
      </c>
      <c r="C757">
        <v>5016</v>
      </c>
      <c r="D757">
        <v>890328637</v>
      </c>
      <c r="E757" t="s">
        <v>1118</v>
      </c>
      <c r="F757">
        <v>62100101</v>
      </c>
      <c r="G757" t="s">
        <v>1064</v>
      </c>
      <c r="H757">
        <v>226905</v>
      </c>
      <c r="I757">
        <v>3744652</v>
      </c>
    </row>
    <row r="758" spans="2:9" x14ac:dyDescent="0.25">
      <c r="B758">
        <v>1001</v>
      </c>
      <c r="C758">
        <v>5016</v>
      </c>
      <c r="D758">
        <v>890328637</v>
      </c>
      <c r="E758" t="s">
        <v>1118</v>
      </c>
      <c r="F758">
        <v>62100101</v>
      </c>
      <c r="G758" t="s">
        <v>1064</v>
      </c>
      <c r="H758">
        <v>25213</v>
      </c>
      <c r="I758">
        <v>3744652</v>
      </c>
    </row>
    <row r="759" spans="2:9" x14ac:dyDescent="0.25">
      <c r="B759">
        <v>1001</v>
      </c>
      <c r="C759">
        <v>5016</v>
      </c>
      <c r="D759">
        <v>890328637</v>
      </c>
      <c r="E759" t="s">
        <v>1118</v>
      </c>
      <c r="F759">
        <v>62100101</v>
      </c>
      <c r="G759" t="s">
        <v>1064</v>
      </c>
      <c r="H759">
        <v>40336</v>
      </c>
      <c r="I759">
        <v>3744652</v>
      </c>
    </row>
    <row r="760" spans="2:9" x14ac:dyDescent="0.25">
      <c r="B760">
        <v>1001</v>
      </c>
      <c r="C760">
        <v>5016</v>
      </c>
      <c r="D760">
        <v>890328637</v>
      </c>
      <c r="E760" t="s">
        <v>1118</v>
      </c>
      <c r="F760">
        <v>62100101</v>
      </c>
      <c r="G760" t="s">
        <v>1064</v>
      </c>
      <c r="H760">
        <v>128570</v>
      </c>
      <c r="I760">
        <v>3744652</v>
      </c>
    </row>
    <row r="761" spans="2:9" x14ac:dyDescent="0.25">
      <c r="B761">
        <v>1001</v>
      </c>
      <c r="C761">
        <v>5016</v>
      </c>
      <c r="D761">
        <v>890328637</v>
      </c>
      <c r="E761" t="s">
        <v>1118</v>
      </c>
      <c r="F761">
        <v>62100101</v>
      </c>
      <c r="G761" t="s">
        <v>1064</v>
      </c>
      <c r="H761">
        <v>129411</v>
      </c>
      <c r="I761">
        <v>3744652</v>
      </c>
    </row>
    <row r="762" spans="2:9" x14ac:dyDescent="0.25">
      <c r="B762">
        <v>1001</v>
      </c>
      <c r="C762">
        <v>5016</v>
      </c>
      <c r="D762">
        <v>890328637</v>
      </c>
      <c r="E762" t="s">
        <v>1118</v>
      </c>
      <c r="F762">
        <v>62100101</v>
      </c>
      <c r="G762" t="s">
        <v>1064</v>
      </c>
      <c r="H762">
        <v>83714</v>
      </c>
      <c r="I762">
        <v>3744652</v>
      </c>
    </row>
    <row r="763" spans="2:9" x14ac:dyDescent="0.25">
      <c r="B763">
        <v>1001</v>
      </c>
      <c r="C763">
        <v>5016</v>
      </c>
      <c r="D763">
        <v>890328637</v>
      </c>
      <c r="E763" t="s">
        <v>1118</v>
      </c>
      <c r="F763">
        <v>62100101</v>
      </c>
      <c r="G763" t="s">
        <v>1064</v>
      </c>
      <c r="H763">
        <v>40336</v>
      </c>
      <c r="I763">
        <v>3744652</v>
      </c>
    </row>
    <row r="764" spans="2:9" x14ac:dyDescent="0.25">
      <c r="B764">
        <v>1001</v>
      </c>
      <c r="C764">
        <v>5016</v>
      </c>
      <c r="D764">
        <v>890328637</v>
      </c>
      <c r="E764" t="s">
        <v>1118</v>
      </c>
      <c r="F764">
        <v>62100101</v>
      </c>
      <c r="G764" t="s">
        <v>1064</v>
      </c>
      <c r="H764">
        <v>80672</v>
      </c>
      <c r="I764">
        <v>3744652</v>
      </c>
    </row>
    <row r="765" spans="2:9" x14ac:dyDescent="0.25">
      <c r="B765">
        <v>1001</v>
      </c>
      <c r="C765">
        <v>5016</v>
      </c>
      <c r="D765">
        <v>890328637</v>
      </c>
      <c r="E765" t="s">
        <v>1118</v>
      </c>
      <c r="F765">
        <v>62100101</v>
      </c>
      <c r="G765" t="s">
        <v>1064</v>
      </c>
      <c r="H765">
        <v>57982</v>
      </c>
      <c r="I765">
        <v>3744652</v>
      </c>
    </row>
    <row r="766" spans="2:9" x14ac:dyDescent="0.25">
      <c r="B766">
        <v>1001</v>
      </c>
      <c r="C766">
        <v>5016</v>
      </c>
      <c r="D766">
        <v>890328637</v>
      </c>
      <c r="E766" t="s">
        <v>1118</v>
      </c>
      <c r="F766">
        <v>62100101</v>
      </c>
      <c r="G766" t="s">
        <v>1064</v>
      </c>
      <c r="H766">
        <v>87396</v>
      </c>
      <c r="I766">
        <v>3744652</v>
      </c>
    </row>
    <row r="767" spans="2:9" x14ac:dyDescent="0.25">
      <c r="B767">
        <v>1001</v>
      </c>
      <c r="C767">
        <v>5016</v>
      </c>
      <c r="D767">
        <v>890328637</v>
      </c>
      <c r="E767" t="s">
        <v>1118</v>
      </c>
      <c r="F767">
        <v>62100101</v>
      </c>
      <c r="G767" t="s">
        <v>1064</v>
      </c>
      <c r="H767">
        <v>391596</v>
      </c>
      <c r="I767">
        <v>3744652</v>
      </c>
    </row>
    <row r="768" spans="2:9" x14ac:dyDescent="0.25">
      <c r="B768">
        <v>1001</v>
      </c>
      <c r="C768">
        <v>5016</v>
      </c>
      <c r="D768">
        <v>890328637</v>
      </c>
      <c r="E768" t="s">
        <v>1118</v>
      </c>
      <c r="F768">
        <v>62100101</v>
      </c>
      <c r="G768" t="s">
        <v>1064</v>
      </c>
      <c r="H768">
        <v>92437</v>
      </c>
      <c r="I768">
        <v>3744652</v>
      </c>
    </row>
    <row r="769" spans="2:9" x14ac:dyDescent="0.25">
      <c r="B769">
        <v>1001</v>
      </c>
      <c r="C769">
        <v>5016</v>
      </c>
      <c r="D769">
        <v>890328637</v>
      </c>
      <c r="E769" t="s">
        <v>1118</v>
      </c>
      <c r="F769">
        <v>62100101</v>
      </c>
      <c r="G769" t="s">
        <v>1064</v>
      </c>
      <c r="H769">
        <v>23529</v>
      </c>
      <c r="I769">
        <v>3744652</v>
      </c>
    </row>
    <row r="770" spans="2:9" x14ac:dyDescent="0.25">
      <c r="B770">
        <v>1001</v>
      </c>
      <c r="C770">
        <v>5016</v>
      </c>
      <c r="D770">
        <v>890328637</v>
      </c>
      <c r="E770" t="s">
        <v>1118</v>
      </c>
      <c r="F770">
        <v>62100101</v>
      </c>
      <c r="G770" t="s">
        <v>1064</v>
      </c>
      <c r="H770">
        <v>23529</v>
      </c>
      <c r="I770">
        <v>3744652</v>
      </c>
    </row>
    <row r="771" spans="2:9" x14ac:dyDescent="0.25">
      <c r="B771">
        <v>1001</v>
      </c>
      <c r="C771">
        <v>5016</v>
      </c>
      <c r="D771">
        <v>890328637</v>
      </c>
      <c r="E771" t="s">
        <v>1118</v>
      </c>
      <c r="F771">
        <v>62100101</v>
      </c>
      <c r="G771" t="s">
        <v>1064</v>
      </c>
      <c r="H771">
        <v>172269</v>
      </c>
      <c r="I771">
        <v>3744652</v>
      </c>
    </row>
    <row r="772" spans="2:9" x14ac:dyDescent="0.25">
      <c r="B772">
        <v>1001</v>
      </c>
      <c r="C772">
        <v>5016</v>
      </c>
      <c r="D772">
        <v>890328637</v>
      </c>
      <c r="E772" t="s">
        <v>1118</v>
      </c>
      <c r="F772">
        <v>62100101</v>
      </c>
      <c r="G772" t="s">
        <v>1064</v>
      </c>
      <c r="H772">
        <v>172269</v>
      </c>
      <c r="I772">
        <v>3744652</v>
      </c>
    </row>
    <row r="773" spans="2:9" x14ac:dyDescent="0.25">
      <c r="B773">
        <v>1001</v>
      </c>
      <c r="C773">
        <v>5016</v>
      </c>
      <c r="D773">
        <v>890328637</v>
      </c>
      <c r="E773" t="s">
        <v>1118</v>
      </c>
      <c r="F773">
        <v>62100101</v>
      </c>
      <c r="G773" t="s">
        <v>1064</v>
      </c>
      <c r="H773">
        <v>31933</v>
      </c>
      <c r="I773">
        <v>3744652</v>
      </c>
    </row>
    <row r="774" spans="2:9" x14ac:dyDescent="0.25">
      <c r="B774">
        <v>1001</v>
      </c>
      <c r="C774">
        <v>5016</v>
      </c>
      <c r="D774">
        <v>890328637</v>
      </c>
      <c r="E774" t="s">
        <v>1118</v>
      </c>
      <c r="F774">
        <v>62100101</v>
      </c>
      <c r="G774" t="s">
        <v>1064</v>
      </c>
      <c r="H774">
        <v>27732</v>
      </c>
      <c r="I774">
        <v>3744652</v>
      </c>
    </row>
    <row r="775" spans="2:9" x14ac:dyDescent="0.25">
      <c r="B775">
        <v>1001</v>
      </c>
      <c r="C775">
        <v>5016</v>
      </c>
      <c r="D775">
        <v>890330338</v>
      </c>
      <c r="E775" t="s">
        <v>1248</v>
      </c>
      <c r="F775">
        <v>51956501</v>
      </c>
      <c r="G775" t="s">
        <v>1060</v>
      </c>
      <c r="H775">
        <v>3109</v>
      </c>
      <c r="I775">
        <v>3109</v>
      </c>
    </row>
    <row r="776" spans="2:9" x14ac:dyDescent="0.25">
      <c r="B776">
        <v>1001</v>
      </c>
      <c r="C776">
        <v>5016</v>
      </c>
      <c r="D776">
        <v>890399001</v>
      </c>
      <c r="E776" t="s">
        <v>1166</v>
      </c>
      <c r="F776">
        <v>51401001</v>
      </c>
      <c r="G776" t="s">
        <v>1052</v>
      </c>
      <c r="H776">
        <v>50420</v>
      </c>
      <c r="I776">
        <v>50420</v>
      </c>
    </row>
    <row r="777" spans="2:9" x14ac:dyDescent="0.25">
      <c r="B777">
        <v>1001</v>
      </c>
      <c r="C777">
        <v>5016</v>
      </c>
      <c r="D777">
        <v>890900486</v>
      </c>
      <c r="E777" t="s">
        <v>1104</v>
      </c>
      <c r="F777">
        <v>61208701</v>
      </c>
      <c r="G777" t="s">
        <v>1063</v>
      </c>
      <c r="H777">
        <v>2603179</v>
      </c>
      <c r="I777">
        <v>2603179</v>
      </c>
    </row>
    <row r="778" spans="2:9" x14ac:dyDescent="0.25">
      <c r="B778">
        <v>1001</v>
      </c>
      <c r="C778">
        <v>5016</v>
      </c>
      <c r="D778">
        <v>890900486</v>
      </c>
      <c r="E778" t="s">
        <v>1104</v>
      </c>
      <c r="F778">
        <v>62100101</v>
      </c>
      <c r="G778" t="s">
        <v>1064</v>
      </c>
      <c r="H778">
        <v>890856</v>
      </c>
      <c r="I778">
        <v>17691059</v>
      </c>
    </row>
    <row r="779" spans="2:9" x14ac:dyDescent="0.25">
      <c r="B779">
        <v>1001</v>
      </c>
      <c r="C779">
        <v>5016</v>
      </c>
      <c r="D779">
        <v>890900486</v>
      </c>
      <c r="E779" t="s">
        <v>1104</v>
      </c>
      <c r="F779">
        <v>62100101</v>
      </c>
      <c r="G779" t="s">
        <v>1064</v>
      </c>
      <c r="H779">
        <v>1109909</v>
      </c>
      <c r="I779">
        <v>17691059</v>
      </c>
    </row>
    <row r="780" spans="2:9" x14ac:dyDescent="0.25">
      <c r="B780">
        <v>1001</v>
      </c>
      <c r="C780">
        <v>5016</v>
      </c>
      <c r="D780">
        <v>890900486</v>
      </c>
      <c r="E780" t="s">
        <v>1104</v>
      </c>
      <c r="F780">
        <v>62100101</v>
      </c>
      <c r="G780" t="s">
        <v>1064</v>
      </c>
      <c r="H780">
        <v>1179918</v>
      </c>
      <c r="I780">
        <v>17691059</v>
      </c>
    </row>
    <row r="781" spans="2:9" x14ac:dyDescent="0.25">
      <c r="B781">
        <v>1001</v>
      </c>
      <c r="C781">
        <v>5016</v>
      </c>
      <c r="D781">
        <v>890900486</v>
      </c>
      <c r="E781" t="s">
        <v>1104</v>
      </c>
      <c r="F781">
        <v>62100101</v>
      </c>
      <c r="G781" t="s">
        <v>1064</v>
      </c>
      <c r="H781">
        <v>1503386</v>
      </c>
      <c r="I781">
        <v>17691059</v>
      </c>
    </row>
    <row r="782" spans="2:9" x14ac:dyDescent="0.25">
      <c r="B782">
        <v>1001</v>
      </c>
      <c r="C782">
        <v>5016</v>
      </c>
      <c r="D782">
        <v>890900486</v>
      </c>
      <c r="E782" t="s">
        <v>1104</v>
      </c>
      <c r="F782">
        <v>62100101</v>
      </c>
      <c r="G782" t="s">
        <v>1064</v>
      </c>
      <c r="H782">
        <v>877816</v>
      </c>
      <c r="I782">
        <v>17691059</v>
      </c>
    </row>
    <row r="783" spans="2:9" x14ac:dyDescent="0.25">
      <c r="B783">
        <v>1001</v>
      </c>
      <c r="C783">
        <v>5016</v>
      </c>
      <c r="D783">
        <v>890900486</v>
      </c>
      <c r="E783" t="s">
        <v>1104</v>
      </c>
      <c r="F783">
        <v>62100101</v>
      </c>
      <c r="G783" t="s">
        <v>1064</v>
      </c>
      <c r="H783">
        <v>890280</v>
      </c>
      <c r="I783">
        <v>17691059</v>
      </c>
    </row>
    <row r="784" spans="2:9" x14ac:dyDescent="0.25">
      <c r="B784">
        <v>1001</v>
      </c>
      <c r="C784">
        <v>5016</v>
      </c>
      <c r="D784">
        <v>890900486</v>
      </c>
      <c r="E784" t="s">
        <v>1104</v>
      </c>
      <c r="F784">
        <v>62100101</v>
      </c>
      <c r="G784" t="s">
        <v>1064</v>
      </c>
      <c r="H784">
        <v>903931</v>
      </c>
      <c r="I784">
        <v>17691059</v>
      </c>
    </row>
    <row r="785" spans="2:9" x14ac:dyDescent="0.25">
      <c r="B785">
        <v>1001</v>
      </c>
      <c r="C785">
        <v>5016</v>
      </c>
      <c r="D785">
        <v>890900486</v>
      </c>
      <c r="E785" t="s">
        <v>1104</v>
      </c>
      <c r="F785">
        <v>62100101</v>
      </c>
      <c r="G785" t="s">
        <v>1064</v>
      </c>
      <c r="H785">
        <v>897402</v>
      </c>
      <c r="I785">
        <v>17691059</v>
      </c>
    </row>
    <row r="786" spans="2:9" x14ac:dyDescent="0.25">
      <c r="B786">
        <v>1001</v>
      </c>
      <c r="C786">
        <v>5016</v>
      </c>
      <c r="D786">
        <v>890900486</v>
      </c>
      <c r="E786" t="s">
        <v>1104</v>
      </c>
      <c r="F786">
        <v>62100101</v>
      </c>
      <c r="G786" t="s">
        <v>1064</v>
      </c>
      <c r="H786">
        <v>592333</v>
      </c>
      <c r="I786">
        <v>17691059</v>
      </c>
    </row>
    <row r="787" spans="2:9" x14ac:dyDescent="0.25">
      <c r="B787">
        <v>1001</v>
      </c>
      <c r="C787">
        <v>5016</v>
      </c>
      <c r="D787">
        <v>890900486</v>
      </c>
      <c r="E787" t="s">
        <v>1104</v>
      </c>
      <c r="F787">
        <v>62100101</v>
      </c>
      <c r="G787" t="s">
        <v>1064</v>
      </c>
      <c r="H787">
        <v>1227400</v>
      </c>
      <c r="I787">
        <v>17691059</v>
      </c>
    </row>
    <row r="788" spans="2:9" x14ac:dyDescent="0.25">
      <c r="B788">
        <v>1001</v>
      </c>
      <c r="C788">
        <v>5016</v>
      </c>
      <c r="D788">
        <v>890900486</v>
      </c>
      <c r="E788" t="s">
        <v>1104</v>
      </c>
      <c r="F788">
        <v>62100101</v>
      </c>
      <c r="G788" t="s">
        <v>1064</v>
      </c>
      <c r="H788">
        <v>1832789</v>
      </c>
      <c r="I788">
        <v>17691059</v>
      </c>
    </row>
    <row r="789" spans="2:9" x14ac:dyDescent="0.25">
      <c r="B789">
        <v>1001</v>
      </c>
      <c r="C789">
        <v>5016</v>
      </c>
      <c r="D789">
        <v>890900486</v>
      </c>
      <c r="E789" t="s">
        <v>1104</v>
      </c>
      <c r="F789">
        <v>62100101</v>
      </c>
      <c r="G789" t="s">
        <v>1064</v>
      </c>
      <c r="H789">
        <v>866539</v>
      </c>
      <c r="I789">
        <v>17691059</v>
      </c>
    </row>
    <row r="790" spans="2:9" x14ac:dyDescent="0.25">
      <c r="B790">
        <v>1001</v>
      </c>
      <c r="C790">
        <v>5016</v>
      </c>
      <c r="D790">
        <v>890900486</v>
      </c>
      <c r="E790" t="s">
        <v>1104</v>
      </c>
      <c r="F790">
        <v>62100101</v>
      </c>
      <c r="G790" t="s">
        <v>1064</v>
      </c>
      <c r="H790">
        <v>2955136</v>
      </c>
      <c r="I790">
        <v>17691059</v>
      </c>
    </row>
    <row r="791" spans="2:9" x14ac:dyDescent="0.25">
      <c r="B791">
        <v>1001</v>
      </c>
      <c r="C791">
        <v>5016</v>
      </c>
      <c r="D791">
        <v>890900486</v>
      </c>
      <c r="E791" t="s">
        <v>1104</v>
      </c>
      <c r="F791">
        <v>62100101</v>
      </c>
      <c r="G791" t="s">
        <v>1064</v>
      </c>
      <c r="H791">
        <v>715191</v>
      </c>
      <c r="I791">
        <v>17691059</v>
      </c>
    </row>
    <row r="792" spans="2:9" x14ac:dyDescent="0.25">
      <c r="B792">
        <v>1001</v>
      </c>
      <c r="C792">
        <v>5016</v>
      </c>
      <c r="D792">
        <v>890900486</v>
      </c>
      <c r="E792" t="s">
        <v>1104</v>
      </c>
      <c r="F792">
        <v>62100101</v>
      </c>
      <c r="G792" t="s">
        <v>1064</v>
      </c>
      <c r="H792">
        <v>1248173</v>
      </c>
      <c r="I792">
        <v>17691059</v>
      </c>
    </row>
    <row r="793" spans="2:9" x14ac:dyDescent="0.25">
      <c r="B793">
        <v>1001</v>
      </c>
      <c r="C793">
        <v>5016</v>
      </c>
      <c r="D793">
        <v>890900608</v>
      </c>
      <c r="E793" t="s">
        <v>1514</v>
      </c>
      <c r="F793">
        <v>51052101</v>
      </c>
      <c r="G793" t="s">
        <v>194</v>
      </c>
      <c r="H793">
        <v>125107</v>
      </c>
      <c r="I793">
        <v>125107</v>
      </c>
    </row>
    <row r="794" spans="2:9" x14ac:dyDescent="0.25">
      <c r="B794">
        <v>1001</v>
      </c>
      <c r="C794">
        <v>5016</v>
      </c>
      <c r="D794">
        <v>900059238</v>
      </c>
      <c r="E794" t="s">
        <v>1694</v>
      </c>
      <c r="F794">
        <v>51953501</v>
      </c>
      <c r="G794" t="s">
        <v>1058</v>
      </c>
      <c r="H794">
        <v>115736</v>
      </c>
      <c r="I794">
        <v>115736</v>
      </c>
    </row>
    <row r="795" spans="2:9" x14ac:dyDescent="0.25">
      <c r="B795">
        <v>1001</v>
      </c>
      <c r="C795">
        <v>5016</v>
      </c>
      <c r="D795">
        <v>900072847</v>
      </c>
      <c r="E795" t="s">
        <v>1300</v>
      </c>
      <c r="F795">
        <v>51953501</v>
      </c>
      <c r="G795" t="s">
        <v>1058</v>
      </c>
      <c r="H795">
        <v>102012</v>
      </c>
      <c r="I795">
        <v>1253181</v>
      </c>
    </row>
    <row r="796" spans="2:9" x14ac:dyDescent="0.25">
      <c r="B796">
        <v>1001</v>
      </c>
      <c r="C796">
        <v>5016</v>
      </c>
      <c r="D796">
        <v>900072847</v>
      </c>
      <c r="E796" t="s">
        <v>1300</v>
      </c>
      <c r="F796">
        <v>51953501</v>
      </c>
      <c r="G796" t="s">
        <v>1058</v>
      </c>
      <c r="H796">
        <v>134913</v>
      </c>
      <c r="I796">
        <v>1253181</v>
      </c>
    </row>
    <row r="797" spans="2:9" x14ac:dyDescent="0.25">
      <c r="B797">
        <v>1001</v>
      </c>
      <c r="C797">
        <v>5016</v>
      </c>
      <c r="D797">
        <v>900072847</v>
      </c>
      <c r="E797" t="s">
        <v>1300</v>
      </c>
      <c r="F797">
        <v>51953501</v>
      </c>
      <c r="G797" t="s">
        <v>1058</v>
      </c>
      <c r="H797">
        <v>124017</v>
      </c>
      <c r="I797">
        <v>1253181</v>
      </c>
    </row>
    <row r="798" spans="2:9" x14ac:dyDescent="0.25">
      <c r="B798">
        <v>1001</v>
      </c>
      <c r="C798">
        <v>5016</v>
      </c>
      <c r="D798">
        <v>900072847</v>
      </c>
      <c r="E798" t="s">
        <v>1300</v>
      </c>
      <c r="F798">
        <v>51953501</v>
      </c>
      <c r="G798" t="s">
        <v>1058</v>
      </c>
      <c r="H798">
        <v>114883</v>
      </c>
      <c r="I798">
        <v>1253181</v>
      </c>
    </row>
    <row r="799" spans="2:9" x14ac:dyDescent="0.25">
      <c r="B799">
        <v>1001</v>
      </c>
      <c r="C799">
        <v>5016</v>
      </c>
      <c r="D799">
        <v>900072847</v>
      </c>
      <c r="E799" t="s">
        <v>1300</v>
      </c>
      <c r="F799">
        <v>51953501</v>
      </c>
      <c r="G799" t="s">
        <v>1058</v>
      </c>
      <c r="H799">
        <v>135459</v>
      </c>
      <c r="I799">
        <v>1253181</v>
      </c>
    </row>
    <row r="800" spans="2:9" x14ac:dyDescent="0.25">
      <c r="B800">
        <v>1001</v>
      </c>
      <c r="C800">
        <v>5016</v>
      </c>
      <c r="D800">
        <v>900072847</v>
      </c>
      <c r="E800" t="s">
        <v>1300</v>
      </c>
      <c r="F800">
        <v>51953501</v>
      </c>
      <c r="G800" t="s">
        <v>1058</v>
      </c>
      <c r="H800">
        <v>98057</v>
      </c>
      <c r="I800">
        <v>1253181</v>
      </c>
    </row>
    <row r="801" spans="2:9" x14ac:dyDescent="0.25">
      <c r="B801">
        <v>1001</v>
      </c>
      <c r="C801">
        <v>5016</v>
      </c>
      <c r="D801">
        <v>900072847</v>
      </c>
      <c r="E801" t="s">
        <v>1300</v>
      </c>
      <c r="F801">
        <v>51953501</v>
      </c>
      <c r="G801" t="s">
        <v>1058</v>
      </c>
      <c r="H801">
        <v>107674</v>
      </c>
      <c r="I801">
        <v>1253181</v>
      </c>
    </row>
    <row r="802" spans="2:9" x14ac:dyDescent="0.25">
      <c r="B802">
        <v>1001</v>
      </c>
      <c r="C802">
        <v>5016</v>
      </c>
      <c r="D802">
        <v>900072847</v>
      </c>
      <c r="E802" t="s">
        <v>1300</v>
      </c>
      <c r="F802">
        <v>51953501</v>
      </c>
      <c r="G802" t="s">
        <v>1058</v>
      </c>
      <c r="H802">
        <v>124307</v>
      </c>
      <c r="I802">
        <v>1253181</v>
      </c>
    </row>
    <row r="803" spans="2:9" x14ac:dyDescent="0.25">
      <c r="B803">
        <v>1001</v>
      </c>
      <c r="C803">
        <v>5016</v>
      </c>
      <c r="D803">
        <v>900072847</v>
      </c>
      <c r="E803" t="s">
        <v>1300</v>
      </c>
      <c r="F803">
        <v>51953501</v>
      </c>
      <c r="G803" t="s">
        <v>1058</v>
      </c>
      <c r="H803">
        <v>77577</v>
      </c>
      <c r="I803">
        <v>1253181</v>
      </c>
    </row>
    <row r="804" spans="2:9" x14ac:dyDescent="0.25">
      <c r="B804">
        <v>1001</v>
      </c>
      <c r="C804">
        <v>5016</v>
      </c>
      <c r="D804">
        <v>900072847</v>
      </c>
      <c r="E804" t="s">
        <v>1300</v>
      </c>
      <c r="F804">
        <v>51953501</v>
      </c>
      <c r="G804" t="s">
        <v>1058</v>
      </c>
      <c r="H804">
        <v>124441</v>
      </c>
      <c r="I804">
        <v>1253181</v>
      </c>
    </row>
    <row r="805" spans="2:9" x14ac:dyDescent="0.25">
      <c r="B805">
        <v>1001</v>
      </c>
      <c r="C805">
        <v>5016</v>
      </c>
      <c r="D805">
        <v>900072847</v>
      </c>
      <c r="E805" t="s">
        <v>1300</v>
      </c>
      <c r="F805">
        <v>51953501</v>
      </c>
      <c r="G805" t="s">
        <v>1058</v>
      </c>
      <c r="H805">
        <v>109841</v>
      </c>
      <c r="I805">
        <v>1253181</v>
      </c>
    </row>
    <row r="806" spans="2:9" x14ac:dyDescent="0.25">
      <c r="B806">
        <v>1001</v>
      </c>
      <c r="C806">
        <v>5016</v>
      </c>
      <c r="D806">
        <v>900126972</v>
      </c>
      <c r="E806" t="s">
        <v>1224</v>
      </c>
      <c r="F806">
        <v>61208701</v>
      </c>
      <c r="G806" t="s">
        <v>1063</v>
      </c>
      <c r="H806">
        <v>92000</v>
      </c>
      <c r="I806">
        <v>92000</v>
      </c>
    </row>
    <row r="807" spans="2:9" x14ac:dyDescent="0.25">
      <c r="B807">
        <v>1001</v>
      </c>
      <c r="C807">
        <v>5016</v>
      </c>
      <c r="D807">
        <v>900188914</v>
      </c>
      <c r="E807" t="s">
        <v>1662</v>
      </c>
      <c r="F807">
        <v>51956501</v>
      </c>
      <c r="G807" t="s">
        <v>1060</v>
      </c>
      <c r="H807">
        <v>1345</v>
      </c>
      <c r="I807">
        <v>1345</v>
      </c>
    </row>
    <row r="808" spans="2:9" x14ac:dyDescent="0.25">
      <c r="B808">
        <v>1001</v>
      </c>
      <c r="C808">
        <v>5016</v>
      </c>
      <c r="D808">
        <v>900276962</v>
      </c>
      <c r="E808" t="s">
        <v>1516</v>
      </c>
      <c r="F808">
        <v>51956001</v>
      </c>
      <c r="G808" t="s">
        <v>1059</v>
      </c>
      <c r="H808">
        <v>25900</v>
      </c>
      <c r="I808">
        <v>25900</v>
      </c>
    </row>
    <row r="809" spans="2:9" x14ac:dyDescent="0.25">
      <c r="B809">
        <v>1001</v>
      </c>
      <c r="C809">
        <v>5016</v>
      </c>
      <c r="D809">
        <v>900336508</v>
      </c>
      <c r="E809" t="s">
        <v>1306</v>
      </c>
      <c r="F809">
        <v>51953501</v>
      </c>
      <c r="G809" t="s">
        <v>1058</v>
      </c>
      <c r="H809">
        <v>10886</v>
      </c>
      <c r="I809">
        <v>10886</v>
      </c>
    </row>
    <row r="810" spans="2:9" x14ac:dyDescent="0.25">
      <c r="B810">
        <v>1001</v>
      </c>
      <c r="C810">
        <v>5016</v>
      </c>
      <c r="D810">
        <v>900373092</v>
      </c>
      <c r="E810" t="s">
        <v>1684</v>
      </c>
      <c r="F810">
        <v>51559501</v>
      </c>
      <c r="G810" t="s">
        <v>1055</v>
      </c>
      <c r="H810">
        <v>8500</v>
      </c>
      <c r="I810">
        <v>24500</v>
      </c>
    </row>
    <row r="811" spans="2:9" x14ac:dyDescent="0.25">
      <c r="B811">
        <v>1001</v>
      </c>
      <c r="C811">
        <v>5016</v>
      </c>
      <c r="D811">
        <v>900373092</v>
      </c>
      <c r="E811" t="s">
        <v>1684</v>
      </c>
      <c r="F811">
        <v>51559501</v>
      </c>
      <c r="G811" t="s">
        <v>1055</v>
      </c>
      <c r="H811">
        <v>8100</v>
      </c>
      <c r="I811">
        <v>24500</v>
      </c>
    </row>
    <row r="812" spans="2:9" x14ac:dyDescent="0.25">
      <c r="B812">
        <v>1001</v>
      </c>
      <c r="C812">
        <v>5016</v>
      </c>
      <c r="D812">
        <v>900373092</v>
      </c>
      <c r="E812" t="s">
        <v>1684</v>
      </c>
      <c r="F812">
        <v>51559501</v>
      </c>
      <c r="G812" t="s">
        <v>1055</v>
      </c>
      <c r="H812">
        <v>7900</v>
      </c>
      <c r="I812">
        <v>24500</v>
      </c>
    </row>
    <row r="813" spans="2:9" x14ac:dyDescent="0.25">
      <c r="B813">
        <v>1001</v>
      </c>
      <c r="C813">
        <v>5016</v>
      </c>
      <c r="D813">
        <v>900393834</v>
      </c>
      <c r="E813" t="s">
        <v>1262</v>
      </c>
      <c r="F813">
        <v>51953501</v>
      </c>
      <c r="G813" t="s">
        <v>1058</v>
      </c>
      <c r="H813">
        <v>70016</v>
      </c>
      <c r="I813">
        <v>4225163</v>
      </c>
    </row>
    <row r="814" spans="2:9" x14ac:dyDescent="0.25">
      <c r="B814">
        <v>1001</v>
      </c>
      <c r="C814">
        <v>5016</v>
      </c>
      <c r="D814">
        <v>900393834</v>
      </c>
      <c r="E814" t="s">
        <v>1262</v>
      </c>
      <c r="F814">
        <v>51953501</v>
      </c>
      <c r="G814" t="s">
        <v>1058</v>
      </c>
      <c r="H814">
        <v>127338</v>
      </c>
      <c r="I814">
        <v>4225163</v>
      </c>
    </row>
    <row r="815" spans="2:9" x14ac:dyDescent="0.25">
      <c r="B815">
        <v>1001</v>
      </c>
      <c r="C815">
        <v>5016</v>
      </c>
      <c r="D815">
        <v>900393834</v>
      </c>
      <c r="E815" t="s">
        <v>1262</v>
      </c>
      <c r="F815">
        <v>51953501</v>
      </c>
      <c r="G815" t="s">
        <v>1058</v>
      </c>
      <c r="H815">
        <v>120000</v>
      </c>
      <c r="I815">
        <v>4225163</v>
      </c>
    </row>
    <row r="816" spans="2:9" x14ac:dyDescent="0.25">
      <c r="B816">
        <v>1001</v>
      </c>
      <c r="C816">
        <v>5016</v>
      </c>
      <c r="D816">
        <v>900393834</v>
      </c>
      <c r="E816" t="s">
        <v>1262</v>
      </c>
      <c r="F816">
        <v>51953501</v>
      </c>
      <c r="G816" t="s">
        <v>1058</v>
      </c>
      <c r="H816">
        <v>110378</v>
      </c>
      <c r="I816">
        <v>4225163</v>
      </c>
    </row>
    <row r="817" spans="2:9" x14ac:dyDescent="0.25">
      <c r="B817">
        <v>1001</v>
      </c>
      <c r="C817">
        <v>5016</v>
      </c>
      <c r="D817">
        <v>900393834</v>
      </c>
      <c r="E817" t="s">
        <v>1262</v>
      </c>
      <c r="F817">
        <v>51953501</v>
      </c>
      <c r="G817" t="s">
        <v>1058</v>
      </c>
      <c r="H817">
        <v>141019</v>
      </c>
      <c r="I817">
        <v>4225163</v>
      </c>
    </row>
    <row r="818" spans="2:9" x14ac:dyDescent="0.25">
      <c r="B818">
        <v>1001</v>
      </c>
      <c r="C818">
        <v>5016</v>
      </c>
      <c r="D818">
        <v>900393834</v>
      </c>
      <c r="E818" t="s">
        <v>1262</v>
      </c>
      <c r="F818">
        <v>51953501</v>
      </c>
      <c r="G818" t="s">
        <v>1058</v>
      </c>
      <c r="H818">
        <v>98002</v>
      </c>
      <c r="I818">
        <v>4225163</v>
      </c>
    </row>
    <row r="819" spans="2:9" x14ac:dyDescent="0.25">
      <c r="B819">
        <v>1001</v>
      </c>
      <c r="C819">
        <v>5016</v>
      </c>
      <c r="D819">
        <v>900393834</v>
      </c>
      <c r="E819" t="s">
        <v>1262</v>
      </c>
      <c r="F819">
        <v>51953501</v>
      </c>
      <c r="G819" t="s">
        <v>1058</v>
      </c>
      <c r="H819">
        <v>90002</v>
      </c>
      <c r="I819">
        <v>4225163</v>
      </c>
    </row>
    <row r="820" spans="2:9" x14ac:dyDescent="0.25">
      <c r="B820">
        <v>1001</v>
      </c>
      <c r="C820">
        <v>5016</v>
      </c>
      <c r="D820">
        <v>900393834</v>
      </c>
      <c r="E820" t="s">
        <v>1262</v>
      </c>
      <c r="F820">
        <v>51953501</v>
      </c>
      <c r="G820" t="s">
        <v>1058</v>
      </c>
      <c r="H820">
        <v>50000</v>
      </c>
      <c r="I820">
        <v>4225163</v>
      </c>
    </row>
    <row r="821" spans="2:9" x14ac:dyDescent="0.25">
      <c r="B821">
        <v>1001</v>
      </c>
      <c r="C821">
        <v>5016</v>
      </c>
      <c r="D821">
        <v>900393834</v>
      </c>
      <c r="E821" t="s">
        <v>1262</v>
      </c>
      <c r="F821">
        <v>51953501</v>
      </c>
      <c r="G821" t="s">
        <v>1058</v>
      </c>
      <c r="H821">
        <v>120009</v>
      </c>
      <c r="I821">
        <v>4225163</v>
      </c>
    </row>
    <row r="822" spans="2:9" x14ac:dyDescent="0.25">
      <c r="B822">
        <v>1001</v>
      </c>
      <c r="C822">
        <v>5016</v>
      </c>
      <c r="D822">
        <v>900393834</v>
      </c>
      <c r="E822" t="s">
        <v>1262</v>
      </c>
      <c r="F822">
        <v>51953501</v>
      </c>
      <c r="G822" t="s">
        <v>1058</v>
      </c>
      <c r="H822">
        <v>200000</v>
      </c>
      <c r="I822">
        <v>4225163</v>
      </c>
    </row>
    <row r="823" spans="2:9" x14ac:dyDescent="0.25">
      <c r="B823">
        <v>1001</v>
      </c>
      <c r="C823">
        <v>5016</v>
      </c>
      <c r="D823">
        <v>900393834</v>
      </c>
      <c r="E823" t="s">
        <v>1262</v>
      </c>
      <c r="F823">
        <v>51953501</v>
      </c>
      <c r="G823" t="s">
        <v>1058</v>
      </c>
      <c r="H823">
        <v>114980</v>
      </c>
      <c r="I823">
        <v>4225163</v>
      </c>
    </row>
    <row r="824" spans="2:9" x14ac:dyDescent="0.25">
      <c r="B824">
        <v>1001</v>
      </c>
      <c r="C824">
        <v>5016</v>
      </c>
      <c r="D824">
        <v>900393834</v>
      </c>
      <c r="E824" t="s">
        <v>1262</v>
      </c>
      <c r="F824">
        <v>51953501</v>
      </c>
      <c r="G824" t="s">
        <v>1058</v>
      </c>
      <c r="H824">
        <v>93161</v>
      </c>
      <c r="I824">
        <v>4225163</v>
      </c>
    </row>
    <row r="825" spans="2:9" x14ac:dyDescent="0.25">
      <c r="B825">
        <v>1001</v>
      </c>
      <c r="C825">
        <v>5016</v>
      </c>
      <c r="D825">
        <v>900393834</v>
      </c>
      <c r="E825" t="s">
        <v>1262</v>
      </c>
      <c r="F825">
        <v>51953501</v>
      </c>
      <c r="G825" t="s">
        <v>1058</v>
      </c>
      <c r="H825">
        <v>113999</v>
      </c>
      <c r="I825">
        <v>4225163</v>
      </c>
    </row>
    <row r="826" spans="2:9" x14ac:dyDescent="0.25">
      <c r="B826">
        <v>1001</v>
      </c>
      <c r="C826">
        <v>5016</v>
      </c>
      <c r="D826">
        <v>900393834</v>
      </c>
      <c r="E826" t="s">
        <v>1262</v>
      </c>
      <c r="F826">
        <v>51953501</v>
      </c>
      <c r="G826" t="s">
        <v>1058</v>
      </c>
      <c r="H826">
        <v>96641</v>
      </c>
      <c r="I826">
        <v>4225163</v>
      </c>
    </row>
    <row r="827" spans="2:9" x14ac:dyDescent="0.25">
      <c r="B827">
        <v>1001</v>
      </c>
      <c r="C827">
        <v>5016</v>
      </c>
      <c r="D827">
        <v>900393834</v>
      </c>
      <c r="E827" t="s">
        <v>1262</v>
      </c>
      <c r="F827">
        <v>51953501</v>
      </c>
      <c r="G827" t="s">
        <v>1058</v>
      </c>
      <c r="H827">
        <v>137795</v>
      </c>
      <c r="I827">
        <v>4225163</v>
      </c>
    </row>
    <row r="828" spans="2:9" x14ac:dyDescent="0.25">
      <c r="B828">
        <v>1001</v>
      </c>
      <c r="C828">
        <v>5016</v>
      </c>
      <c r="D828">
        <v>900393834</v>
      </c>
      <c r="E828" t="s">
        <v>1262</v>
      </c>
      <c r="F828">
        <v>51953501</v>
      </c>
      <c r="G828" t="s">
        <v>1058</v>
      </c>
      <c r="H828">
        <v>222279</v>
      </c>
      <c r="I828">
        <v>4225163</v>
      </c>
    </row>
    <row r="829" spans="2:9" x14ac:dyDescent="0.25">
      <c r="B829">
        <v>1001</v>
      </c>
      <c r="C829">
        <v>5016</v>
      </c>
      <c r="D829">
        <v>900393834</v>
      </c>
      <c r="E829" t="s">
        <v>1262</v>
      </c>
      <c r="F829">
        <v>51953501</v>
      </c>
      <c r="G829" t="s">
        <v>1058</v>
      </c>
      <c r="H829">
        <v>125986</v>
      </c>
      <c r="I829">
        <v>4225163</v>
      </c>
    </row>
    <row r="830" spans="2:9" x14ac:dyDescent="0.25">
      <c r="B830">
        <v>1001</v>
      </c>
      <c r="C830">
        <v>5016</v>
      </c>
      <c r="D830">
        <v>900393834</v>
      </c>
      <c r="E830" t="s">
        <v>1262</v>
      </c>
      <c r="F830">
        <v>51953501</v>
      </c>
      <c r="G830" t="s">
        <v>1058</v>
      </c>
      <c r="H830">
        <v>126215</v>
      </c>
      <c r="I830">
        <v>4225163</v>
      </c>
    </row>
    <row r="831" spans="2:9" x14ac:dyDescent="0.25">
      <c r="B831">
        <v>1001</v>
      </c>
      <c r="C831">
        <v>5016</v>
      </c>
      <c r="D831">
        <v>900393834</v>
      </c>
      <c r="E831" t="s">
        <v>1262</v>
      </c>
      <c r="F831">
        <v>51953501</v>
      </c>
      <c r="G831" t="s">
        <v>1058</v>
      </c>
      <c r="H831">
        <v>128017</v>
      </c>
      <c r="I831">
        <v>4225163</v>
      </c>
    </row>
    <row r="832" spans="2:9" x14ac:dyDescent="0.25">
      <c r="B832">
        <v>1001</v>
      </c>
      <c r="C832">
        <v>5016</v>
      </c>
      <c r="D832">
        <v>900393834</v>
      </c>
      <c r="E832" t="s">
        <v>1262</v>
      </c>
      <c r="F832">
        <v>51953501</v>
      </c>
      <c r="G832" t="s">
        <v>1058</v>
      </c>
      <c r="H832">
        <v>9500</v>
      </c>
      <c r="I832">
        <v>4225163</v>
      </c>
    </row>
    <row r="833" spans="2:9" x14ac:dyDescent="0.25">
      <c r="B833">
        <v>1001</v>
      </c>
      <c r="C833">
        <v>5016</v>
      </c>
      <c r="D833">
        <v>900393834</v>
      </c>
      <c r="E833" t="s">
        <v>1262</v>
      </c>
      <c r="F833">
        <v>51953501</v>
      </c>
      <c r="G833" t="s">
        <v>1058</v>
      </c>
      <c r="H833">
        <v>121657</v>
      </c>
      <c r="I833">
        <v>4225163</v>
      </c>
    </row>
    <row r="834" spans="2:9" x14ac:dyDescent="0.25">
      <c r="B834">
        <v>1001</v>
      </c>
      <c r="C834">
        <v>5016</v>
      </c>
      <c r="D834">
        <v>900393834</v>
      </c>
      <c r="E834" t="s">
        <v>1262</v>
      </c>
      <c r="F834">
        <v>51953501</v>
      </c>
      <c r="G834" t="s">
        <v>1058</v>
      </c>
      <c r="H834">
        <v>120003</v>
      </c>
      <c r="I834">
        <v>4225163</v>
      </c>
    </row>
    <row r="835" spans="2:9" x14ac:dyDescent="0.25">
      <c r="B835">
        <v>1001</v>
      </c>
      <c r="C835">
        <v>5016</v>
      </c>
      <c r="D835">
        <v>900393834</v>
      </c>
      <c r="E835" t="s">
        <v>1262</v>
      </c>
      <c r="F835">
        <v>51953501</v>
      </c>
      <c r="G835" t="s">
        <v>1058</v>
      </c>
      <c r="H835">
        <v>134928</v>
      </c>
      <c r="I835">
        <v>4225163</v>
      </c>
    </row>
    <row r="836" spans="2:9" x14ac:dyDescent="0.25">
      <c r="B836">
        <v>1001</v>
      </c>
      <c r="C836">
        <v>5016</v>
      </c>
      <c r="D836">
        <v>900393834</v>
      </c>
      <c r="E836" t="s">
        <v>1262</v>
      </c>
      <c r="F836">
        <v>51953501</v>
      </c>
      <c r="G836" t="s">
        <v>1058</v>
      </c>
      <c r="H836">
        <v>113175</v>
      </c>
      <c r="I836">
        <v>4225163</v>
      </c>
    </row>
    <row r="837" spans="2:9" x14ac:dyDescent="0.25">
      <c r="B837">
        <v>1001</v>
      </c>
      <c r="C837">
        <v>5016</v>
      </c>
      <c r="D837">
        <v>900393834</v>
      </c>
      <c r="E837" t="s">
        <v>1262</v>
      </c>
      <c r="F837">
        <v>51953501</v>
      </c>
      <c r="G837" t="s">
        <v>1058</v>
      </c>
      <c r="H837">
        <v>120950</v>
      </c>
      <c r="I837">
        <v>4225163</v>
      </c>
    </row>
    <row r="838" spans="2:9" x14ac:dyDescent="0.25">
      <c r="B838">
        <v>1001</v>
      </c>
      <c r="C838">
        <v>5016</v>
      </c>
      <c r="D838">
        <v>900393834</v>
      </c>
      <c r="E838" t="s">
        <v>1262</v>
      </c>
      <c r="F838">
        <v>51953501</v>
      </c>
      <c r="G838" t="s">
        <v>1058</v>
      </c>
      <c r="H838">
        <v>9500</v>
      </c>
      <c r="I838">
        <v>4225163</v>
      </c>
    </row>
    <row r="839" spans="2:9" x14ac:dyDescent="0.25">
      <c r="B839">
        <v>1001</v>
      </c>
      <c r="C839">
        <v>5016</v>
      </c>
      <c r="D839">
        <v>900393834</v>
      </c>
      <c r="E839" t="s">
        <v>1262</v>
      </c>
      <c r="F839">
        <v>51953501</v>
      </c>
      <c r="G839" t="s">
        <v>1058</v>
      </c>
      <c r="H839">
        <v>100015</v>
      </c>
      <c r="I839">
        <v>4225163</v>
      </c>
    </row>
    <row r="840" spans="2:9" x14ac:dyDescent="0.25">
      <c r="B840">
        <v>1001</v>
      </c>
      <c r="C840">
        <v>5016</v>
      </c>
      <c r="D840">
        <v>900393834</v>
      </c>
      <c r="E840" t="s">
        <v>1262</v>
      </c>
      <c r="F840">
        <v>51953501</v>
      </c>
      <c r="G840" t="s">
        <v>1058</v>
      </c>
      <c r="H840">
        <v>133044</v>
      </c>
      <c r="I840">
        <v>4225163</v>
      </c>
    </row>
    <row r="841" spans="2:9" x14ac:dyDescent="0.25">
      <c r="B841">
        <v>1001</v>
      </c>
      <c r="C841">
        <v>5016</v>
      </c>
      <c r="D841">
        <v>900393834</v>
      </c>
      <c r="E841" t="s">
        <v>1262</v>
      </c>
      <c r="F841">
        <v>51953501</v>
      </c>
      <c r="G841" t="s">
        <v>1058</v>
      </c>
      <c r="H841">
        <v>128008</v>
      </c>
      <c r="I841">
        <v>4225163</v>
      </c>
    </row>
    <row r="842" spans="2:9" x14ac:dyDescent="0.25">
      <c r="B842">
        <v>1001</v>
      </c>
      <c r="C842">
        <v>5016</v>
      </c>
      <c r="D842">
        <v>900393834</v>
      </c>
      <c r="E842" t="s">
        <v>1262</v>
      </c>
      <c r="F842">
        <v>51953501</v>
      </c>
      <c r="G842" t="s">
        <v>1058</v>
      </c>
      <c r="H842">
        <v>106007</v>
      </c>
      <c r="I842">
        <v>4225163</v>
      </c>
    </row>
    <row r="843" spans="2:9" x14ac:dyDescent="0.25">
      <c r="B843">
        <v>1001</v>
      </c>
      <c r="C843">
        <v>5016</v>
      </c>
      <c r="D843">
        <v>900393834</v>
      </c>
      <c r="E843" t="s">
        <v>1262</v>
      </c>
      <c r="F843">
        <v>51953501</v>
      </c>
      <c r="G843" t="s">
        <v>1058</v>
      </c>
      <c r="H843">
        <v>106972</v>
      </c>
      <c r="I843">
        <v>4225163</v>
      </c>
    </row>
    <row r="844" spans="2:9" x14ac:dyDescent="0.25">
      <c r="B844">
        <v>1001</v>
      </c>
      <c r="C844">
        <v>5016</v>
      </c>
      <c r="D844">
        <v>900393834</v>
      </c>
      <c r="E844" t="s">
        <v>1262</v>
      </c>
      <c r="F844">
        <v>51953501</v>
      </c>
      <c r="G844" t="s">
        <v>1058</v>
      </c>
      <c r="H844">
        <v>90420</v>
      </c>
      <c r="I844">
        <v>4225163</v>
      </c>
    </row>
    <row r="845" spans="2:9" x14ac:dyDescent="0.25">
      <c r="B845">
        <v>1001</v>
      </c>
      <c r="C845">
        <v>5016</v>
      </c>
      <c r="D845">
        <v>900393834</v>
      </c>
      <c r="E845" t="s">
        <v>1262</v>
      </c>
      <c r="F845">
        <v>51953501</v>
      </c>
      <c r="G845" t="s">
        <v>1058</v>
      </c>
      <c r="H845">
        <v>78703</v>
      </c>
      <c r="I845">
        <v>4225163</v>
      </c>
    </row>
    <row r="846" spans="2:9" x14ac:dyDescent="0.25">
      <c r="B846">
        <v>1001</v>
      </c>
      <c r="C846">
        <v>5016</v>
      </c>
      <c r="D846">
        <v>900393834</v>
      </c>
      <c r="E846" t="s">
        <v>1262</v>
      </c>
      <c r="F846">
        <v>51953501</v>
      </c>
      <c r="G846" t="s">
        <v>1058</v>
      </c>
      <c r="H846">
        <v>119443</v>
      </c>
      <c r="I846">
        <v>4225163</v>
      </c>
    </row>
    <row r="847" spans="2:9" x14ac:dyDescent="0.25">
      <c r="B847">
        <v>1001</v>
      </c>
      <c r="C847">
        <v>5016</v>
      </c>
      <c r="D847">
        <v>900393834</v>
      </c>
      <c r="E847" t="s">
        <v>1262</v>
      </c>
      <c r="F847">
        <v>51953501</v>
      </c>
      <c r="G847" t="s">
        <v>1058</v>
      </c>
      <c r="H847">
        <v>117310</v>
      </c>
      <c r="I847">
        <v>4225163</v>
      </c>
    </row>
    <row r="848" spans="2:9" x14ac:dyDescent="0.25">
      <c r="B848">
        <v>1001</v>
      </c>
      <c r="C848">
        <v>5016</v>
      </c>
      <c r="D848">
        <v>900393834</v>
      </c>
      <c r="E848" t="s">
        <v>1262</v>
      </c>
      <c r="F848">
        <v>51953501</v>
      </c>
      <c r="G848" t="s">
        <v>1058</v>
      </c>
      <c r="H848">
        <v>113469</v>
      </c>
      <c r="I848">
        <v>4225163</v>
      </c>
    </row>
    <row r="849" spans="2:9" x14ac:dyDescent="0.25">
      <c r="B849">
        <v>1001</v>
      </c>
      <c r="C849">
        <v>5016</v>
      </c>
      <c r="D849">
        <v>900393834</v>
      </c>
      <c r="E849" t="s">
        <v>1262</v>
      </c>
      <c r="F849">
        <v>51953501</v>
      </c>
      <c r="G849" t="s">
        <v>1058</v>
      </c>
      <c r="H849">
        <v>110004</v>
      </c>
      <c r="I849">
        <v>4225163</v>
      </c>
    </row>
    <row r="850" spans="2:9" x14ac:dyDescent="0.25">
      <c r="B850">
        <v>1001</v>
      </c>
      <c r="C850">
        <v>5016</v>
      </c>
      <c r="D850">
        <v>900393834</v>
      </c>
      <c r="E850" t="s">
        <v>1262</v>
      </c>
      <c r="F850">
        <v>51953501</v>
      </c>
      <c r="G850" t="s">
        <v>1058</v>
      </c>
      <c r="H850">
        <v>106218</v>
      </c>
      <c r="I850">
        <v>4225163</v>
      </c>
    </row>
    <row r="851" spans="2:9" x14ac:dyDescent="0.25">
      <c r="B851">
        <v>1001</v>
      </c>
      <c r="C851">
        <v>5016</v>
      </c>
      <c r="D851">
        <v>900448255</v>
      </c>
      <c r="E851" t="s">
        <v>1114</v>
      </c>
      <c r="F851">
        <v>61208701</v>
      </c>
      <c r="G851" t="s">
        <v>1063</v>
      </c>
      <c r="H851">
        <v>274958</v>
      </c>
      <c r="I851">
        <v>274958</v>
      </c>
    </row>
    <row r="852" spans="2:9" x14ac:dyDescent="0.25">
      <c r="B852">
        <v>1001</v>
      </c>
      <c r="C852">
        <v>5016</v>
      </c>
      <c r="D852">
        <v>900448255</v>
      </c>
      <c r="E852" t="s">
        <v>1114</v>
      </c>
      <c r="F852">
        <v>62150101</v>
      </c>
      <c r="G852" t="s">
        <v>1065</v>
      </c>
      <c r="H852">
        <v>573176</v>
      </c>
      <c r="I852">
        <v>2332901</v>
      </c>
    </row>
    <row r="853" spans="2:9" x14ac:dyDescent="0.25">
      <c r="B853">
        <v>1001</v>
      </c>
      <c r="C853">
        <v>5016</v>
      </c>
      <c r="D853">
        <v>900448255</v>
      </c>
      <c r="E853" t="s">
        <v>1114</v>
      </c>
      <c r="F853">
        <v>62150101</v>
      </c>
      <c r="G853" t="s">
        <v>1065</v>
      </c>
      <c r="H853">
        <v>129412</v>
      </c>
      <c r="I853">
        <v>2332901</v>
      </c>
    </row>
    <row r="854" spans="2:9" x14ac:dyDescent="0.25">
      <c r="B854">
        <v>1001</v>
      </c>
      <c r="C854">
        <v>5016</v>
      </c>
      <c r="D854">
        <v>900448255</v>
      </c>
      <c r="E854" t="s">
        <v>1114</v>
      </c>
      <c r="F854">
        <v>62150101</v>
      </c>
      <c r="G854" t="s">
        <v>1065</v>
      </c>
      <c r="H854">
        <v>357143</v>
      </c>
      <c r="I854">
        <v>2332901</v>
      </c>
    </row>
    <row r="855" spans="2:9" x14ac:dyDescent="0.25">
      <c r="B855">
        <v>1001</v>
      </c>
      <c r="C855">
        <v>5016</v>
      </c>
      <c r="D855">
        <v>900448255</v>
      </c>
      <c r="E855" t="s">
        <v>1114</v>
      </c>
      <c r="F855">
        <v>62150101</v>
      </c>
      <c r="G855" t="s">
        <v>1065</v>
      </c>
      <c r="H855">
        <v>218487</v>
      </c>
      <c r="I855">
        <v>2332901</v>
      </c>
    </row>
    <row r="856" spans="2:9" x14ac:dyDescent="0.25">
      <c r="B856">
        <v>1001</v>
      </c>
      <c r="C856">
        <v>5016</v>
      </c>
      <c r="D856">
        <v>900448255</v>
      </c>
      <c r="E856" t="s">
        <v>1114</v>
      </c>
      <c r="F856">
        <v>62150101</v>
      </c>
      <c r="G856" t="s">
        <v>1065</v>
      </c>
      <c r="H856">
        <v>33025</v>
      </c>
      <c r="I856">
        <v>2332901</v>
      </c>
    </row>
    <row r="857" spans="2:9" x14ac:dyDescent="0.25">
      <c r="B857">
        <v>1001</v>
      </c>
      <c r="C857">
        <v>5016</v>
      </c>
      <c r="D857">
        <v>900448255</v>
      </c>
      <c r="E857" t="s">
        <v>1114</v>
      </c>
      <c r="F857">
        <v>62150101</v>
      </c>
      <c r="G857" t="s">
        <v>1065</v>
      </c>
      <c r="H857">
        <v>68067</v>
      </c>
      <c r="I857">
        <v>2332901</v>
      </c>
    </row>
    <row r="858" spans="2:9" x14ac:dyDescent="0.25">
      <c r="B858">
        <v>1001</v>
      </c>
      <c r="C858">
        <v>5016</v>
      </c>
      <c r="D858">
        <v>900448255</v>
      </c>
      <c r="E858" t="s">
        <v>1114</v>
      </c>
      <c r="F858">
        <v>62150101</v>
      </c>
      <c r="G858" t="s">
        <v>1065</v>
      </c>
      <c r="H858">
        <v>57059</v>
      </c>
      <c r="I858">
        <v>2332901</v>
      </c>
    </row>
    <row r="859" spans="2:9" x14ac:dyDescent="0.25">
      <c r="B859">
        <v>1001</v>
      </c>
      <c r="C859">
        <v>5016</v>
      </c>
      <c r="D859">
        <v>900448255</v>
      </c>
      <c r="E859" t="s">
        <v>1114</v>
      </c>
      <c r="F859">
        <v>62150101</v>
      </c>
      <c r="G859" t="s">
        <v>1065</v>
      </c>
      <c r="H859">
        <v>605675</v>
      </c>
      <c r="I859">
        <v>2332901</v>
      </c>
    </row>
    <row r="860" spans="2:9" x14ac:dyDescent="0.25">
      <c r="B860">
        <v>1001</v>
      </c>
      <c r="C860">
        <v>5016</v>
      </c>
      <c r="D860">
        <v>900448255</v>
      </c>
      <c r="E860" t="s">
        <v>1114</v>
      </c>
      <c r="F860">
        <v>62150101</v>
      </c>
      <c r="G860" t="s">
        <v>1065</v>
      </c>
      <c r="H860">
        <v>47143</v>
      </c>
      <c r="I860">
        <v>2332901</v>
      </c>
    </row>
    <row r="861" spans="2:9" x14ac:dyDescent="0.25">
      <c r="B861">
        <v>1001</v>
      </c>
      <c r="C861">
        <v>5016</v>
      </c>
      <c r="D861">
        <v>900448255</v>
      </c>
      <c r="E861" t="s">
        <v>1114</v>
      </c>
      <c r="F861">
        <v>62150101</v>
      </c>
      <c r="G861" t="s">
        <v>1065</v>
      </c>
      <c r="H861">
        <v>29932</v>
      </c>
      <c r="I861">
        <v>2332901</v>
      </c>
    </row>
    <row r="862" spans="2:9" x14ac:dyDescent="0.25">
      <c r="B862">
        <v>1001</v>
      </c>
      <c r="C862">
        <v>5016</v>
      </c>
      <c r="D862">
        <v>900448255</v>
      </c>
      <c r="E862" t="s">
        <v>1114</v>
      </c>
      <c r="F862">
        <v>62150101</v>
      </c>
      <c r="G862" t="s">
        <v>1065</v>
      </c>
      <c r="H862">
        <v>65546</v>
      </c>
      <c r="I862">
        <v>2332901</v>
      </c>
    </row>
    <row r="863" spans="2:9" x14ac:dyDescent="0.25">
      <c r="B863">
        <v>1001</v>
      </c>
      <c r="C863">
        <v>5016</v>
      </c>
      <c r="D863">
        <v>900448255</v>
      </c>
      <c r="E863" t="s">
        <v>1114</v>
      </c>
      <c r="F863">
        <v>62150101</v>
      </c>
      <c r="G863" t="s">
        <v>1065</v>
      </c>
      <c r="H863">
        <v>121008</v>
      </c>
      <c r="I863">
        <v>2332901</v>
      </c>
    </row>
    <row r="864" spans="2:9" x14ac:dyDescent="0.25">
      <c r="B864">
        <v>1001</v>
      </c>
      <c r="C864">
        <v>5016</v>
      </c>
      <c r="D864">
        <v>900448255</v>
      </c>
      <c r="E864" t="s">
        <v>1114</v>
      </c>
      <c r="F864">
        <v>62150101</v>
      </c>
      <c r="G864" t="s">
        <v>1065</v>
      </c>
      <c r="H864">
        <v>27228</v>
      </c>
      <c r="I864">
        <v>2332901</v>
      </c>
    </row>
    <row r="865" spans="2:9" x14ac:dyDescent="0.25">
      <c r="B865">
        <v>1001</v>
      </c>
      <c r="C865">
        <v>5016</v>
      </c>
      <c r="D865">
        <v>900470082</v>
      </c>
      <c r="E865" t="s">
        <v>1724</v>
      </c>
      <c r="F865">
        <v>51956001</v>
      </c>
      <c r="G865" t="s">
        <v>1059</v>
      </c>
      <c r="H865">
        <v>57000</v>
      </c>
      <c r="I865">
        <v>57000</v>
      </c>
    </row>
    <row r="866" spans="2:9" x14ac:dyDescent="0.25">
      <c r="B866">
        <v>1001</v>
      </c>
      <c r="C866">
        <v>5016</v>
      </c>
      <c r="D866">
        <v>900480569</v>
      </c>
      <c r="E866" t="s">
        <v>1620</v>
      </c>
      <c r="F866">
        <v>51052101</v>
      </c>
      <c r="G866" t="s">
        <v>194</v>
      </c>
      <c r="H866">
        <v>113245</v>
      </c>
      <c r="I866">
        <v>113245</v>
      </c>
    </row>
    <row r="867" spans="2:9" x14ac:dyDescent="0.25">
      <c r="B867">
        <v>1001</v>
      </c>
      <c r="C867">
        <v>5016</v>
      </c>
      <c r="D867">
        <v>900495511</v>
      </c>
      <c r="E867" t="s">
        <v>1334</v>
      </c>
      <c r="F867">
        <v>51956001</v>
      </c>
      <c r="G867" t="s">
        <v>1059</v>
      </c>
      <c r="H867">
        <v>89500</v>
      </c>
      <c r="I867">
        <v>89500</v>
      </c>
    </row>
    <row r="868" spans="2:9" x14ac:dyDescent="0.25">
      <c r="B868">
        <v>1001</v>
      </c>
      <c r="C868">
        <v>5016</v>
      </c>
      <c r="D868">
        <v>900592007</v>
      </c>
      <c r="E868" t="s">
        <v>1624</v>
      </c>
      <c r="F868">
        <v>51956001</v>
      </c>
      <c r="G868" t="s">
        <v>1059</v>
      </c>
      <c r="H868">
        <v>8151</v>
      </c>
      <c r="I868">
        <v>8151</v>
      </c>
    </row>
    <row r="869" spans="2:9" x14ac:dyDescent="0.25">
      <c r="B869">
        <v>1001</v>
      </c>
      <c r="C869">
        <v>5016</v>
      </c>
      <c r="D869">
        <v>900664669</v>
      </c>
      <c r="E869" t="s">
        <v>1332</v>
      </c>
      <c r="F869">
        <v>51956001</v>
      </c>
      <c r="G869" t="s">
        <v>1059</v>
      </c>
      <c r="H869">
        <v>10252</v>
      </c>
      <c r="I869">
        <v>21681</v>
      </c>
    </row>
    <row r="870" spans="2:9" x14ac:dyDescent="0.25">
      <c r="B870">
        <v>1001</v>
      </c>
      <c r="C870">
        <v>5016</v>
      </c>
      <c r="D870">
        <v>900664669</v>
      </c>
      <c r="E870" t="s">
        <v>1332</v>
      </c>
      <c r="F870">
        <v>51956001</v>
      </c>
      <c r="G870" t="s">
        <v>1059</v>
      </c>
      <c r="H870">
        <v>11429</v>
      </c>
      <c r="I870">
        <v>21681</v>
      </c>
    </row>
    <row r="871" spans="2:9" x14ac:dyDescent="0.25">
      <c r="B871">
        <v>1001</v>
      </c>
      <c r="C871">
        <v>5016</v>
      </c>
      <c r="D871">
        <v>900735388</v>
      </c>
      <c r="E871" t="s">
        <v>1328</v>
      </c>
      <c r="F871">
        <v>51956001</v>
      </c>
      <c r="G871" t="s">
        <v>1059</v>
      </c>
      <c r="H871">
        <v>8151</v>
      </c>
      <c r="I871">
        <v>40000</v>
      </c>
    </row>
    <row r="872" spans="2:9" x14ac:dyDescent="0.25">
      <c r="B872">
        <v>1001</v>
      </c>
      <c r="C872">
        <v>5016</v>
      </c>
      <c r="D872">
        <v>900735388</v>
      </c>
      <c r="E872" t="s">
        <v>1328</v>
      </c>
      <c r="F872">
        <v>51956001</v>
      </c>
      <c r="G872" t="s">
        <v>1059</v>
      </c>
      <c r="H872">
        <v>23698</v>
      </c>
      <c r="I872">
        <v>40000</v>
      </c>
    </row>
    <row r="873" spans="2:9" x14ac:dyDescent="0.25">
      <c r="B873">
        <v>1001</v>
      </c>
      <c r="C873">
        <v>5016</v>
      </c>
      <c r="D873">
        <v>900735388</v>
      </c>
      <c r="E873" t="s">
        <v>1328</v>
      </c>
      <c r="F873">
        <v>51956001</v>
      </c>
      <c r="G873" t="s">
        <v>1059</v>
      </c>
      <c r="H873">
        <v>8151</v>
      </c>
      <c r="I873">
        <v>40000</v>
      </c>
    </row>
    <row r="874" spans="2:9" x14ac:dyDescent="0.25">
      <c r="B874">
        <v>1001</v>
      </c>
      <c r="C874">
        <v>5016</v>
      </c>
      <c r="D874">
        <v>900777113</v>
      </c>
      <c r="E874" t="s">
        <v>1353</v>
      </c>
      <c r="F874">
        <v>61208701</v>
      </c>
      <c r="G874" t="s">
        <v>1063</v>
      </c>
      <c r="H874">
        <v>156000</v>
      </c>
      <c r="I874">
        <v>156000</v>
      </c>
    </row>
    <row r="875" spans="2:9" x14ac:dyDescent="0.25">
      <c r="B875">
        <v>1001</v>
      </c>
      <c r="C875">
        <v>5016</v>
      </c>
      <c r="D875">
        <v>900777113</v>
      </c>
      <c r="E875" t="s">
        <v>1353</v>
      </c>
      <c r="F875">
        <v>62150101</v>
      </c>
      <c r="G875" t="s">
        <v>1065</v>
      </c>
      <c r="H875">
        <v>6804</v>
      </c>
      <c r="I875">
        <v>49304</v>
      </c>
    </row>
    <row r="876" spans="2:9" x14ac:dyDescent="0.25">
      <c r="B876">
        <v>1001</v>
      </c>
      <c r="C876">
        <v>5016</v>
      </c>
      <c r="D876">
        <v>900777113</v>
      </c>
      <c r="E876" t="s">
        <v>1353</v>
      </c>
      <c r="F876">
        <v>62150101</v>
      </c>
      <c r="G876" t="s">
        <v>1065</v>
      </c>
      <c r="H876">
        <v>42500</v>
      </c>
      <c r="I876">
        <v>49304</v>
      </c>
    </row>
    <row r="877" spans="2:9" x14ac:dyDescent="0.25">
      <c r="B877">
        <v>1001</v>
      </c>
      <c r="C877">
        <v>5016</v>
      </c>
      <c r="D877">
        <v>900849868</v>
      </c>
      <c r="E877" t="s">
        <v>1260</v>
      </c>
      <c r="F877">
        <v>61208701</v>
      </c>
      <c r="G877" t="s">
        <v>1063</v>
      </c>
      <c r="H877">
        <v>887250</v>
      </c>
      <c r="I877">
        <v>887250</v>
      </c>
    </row>
    <row r="878" spans="2:9" x14ac:dyDescent="0.25">
      <c r="B878">
        <v>1001</v>
      </c>
      <c r="C878">
        <v>5016</v>
      </c>
      <c r="D878">
        <v>900925316</v>
      </c>
      <c r="E878" t="s">
        <v>1636</v>
      </c>
      <c r="F878">
        <v>51956001</v>
      </c>
      <c r="G878" t="s">
        <v>1059</v>
      </c>
      <c r="H878">
        <v>33445</v>
      </c>
      <c r="I878">
        <v>33445</v>
      </c>
    </row>
    <row r="879" spans="2:9" x14ac:dyDescent="0.25">
      <c r="B879">
        <v>1001</v>
      </c>
      <c r="C879">
        <v>5016</v>
      </c>
      <c r="D879">
        <v>901045634</v>
      </c>
      <c r="E879" t="s">
        <v>1236</v>
      </c>
      <c r="F879">
        <v>62150101</v>
      </c>
      <c r="G879" t="s">
        <v>1065</v>
      </c>
      <c r="H879">
        <v>13578</v>
      </c>
      <c r="I879">
        <v>20301</v>
      </c>
    </row>
    <row r="880" spans="2:9" x14ac:dyDescent="0.25">
      <c r="B880">
        <v>1001</v>
      </c>
      <c r="C880">
        <v>5016</v>
      </c>
      <c r="D880">
        <v>901045634</v>
      </c>
      <c r="E880" t="s">
        <v>1236</v>
      </c>
      <c r="F880">
        <v>62150101</v>
      </c>
      <c r="G880" t="s">
        <v>1065</v>
      </c>
      <c r="H880">
        <v>6723</v>
      </c>
      <c r="I880">
        <v>20301</v>
      </c>
    </row>
    <row r="881" spans="2:9" x14ac:dyDescent="0.25">
      <c r="B881">
        <v>1001</v>
      </c>
      <c r="C881">
        <v>5016</v>
      </c>
      <c r="D881">
        <v>901063806</v>
      </c>
      <c r="E881" t="s">
        <v>1367</v>
      </c>
      <c r="F881">
        <v>61208701</v>
      </c>
      <c r="G881" t="s">
        <v>1063</v>
      </c>
      <c r="H881">
        <v>1616</v>
      </c>
      <c r="I881">
        <v>1616</v>
      </c>
    </row>
    <row r="882" spans="2:9" x14ac:dyDescent="0.25">
      <c r="B882">
        <v>1001</v>
      </c>
      <c r="C882">
        <v>5016</v>
      </c>
      <c r="D882">
        <v>901068507</v>
      </c>
      <c r="E882" t="s">
        <v>1106</v>
      </c>
      <c r="F882">
        <v>53152001</v>
      </c>
      <c r="G882" t="s">
        <v>1062</v>
      </c>
      <c r="H882">
        <v>75000</v>
      </c>
      <c r="I882">
        <v>650435.96</v>
      </c>
    </row>
    <row r="883" spans="2:9" x14ac:dyDescent="0.25">
      <c r="B883">
        <v>1001</v>
      </c>
      <c r="C883">
        <v>5016</v>
      </c>
      <c r="D883">
        <v>901068507</v>
      </c>
      <c r="E883" t="s">
        <v>1106</v>
      </c>
      <c r="F883">
        <v>53152001</v>
      </c>
      <c r="G883" t="s">
        <v>1062</v>
      </c>
      <c r="H883">
        <v>61800</v>
      </c>
      <c r="I883">
        <v>650435.96</v>
      </c>
    </row>
    <row r="884" spans="2:9" x14ac:dyDescent="0.25">
      <c r="B884">
        <v>1001</v>
      </c>
      <c r="C884">
        <v>5016</v>
      </c>
      <c r="D884">
        <v>901068507</v>
      </c>
      <c r="E884" t="s">
        <v>1106</v>
      </c>
      <c r="F884">
        <v>53152001</v>
      </c>
      <c r="G884" t="s">
        <v>1062</v>
      </c>
      <c r="H884">
        <v>1540</v>
      </c>
      <c r="I884">
        <v>650435.96</v>
      </c>
    </row>
    <row r="885" spans="2:9" x14ac:dyDescent="0.25">
      <c r="B885">
        <v>1001</v>
      </c>
      <c r="C885">
        <v>5016</v>
      </c>
      <c r="D885">
        <v>901068507</v>
      </c>
      <c r="E885" t="s">
        <v>1106</v>
      </c>
      <c r="F885">
        <v>53152001</v>
      </c>
      <c r="G885" t="s">
        <v>1062</v>
      </c>
      <c r="H885">
        <v>8400</v>
      </c>
      <c r="I885">
        <v>650435.96</v>
      </c>
    </row>
    <row r="886" spans="2:9" x14ac:dyDescent="0.25">
      <c r="B886">
        <v>1001</v>
      </c>
      <c r="C886">
        <v>5016</v>
      </c>
      <c r="D886">
        <v>901068507</v>
      </c>
      <c r="E886" t="s">
        <v>1106</v>
      </c>
      <c r="F886">
        <v>53152001</v>
      </c>
      <c r="G886" t="s">
        <v>1062</v>
      </c>
      <c r="H886">
        <v>38640</v>
      </c>
      <c r="I886">
        <v>650435.96</v>
      </c>
    </row>
    <row r="887" spans="2:9" x14ac:dyDescent="0.25">
      <c r="B887">
        <v>1001</v>
      </c>
      <c r="C887">
        <v>5016</v>
      </c>
      <c r="D887">
        <v>901068507</v>
      </c>
      <c r="E887" t="s">
        <v>1106</v>
      </c>
      <c r="F887">
        <v>53152001</v>
      </c>
      <c r="G887" t="s">
        <v>1062</v>
      </c>
      <c r="H887">
        <v>25000</v>
      </c>
      <c r="I887">
        <v>650435.96</v>
      </c>
    </row>
    <row r="888" spans="2:9" x14ac:dyDescent="0.25">
      <c r="B888">
        <v>1001</v>
      </c>
      <c r="C888">
        <v>5016</v>
      </c>
      <c r="D888">
        <v>901068507</v>
      </c>
      <c r="E888" t="s">
        <v>1106</v>
      </c>
      <c r="F888">
        <v>53152001</v>
      </c>
      <c r="G888" t="s">
        <v>1062</v>
      </c>
      <c r="H888">
        <v>37800</v>
      </c>
      <c r="I888">
        <v>650435.96</v>
      </c>
    </row>
    <row r="889" spans="2:9" x14ac:dyDescent="0.25">
      <c r="B889">
        <v>1001</v>
      </c>
      <c r="C889">
        <v>5016</v>
      </c>
      <c r="D889">
        <v>901068507</v>
      </c>
      <c r="E889" t="s">
        <v>1106</v>
      </c>
      <c r="F889">
        <v>53152001</v>
      </c>
      <c r="G889" t="s">
        <v>1062</v>
      </c>
      <c r="H889">
        <v>5257.56</v>
      </c>
      <c r="I889">
        <v>650435.96</v>
      </c>
    </row>
    <row r="890" spans="2:9" x14ac:dyDescent="0.25">
      <c r="B890">
        <v>1001</v>
      </c>
      <c r="C890">
        <v>5016</v>
      </c>
      <c r="D890">
        <v>901068507</v>
      </c>
      <c r="E890" t="s">
        <v>1106</v>
      </c>
      <c r="F890">
        <v>53152001</v>
      </c>
      <c r="G890" t="s">
        <v>1062</v>
      </c>
      <c r="H890">
        <v>125000</v>
      </c>
      <c r="I890">
        <v>650435.96</v>
      </c>
    </row>
    <row r="891" spans="2:9" x14ac:dyDescent="0.25">
      <c r="B891">
        <v>1001</v>
      </c>
      <c r="C891">
        <v>5016</v>
      </c>
      <c r="D891">
        <v>901068507</v>
      </c>
      <c r="E891" t="s">
        <v>1106</v>
      </c>
      <c r="F891">
        <v>53152001</v>
      </c>
      <c r="G891" t="s">
        <v>1062</v>
      </c>
      <c r="H891">
        <v>37800</v>
      </c>
      <c r="I891">
        <v>650435.96</v>
      </c>
    </row>
    <row r="892" spans="2:9" x14ac:dyDescent="0.25">
      <c r="B892">
        <v>1001</v>
      </c>
      <c r="C892">
        <v>5016</v>
      </c>
      <c r="D892">
        <v>901068507</v>
      </c>
      <c r="E892" t="s">
        <v>1106</v>
      </c>
      <c r="F892">
        <v>53152001</v>
      </c>
      <c r="G892" t="s">
        <v>1062</v>
      </c>
      <c r="H892">
        <v>8217</v>
      </c>
      <c r="I892">
        <v>650435.96</v>
      </c>
    </row>
    <row r="893" spans="2:9" x14ac:dyDescent="0.25">
      <c r="B893">
        <v>1001</v>
      </c>
      <c r="C893">
        <v>5016</v>
      </c>
      <c r="D893">
        <v>901068507</v>
      </c>
      <c r="E893" t="s">
        <v>1106</v>
      </c>
      <c r="F893">
        <v>53152001</v>
      </c>
      <c r="G893" t="s">
        <v>1062</v>
      </c>
      <c r="H893">
        <v>2519.4</v>
      </c>
      <c r="I893">
        <v>650435.96</v>
      </c>
    </row>
    <row r="894" spans="2:9" x14ac:dyDescent="0.25">
      <c r="B894">
        <v>1001</v>
      </c>
      <c r="C894">
        <v>5016</v>
      </c>
      <c r="D894">
        <v>901068507</v>
      </c>
      <c r="E894" t="s">
        <v>1106</v>
      </c>
      <c r="F894">
        <v>53152001</v>
      </c>
      <c r="G894" t="s">
        <v>1062</v>
      </c>
      <c r="H894">
        <v>75000</v>
      </c>
      <c r="I894">
        <v>650435.96</v>
      </c>
    </row>
    <row r="895" spans="2:9" x14ac:dyDescent="0.25">
      <c r="B895">
        <v>1001</v>
      </c>
      <c r="C895">
        <v>5016</v>
      </c>
      <c r="D895">
        <v>901068507</v>
      </c>
      <c r="E895" t="s">
        <v>1106</v>
      </c>
      <c r="F895">
        <v>53152001</v>
      </c>
      <c r="G895" t="s">
        <v>1062</v>
      </c>
      <c r="H895">
        <v>5662</v>
      </c>
      <c r="I895">
        <v>650435.96</v>
      </c>
    </row>
    <row r="896" spans="2:9" x14ac:dyDescent="0.25">
      <c r="B896">
        <v>1001</v>
      </c>
      <c r="C896">
        <v>5016</v>
      </c>
      <c r="D896">
        <v>901068507</v>
      </c>
      <c r="E896" t="s">
        <v>1106</v>
      </c>
      <c r="F896">
        <v>53152001</v>
      </c>
      <c r="G896" t="s">
        <v>1062</v>
      </c>
      <c r="H896">
        <v>35000</v>
      </c>
      <c r="I896">
        <v>650435.96</v>
      </c>
    </row>
    <row r="897" spans="2:9" x14ac:dyDescent="0.25">
      <c r="B897">
        <v>1001</v>
      </c>
      <c r="C897">
        <v>5016</v>
      </c>
      <c r="D897">
        <v>901068507</v>
      </c>
      <c r="E897" t="s">
        <v>1106</v>
      </c>
      <c r="F897">
        <v>53152001</v>
      </c>
      <c r="G897" t="s">
        <v>1062</v>
      </c>
      <c r="H897">
        <v>70000</v>
      </c>
      <c r="I897">
        <v>650435.96</v>
      </c>
    </row>
    <row r="898" spans="2:9" x14ac:dyDescent="0.25">
      <c r="B898">
        <v>1001</v>
      </c>
      <c r="C898">
        <v>5016</v>
      </c>
      <c r="D898">
        <v>901068507</v>
      </c>
      <c r="E898" t="s">
        <v>1106</v>
      </c>
      <c r="F898">
        <v>53152001</v>
      </c>
      <c r="G898" t="s">
        <v>1062</v>
      </c>
      <c r="H898">
        <v>37800</v>
      </c>
      <c r="I898">
        <v>650435.96</v>
      </c>
    </row>
    <row r="899" spans="2:9" x14ac:dyDescent="0.25">
      <c r="B899">
        <v>1001</v>
      </c>
      <c r="C899">
        <v>5016</v>
      </c>
      <c r="D899">
        <v>901091579</v>
      </c>
      <c r="E899" t="s">
        <v>1283</v>
      </c>
      <c r="F899">
        <v>51559501</v>
      </c>
      <c r="G899" t="s">
        <v>1055</v>
      </c>
      <c r="H899">
        <v>8300</v>
      </c>
      <c r="I899">
        <v>16600</v>
      </c>
    </row>
    <row r="900" spans="2:9" x14ac:dyDescent="0.25">
      <c r="B900">
        <v>1001</v>
      </c>
      <c r="C900">
        <v>5016</v>
      </c>
      <c r="D900">
        <v>901091579</v>
      </c>
      <c r="E900" t="s">
        <v>1283</v>
      </c>
      <c r="F900">
        <v>51559501</v>
      </c>
      <c r="G900" t="s">
        <v>1055</v>
      </c>
      <c r="H900">
        <v>8300</v>
      </c>
      <c r="I900">
        <v>16600</v>
      </c>
    </row>
    <row r="901" spans="2:9" x14ac:dyDescent="0.25">
      <c r="B901">
        <v>1001</v>
      </c>
      <c r="C901">
        <v>5016</v>
      </c>
      <c r="D901">
        <v>901146938</v>
      </c>
      <c r="E901" t="s">
        <v>1379</v>
      </c>
      <c r="F901">
        <v>62150101</v>
      </c>
      <c r="G901" t="s">
        <v>1065</v>
      </c>
      <c r="H901">
        <v>33960</v>
      </c>
      <c r="I901">
        <v>33960</v>
      </c>
    </row>
    <row r="902" spans="2:9" x14ac:dyDescent="0.25">
      <c r="B902">
        <v>1001</v>
      </c>
      <c r="C902">
        <v>5016</v>
      </c>
      <c r="D902">
        <v>901223797</v>
      </c>
      <c r="E902" t="s">
        <v>1330</v>
      </c>
      <c r="F902">
        <v>51956001</v>
      </c>
      <c r="G902" t="s">
        <v>1059</v>
      </c>
      <c r="H902">
        <v>8600</v>
      </c>
      <c r="I902">
        <v>8600</v>
      </c>
    </row>
    <row r="903" spans="2:9" x14ac:dyDescent="0.25">
      <c r="B903">
        <v>1001</v>
      </c>
      <c r="C903">
        <v>5016</v>
      </c>
      <c r="D903">
        <v>94430001</v>
      </c>
      <c r="E903" t="s">
        <v>1690</v>
      </c>
      <c r="F903">
        <v>51953001</v>
      </c>
      <c r="G903" t="s">
        <v>1057</v>
      </c>
      <c r="H903">
        <v>40000</v>
      </c>
      <c r="I903">
        <v>40000</v>
      </c>
    </row>
    <row r="904" spans="2:9" x14ac:dyDescent="0.25">
      <c r="B904">
        <v>1001</v>
      </c>
      <c r="C904">
        <v>5016</v>
      </c>
      <c r="D904">
        <v>94491228</v>
      </c>
      <c r="E904" t="s">
        <v>1650</v>
      </c>
      <c r="F904">
        <v>61208701</v>
      </c>
      <c r="G904" t="s">
        <v>1063</v>
      </c>
      <c r="H904">
        <v>17647</v>
      </c>
      <c r="I904">
        <v>17647</v>
      </c>
    </row>
    <row r="905" spans="2:9" x14ac:dyDescent="0.25">
      <c r="B905">
        <v>1001</v>
      </c>
      <c r="C905">
        <v>5016</v>
      </c>
      <c r="D905">
        <v>94527210</v>
      </c>
      <c r="E905" t="s">
        <v>1322</v>
      </c>
      <c r="F905">
        <v>51956001</v>
      </c>
      <c r="G905" t="s">
        <v>1059</v>
      </c>
      <c r="H905">
        <v>27597</v>
      </c>
      <c r="I905">
        <v>27597</v>
      </c>
    </row>
    <row r="906" spans="2:9" x14ac:dyDescent="0.25">
      <c r="B906">
        <v>1001</v>
      </c>
      <c r="C906">
        <v>5062</v>
      </c>
      <c r="D906">
        <v>805020926</v>
      </c>
      <c r="E906" t="s">
        <v>1128</v>
      </c>
      <c r="F906">
        <v>13550501</v>
      </c>
      <c r="G906">
        <v>0</v>
      </c>
      <c r="H906">
        <v>1006.72</v>
      </c>
      <c r="I906">
        <v>81253.12000000001</v>
      </c>
    </row>
    <row r="907" spans="2:9" x14ac:dyDescent="0.25">
      <c r="B907">
        <v>1001</v>
      </c>
      <c r="C907">
        <v>5062</v>
      </c>
      <c r="D907">
        <v>805020926</v>
      </c>
      <c r="E907" t="s">
        <v>1128</v>
      </c>
      <c r="F907">
        <v>13550501</v>
      </c>
      <c r="G907">
        <v>0</v>
      </c>
      <c r="H907">
        <v>1592.4480000000001</v>
      </c>
      <c r="I907">
        <v>81253.12000000001</v>
      </c>
    </row>
    <row r="908" spans="2:9" x14ac:dyDescent="0.25">
      <c r="B908">
        <v>1001</v>
      </c>
      <c r="C908">
        <v>5062</v>
      </c>
      <c r="D908">
        <v>805020926</v>
      </c>
      <c r="E908" t="s">
        <v>1128</v>
      </c>
      <c r="F908">
        <v>13550501</v>
      </c>
      <c r="G908">
        <v>0</v>
      </c>
      <c r="H908">
        <v>1085.952</v>
      </c>
      <c r="I908">
        <v>81253.12000000001</v>
      </c>
    </row>
    <row r="909" spans="2:9" x14ac:dyDescent="0.25">
      <c r="B909">
        <v>1001</v>
      </c>
      <c r="C909">
        <v>5062</v>
      </c>
      <c r="D909">
        <v>805020926</v>
      </c>
      <c r="E909" t="s">
        <v>1128</v>
      </c>
      <c r="F909">
        <v>13550501</v>
      </c>
      <c r="G909">
        <v>0</v>
      </c>
      <c r="H909">
        <v>1108.8</v>
      </c>
      <c r="I909">
        <v>81253.12000000001</v>
      </c>
    </row>
    <row r="910" spans="2:9" x14ac:dyDescent="0.25">
      <c r="B910">
        <v>1001</v>
      </c>
      <c r="C910">
        <v>5062</v>
      </c>
      <c r="D910">
        <v>805020926</v>
      </c>
      <c r="E910" t="s">
        <v>1128</v>
      </c>
      <c r="F910">
        <v>13550501</v>
      </c>
      <c r="G910">
        <v>0</v>
      </c>
      <c r="H910">
        <v>1837.6</v>
      </c>
      <c r="I910">
        <v>81253.12000000001</v>
      </c>
    </row>
    <row r="911" spans="2:9" x14ac:dyDescent="0.25">
      <c r="B911">
        <v>1001</v>
      </c>
      <c r="C911">
        <v>5062</v>
      </c>
      <c r="D911">
        <v>805020926</v>
      </c>
      <c r="E911" t="s">
        <v>1128</v>
      </c>
      <c r="F911">
        <v>13550501</v>
      </c>
      <c r="G911">
        <v>0</v>
      </c>
      <c r="H911">
        <v>1603.2</v>
      </c>
      <c r="I911">
        <v>81253.12000000001</v>
      </c>
    </row>
    <row r="912" spans="2:9" x14ac:dyDescent="0.25">
      <c r="B912">
        <v>1001</v>
      </c>
      <c r="C912">
        <v>5062</v>
      </c>
      <c r="D912">
        <v>805020926</v>
      </c>
      <c r="E912" t="s">
        <v>1128</v>
      </c>
      <c r="F912">
        <v>13550501</v>
      </c>
      <c r="G912">
        <v>0</v>
      </c>
      <c r="H912">
        <v>1551.52</v>
      </c>
      <c r="I912">
        <v>81253.12000000001</v>
      </c>
    </row>
    <row r="913" spans="2:9" x14ac:dyDescent="0.25">
      <c r="B913">
        <v>1001</v>
      </c>
      <c r="C913">
        <v>5062</v>
      </c>
      <c r="D913">
        <v>805020926</v>
      </c>
      <c r="E913" t="s">
        <v>1128</v>
      </c>
      <c r="F913">
        <v>13550501</v>
      </c>
      <c r="G913">
        <v>0</v>
      </c>
      <c r="H913">
        <v>325.76</v>
      </c>
      <c r="I913">
        <v>81253.12000000001</v>
      </c>
    </row>
    <row r="914" spans="2:9" x14ac:dyDescent="0.25">
      <c r="B914">
        <v>1001</v>
      </c>
      <c r="C914">
        <v>5062</v>
      </c>
      <c r="D914">
        <v>805020926</v>
      </c>
      <c r="E914" t="s">
        <v>1128</v>
      </c>
      <c r="F914">
        <v>13550501</v>
      </c>
      <c r="G914">
        <v>0</v>
      </c>
      <c r="H914">
        <v>1961.92</v>
      </c>
      <c r="I914">
        <v>81253.12000000001</v>
      </c>
    </row>
    <row r="915" spans="2:9" x14ac:dyDescent="0.25">
      <c r="B915">
        <v>1001</v>
      </c>
      <c r="C915">
        <v>5062</v>
      </c>
      <c r="D915">
        <v>805020926</v>
      </c>
      <c r="E915" t="s">
        <v>1128</v>
      </c>
      <c r="F915">
        <v>13550501</v>
      </c>
      <c r="G915">
        <v>0</v>
      </c>
      <c r="H915">
        <v>3528</v>
      </c>
      <c r="I915">
        <v>81253.12000000001</v>
      </c>
    </row>
    <row r="916" spans="2:9" x14ac:dyDescent="0.25">
      <c r="B916">
        <v>1001</v>
      </c>
      <c r="C916">
        <v>5062</v>
      </c>
      <c r="D916">
        <v>805020926</v>
      </c>
      <c r="E916" t="s">
        <v>1128</v>
      </c>
      <c r="F916">
        <v>13550501</v>
      </c>
      <c r="G916">
        <v>0</v>
      </c>
      <c r="H916">
        <v>2182.4</v>
      </c>
      <c r="I916">
        <v>81253.12000000001</v>
      </c>
    </row>
    <row r="917" spans="2:9" x14ac:dyDescent="0.25">
      <c r="B917">
        <v>1001</v>
      </c>
      <c r="C917">
        <v>5062</v>
      </c>
      <c r="D917">
        <v>805020926</v>
      </c>
      <c r="E917" t="s">
        <v>1128</v>
      </c>
      <c r="F917">
        <v>13550501</v>
      </c>
      <c r="G917">
        <v>0</v>
      </c>
      <c r="H917">
        <v>10864.96</v>
      </c>
      <c r="I917">
        <v>81253.12000000001</v>
      </c>
    </row>
    <row r="918" spans="2:9" x14ac:dyDescent="0.25">
      <c r="B918">
        <v>1001</v>
      </c>
      <c r="C918">
        <v>5062</v>
      </c>
      <c r="D918">
        <v>805020926</v>
      </c>
      <c r="E918" t="s">
        <v>1128</v>
      </c>
      <c r="F918">
        <v>13550501</v>
      </c>
      <c r="G918">
        <v>0</v>
      </c>
      <c r="H918">
        <v>1612.8</v>
      </c>
      <c r="I918">
        <v>81253.12000000001</v>
      </c>
    </row>
    <row r="919" spans="2:9" x14ac:dyDescent="0.25">
      <c r="B919">
        <v>1001</v>
      </c>
      <c r="C919">
        <v>5062</v>
      </c>
      <c r="D919">
        <v>805020926</v>
      </c>
      <c r="E919" t="s">
        <v>1128</v>
      </c>
      <c r="F919">
        <v>13550501</v>
      </c>
      <c r="G919">
        <v>0</v>
      </c>
      <c r="H919">
        <v>573.6</v>
      </c>
      <c r="I919">
        <v>81253.12000000001</v>
      </c>
    </row>
    <row r="920" spans="2:9" x14ac:dyDescent="0.25">
      <c r="B920">
        <v>1001</v>
      </c>
      <c r="C920">
        <v>5062</v>
      </c>
      <c r="D920">
        <v>805020926</v>
      </c>
      <c r="E920" t="s">
        <v>1128</v>
      </c>
      <c r="F920">
        <v>13550501</v>
      </c>
      <c r="G920">
        <v>0</v>
      </c>
      <c r="H920">
        <v>5343.8</v>
      </c>
      <c r="I920">
        <v>81253.12000000001</v>
      </c>
    </row>
    <row r="921" spans="2:9" x14ac:dyDescent="0.25">
      <c r="B921">
        <v>1001</v>
      </c>
      <c r="C921">
        <v>5062</v>
      </c>
      <c r="D921">
        <v>805020926</v>
      </c>
      <c r="E921" t="s">
        <v>1128</v>
      </c>
      <c r="F921">
        <v>13550501</v>
      </c>
      <c r="G921">
        <v>0</v>
      </c>
      <c r="H921">
        <v>5225.6000000000004</v>
      </c>
      <c r="I921">
        <v>81253.12000000001</v>
      </c>
    </row>
    <row r="922" spans="2:9" x14ac:dyDescent="0.25">
      <c r="B922">
        <v>1001</v>
      </c>
      <c r="C922">
        <v>5062</v>
      </c>
      <c r="D922">
        <v>805020926</v>
      </c>
      <c r="E922" t="s">
        <v>1128</v>
      </c>
      <c r="F922">
        <v>13550501</v>
      </c>
      <c r="G922">
        <v>0</v>
      </c>
      <c r="H922">
        <v>1992</v>
      </c>
      <c r="I922">
        <v>81253.12000000001</v>
      </c>
    </row>
    <row r="923" spans="2:9" x14ac:dyDescent="0.25">
      <c r="B923">
        <v>1001</v>
      </c>
      <c r="C923">
        <v>5062</v>
      </c>
      <c r="D923">
        <v>805020926</v>
      </c>
      <c r="E923" t="s">
        <v>1128</v>
      </c>
      <c r="F923">
        <v>13550501</v>
      </c>
      <c r="G923">
        <v>0</v>
      </c>
      <c r="H923">
        <v>259.60000000000002</v>
      </c>
      <c r="I923">
        <v>81253.12000000001</v>
      </c>
    </row>
    <row r="924" spans="2:9" x14ac:dyDescent="0.25">
      <c r="B924">
        <v>1001</v>
      </c>
      <c r="C924">
        <v>5062</v>
      </c>
      <c r="D924">
        <v>805020926</v>
      </c>
      <c r="E924" t="s">
        <v>1128</v>
      </c>
      <c r="F924">
        <v>13550501</v>
      </c>
      <c r="G924">
        <v>0</v>
      </c>
      <c r="H924">
        <v>500</v>
      </c>
      <c r="I924">
        <v>81253.12000000001</v>
      </c>
    </row>
    <row r="925" spans="2:9" x14ac:dyDescent="0.25">
      <c r="B925">
        <v>1001</v>
      </c>
      <c r="C925">
        <v>5062</v>
      </c>
      <c r="D925">
        <v>805020926</v>
      </c>
      <c r="E925" t="s">
        <v>1128</v>
      </c>
      <c r="F925">
        <v>13550501</v>
      </c>
      <c r="G925">
        <v>0</v>
      </c>
      <c r="H925">
        <v>1760</v>
      </c>
      <c r="I925">
        <v>81253.12000000001</v>
      </c>
    </row>
    <row r="926" spans="2:9" x14ac:dyDescent="0.25">
      <c r="B926">
        <v>1001</v>
      </c>
      <c r="C926">
        <v>5062</v>
      </c>
      <c r="D926">
        <v>805020926</v>
      </c>
      <c r="E926" t="s">
        <v>1128</v>
      </c>
      <c r="F926">
        <v>13550501</v>
      </c>
      <c r="G926">
        <v>0</v>
      </c>
      <c r="H926">
        <v>1017.6</v>
      </c>
      <c r="I926">
        <v>81253.12000000001</v>
      </c>
    </row>
    <row r="927" spans="2:9" x14ac:dyDescent="0.25">
      <c r="B927">
        <v>1001</v>
      </c>
      <c r="C927">
        <v>5062</v>
      </c>
      <c r="D927">
        <v>805020926</v>
      </c>
      <c r="E927" t="s">
        <v>1128</v>
      </c>
      <c r="F927">
        <v>13550501</v>
      </c>
      <c r="G927">
        <v>0</v>
      </c>
      <c r="H927">
        <v>6004.6</v>
      </c>
      <c r="I927">
        <v>81253.12000000001</v>
      </c>
    </row>
    <row r="928" spans="2:9" x14ac:dyDescent="0.25">
      <c r="B928">
        <v>1001</v>
      </c>
      <c r="C928">
        <v>5062</v>
      </c>
      <c r="D928">
        <v>805020926</v>
      </c>
      <c r="E928" t="s">
        <v>1128</v>
      </c>
      <c r="F928">
        <v>13550501</v>
      </c>
      <c r="G928">
        <v>0</v>
      </c>
      <c r="H928">
        <v>3787.84</v>
      </c>
      <c r="I928">
        <v>81253.12000000001</v>
      </c>
    </row>
    <row r="929" spans="2:9" x14ac:dyDescent="0.25">
      <c r="B929">
        <v>1001</v>
      </c>
      <c r="C929">
        <v>5062</v>
      </c>
      <c r="D929">
        <v>805020926</v>
      </c>
      <c r="E929" t="s">
        <v>1128</v>
      </c>
      <c r="F929">
        <v>13550501</v>
      </c>
      <c r="G929">
        <v>0</v>
      </c>
      <c r="H929">
        <v>532.79999999999995</v>
      </c>
      <c r="I929">
        <v>81253.12000000001</v>
      </c>
    </row>
    <row r="930" spans="2:9" x14ac:dyDescent="0.25">
      <c r="B930">
        <v>1001</v>
      </c>
      <c r="C930">
        <v>5062</v>
      </c>
      <c r="D930">
        <v>805020926</v>
      </c>
      <c r="E930" t="s">
        <v>1128</v>
      </c>
      <c r="F930">
        <v>13550501</v>
      </c>
      <c r="G930">
        <v>0</v>
      </c>
      <c r="H930">
        <v>1387.2</v>
      </c>
      <c r="I930">
        <v>81253.12000000001</v>
      </c>
    </row>
    <row r="931" spans="2:9" x14ac:dyDescent="0.25">
      <c r="B931">
        <v>1001</v>
      </c>
      <c r="C931">
        <v>5062</v>
      </c>
      <c r="D931">
        <v>805020926</v>
      </c>
      <c r="E931" t="s">
        <v>1128</v>
      </c>
      <c r="F931">
        <v>13550501</v>
      </c>
      <c r="G931">
        <v>0</v>
      </c>
      <c r="H931">
        <v>1000.8</v>
      </c>
      <c r="I931">
        <v>81253.12000000001</v>
      </c>
    </row>
    <row r="932" spans="2:9" x14ac:dyDescent="0.25">
      <c r="B932">
        <v>1001</v>
      </c>
      <c r="C932">
        <v>5062</v>
      </c>
      <c r="D932">
        <v>805020926</v>
      </c>
      <c r="E932" t="s">
        <v>1128</v>
      </c>
      <c r="F932">
        <v>13550501</v>
      </c>
      <c r="G932">
        <v>0</v>
      </c>
      <c r="H932">
        <v>525.6</v>
      </c>
      <c r="I932">
        <v>81253.12000000001</v>
      </c>
    </row>
    <row r="933" spans="2:9" x14ac:dyDescent="0.25">
      <c r="B933">
        <v>1001</v>
      </c>
      <c r="C933">
        <v>5062</v>
      </c>
      <c r="D933">
        <v>805020926</v>
      </c>
      <c r="E933" t="s">
        <v>1128</v>
      </c>
      <c r="F933">
        <v>13550501</v>
      </c>
      <c r="G933">
        <v>0</v>
      </c>
      <c r="H933">
        <v>352.8</v>
      </c>
      <c r="I933">
        <v>81253.12000000001</v>
      </c>
    </row>
    <row r="934" spans="2:9" x14ac:dyDescent="0.25">
      <c r="B934">
        <v>1001</v>
      </c>
      <c r="C934">
        <v>5062</v>
      </c>
      <c r="D934">
        <v>805020926</v>
      </c>
      <c r="E934" t="s">
        <v>1128</v>
      </c>
      <c r="F934">
        <v>13550501</v>
      </c>
      <c r="G934">
        <v>0</v>
      </c>
      <c r="H934">
        <v>1046.4000000000001</v>
      </c>
      <c r="I934">
        <v>81253.12000000001</v>
      </c>
    </row>
    <row r="935" spans="2:9" x14ac:dyDescent="0.25">
      <c r="B935">
        <v>1001</v>
      </c>
      <c r="C935">
        <v>5062</v>
      </c>
      <c r="D935">
        <v>805020926</v>
      </c>
      <c r="E935" t="s">
        <v>1128</v>
      </c>
      <c r="F935">
        <v>13550501</v>
      </c>
      <c r="G935">
        <v>0</v>
      </c>
      <c r="H935">
        <v>1161.5999999999999</v>
      </c>
      <c r="I935">
        <v>81253.12000000001</v>
      </c>
    </row>
    <row r="936" spans="2:9" x14ac:dyDescent="0.25">
      <c r="B936">
        <v>1001</v>
      </c>
      <c r="C936">
        <v>5062</v>
      </c>
      <c r="D936">
        <v>805020926</v>
      </c>
      <c r="E936" t="s">
        <v>1128</v>
      </c>
      <c r="F936">
        <v>13550501</v>
      </c>
      <c r="G936">
        <v>0</v>
      </c>
      <c r="H936">
        <v>559.20000000000005</v>
      </c>
      <c r="I936">
        <v>81253.12000000001</v>
      </c>
    </row>
    <row r="937" spans="2:9" x14ac:dyDescent="0.25">
      <c r="B937">
        <v>1001</v>
      </c>
      <c r="C937">
        <v>5062</v>
      </c>
      <c r="D937">
        <v>805020926</v>
      </c>
      <c r="E937" t="s">
        <v>1128</v>
      </c>
      <c r="F937">
        <v>13550501</v>
      </c>
      <c r="G937">
        <v>0</v>
      </c>
      <c r="H937">
        <v>1850.4</v>
      </c>
      <c r="I937">
        <v>81253.12000000001</v>
      </c>
    </row>
    <row r="938" spans="2:9" x14ac:dyDescent="0.25">
      <c r="B938">
        <v>1001</v>
      </c>
      <c r="C938">
        <v>5062</v>
      </c>
      <c r="D938">
        <v>805020926</v>
      </c>
      <c r="E938" t="s">
        <v>1128</v>
      </c>
      <c r="F938">
        <v>13550501</v>
      </c>
      <c r="G938">
        <v>0</v>
      </c>
      <c r="H938">
        <v>540</v>
      </c>
      <c r="I938">
        <v>81253.12000000001</v>
      </c>
    </row>
    <row r="939" spans="2:9" x14ac:dyDescent="0.25">
      <c r="B939">
        <v>1001</v>
      </c>
      <c r="C939">
        <v>5062</v>
      </c>
      <c r="D939">
        <v>805020926</v>
      </c>
      <c r="E939" t="s">
        <v>1128</v>
      </c>
      <c r="F939">
        <v>13550501</v>
      </c>
      <c r="G939">
        <v>0</v>
      </c>
      <c r="H939">
        <v>1116</v>
      </c>
      <c r="I939">
        <v>81253.12000000001</v>
      </c>
    </row>
    <row r="940" spans="2:9" x14ac:dyDescent="0.25">
      <c r="B940">
        <v>1001</v>
      </c>
      <c r="C940">
        <v>5062</v>
      </c>
      <c r="D940">
        <v>805020926</v>
      </c>
      <c r="E940" t="s">
        <v>1128</v>
      </c>
      <c r="F940">
        <v>13550501</v>
      </c>
      <c r="G940">
        <v>0</v>
      </c>
      <c r="H940">
        <v>4449.6000000000004</v>
      </c>
      <c r="I940">
        <v>81253.12000000001</v>
      </c>
    </row>
    <row r="941" spans="2:9" x14ac:dyDescent="0.25">
      <c r="B941">
        <v>1001</v>
      </c>
      <c r="C941">
        <v>5062</v>
      </c>
      <c r="D941">
        <v>805020926</v>
      </c>
      <c r="E941" t="s">
        <v>1128</v>
      </c>
      <c r="F941">
        <v>13550501</v>
      </c>
      <c r="G941">
        <v>0</v>
      </c>
      <c r="H941">
        <v>1600</v>
      </c>
      <c r="I941">
        <v>81253.12000000001</v>
      </c>
    </row>
    <row r="942" spans="2:9" x14ac:dyDescent="0.25">
      <c r="B942">
        <v>1001</v>
      </c>
      <c r="C942">
        <v>5062</v>
      </c>
      <c r="D942">
        <v>805020926</v>
      </c>
      <c r="E942" t="s">
        <v>1128</v>
      </c>
      <c r="F942">
        <v>13550501</v>
      </c>
      <c r="G942">
        <v>0</v>
      </c>
      <c r="H942">
        <v>1015.2</v>
      </c>
      <c r="I942">
        <v>81253.12000000001</v>
      </c>
    </row>
    <row r="943" spans="2:9" x14ac:dyDescent="0.25">
      <c r="B943">
        <v>1001</v>
      </c>
      <c r="C943">
        <v>5062</v>
      </c>
      <c r="D943">
        <v>805020926</v>
      </c>
      <c r="E943" t="s">
        <v>1128</v>
      </c>
      <c r="F943">
        <v>13550501</v>
      </c>
      <c r="G943">
        <v>0</v>
      </c>
      <c r="H943">
        <v>528</v>
      </c>
      <c r="I943">
        <v>81253.12000000001</v>
      </c>
    </row>
    <row r="944" spans="2:9" x14ac:dyDescent="0.25">
      <c r="B944">
        <v>1001</v>
      </c>
      <c r="C944">
        <v>5062</v>
      </c>
      <c r="D944">
        <v>805020926</v>
      </c>
      <c r="E944" t="s">
        <v>1128</v>
      </c>
      <c r="F944">
        <v>13550501</v>
      </c>
      <c r="G944">
        <v>0</v>
      </c>
      <c r="H944">
        <v>4240</v>
      </c>
      <c r="I944">
        <v>81253.12000000001</v>
      </c>
    </row>
    <row r="945" spans="2:9" x14ac:dyDescent="0.25">
      <c r="B945">
        <v>1001</v>
      </c>
      <c r="C945">
        <v>5062</v>
      </c>
      <c r="D945">
        <v>805020926</v>
      </c>
      <c r="E945" t="s">
        <v>1128</v>
      </c>
      <c r="F945">
        <v>13550501</v>
      </c>
      <c r="G945">
        <v>0</v>
      </c>
      <c r="H945">
        <v>2100</v>
      </c>
      <c r="I945">
        <v>81253.12000000001</v>
      </c>
    </row>
    <row r="946" spans="2:9" x14ac:dyDescent="0.25">
      <c r="B946">
        <v>1001</v>
      </c>
      <c r="C946">
        <v>5062</v>
      </c>
      <c r="D946">
        <v>805020926</v>
      </c>
      <c r="E946" t="s">
        <v>1128</v>
      </c>
      <c r="F946">
        <v>13550501</v>
      </c>
      <c r="G946">
        <v>0</v>
      </c>
      <c r="H946">
        <v>520.79999999999995</v>
      </c>
      <c r="I946">
        <v>81253.12000000001</v>
      </c>
    </row>
    <row r="947" spans="2:9" x14ac:dyDescent="0.25">
      <c r="B947">
        <v>1001</v>
      </c>
      <c r="C947">
        <v>5062</v>
      </c>
      <c r="D947">
        <v>805020926</v>
      </c>
      <c r="E947" t="s">
        <v>1128</v>
      </c>
      <c r="F947">
        <v>23657501</v>
      </c>
      <c r="G947" t="s">
        <v>647</v>
      </c>
      <c r="H947">
        <v>0</v>
      </c>
      <c r="I947">
        <v>0</v>
      </c>
    </row>
    <row r="948" spans="2:9" x14ac:dyDescent="0.25">
      <c r="B948">
        <v>1001</v>
      </c>
      <c r="C948">
        <v>5062</v>
      </c>
      <c r="D948">
        <v>805020926</v>
      </c>
      <c r="E948" t="s">
        <v>1128</v>
      </c>
      <c r="F948">
        <v>23657501</v>
      </c>
      <c r="G948" t="s">
        <v>647</v>
      </c>
      <c r="H948">
        <v>0</v>
      </c>
      <c r="I948">
        <v>0</v>
      </c>
    </row>
    <row r="949" spans="2:9" x14ac:dyDescent="0.25">
      <c r="B949">
        <v>1001</v>
      </c>
      <c r="C949">
        <v>5062</v>
      </c>
      <c r="D949">
        <v>805020926</v>
      </c>
      <c r="E949" t="s">
        <v>1128</v>
      </c>
      <c r="F949">
        <v>23657501</v>
      </c>
      <c r="G949" t="s">
        <v>647</v>
      </c>
      <c r="H949">
        <v>0</v>
      </c>
      <c r="I949">
        <v>0</v>
      </c>
    </row>
    <row r="950" spans="2:9" x14ac:dyDescent="0.25">
      <c r="B950">
        <v>1001</v>
      </c>
      <c r="C950">
        <v>5062</v>
      </c>
      <c r="D950">
        <v>805020926</v>
      </c>
      <c r="E950" t="s">
        <v>1128</v>
      </c>
      <c r="F950">
        <v>23657501</v>
      </c>
      <c r="G950" t="s">
        <v>647</v>
      </c>
      <c r="H950">
        <v>0</v>
      </c>
      <c r="I950">
        <v>0</v>
      </c>
    </row>
    <row r="951" spans="2:9" x14ac:dyDescent="0.25">
      <c r="B951">
        <v>1001</v>
      </c>
      <c r="C951">
        <v>5062</v>
      </c>
      <c r="D951">
        <v>805020926</v>
      </c>
      <c r="E951" t="s">
        <v>1128</v>
      </c>
      <c r="F951">
        <v>23657501</v>
      </c>
      <c r="G951" t="s">
        <v>647</v>
      </c>
      <c r="H951">
        <v>0</v>
      </c>
      <c r="I951">
        <v>0</v>
      </c>
    </row>
    <row r="952" spans="2:9" x14ac:dyDescent="0.25">
      <c r="B952">
        <v>1001</v>
      </c>
      <c r="C952">
        <v>5062</v>
      </c>
      <c r="D952">
        <v>805020926</v>
      </c>
      <c r="E952" t="s">
        <v>1128</v>
      </c>
      <c r="F952">
        <v>23657501</v>
      </c>
      <c r="G952" t="s">
        <v>647</v>
      </c>
      <c r="H952">
        <v>0</v>
      </c>
      <c r="I952">
        <v>0</v>
      </c>
    </row>
    <row r="953" spans="2:9" x14ac:dyDescent="0.25">
      <c r="B953">
        <v>1001</v>
      </c>
      <c r="C953">
        <v>5062</v>
      </c>
      <c r="D953">
        <v>805020926</v>
      </c>
      <c r="E953" t="s">
        <v>1128</v>
      </c>
      <c r="F953">
        <v>23657501</v>
      </c>
      <c r="G953" t="s">
        <v>647</v>
      </c>
      <c r="H953">
        <v>0</v>
      </c>
      <c r="I953">
        <v>0</v>
      </c>
    </row>
    <row r="954" spans="2:9" x14ac:dyDescent="0.25">
      <c r="B954">
        <v>1001</v>
      </c>
      <c r="C954">
        <v>5062</v>
      </c>
      <c r="D954">
        <v>805020926</v>
      </c>
      <c r="E954" t="s">
        <v>1128</v>
      </c>
      <c r="F954">
        <v>23657501</v>
      </c>
      <c r="G954" t="s">
        <v>647</v>
      </c>
      <c r="H954">
        <v>0</v>
      </c>
      <c r="I954">
        <v>0</v>
      </c>
    </row>
    <row r="955" spans="2:9" x14ac:dyDescent="0.25">
      <c r="B955">
        <v>1001</v>
      </c>
      <c r="C955">
        <v>5062</v>
      </c>
      <c r="D955">
        <v>805020926</v>
      </c>
      <c r="E955" t="s">
        <v>1128</v>
      </c>
      <c r="F955">
        <v>23657501</v>
      </c>
      <c r="G955" t="s">
        <v>647</v>
      </c>
      <c r="H955">
        <v>0</v>
      </c>
      <c r="I955">
        <v>0</v>
      </c>
    </row>
    <row r="956" spans="2:9" x14ac:dyDescent="0.25">
      <c r="B956">
        <v>1001</v>
      </c>
      <c r="C956">
        <v>5062</v>
      </c>
      <c r="D956">
        <v>805020926</v>
      </c>
      <c r="E956" t="s">
        <v>1128</v>
      </c>
      <c r="F956">
        <v>23657501</v>
      </c>
      <c r="G956" t="s">
        <v>647</v>
      </c>
      <c r="H956">
        <v>0</v>
      </c>
      <c r="I956">
        <v>0</v>
      </c>
    </row>
    <row r="957" spans="2:9" x14ac:dyDescent="0.25">
      <c r="B957">
        <v>1001</v>
      </c>
      <c r="C957">
        <v>5062</v>
      </c>
      <c r="D957">
        <v>805020926</v>
      </c>
      <c r="E957" t="s">
        <v>1128</v>
      </c>
      <c r="F957">
        <v>23657501</v>
      </c>
      <c r="G957" t="s">
        <v>647</v>
      </c>
      <c r="H957">
        <v>0</v>
      </c>
      <c r="I957">
        <v>0</v>
      </c>
    </row>
    <row r="958" spans="2:9" x14ac:dyDescent="0.25">
      <c r="B958">
        <v>1001</v>
      </c>
      <c r="C958">
        <v>5062</v>
      </c>
      <c r="D958">
        <v>805020926</v>
      </c>
      <c r="E958" t="s">
        <v>1128</v>
      </c>
      <c r="F958">
        <v>23657501</v>
      </c>
      <c r="G958" t="s">
        <v>647</v>
      </c>
      <c r="H958">
        <v>0</v>
      </c>
      <c r="I958">
        <v>0</v>
      </c>
    </row>
    <row r="959" spans="2:9" x14ac:dyDescent="0.25">
      <c r="B959">
        <v>1001</v>
      </c>
      <c r="C959">
        <v>5062</v>
      </c>
      <c r="D959">
        <v>805020926</v>
      </c>
      <c r="E959" t="s">
        <v>1128</v>
      </c>
      <c r="F959">
        <v>23657501</v>
      </c>
      <c r="G959" t="s">
        <v>647</v>
      </c>
      <c r="H959">
        <v>0</v>
      </c>
      <c r="I959">
        <v>0</v>
      </c>
    </row>
    <row r="960" spans="2:9" x14ac:dyDescent="0.25">
      <c r="B960">
        <v>1001</v>
      </c>
      <c r="C960">
        <v>5062</v>
      </c>
      <c r="D960">
        <v>805020926</v>
      </c>
      <c r="E960" t="s">
        <v>1128</v>
      </c>
      <c r="F960">
        <v>23657501</v>
      </c>
      <c r="G960" t="s">
        <v>647</v>
      </c>
      <c r="H960">
        <v>0</v>
      </c>
      <c r="I960">
        <v>0</v>
      </c>
    </row>
    <row r="961" spans="2:9" x14ac:dyDescent="0.25">
      <c r="B961">
        <v>1001</v>
      </c>
      <c r="C961">
        <v>5062</v>
      </c>
      <c r="D961">
        <v>805020926</v>
      </c>
      <c r="E961" t="s">
        <v>1128</v>
      </c>
      <c r="F961">
        <v>23657501</v>
      </c>
      <c r="G961" t="s">
        <v>647</v>
      </c>
      <c r="H961">
        <v>0</v>
      </c>
      <c r="I961">
        <v>0</v>
      </c>
    </row>
    <row r="962" spans="2:9" x14ac:dyDescent="0.25">
      <c r="B962">
        <v>1001</v>
      </c>
      <c r="C962">
        <v>5062</v>
      </c>
      <c r="D962">
        <v>805020926</v>
      </c>
      <c r="E962" t="s">
        <v>1128</v>
      </c>
      <c r="F962">
        <v>23657501</v>
      </c>
      <c r="G962" t="s">
        <v>647</v>
      </c>
      <c r="H962">
        <v>0</v>
      </c>
      <c r="I962">
        <v>0</v>
      </c>
    </row>
    <row r="963" spans="2:9" x14ac:dyDescent="0.25">
      <c r="B963">
        <v>1001</v>
      </c>
      <c r="C963">
        <v>5062</v>
      </c>
      <c r="D963">
        <v>805020926</v>
      </c>
      <c r="E963" t="s">
        <v>1128</v>
      </c>
      <c r="F963">
        <v>23657501</v>
      </c>
      <c r="G963" t="s">
        <v>647</v>
      </c>
      <c r="H963">
        <v>0</v>
      </c>
      <c r="I963">
        <v>0</v>
      </c>
    </row>
    <row r="964" spans="2:9" x14ac:dyDescent="0.25">
      <c r="B964">
        <v>1001</v>
      </c>
      <c r="C964">
        <v>5062</v>
      </c>
      <c r="D964">
        <v>805020926</v>
      </c>
      <c r="E964" t="s">
        <v>1128</v>
      </c>
      <c r="F964">
        <v>23657501</v>
      </c>
      <c r="G964" t="s">
        <v>647</v>
      </c>
      <c r="H964">
        <v>0</v>
      </c>
      <c r="I964">
        <v>0</v>
      </c>
    </row>
    <row r="965" spans="2:9" x14ac:dyDescent="0.25">
      <c r="B965">
        <v>1001</v>
      </c>
      <c r="C965">
        <v>5062</v>
      </c>
      <c r="D965">
        <v>805020926</v>
      </c>
      <c r="E965" t="s">
        <v>1128</v>
      </c>
      <c r="F965">
        <v>23657501</v>
      </c>
      <c r="G965" t="s">
        <v>647</v>
      </c>
      <c r="H965">
        <v>0</v>
      </c>
      <c r="I965">
        <v>0</v>
      </c>
    </row>
    <row r="966" spans="2:9" x14ac:dyDescent="0.25">
      <c r="B966">
        <v>1001</v>
      </c>
      <c r="C966">
        <v>5062</v>
      </c>
      <c r="D966">
        <v>805020926</v>
      </c>
      <c r="E966" t="s">
        <v>1128</v>
      </c>
      <c r="F966">
        <v>23657501</v>
      </c>
      <c r="G966" t="s">
        <v>647</v>
      </c>
      <c r="H966">
        <v>0</v>
      </c>
      <c r="I966">
        <v>0</v>
      </c>
    </row>
    <row r="967" spans="2:9" x14ac:dyDescent="0.25">
      <c r="B967">
        <v>1001</v>
      </c>
      <c r="C967">
        <v>5062</v>
      </c>
      <c r="D967">
        <v>805020926</v>
      </c>
      <c r="E967" t="s">
        <v>1128</v>
      </c>
      <c r="F967">
        <v>23657501</v>
      </c>
      <c r="G967" t="s">
        <v>647</v>
      </c>
      <c r="H967">
        <v>0</v>
      </c>
      <c r="I967">
        <v>0</v>
      </c>
    </row>
    <row r="968" spans="2:9" x14ac:dyDescent="0.25">
      <c r="B968">
        <v>1001</v>
      </c>
      <c r="C968">
        <v>5062</v>
      </c>
      <c r="D968">
        <v>805020926</v>
      </c>
      <c r="E968" t="s">
        <v>1128</v>
      </c>
      <c r="F968">
        <v>23657501</v>
      </c>
      <c r="G968" t="s">
        <v>647</v>
      </c>
      <c r="H968">
        <v>0</v>
      </c>
      <c r="I968">
        <v>0</v>
      </c>
    </row>
    <row r="969" spans="2:9" x14ac:dyDescent="0.25">
      <c r="B969">
        <v>1001</v>
      </c>
      <c r="C969">
        <v>5062</v>
      </c>
      <c r="D969">
        <v>805020926</v>
      </c>
      <c r="E969" t="s">
        <v>1128</v>
      </c>
      <c r="F969">
        <v>23657501</v>
      </c>
      <c r="G969" t="s">
        <v>647</v>
      </c>
      <c r="H969">
        <v>0</v>
      </c>
      <c r="I969">
        <v>0</v>
      </c>
    </row>
    <row r="970" spans="2:9" x14ac:dyDescent="0.25">
      <c r="B970">
        <v>1001</v>
      </c>
      <c r="C970">
        <v>5062</v>
      </c>
      <c r="D970">
        <v>805020926</v>
      </c>
      <c r="E970" t="s">
        <v>1128</v>
      </c>
      <c r="F970">
        <v>23657501</v>
      </c>
      <c r="G970" t="s">
        <v>647</v>
      </c>
      <c r="H970">
        <v>0</v>
      </c>
      <c r="I970">
        <v>0</v>
      </c>
    </row>
    <row r="971" spans="2:9" x14ac:dyDescent="0.25">
      <c r="B971">
        <v>1001</v>
      </c>
      <c r="C971">
        <v>5062</v>
      </c>
      <c r="D971">
        <v>805020926</v>
      </c>
      <c r="E971" t="s">
        <v>1128</v>
      </c>
      <c r="F971">
        <v>23657501</v>
      </c>
      <c r="G971" t="s">
        <v>647</v>
      </c>
      <c r="H971">
        <v>0</v>
      </c>
      <c r="I971">
        <v>0</v>
      </c>
    </row>
    <row r="972" spans="2:9" x14ac:dyDescent="0.25">
      <c r="B972">
        <v>1001</v>
      </c>
      <c r="C972">
        <v>5062</v>
      </c>
      <c r="D972">
        <v>805020926</v>
      </c>
      <c r="E972" t="s">
        <v>1128</v>
      </c>
      <c r="F972">
        <v>23657501</v>
      </c>
      <c r="G972" t="s">
        <v>647</v>
      </c>
      <c r="H972">
        <v>0</v>
      </c>
      <c r="I972">
        <v>0</v>
      </c>
    </row>
    <row r="973" spans="2:9" x14ac:dyDescent="0.25">
      <c r="B973">
        <v>1001</v>
      </c>
      <c r="C973">
        <v>5062</v>
      </c>
      <c r="D973">
        <v>805020926</v>
      </c>
      <c r="E973" t="s">
        <v>1128</v>
      </c>
      <c r="F973">
        <v>23657501</v>
      </c>
      <c r="G973" t="s">
        <v>647</v>
      </c>
      <c r="H973">
        <v>0</v>
      </c>
      <c r="I973">
        <v>0</v>
      </c>
    </row>
    <row r="974" spans="2:9" x14ac:dyDescent="0.25">
      <c r="B974">
        <v>1001</v>
      </c>
      <c r="C974">
        <v>5062</v>
      </c>
      <c r="D974">
        <v>805020926</v>
      </c>
      <c r="E974" t="s">
        <v>1128</v>
      </c>
      <c r="F974">
        <v>23657501</v>
      </c>
      <c r="G974" t="s">
        <v>647</v>
      </c>
      <c r="H974">
        <v>0</v>
      </c>
      <c r="I974">
        <v>0</v>
      </c>
    </row>
    <row r="975" spans="2:9" x14ac:dyDescent="0.25">
      <c r="B975">
        <v>1001</v>
      </c>
      <c r="C975">
        <v>5062</v>
      </c>
      <c r="D975">
        <v>805020926</v>
      </c>
      <c r="E975" t="s">
        <v>1128</v>
      </c>
      <c r="F975">
        <v>23657501</v>
      </c>
      <c r="G975" t="s">
        <v>647</v>
      </c>
      <c r="H975">
        <v>0</v>
      </c>
      <c r="I975">
        <v>0</v>
      </c>
    </row>
    <row r="976" spans="2:9" x14ac:dyDescent="0.25">
      <c r="B976">
        <v>1001</v>
      </c>
      <c r="C976">
        <v>5062</v>
      </c>
      <c r="D976">
        <v>805020926</v>
      </c>
      <c r="E976" t="s">
        <v>1128</v>
      </c>
      <c r="F976">
        <v>23657501</v>
      </c>
      <c r="G976" t="s">
        <v>647</v>
      </c>
      <c r="H976">
        <v>0</v>
      </c>
      <c r="I976">
        <v>0</v>
      </c>
    </row>
    <row r="977" spans="2:9" x14ac:dyDescent="0.25">
      <c r="B977">
        <v>1001</v>
      </c>
      <c r="C977">
        <v>5062</v>
      </c>
      <c r="D977">
        <v>805020926</v>
      </c>
      <c r="E977" t="s">
        <v>1128</v>
      </c>
      <c r="F977">
        <v>23657501</v>
      </c>
      <c r="G977" t="s">
        <v>647</v>
      </c>
      <c r="H977">
        <v>0</v>
      </c>
      <c r="I977">
        <v>0</v>
      </c>
    </row>
    <row r="978" spans="2:9" x14ac:dyDescent="0.25">
      <c r="B978">
        <v>1001</v>
      </c>
      <c r="C978">
        <v>5062</v>
      </c>
      <c r="D978">
        <v>805020926</v>
      </c>
      <c r="E978" t="s">
        <v>1128</v>
      </c>
      <c r="F978">
        <v>23657501</v>
      </c>
      <c r="G978" t="s">
        <v>647</v>
      </c>
      <c r="H978">
        <v>0</v>
      </c>
      <c r="I978">
        <v>0</v>
      </c>
    </row>
    <row r="979" spans="2:9" x14ac:dyDescent="0.25">
      <c r="B979">
        <v>1001</v>
      </c>
      <c r="C979">
        <v>5062</v>
      </c>
      <c r="D979">
        <v>805020926</v>
      </c>
      <c r="E979" t="s">
        <v>1128</v>
      </c>
      <c r="F979">
        <v>23657501</v>
      </c>
      <c r="G979" t="s">
        <v>647</v>
      </c>
      <c r="H979">
        <v>0</v>
      </c>
      <c r="I979">
        <v>0</v>
      </c>
    </row>
    <row r="980" spans="2:9" x14ac:dyDescent="0.25">
      <c r="B980">
        <v>1001</v>
      </c>
      <c r="C980">
        <v>5062</v>
      </c>
      <c r="D980">
        <v>805020926</v>
      </c>
      <c r="E980" t="s">
        <v>1128</v>
      </c>
      <c r="F980">
        <v>23657501</v>
      </c>
      <c r="G980" t="s">
        <v>647</v>
      </c>
      <c r="H980">
        <v>0</v>
      </c>
      <c r="I980">
        <v>0</v>
      </c>
    </row>
    <row r="981" spans="2:9" x14ac:dyDescent="0.25">
      <c r="B981">
        <v>1001</v>
      </c>
      <c r="C981">
        <v>5062</v>
      </c>
      <c r="D981">
        <v>805020926</v>
      </c>
      <c r="E981" t="s">
        <v>1128</v>
      </c>
      <c r="F981">
        <v>23657501</v>
      </c>
      <c r="G981" t="s">
        <v>647</v>
      </c>
      <c r="H981">
        <v>0</v>
      </c>
      <c r="I981">
        <v>0</v>
      </c>
    </row>
    <row r="982" spans="2:9" x14ac:dyDescent="0.25">
      <c r="B982">
        <v>1001</v>
      </c>
      <c r="C982">
        <v>5062</v>
      </c>
      <c r="D982">
        <v>805020926</v>
      </c>
      <c r="E982" t="s">
        <v>1128</v>
      </c>
      <c r="F982">
        <v>23657501</v>
      </c>
      <c r="G982" t="s">
        <v>647</v>
      </c>
      <c r="H982">
        <v>0</v>
      </c>
      <c r="I982">
        <v>0</v>
      </c>
    </row>
    <row r="983" spans="2:9" x14ac:dyDescent="0.25">
      <c r="B983">
        <v>1001</v>
      </c>
      <c r="C983">
        <v>5062</v>
      </c>
      <c r="D983">
        <v>805020926</v>
      </c>
      <c r="E983" t="s">
        <v>1128</v>
      </c>
      <c r="F983">
        <v>23657501</v>
      </c>
      <c r="G983" t="s">
        <v>647</v>
      </c>
      <c r="H983">
        <v>0</v>
      </c>
      <c r="I983">
        <v>0</v>
      </c>
    </row>
    <row r="984" spans="2:9" x14ac:dyDescent="0.25">
      <c r="B984">
        <v>1001</v>
      </c>
      <c r="C984">
        <v>5062</v>
      </c>
      <c r="D984">
        <v>805020926</v>
      </c>
      <c r="E984" t="s">
        <v>1128</v>
      </c>
      <c r="F984">
        <v>23657501</v>
      </c>
      <c r="G984" t="s">
        <v>647</v>
      </c>
      <c r="H984">
        <v>0</v>
      </c>
      <c r="I984">
        <v>0</v>
      </c>
    </row>
    <row r="985" spans="2:9" x14ac:dyDescent="0.25">
      <c r="B985">
        <v>1001</v>
      </c>
      <c r="C985">
        <v>5062</v>
      </c>
      <c r="D985">
        <v>805020926</v>
      </c>
      <c r="E985" t="s">
        <v>1128</v>
      </c>
      <c r="F985">
        <v>23657501</v>
      </c>
      <c r="G985" t="s">
        <v>647</v>
      </c>
      <c r="H985">
        <v>0</v>
      </c>
      <c r="I985">
        <v>0</v>
      </c>
    </row>
    <row r="986" spans="2:9" x14ac:dyDescent="0.25">
      <c r="B986">
        <v>1001</v>
      </c>
      <c r="C986">
        <v>5062</v>
      </c>
      <c r="D986">
        <v>805020926</v>
      </c>
      <c r="E986" t="s">
        <v>1128</v>
      </c>
      <c r="F986">
        <v>23657501</v>
      </c>
      <c r="G986" t="s">
        <v>647</v>
      </c>
      <c r="H986">
        <v>0</v>
      </c>
      <c r="I986">
        <v>0</v>
      </c>
    </row>
    <row r="987" spans="2:9" x14ac:dyDescent="0.25">
      <c r="B987">
        <v>1001</v>
      </c>
      <c r="C987">
        <v>5062</v>
      </c>
      <c r="D987">
        <v>890320417</v>
      </c>
      <c r="E987" t="s">
        <v>1136</v>
      </c>
      <c r="F987">
        <v>13550501</v>
      </c>
      <c r="G987">
        <v>0</v>
      </c>
      <c r="H987">
        <v>8730.1560000000009</v>
      </c>
      <c r="I987">
        <v>17325.696000000004</v>
      </c>
    </row>
    <row r="988" spans="2:9" x14ac:dyDescent="0.25">
      <c r="B988">
        <v>1001</v>
      </c>
      <c r="C988">
        <v>5062</v>
      </c>
      <c r="D988">
        <v>890320417</v>
      </c>
      <c r="E988" t="s">
        <v>1136</v>
      </c>
      <c r="F988">
        <v>13550501</v>
      </c>
      <c r="G988">
        <v>0</v>
      </c>
      <c r="H988">
        <v>8595.5400000000009</v>
      </c>
      <c r="I988">
        <v>17325.696000000004</v>
      </c>
    </row>
    <row r="989" spans="2:9" x14ac:dyDescent="0.25">
      <c r="B989">
        <v>1001</v>
      </c>
      <c r="C989">
        <v>5062</v>
      </c>
      <c r="D989">
        <v>890320417</v>
      </c>
      <c r="E989" t="s">
        <v>1136</v>
      </c>
      <c r="F989">
        <v>23657501</v>
      </c>
      <c r="G989" t="s">
        <v>647</v>
      </c>
      <c r="H989">
        <v>0</v>
      </c>
      <c r="I989">
        <v>0</v>
      </c>
    </row>
    <row r="990" spans="2:9" x14ac:dyDescent="0.25">
      <c r="B990">
        <v>1001</v>
      </c>
      <c r="C990">
        <v>5062</v>
      </c>
      <c r="D990">
        <v>890320417</v>
      </c>
      <c r="E990" t="s">
        <v>1136</v>
      </c>
      <c r="F990">
        <v>23657501</v>
      </c>
      <c r="G990" t="s">
        <v>647</v>
      </c>
      <c r="H990">
        <v>0</v>
      </c>
      <c r="I990">
        <v>0</v>
      </c>
    </row>
    <row r="991" spans="2:9" x14ac:dyDescent="0.25">
      <c r="B991">
        <v>1001</v>
      </c>
      <c r="C991">
        <v>5062</v>
      </c>
      <c r="D991">
        <v>890900486</v>
      </c>
      <c r="E991" t="s">
        <v>1104</v>
      </c>
      <c r="F991">
        <v>13550501</v>
      </c>
      <c r="G991">
        <v>0</v>
      </c>
      <c r="H991">
        <v>8216.268</v>
      </c>
      <c r="I991">
        <v>8216.268</v>
      </c>
    </row>
    <row r="992" spans="2:9" x14ac:dyDescent="0.25">
      <c r="B992">
        <v>1001</v>
      </c>
      <c r="C992">
        <v>5062</v>
      </c>
      <c r="D992">
        <v>890900486</v>
      </c>
      <c r="E992" t="s">
        <v>1104</v>
      </c>
      <c r="F992">
        <v>23657501</v>
      </c>
      <c r="G992" t="s">
        <v>647</v>
      </c>
      <c r="H992">
        <v>0</v>
      </c>
      <c r="I992">
        <v>0</v>
      </c>
    </row>
    <row r="993" spans="2:9" x14ac:dyDescent="0.25">
      <c r="B993">
        <v>1001</v>
      </c>
      <c r="C993">
        <v>5062</v>
      </c>
      <c r="D993">
        <v>890985438</v>
      </c>
      <c r="E993" t="s">
        <v>1130</v>
      </c>
      <c r="F993">
        <v>13550501</v>
      </c>
      <c r="G993">
        <v>0</v>
      </c>
      <c r="H993">
        <v>28000</v>
      </c>
      <c r="I993">
        <v>403373.76</v>
      </c>
    </row>
    <row r="994" spans="2:9" x14ac:dyDescent="0.25">
      <c r="B994">
        <v>1001</v>
      </c>
      <c r="C994">
        <v>5062</v>
      </c>
      <c r="D994">
        <v>890985438</v>
      </c>
      <c r="E994" t="s">
        <v>1130</v>
      </c>
      <c r="F994">
        <v>13550501</v>
      </c>
      <c r="G994">
        <v>0</v>
      </c>
      <c r="H994">
        <v>15803.04</v>
      </c>
      <c r="I994">
        <v>403373.76</v>
      </c>
    </row>
    <row r="995" spans="2:9" x14ac:dyDescent="0.25">
      <c r="B995">
        <v>1001</v>
      </c>
      <c r="C995">
        <v>5062</v>
      </c>
      <c r="D995">
        <v>890985438</v>
      </c>
      <c r="E995" t="s">
        <v>1130</v>
      </c>
      <c r="F995">
        <v>13550501</v>
      </c>
      <c r="G995">
        <v>0</v>
      </c>
      <c r="H995">
        <v>2980.96</v>
      </c>
      <c r="I995">
        <v>403373.76</v>
      </c>
    </row>
    <row r="996" spans="2:9" x14ac:dyDescent="0.25">
      <c r="B996">
        <v>1001</v>
      </c>
      <c r="C996">
        <v>5062</v>
      </c>
      <c r="D996">
        <v>890985438</v>
      </c>
      <c r="E996" t="s">
        <v>1130</v>
      </c>
      <c r="F996">
        <v>13550501</v>
      </c>
      <c r="G996">
        <v>0</v>
      </c>
      <c r="H996">
        <v>45560</v>
      </c>
      <c r="I996">
        <v>403373.76</v>
      </c>
    </row>
    <row r="997" spans="2:9" x14ac:dyDescent="0.25">
      <c r="B997">
        <v>1001</v>
      </c>
      <c r="C997">
        <v>5062</v>
      </c>
      <c r="D997">
        <v>890985438</v>
      </c>
      <c r="E997" t="s">
        <v>1130</v>
      </c>
      <c r="F997">
        <v>13550501</v>
      </c>
      <c r="G997">
        <v>0</v>
      </c>
      <c r="H997">
        <v>4040.16</v>
      </c>
      <c r="I997">
        <v>403373.76</v>
      </c>
    </row>
    <row r="998" spans="2:9" x14ac:dyDescent="0.25">
      <c r="B998">
        <v>1001</v>
      </c>
      <c r="C998">
        <v>5062</v>
      </c>
      <c r="D998">
        <v>890985438</v>
      </c>
      <c r="E998" t="s">
        <v>1130</v>
      </c>
      <c r="F998">
        <v>13550501</v>
      </c>
      <c r="G998">
        <v>0</v>
      </c>
      <c r="H998">
        <v>5920</v>
      </c>
      <c r="I998">
        <v>403373.76</v>
      </c>
    </row>
    <row r="999" spans="2:9" x14ac:dyDescent="0.25">
      <c r="B999">
        <v>1001</v>
      </c>
      <c r="C999">
        <v>5062</v>
      </c>
      <c r="D999">
        <v>890985438</v>
      </c>
      <c r="E999" t="s">
        <v>1130</v>
      </c>
      <c r="F999">
        <v>13550501</v>
      </c>
      <c r="G999">
        <v>0</v>
      </c>
      <c r="H999">
        <v>992</v>
      </c>
      <c r="I999">
        <v>403373.76</v>
      </c>
    </row>
    <row r="1000" spans="2:9" x14ac:dyDescent="0.25">
      <c r="B1000">
        <v>1001</v>
      </c>
      <c r="C1000">
        <v>5062</v>
      </c>
      <c r="D1000">
        <v>890985438</v>
      </c>
      <c r="E1000" t="s">
        <v>1130</v>
      </c>
      <c r="F1000">
        <v>13550501</v>
      </c>
      <c r="G1000">
        <v>0</v>
      </c>
      <c r="H1000">
        <v>46404</v>
      </c>
      <c r="I1000">
        <v>403373.76</v>
      </c>
    </row>
    <row r="1001" spans="2:9" x14ac:dyDescent="0.25">
      <c r="B1001">
        <v>1001</v>
      </c>
      <c r="C1001">
        <v>5062</v>
      </c>
      <c r="D1001">
        <v>890985438</v>
      </c>
      <c r="E1001" t="s">
        <v>1130</v>
      </c>
      <c r="F1001">
        <v>13550501</v>
      </c>
      <c r="G1001">
        <v>0</v>
      </c>
      <c r="H1001">
        <v>1344</v>
      </c>
      <c r="I1001">
        <v>403373.76</v>
      </c>
    </row>
    <row r="1002" spans="2:9" x14ac:dyDescent="0.25">
      <c r="B1002">
        <v>1001</v>
      </c>
      <c r="C1002">
        <v>5062</v>
      </c>
      <c r="D1002">
        <v>890985438</v>
      </c>
      <c r="E1002" t="s">
        <v>1130</v>
      </c>
      <c r="F1002">
        <v>13550501</v>
      </c>
      <c r="G1002">
        <v>0</v>
      </c>
      <c r="H1002">
        <v>589.6</v>
      </c>
      <c r="I1002">
        <v>403373.76</v>
      </c>
    </row>
    <row r="1003" spans="2:9" x14ac:dyDescent="0.25">
      <c r="B1003">
        <v>1001</v>
      </c>
      <c r="C1003">
        <v>5062</v>
      </c>
      <c r="D1003">
        <v>890985438</v>
      </c>
      <c r="E1003" t="s">
        <v>1130</v>
      </c>
      <c r="F1003">
        <v>13550501</v>
      </c>
      <c r="G1003">
        <v>0</v>
      </c>
      <c r="H1003">
        <v>6660</v>
      </c>
      <c r="I1003">
        <v>403373.76</v>
      </c>
    </row>
    <row r="1004" spans="2:9" x14ac:dyDescent="0.25">
      <c r="B1004">
        <v>1001</v>
      </c>
      <c r="C1004">
        <v>5062</v>
      </c>
      <c r="D1004">
        <v>890985438</v>
      </c>
      <c r="E1004" t="s">
        <v>1130</v>
      </c>
      <c r="F1004">
        <v>13550501</v>
      </c>
      <c r="G1004">
        <v>0</v>
      </c>
      <c r="H1004">
        <v>2812</v>
      </c>
      <c r="I1004">
        <v>403373.76</v>
      </c>
    </row>
    <row r="1005" spans="2:9" x14ac:dyDescent="0.25">
      <c r="B1005">
        <v>1001</v>
      </c>
      <c r="C1005">
        <v>5062</v>
      </c>
      <c r="D1005">
        <v>890985438</v>
      </c>
      <c r="E1005" t="s">
        <v>1130</v>
      </c>
      <c r="F1005">
        <v>13550501</v>
      </c>
      <c r="G1005">
        <v>0</v>
      </c>
      <c r="H1005">
        <v>45600</v>
      </c>
      <c r="I1005">
        <v>403373.76</v>
      </c>
    </row>
    <row r="1006" spans="2:9" x14ac:dyDescent="0.25">
      <c r="B1006">
        <v>1001</v>
      </c>
      <c r="C1006">
        <v>5062</v>
      </c>
      <c r="D1006">
        <v>890985438</v>
      </c>
      <c r="E1006" t="s">
        <v>1130</v>
      </c>
      <c r="F1006">
        <v>13550501</v>
      </c>
      <c r="G1006">
        <v>0</v>
      </c>
      <c r="H1006">
        <v>5920</v>
      </c>
      <c r="I1006">
        <v>403373.76</v>
      </c>
    </row>
    <row r="1007" spans="2:9" x14ac:dyDescent="0.25">
      <c r="B1007">
        <v>1001</v>
      </c>
      <c r="C1007">
        <v>5062</v>
      </c>
      <c r="D1007">
        <v>890985438</v>
      </c>
      <c r="E1007" t="s">
        <v>1130</v>
      </c>
      <c r="F1007">
        <v>13550501</v>
      </c>
      <c r="G1007">
        <v>0</v>
      </c>
      <c r="H1007">
        <v>11840</v>
      </c>
      <c r="I1007">
        <v>403373.76</v>
      </c>
    </row>
    <row r="1008" spans="2:9" x14ac:dyDescent="0.25">
      <c r="B1008">
        <v>1001</v>
      </c>
      <c r="C1008">
        <v>5062</v>
      </c>
      <c r="D1008">
        <v>890985438</v>
      </c>
      <c r="E1008" t="s">
        <v>1130</v>
      </c>
      <c r="F1008">
        <v>13550501</v>
      </c>
      <c r="G1008">
        <v>0</v>
      </c>
      <c r="H1008">
        <v>10988</v>
      </c>
      <c r="I1008">
        <v>403373.76</v>
      </c>
    </row>
    <row r="1009" spans="2:9" x14ac:dyDescent="0.25">
      <c r="B1009">
        <v>1001</v>
      </c>
      <c r="C1009">
        <v>5062</v>
      </c>
      <c r="D1009">
        <v>890985438</v>
      </c>
      <c r="E1009" t="s">
        <v>1130</v>
      </c>
      <c r="F1009">
        <v>13550501</v>
      </c>
      <c r="G1009">
        <v>0</v>
      </c>
      <c r="H1009">
        <v>45600</v>
      </c>
      <c r="I1009">
        <v>403373.76</v>
      </c>
    </row>
    <row r="1010" spans="2:9" x14ac:dyDescent="0.25">
      <c r="B1010">
        <v>1001</v>
      </c>
      <c r="C1010">
        <v>5062</v>
      </c>
      <c r="D1010">
        <v>890985438</v>
      </c>
      <c r="E1010" t="s">
        <v>1130</v>
      </c>
      <c r="F1010">
        <v>13550501</v>
      </c>
      <c r="G1010">
        <v>0</v>
      </c>
      <c r="H1010">
        <v>45600</v>
      </c>
      <c r="I1010">
        <v>403373.76</v>
      </c>
    </row>
    <row r="1011" spans="2:9" x14ac:dyDescent="0.25">
      <c r="B1011">
        <v>1001</v>
      </c>
      <c r="C1011">
        <v>5062</v>
      </c>
      <c r="D1011">
        <v>890985438</v>
      </c>
      <c r="E1011" t="s">
        <v>1130</v>
      </c>
      <c r="F1011">
        <v>13550501</v>
      </c>
      <c r="G1011">
        <v>0</v>
      </c>
      <c r="H1011">
        <v>31120</v>
      </c>
      <c r="I1011">
        <v>403373.76</v>
      </c>
    </row>
    <row r="1012" spans="2:9" x14ac:dyDescent="0.25">
      <c r="B1012">
        <v>1001</v>
      </c>
      <c r="C1012">
        <v>5062</v>
      </c>
      <c r="D1012">
        <v>890985438</v>
      </c>
      <c r="E1012" t="s">
        <v>1130</v>
      </c>
      <c r="F1012">
        <v>13550501</v>
      </c>
      <c r="G1012">
        <v>0</v>
      </c>
      <c r="H1012">
        <v>45600</v>
      </c>
      <c r="I1012">
        <v>403373.76</v>
      </c>
    </row>
    <row r="1013" spans="2:9" x14ac:dyDescent="0.25">
      <c r="B1013">
        <v>1001</v>
      </c>
      <c r="C1013">
        <v>5062</v>
      </c>
      <c r="D1013">
        <v>890985438</v>
      </c>
      <c r="E1013" t="s">
        <v>1130</v>
      </c>
      <c r="F1013">
        <v>23657501</v>
      </c>
      <c r="G1013" t="s">
        <v>647</v>
      </c>
      <c r="H1013">
        <v>0</v>
      </c>
      <c r="I1013">
        <v>0</v>
      </c>
    </row>
    <row r="1014" spans="2:9" x14ac:dyDescent="0.25">
      <c r="B1014">
        <v>1001</v>
      </c>
      <c r="C1014">
        <v>5062</v>
      </c>
      <c r="D1014">
        <v>890985438</v>
      </c>
      <c r="E1014" t="s">
        <v>1130</v>
      </c>
      <c r="F1014">
        <v>23657501</v>
      </c>
      <c r="G1014" t="s">
        <v>647</v>
      </c>
      <c r="H1014">
        <v>0</v>
      </c>
      <c r="I1014">
        <v>0</v>
      </c>
    </row>
    <row r="1015" spans="2:9" x14ac:dyDescent="0.25">
      <c r="B1015">
        <v>1001</v>
      </c>
      <c r="C1015">
        <v>5062</v>
      </c>
      <c r="D1015">
        <v>890985438</v>
      </c>
      <c r="E1015" t="s">
        <v>1130</v>
      </c>
      <c r="F1015">
        <v>23657501</v>
      </c>
      <c r="G1015" t="s">
        <v>647</v>
      </c>
      <c r="H1015">
        <v>0</v>
      </c>
      <c r="I1015">
        <v>0</v>
      </c>
    </row>
    <row r="1016" spans="2:9" x14ac:dyDescent="0.25">
      <c r="B1016">
        <v>1001</v>
      </c>
      <c r="C1016">
        <v>5062</v>
      </c>
      <c r="D1016">
        <v>890985438</v>
      </c>
      <c r="E1016" t="s">
        <v>1130</v>
      </c>
      <c r="F1016">
        <v>23657501</v>
      </c>
      <c r="G1016" t="s">
        <v>647</v>
      </c>
      <c r="H1016">
        <v>0</v>
      </c>
      <c r="I1016">
        <v>0</v>
      </c>
    </row>
    <row r="1017" spans="2:9" x14ac:dyDescent="0.25">
      <c r="B1017">
        <v>1001</v>
      </c>
      <c r="C1017">
        <v>5062</v>
      </c>
      <c r="D1017">
        <v>890985438</v>
      </c>
      <c r="E1017" t="s">
        <v>1130</v>
      </c>
      <c r="F1017">
        <v>23657501</v>
      </c>
      <c r="G1017" t="s">
        <v>647</v>
      </c>
      <c r="H1017">
        <v>0</v>
      </c>
      <c r="I1017">
        <v>0</v>
      </c>
    </row>
    <row r="1018" spans="2:9" x14ac:dyDescent="0.25">
      <c r="B1018">
        <v>1001</v>
      </c>
      <c r="C1018">
        <v>5062</v>
      </c>
      <c r="D1018">
        <v>890985438</v>
      </c>
      <c r="E1018" t="s">
        <v>1130</v>
      </c>
      <c r="F1018">
        <v>23657501</v>
      </c>
      <c r="G1018" t="s">
        <v>647</v>
      </c>
      <c r="H1018">
        <v>0</v>
      </c>
      <c r="I1018">
        <v>0</v>
      </c>
    </row>
    <row r="1019" spans="2:9" x14ac:dyDescent="0.25">
      <c r="B1019">
        <v>1001</v>
      </c>
      <c r="C1019">
        <v>5062</v>
      </c>
      <c r="D1019">
        <v>890985438</v>
      </c>
      <c r="E1019" t="s">
        <v>1130</v>
      </c>
      <c r="F1019">
        <v>23657501</v>
      </c>
      <c r="G1019" t="s">
        <v>647</v>
      </c>
      <c r="H1019">
        <v>0</v>
      </c>
      <c r="I1019">
        <v>0</v>
      </c>
    </row>
    <row r="1020" spans="2:9" x14ac:dyDescent="0.25">
      <c r="B1020">
        <v>1001</v>
      </c>
      <c r="C1020">
        <v>5062</v>
      </c>
      <c r="D1020">
        <v>890985438</v>
      </c>
      <c r="E1020" t="s">
        <v>1130</v>
      </c>
      <c r="F1020">
        <v>23657501</v>
      </c>
      <c r="G1020" t="s">
        <v>647</v>
      </c>
      <c r="H1020">
        <v>0</v>
      </c>
      <c r="I1020">
        <v>0</v>
      </c>
    </row>
    <row r="1021" spans="2:9" x14ac:dyDescent="0.25">
      <c r="B1021">
        <v>1001</v>
      </c>
      <c r="C1021">
        <v>5062</v>
      </c>
      <c r="D1021">
        <v>890985438</v>
      </c>
      <c r="E1021" t="s">
        <v>1130</v>
      </c>
      <c r="F1021">
        <v>23657501</v>
      </c>
      <c r="G1021" t="s">
        <v>647</v>
      </c>
      <c r="H1021">
        <v>0</v>
      </c>
      <c r="I1021">
        <v>0</v>
      </c>
    </row>
    <row r="1022" spans="2:9" x14ac:dyDescent="0.25">
      <c r="B1022">
        <v>1001</v>
      </c>
      <c r="C1022">
        <v>5062</v>
      </c>
      <c r="D1022">
        <v>890985438</v>
      </c>
      <c r="E1022" t="s">
        <v>1130</v>
      </c>
      <c r="F1022">
        <v>23657501</v>
      </c>
      <c r="G1022" t="s">
        <v>647</v>
      </c>
      <c r="H1022">
        <v>0</v>
      </c>
      <c r="I1022">
        <v>0</v>
      </c>
    </row>
    <row r="1023" spans="2:9" x14ac:dyDescent="0.25">
      <c r="B1023">
        <v>1001</v>
      </c>
      <c r="C1023">
        <v>5062</v>
      </c>
      <c r="D1023">
        <v>890985438</v>
      </c>
      <c r="E1023" t="s">
        <v>1130</v>
      </c>
      <c r="F1023">
        <v>23657501</v>
      </c>
      <c r="G1023" t="s">
        <v>647</v>
      </c>
      <c r="H1023">
        <v>0</v>
      </c>
      <c r="I1023">
        <v>0</v>
      </c>
    </row>
    <row r="1024" spans="2:9" x14ac:dyDescent="0.25">
      <c r="B1024">
        <v>1001</v>
      </c>
      <c r="C1024">
        <v>5062</v>
      </c>
      <c r="D1024">
        <v>890985438</v>
      </c>
      <c r="E1024" t="s">
        <v>1130</v>
      </c>
      <c r="F1024">
        <v>23657501</v>
      </c>
      <c r="G1024" t="s">
        <v>647</v>
      </c>
      <c r="H1024">
        <v>0</v>
      </c>
      <c r="I1024">
        <v>0</v>
      </c>
    </row>
    <row r="1025" spans="2:9" x14ac:dyDescent="0.25">
      <c r="B1025">
        <v>1001</v>
      </c>
      <c r="C1025">
        <v>5062</v>
      </c>
      <c r="D1025">
        <v>890985438</v>
      </c>
      <c r="E1025" t="s">
        <v>1130</v>
      </c>
      <c r="F1025">
        <v>23657501</v>
      </c>
      <c r="G1025" t="s">
        <v>647</v>
      </c>
      <c r="H1025">
        <v>0</v>
      </c>
      <c r="I1025">
        <v>0</v>
      </c>
    </row>
    <row r="1026" spans="2:9" x14ac:dyDescent="0.25">
      <c r="B1026">
        <v>1001</v>
      </c>
      <c r="C1026">
        <v>5062</v>
      </c>
      <c r="D1026">
        <v>890985438</v>
      </c>
      <c r="E1026" t="s">
        <v>1130</v>
      </c>
      <c r="F1026">
        <v>23657501</v>
      </c>
      <c r="G1026" t="s">
        <v>647</v>
      </c>
      <c r="H1026">
        <v>0</v>
      </c>
      <c r="I1026">
        <v>0</v>
      </c>
    </row>
    <row r="1027" spans="2:9" x14ac:dyDescent="0.25">
      <c r="B1027">
        <v>1001</v>
      </c>
      <c r="C1027">
        <v>5062</v>
      </c>
      <c r="D1027">
        <v>890985438</v>
      </c>
      <c r="E1027" t="s">
        <v>1130</v>
      </c>
      <c r="F1027">
        <v>23657501</v>
      </c>
      <c r="G1027" t="s">
        <v>647</v>
      </c>
      <c r="H1027">
        <v>0</v>
      </c>
      <c r="I1027">
        <v>0</v>
      </c>
    </row>
    <row r="1028" spans="2:9" x14ac:dyDescent="0.25">
      <c r="B1028">
        <v>1001</v>
      </c>
      <c r="C1028">
        <v>5062</v>
      </c>
      <c r="D1028">
        <v>890985438</v>
      </c>
      <c r="E1028" t="s">
        <v>1130</v>
      </c>
      <c r="F1028">
        <v>23657501</v>
      </c>
      <c r="G1028" t="s">
        <v>647</v>
      </c>
      <c r="H1028">
        <v>0</v>
      </c>
      <c r="I1028">
        <v>0</v>
      </c>
    </row>
    <row r="1029" spans="2:9" x14ac:dyDescent="0.25">
      <c r="B1029">
        <v>1001</v>
      </c>
      <c r="C1029">
        <v>5062</v>
      </c>
      <c r="D1029">
        <v>890985438</v>
      </c>
      <c r="E1029" t="s">
        <v>1130</v>
      </c>
      <c r="F1029">
        <v>23657501</v>
      </c>
      <c r="G1029" t="s">
        <v>647</v>
      </c>
      <c r="H1029">
        <v>0</v>
      </c>
      <c r="I1029">
        <v>0</v>
      </c>
    </row>
    <row r="1030" spans="2:9" x14ac:dyDescent="0.25">
      <c r="B1030">
        <v>1001</v>
      </c>
      <c r="C1030">
        <v>5062</v>
      </c>
      <c r="D1030">
        <v>890985438</v>
      </c>
      <c r="E1030" t="s">
        <v>1130</v>
      </c>
      <c r="F1030">
        <v>23657501</v>
      </c>
      <c r="G1030" t="s">
        <v>647</v>
      </c>
      <c r="H1030">
        <v>0</v>
      </c>
      <c r="I1030">
        <v>0</v>
      </c>
    </row>
    <row r="1031" spans="2:9" x14ac:dyDescent="0.25">
      <c r="B1031">
        <v>1001</v>
      </c>
      <c r="C1031">
        <v>5062</v>
      </c>
      <c r="D1031">
        <v>890985438</v>
      </c>
      <c r="E1031" t="s">
        <v>1130</v>
      </c>
      <c r="F1031">
        <v>23657501</v>
      </c>
      <c r="G1031" t="s">
        <v>647</v>
      </c>
      <c r="H1031">
        <v>0</v>
      </c>
      <c r="I1031">
        <v>0</v>
      </c>
    </row>
    <row r="1032" spans="2:9" x14ac:dyDescent="0.25">
      <c r="B1032">
        <v>1001</v>
      </c>
      <c r="C1032">
        <v>5062</v>
      </c>
      <c r="D1032">
        <v>890985438</v>
      </c>
      <c r="E1032" t="s">
        <v>1130</v>
      </c>
      <c r="F1032">
        <v>23657501</v>
      </c>
      <c r="G1032" t="s">
        <v>647</v>
      </c>
      <c r="H1032">
        <v>0</v>
      </c>
      <c r="I1032">
        <v>0</v>
      </c>
    </row>
    <row r="1033" spans="2:9" x14ac:dyDescent="0.25">
      <c r="B1033">
        <v>1001</v>
      </c>
      <c r="C1033">
        <v>5062</v>
      </c>
      <c r="D1033">
        <v>900051065</v>
      </c>
      <c r="E1033" t="s">
        <v>1140</v>
      </c>
      <c r="F1033">
        <v>13550501</v>
      </c>
      <c r="G1033">
        <v>0</v>
      </c>
      <c r="H1033">
        <v>2545.92</v>
      </c>
      <c r="I1033">
        <v>2545.92</v>
      </c>
    </row>
    <row r="1034" spans="2:9" x14ac:dyDescent="0.25">
      <c r="B1034">
        <v>1001</v>
      </c>
      <c r="C1034">
        <v>5062</v>
      </c>
      <c r="D1034">
        <v>900051065</v>
      </c>
      <c r="E1034" t="s">
        <v>1140</v>
      </c>
      <c r="F1034">
        <v>23657501</v>
      </c>
      <c r="G1034" t="s">
        <v>647</v>
      </c>
      <c r="H1034">
        <v>0</v>
      </c>
      <c r="I1034">
        <v>0</v>
      </c>
    </row>
    <row r="1035" spans="2:9" x14ac:dyDescent="0.25">
      <c r="B1035">
        <v>1001</v>
      </c>
      <c r="C1035">
        <v>5062</v>
      </c>
      <c r="D1035">
        <v>900323755</v>
      </c>
      <c r="E1035" t="s">
        <v>1126</v>
      </c>
      <c r="F1035">
        <v>13550501</v>
      </c>
      <c r="G1035">
        <v>0</v>
      </c>
      <c r="H1035">
        <v>51400.959999999999</v>
      </c>
      <c r="I1035">
        <v>422677.56799999991</v>
      </c>
    </row>
    <row r="1036" spans="2:9" x14ac:dyDescent="0.25">
      <c r="B1036">
        <v>1001</v>
      </c>
      <c r="C1036">
        <v>5062</v>
      </c>
      <c r="D1036">
        <v>900323755</v>
      </c>
      <c r="E1036" t="s">
        <v>1126</v>
      </c>
      <c r="F1036">
        <v>13550501</v>
      </c>
      <c r="G1036">
        <v>0</v>
      </c>
      <c r="H1036">
        <v>1869.84</v>
      </c>
      <c r="I1036">
        <v>422677.56799999991</v>
      </c>
    </row>
    <row r="1037" spans="2:9" x14ac:dyDescent="0.25">
      <c r="B1037">
        <v>1001</v>
      </c>
      <c r="C1037">
        <v>5062</v>
      </c>
      <c r="D1037">
        <v>900323755</v>
      </c>
      <c r="E1037" t="s">
        <v>1126</v>
      </c>
      <c r="F1037">
        <v>13550501</v>
      </c>
      <c r="G1037">
        <v>0</v>
      </c>
      <c r="H1037">
        <v>832</v>
      </c>
      <c r="I1037">
        <v>422677.56799999991</v>
      </c>
    </row>
    <row r="1038" spans="2:9" x14ac:dyDescent="0.25">
      <c r="B1038">
        <v>1001</v>
      </c>
      <c r="C1038">
        <v>5062</v>
      </c>
      <c r="D1038">
        <v>900323755</v>
      </c>
      <c r="E1038" t="s">
        <v>1126</v>
      </c>
      <c r="F1038">
        <v>13550501</v>
      </c>
      <c r="G1038">
        <v>0</v>
      </c>
      <c r="H1038">
        <v>456</v>
      </c>
      <c r="I1038">
        <v>422677.56799999991</v>
      </c>
    </row>
    <row r="1039" spans="2:9" x14ac:dyDescent="0.25">
      <c r="B1039">
        <v>1001</v>
      </c>
      <c r="C1039">
        <v>5062</v>
      </c>
      <c r="D1039">
        <v>900323755</v>
      </c>
      <c r="E1039" t="s">
        <v>1126</v>
      </c>
      <c r="F1039">
        <v>13550501</v>
      </c>
      <c r="G1039">
        <v>0</v>
      </c>
      <c r="H1039">
        <v>33471.983999999997</v>
      </c>
      <c r="I1039">
        <v>422677.56799999991</v>
      </c>
    </row>
    <row r="1040" spans="2:9" x14ac:dyDescent="0.25">
      <c r="B1040">
        <v>1001</v>
      </c>
      <c r="C1040">
        <v>5062</v>
      </c>
      <c r="D1040">
        <v>900323755</v>
      </c>
      <c r="E1040" t="s">
        <v>1126</v>
      </c>
      <c r="F1040">
        <v>13550501</v>
      </c>
      <c r="G1040">
        <v>0</v>
      </c>
      <c r="H1040">
        <v>80</v>
      </c>
      <c r="I1040">
        <v>422677.56799999991</v>
      </c>
    </row>
    <row r="1041" spans="2:9" x14ac:dyDescent="0.25">
      <c r="B1041">
        <v>1001</v>
      </c>
      <c r="C1041">
        <v>5062</v>
      </c>
      <c r="D1041">
        <v>900323755</v>
      </c>
      <c r="E1041" t="s">
        <v>1126</v>
      </c>
      <c r="F1041">
        <v>13550501</v>
      </c>
      <c r="G1041">
        <v>0</v>
      </c>
      <c r="H1041">
        <v>7104</v>
      </c>
      <c r="I1041">
        <v>422677.56799999991</v>
      </c>
    </row>
    <row r="1042" spans="2:9" x14ac:dyDescent="0.25">
      <c r="B1042">
        <v>1001</v>
      </c>
      <c r="C1042">
        <v>5062</v>
      </c>
      <c r="D1042">
        <v>900323755</v>
      </c>
      <c r="E1042" t="s">
        <v>1126</v>
      </c>
      <c r="F1042">
        <v>13550501</v>
      </c>
      <c r="G1042">
        <v>0</v>
      </c>
      <c r="H1042">
        <v>4440</v>
      </c>
      <c r="I1042">
        <v>422677.56799999991</v>
      </c>
    </row>
    <row r="1043" spans="2:9" x14ac:dyDescent="0.25">
      <c r="B1043">
        <v>1001</v>
      </c>
      <c r="C1043">
        <v>5062</v>
      </c>
      <c r="D1043">
        <v>900323755</v>
      </c>
      <c r="E1043" t="s">
        <v>1126</v>
      </c>
      <c r="F1043">
        <v>13550501</v>
      </c>
      <c r="G1043">
        <v>0</v>
      </c>
      <c r="H1043">
        <v>2041.56</v>
      </c>
      <c r="I1043">
        <v>422677.56799999991</v>
      </c>
    </row>
    <row r="1044" spans="2:9" x14ac:dyDescent="0.25">
      <c r="B1044">
        <v>1001</v>
      </c>
      <c r="C1044">
        <v>5062</v>
      </c>
      <c r="D1044">
        <v>900323755</v>
      </c>
      <c r="E1044" t="s">
        <v>1126</v>
      </c>
      <c r="F1044">
        <v>13550501</v>
      </c>
      <c r="G1044">
        <v>0</v>
      </c>
      <c r="H1044">
        <v>12449.6</v>
      </c>
      <c r="I1044">
        <v>422677.56799999991</v>
      </c>
    </row>
    <row r="1045" spans="2:9" x14ac:dyDescent="0.25">
      <c r="B1045">
        <v>1001</v>
      </c>
      <c r="C1045">
        <v>5062</v>
      </c>
      <c r="D1045">
        <v>900323755</v>
      </c>
      <c r="E1045" t="s">
        <v>1126</v>
      </c>
      <c r="F1045">
        <v>13550501</v>
      </c>
      <c r="G1045">
        <v>0</v>
      </c>
      <c r="H1045">
        <v>1140</v>
      </c>
      <c r="I1045">
        <v>422677.56799999991</v>
      </c>
    </row>
    <row r="1046" spans="2:9" x14ac:dyDescent="0.25">
      <c r="B1046">
        <v>1001</v>
      </c>
      <c r="C1046">
        <v>5062</v>
      </c>
      <c r="D1046">
        <v>900323755</v>
      </c>
      <c r="E1046" t="s">
        <v>1126</v>
      </c>
      <c r="F1046">
        <v>13550501</v>
      </c>
      <c r="G1046">
        <v>0</v>
      </c>
      <c r="H1046">
        <v>9229.2000000000007</v>
      </c>
      <c r="I1046">
        <v>422677.56799999991</v>
      </c>
    </row>
    <row r="1047" spans="2:9" x14ac:dyDescent="0.25">
      <c r="B1047">
        <v>1001</v>
      </c>
      <c r="C1047">
        <v>5062</v>
      </c>
      <c r="D1047">
        <v>900323755</v>
      </c>
      <c r="E1047" t="s">
        <v>1126</v>
      </c>
      <c r="F1047">
        <v>13550501</v>
      </c>
      <c r="G1047">
        <v>0</v>
      </c>
      <c r="H1047">
        <v>508.8</v>
      </c>
      <c r="I1047">
        <v>422677.56799999991</v>
      </c>
    </row>
    <row r="1048" spans="2:9" x14ac:dyDescent="0.25">
      <c r="B1048">
        <v>1001</v>
      </c>
      <c r="C1048">
        <v>5062</v>
      </c>
      <c r="D1048">
        <v>900323755</v>
      </c>
      <c r="E1048" t="s">
        <v>1126</v>
      </c>
      <c r="F1048">
        <v>13550501</v>
      </c>
      <c r="G1048">
        <v>0</v>
      </c>
      <c r="H1048">
        <v>1680</v>
      </c>
      <c r="I1048">
        <v>422677.56799999991</v>
      </c>
    </row>
    <row r="1049" spans="2:9" x14ac:dyDescent="0.25">
      <c r="B1049">
        <v>1001</v>
      </c>
      <c r="C1049">
        <v>5062</v>
      </c>
      <c r="D1049">
        <v>900323755</v>
      </c>
      <c r="E1049" t="s">
        <v>1126</v>
      </c>
      <c r="F1049">
        <v>13550501</v>
      </c>
      <c r="G1049">
        <v>0</v>
      </c>
      <c r="H1049">
        <v>1728</v>
      </c>
      <c r="I1049">
        <v>422677.56799999991</v>
      </c>
    </row>
    <row r="1050" spans="2:9" x14ac:dyDescent="0.25">
      <c r="B1050">
        <v>1001</v>
      </c>
      <c r="C1050">
        <v>5062</v>
      </c>
      <c r="D1050">
        <v>900323755</v>
      </c>
      <c r="E1050" t="s">
        <v>1126</v>
      </c>
      <c r="F1050">
        <v>13550501</v>
      </c>
      <c r="G1050">
        <v>0</v>
      </c>
      <c r="H1050">
        <v>54080</v>
      </c>
      <c r="I1050">
        <v>422677.56799999991</v>
      </c>
    </row>
    <row r="1051" spans="2:9" x14ac:dyDescent="0.25">
      <c r="B1051">
        <v>1001</v>
      </c>
      <c r="C1051">
        <v>5062</v>
      </c>
      <c r="D1051">
        <v>900323755</v>
      </c>
      <c r="E1051" t="s">
        <v>1126</v>
      </c>
      <c r="F1051">
        <v>13550501</v>
      </c>
      <c r="G1051">
        <v>0</v>
      </c>
      <c r="H1051">
        <v>80</v>
      </c>
      <c r="I1051">
        <v>422677.56799999991</v>
      </c>
    </row>
    <row r="1052" spans="2:9" x14ac:dyDescent="0.25">
      <c r="B1052">
        <v>1001</v>
      </c>
      <c r="C1052">
        <v>5062</v>
      </c>
      <c r="D1052">
        <v>900323755</v>
      </c>
      <c r="E1052" t="s">
        <v>1126</v>
      </c>
      <c r="F1052">
        <v>13550501</v>
      </c>
      <c r="G1052">
        <v>0</v>
      </c>
      <c r="H1052">
        <v>5976</v>
      </c>
      <c r="I1052">
        <v>422677.56799999991</v>
      </c>
    </row>
    <row r="1053" spans="2:9" x14ac:dyDescent="0.25">
      <c r="B1053">
        <v>1001</v>
      </c>
      <c r="C1053">
        <v>5062</v>
      </c>
      <c r="D1053">
        <v>900323755</v>
      </c>
      <c r="E1053" t="s">
        <v>1126</v>
      </c>
      <c r="F1053">
        <v>13550501</v>
      </c>
      <c r="G1053">
        <v>0</v>
      </c>
      <c r="H1053">
        <v>180</v>
      </c>
      <c r="I1053">
        <v>422677.56799999991</v>
      </c>
    </row>
    <row r="1054" spans="2:9" x14ac:dyDescent="0.25">
      <c r="B1054">
        <v>1001</v>
      </c>
      <c r="C1054">
        <v>5062</v>
      </c>
      <c r="D1054">
        <v>900323755</v>
      </c>
      <c r="E1054" t="s">
        <v>1126</v>
      </c>
      <c r="F1054">
        <v>13550501</v>
      </c>
      <c r="G1054">
        <v>0</v>
      </c>
      <c r="H1054">
        <v>2742</v>
      </c>
      <c r="I1054">
        <v>422677.56799999991</v>
      </c>
    </row>
    <row r="1055" spans="2:9" x14ac:dyDescent="0.25">
      <c r="B1055">
        <v>1001</v>
      </c>
      <c r="C1055">
        <v>5062</v>
      </c>
      <c r="D1055">
        <v>900323755</v>
      </c>
      <c r="E1055" t="s">
        <v>1126</v>
      </c>
      <c r="F1055">
        <v>13550501</v>
      </c>
      <c r="G1055">
        <v>0</v>
      </c>
      <c r="H1055">
        <v>16200</v>
      </c>
      <c r="I1055">
        <v>422677.56799999991</v>
      </c>
    </row>
    <row r="1056" spans="2:9" x14ac:dyDescent="0.25">
      <c r="B1056">
        <v>1001</v>
      </c>
      <c r="C1056">
        <v>5062</v>
      </c>
      <c r="D1056">
        <v>900323755</v>
      </c>
      <c r="E1056" t="s">
        <v>1126</v>
      </c>
      <c r="F1056">
        <v>13550501</v>
      </c>
      <c r="G1056">
        <v>0</v>
      </c>
      <c r="H1056">
        <v>3665.6</v>
      </c>
      <c r="I1056">
        <v>422677.56799999991</v>
      </c>
    </row>
    <row r="1057" spans="2:9" x14ac:dyDescent="0.25">
      <c r="B1057">
        <v>1001</v>
      </c>
      <c r="C1057">
        <v>5062</v>
      </c>
      <c r="D1057">
        <v>900323755</v>
      </c>
      <c r="E1057" t="s">
        <v>1126</v>
      </c>
      <c r="F1057">
        <v>13550501</v>
      </c>
      <c r="G1057">
        <v>0</v>
      </c>
      <c r="H1057">
        <v>8192.4</v>
      </c>
      <c r="I1057">
        <v>422677.56799999991</v>
      </c>
    </row>
    <row r="1058" spans="2:9" x14ac:dyDescent="0.25">
      <c r="B1058">
        <v>1001</v>
      </c>
      <c r="C1058">
        <v>5062</v>
      </c>
      <c r="D1058">
        <v>900323755</v>
      </c>
      <c r="E1058" t="s">
        <v>1126</v>
      </c>
      <c r="F1058">
        <v>13550501</v>
      </c>
      <c r="G1058">
        <v>0</v>
      </c>
      <c r="H1058">
        <v>1628.36</v>
      </c>
      <c r="I1058">
        <v>422677.56799999991</v>
      </c>
    </row>
    <row r="1059" spans="2:9" x14ac:dyDescent="0.25">
      <c r="B1059">
        <v>1001</v>
      </c>
      <c r="C1059">
        <v>5062</v>
      </c>
      <c r="D1059">
        <v>900323755</v>
      </c>
      <c r="E1059" t="s">
        <v>1126</v>
      </c>
      <c r="F1059">
        <v>13550501</v>
      </c>
      <c r="G1059">
        <v>0</v>
      </c>
      <c r="H1059">
        <v>1188</v>
      </c>
      <c r="I1059">
        <v>422677.56799999991</v>
      </c>
    </row>
    <row r="1060" spans="2:9" x14ac:dyDescent="0.25">
      <c r="B1060">
        <v>1001</v>
      </c>
      <c r="C1060">
        <v>5062</v>
      </c>
      <c r="D1060">
        <v>900323755</v>
      </c>
      <c r="E1060" t="s">
        <v>1126</v>
      </c>
      <c r="F1060">
        <v>13550501</v>
      </c>
      <c r="G1060">
        <v>0</v>
      </c>
      <c r="H1060">
        <v>4325.6000000000004</v>
      </c>
      <c r="I1060">
        <v>422677.56799999991</v>
      </c>
    </row>
    <row r="1061" spans="2:9" x14ac:dyDescent="0.25">
      <c r="B1061">
        <v>1001</v>
      </c>
      <c r="C1061">
        <v>5062</v>
      </c>
      <c r="D1061">
        <v>900323755</v>
      </c>
      <c r="E1061" t="s">
        <v>1126</v>
      </c>
      <c r="F1061">
        <v>13550501</v>
      </c>
      <c r="G1061">
        <v>0</v>
      </c>
      <c r="H1061">
        <v>240</v>
      </c>
      <c r="I1061">
        <v>422677.56799999991</v>
      </c>
    </row>
    <row r="1062" spans="2:9" x14ac:dyDescent="0.25">
      <c r="B1062">
        <v>1001</v>
      </c>
      <c r="C1062">
        <v>5062</v>
      </c>
      <c r="D1062">
        <v>900323755</v>
      </c>
      <c r="E1062" t="s">
        <v>1126</v>
      </c>
      <c r="F1062">
        <v>13550501</v>
      </c>
      <c r="G1062">
        <v>0</v>
      </c>
      <c r="H1062">
        <v>3562.68</v>
      </c>
      <c r="I1062">
        <v>422677.56799999991</v>
      </c>
    </row>
    <row r="1063" spans="2:9" x14ac:dyDescent="0.25">
      <c r="B1063">
        <v>1001</v>
      </c>
      <c r="C1063">
        <v>5062</v>
      </c>
      <c r="D1063">
        <v>900323755</v>
      </c>
      <c r="E1063" t="s">
        <v>1126</v>
      </c>
      <c r="F1063">
        <v>13550501</v>
      </c>
      <c r="G1063">
        <v>0</v>
      </c>
      <c r="H1063">
        <v>200</v>
      </c>
      <c r="I1063">
        <v>422677.56799999991</v>
      </c>
    </row>
    <row r="1064" spans="2:9" x14ac:dyDescent="0.25">
      <c r="B1064">
        <v>1001</v>
      </c>
      <c r="C1064">
        <v>5062</v>
      </c>
      <c r="D1064">
        <v>900323755</v>
      </c>
      <c r="E1064" t="s">
        <v>1126</v>
      </c>
      <c r="F1064">
        <v>13550501</v>
      </c>
      <c r="G1064">
        <v>0</v>
      </c>
      <c r="H1064">
        <v>5268.68</v>
      </c>
      <c r="I1064">
        <v>422677.56799999991</v>
      </c>
    </row>
    <row r="1065" spans="2:9" x14ac:dyDescent="0.25">
      <c r="B1065">
        <v>1001</v>
      </c>
      <c r="C1065">
        <v>5062</v>
      </c>
      <c r="D1065">
        <v>900323755</v>
      </c>
      <c r="E1065" t="s">
        <v>1126</v>
      </c>
      <c r="F1065">
        <v>13550501</v>
      </c>
      <c r="G1065">
        <v>0</v>
      </c>
      <c r="H1065">
        <v>1036.8</v>
      </c>
      <c r="I1065">
        <v>422677.56799999991</v>
      </c>
    </row>
    <row r="1066" spans="2:9" x14ac:dyDescent="0.25">
      <c r="B1066">
        <v>1001</v>
      </c>
      <c r="C1066">
        <v>5062</v>
      </c>
      <c r="D1066">
        <v>900323755</v>
      </c>
      <c r="E1066" t="s">
        <v>1126</v>
      </c>
      <c r="F1066">
        <v>13550501</v>
      </c>
      <c r="G1066">
        <v>0</v>
      </c>
      <c r="H1066">
        <v>5342</v>
      </c>
      <c r="I1066">
        <v>422677.56799999991</v>
      </c>
    </row>
    <row r="1067" spans="2:9" x14ac:dyDescent="0.25">
      <c r="B1067">
        <v>1001</v>
      </c>
      <c r="C1067">
        <v>5062</v>
      </c>
      <c r="D1067">
        <v>900323755</v>
      </c>
      <c r="E1067" t="s">
        <v>1126</v>
      </c>
      <c r="F1067">
        <v>13550501</v>
      </c>
      <c r="G1067">
        <v>0</v>
      </c>
      <c r="H1067">
        <v>520</v>
      </c>
      <c r="I1067">
        <v>422677.56799999991</v>
      </c>
    </row>
    <row r="1068" spans="2:9" x14ac:dyDescent="0.25">
      <c r="B1068">
        <v>1001</v>
      </c>
      <c r="C1068">
        <v>5062</v>
      </c>
      <c r="D1068">
        <v>900323755</v>
      </c>
      <c r="E1068" t="s">
        <v>1126</v>
      </c>
      <c r="F1068">
        <v>13550501</v>
      </c>
      <c r="G1068">
        <v>0</v>
      </c>
      <c r="H1068">
        <v>200</v>
      </c>
      <c r="I1068">
        <v>422677.56799999991</v>
      </c>
    </row>
    <row r="1069" spans="2:9" x14ac:dyDescent="0.25">
      <c r="B1069">
        <v>1001</v>
      </c>
      <c r="C1069">
        <v>5062</v>
      </c>
      <c r="D1069">
        <v>900323755</v>
      </c>
      <c r="E1069" t="s">
        <v>1126</v>
      </c>
      <c r="F1069">
        <v>13550501</v>
      </c>
      <c r="G1069">
        <v>0</v>
      </c>
      <c r="H1069">
        <v>12696</v>
      </c>
      <c r="I1069">
        <v>422677.56799999991</v>
      </c>
    </row>
    <row r="1070" spans="2:9" x14ac:dyDescent="0.25">
      <c r="B1070">
        <v>1001</v>
      </c>
      <c r="C1070">
        <v>5062</v>
      </c>
      <c r="D1070">
        <v>900323755</v>
      </c>
      <c r="E1070" t="s">
        <v>1126</v>
      </c>
      <c r="F1070">
        <v>13550501</v>
      </c>
      <c r="G1070">
        <v>0</v>
      </c>
      <c r="H1070">
        <v>2184</v>
      </c>
      <c r="I1070">
        <v>422677.56799999991</v>
      </c>
    </row>
    <row r="1071" spans="2:9" x14ac:dyDescent="0.25">
      <c r="B1071">
        <v>1001</v>
      </c>
      <c r="C1071">
        <v>5062</v>
      </c>
      <c r="D1071">
        <v>900323755</v>
      </c>
      <c r="E1071" t="s">
        <v>1126</v>
      </c>
      <c r="F1071">
        <v>13550501</v>
      </c>
      <c r="G1071">
        <v>0</v>
      </c>
      <c r="H1071">
        <v>560</v>
      </c>
      <c r="I1071">
        <v>422677.56799999991</v>
      </c>
    </row>
    <row r="1072" spans="2:9" x14ac:dyDescent="0.25">
      <c r="B1072">
        <v>1001</v>
      </c>
      <c r="C1072">
        <v>5062</v>
      </c>
      <c r="D1072">
        <v>900323755</v>
      </c>
      <c r="E1072" t="s">
        <v>1126</v>
      </c>
      <c r="F1072">
        <v>13550501</v>
      </c>
      <c r="G1072">
        <v>0</v>
      </c>
      <c r="H1072">
        <v>467.2</v>
      </c>
      <c r="I1072">
        <v>422677.56799999991</v>
      </c>
    </row>
    <row r="1073" spans="2:9" x14ac:dyDescent="0.25">
      <c r="B1073">
        <v>1001</v>
      </c>
      <c r="C1073">
        <v>5062</v>
      </c>
      <c r="D1073">
        <v>900323755</v>
      </c>
      <c r="E1073" t="s">
        <v>1126</v>
      </c>
      <c r="F1073">
        <v>13550501</v>
      </c>
      <c r="G1073">
        <v>0</v>
      </c>
      <c r="H1073">
        <v>17327.36</v>
      </c>
      <c r="I1073">
        <v>422677.56799999991</v>
      </c>
    </row>
    <row r="1074" spans="2:9" x14ac:dyDescent="0.25">
      <c r="B1074">
        <v>1001</v>
      </c>
      <c r="C1074">
        <v>5062</v>
      </c>
      <c r="D1074">
        <v>900323755</v>
      </c>
      <c r="E1074" t="s">
        <v>1126</v>
      </c>
      <c r="F1074">
        <v>13550501</v>
      </c>
      <c r="G1074">
        <v>0</v>
      </c>
      <c r="H1074">
        <v>1446</v>
      </c>
      <c r="I1074">
        <v>422677.56799999991</v>
      </c>
    </row>
    <row r="1075" spans="2:9" x14ac:dyDescent="0.25">
      <c r="B1075">
        <v>1001</v>
      </c>
      <c r="C1075">
        <v>5062</v>
      </c>
      <c r="D1075">
        <v>900323755</v>
      </c>
      <c r="E1075" t="s">
        <v>1126</v>
      </c>
      <c r="F1075">
        <v>13550501</v>
      </c>
      <c r="G1075">
        <v>0</v>
      </c>
      <c r="H1075">
        <v>612</v>
      </c>
      <c r="I1075">
        <v>422677.56799999991</v>
      </c>
    </row>
    <row r="1076" spans="2:9" x14ac:dyDescent="0.25">
      <c r="B1076">
        <v>1001</v>
      </c>
      <c r="C1076">
        <v>5062</v>
      </c>
      <c r="D1076">
        <v>900323755</v>
      </c>
      <c r="E1076" t="s">
        <v>1126</v>
      </c>
      <c r="F1076">
        <v>13550501</v>
      </c>
      <c r="G1076">
        <v>0</v>
      </c>
      <c r="H1076">
        <v>35164.120000000003</v>
      </c>
      <c r="I1076">
        <v>422677.56799999991</v>
      </c>
    </row>
    <row r="1077" spans="2:9" x14ac:dyDescent="0.25">
      <c r="B1077">
        <v>1001</v>
      </c>
      <c r="C1077">
        <v>5062</v>
      </c>
      <c r="D1077">
        <v>900323755</v>
      </c>
      <c r="E1077" t="s">
        <v>1126</v>
      </c>
      <c r="F1077">
        <v>13550501</v>
      </c>
      <c r="G1077">
        <v>0</v>
      </c>
      <c r="H1077">
        <v>220</v>
      </c>
      <c r="I1077">
        <v>422677.56799999991</v>
      </c>
    </row>
    <row r="1078" spans="2:9" x14ac:dyDescent="0.25">
      <c r="B1078">
        <v>1001</v>
      </c>
      <c r="C1078">
        <v>5062</v>
      </c>
      <c r="D1078">
        <v>900323755</v>
      </c>
      <c r="E1078" t="s">
        <v>1126</v>
      </c>
      <c r="F1078">
        <v>13550501</v>
      </c>
      <c r="G1078">
        <v>0</v>
      </c>
      <c r="H1078">
        <v>4304.28</v>
      </c>
      <c r="I1078">
        <v>422677.56799999991</v>
      </c>
    </row>
    <row r="1079" spans="2:9" x14ac:dyDescent="0.25">
      <c r="B1079">
        <v>1001</v>
      </c>
      <c r="C1079">
        <v>5062</v>
      </c>
      <c r="D1079">
        <v>900323755</v>
      </c>
      <c r="E1079" t="s">
        <v>1126</v>
      </c>
      <c r="F1079">
        <v>13550501</v>
      </c>
      <c r="G1079">
        <v>0</v>
      </c>
      <c r="H1079">
        <v>12927.92</v>
      </c>
      <c r="I1079">
        <v>422677.56799999991</v>
      </c>
    </row>
    <row r="1080" spans="2:9" x14ac:dyDescent="0.25">
      <c r="B1080">
        <v>1001</v>
      </c>
      <c r="C1080">
        <v>5062</v>
      </c>
      <c r="D1080">
        <v>900323755</v>
      </c>
      <c r="E1080" t="s">
        <v>1126</v>
      </c>
      <c r="F1080">
        <v>13550501</v>
      </c>
      <c r="G1080">
        <v>0</v>
      </c>
      <c r="H1080">
        <v>2600</v>
      </c>
      <c r="I1080">
        <v>422677.56799999991</v>
      </c>
    </row>
    <row r="1081" spans="2:9" x14ac:dyDescent="0.25">
      <c r="B1081">
        <v>1001</v>
      </c>
      <c r="C1081">
        <v>5062</v>
      </c>
      <c r="D1081">
        <v>900323755</v>
      </c>
      <c r="E1081" t="s">
        <v>1126</v>
      </c>
      <c r="F1081">
        <v>13550501</v>
      </c>
      <c r="G1081">
        <v>0</v>
      </c>
      <c r="H1081">
        <v>24000</v>
      </c>
      <c r="I1081">
        <v>422677.56799999991</v>
      </c>
    </row>
    <row r="1082" spans="2:9" x14ac:dyDescent="0.25">
      <c r="B1082">
        <v>1001</v>
      </c>
      <c r="C1082">
        <v>5062</v>
      </c>
      <c r="D1082">
        <v>900323755</v>
      </c>
      <c r="E1082" t="s">
        <v>1126</v>
      </c>
      <c r="F1082">
        <v>13550501</v>
      </c>
      <c r="G1082">
        <v>0</v>
      </c>
      <c r="H1082">
        <v>8383.86</v>
      </c>
      <c r="I1082">
        <v>422677.56799999991</v>
      </c>
    </row>
    <row r="1083" spans="2:9" x14ac:dyDescent="0.25">
      <c r="B1083">
        <v>1001</v>
      </c>
      <c r="C1083">
        <v>5062</v>
      </c>
      <c r="D1083">
        <v>900323755</v>
      </c>
      <c r="E1083" t="s">
        <v>1126</v>
      </c>
      <c r="F1083">
        <v>13550501</v>
      </c>
      <c r="G1083">
        <v>0</v>
      </c>
      <c r="H1083">
        <v>592</v>
      </c>
      <c r="I1083">
        <v>422677.56799999991</v>
      </c>
    </row>
    <row r="1084" spans="2:9" x14ac:dyDescent="0.25">
      <c r="B1084">
        <v>1001</v>
      </c>
      <c r="C1084">
        <v>5062</v>
      </c>
      <c r="D1084">
        <v>900323755</v>
      </c>
      <c r="E1084" t="s">
        <v>1126</v>
      </c>
      <c r="F1084">
        <v>13550501</v>
      </c>
      <c r="G1084">
        <v>0</v>
      </c>
      <c r="H1084">
        <v>11544</v>
      </c>
      <c r="I1084">
        <v>422677.56799999991</v>
      </c>
    </row>
    <row r="1085" spans="2:9" x14ac:dyDescent="0.25">
      <c r="B1085">
        <v>1001</v>
      </c>
      <c r="C1085">
        <v>5062</v>
      </c>
      <c r="D1085">
        <v>900323755</v>
      </c>
      <c r="E1085" t="s">
        <v>1126</v>
      </c>
      <c r="F1085">
        <v>13550501</v>
      </c>
      <c r="G1085">
        <v>0</v>
      </c>
      <c r="H1085">
        <v>16054.388000000001</v>
      </c>
      <c r="I1085">
        <v>422677.56799999991</v>
      </c>
    </row>
    <row r="1086" spans="2:9" x14ac:dyDescent="0.25">
      <c r="B1086">
        <v>1001</v>
      </c>
      <c r="C1086">
        <v>5062</v>
      </c>
      <c r="D1086">
        <v>900323755</v>
      </c>
      <c r="E1086" t="s">
        <v>1126</v>
      </c>
      <c r="F1086">
        <v>13550501</v>
      </c>
      <c r="G1086">
        <v>0</v>
      </c>
      <c r="H1086">
        <v>832</v>
      </c>
      <c r="I1086">
        <v>422677.56799999991</v>
      </c>
    </row>
    <row r="1087" spans="2:9" x14ac:dyDescent="0.25">
      <c r="B1087">
        <v>1001</v>
      </c>
      <c r="C1087">
        <v>5062</v>
      </c>
      <c r="D1087">
        <v>900323755</v>
      </c>
      <c r="E1087" t="s">
        <v>1126</v>
      </c>
      <c r="F1087">
        <v>13550501</v>
      </c>
      <c r="G1087">
        <v>0</v>
      </c>
      <c r="H1087">
        <v>2876.8</v>
      </c>
      <c r="I1087">
        <v>422677.56799999991</v>
      </c>
    </row>
    <row r="1088" spans="2:9" x14ac:dyDescent="0.25">
      <c r="B1088">
        <v>1001</v>
      </c>
      <c r="C1088">
        <v>5062</v>
      </c>
      <c r="D1088">
        <v>900323755</v>
      </c>
      <c r="E1088" t="s">
        <v>1126</v>
      </c>
      <c r="F1088">
        <v>13550501</v>
      </c>
      <c r="G1088">
        <v>0</v>
      </c>
      <c r="H1088">
        <v>280</v>
      </c>
      <c r="I1088">
        <v>422677.56799999991</v>
      </c>
    </row>
    <row r="1089" spans="2:9" x14ac:dyDescent="0.25">
      <c r="B1089">
        <v>1001</v>
      </c>
      <c r="C1089">
        <v>5062</v>
      </c>
      <c r="D1089">
        <v>900323755</v>
      </c>
      <c r="E1089" t="s">
        <v>1126</v>
      </c>
      <c r="F1089">
        <v>13550501</v>
      </c>
      <c r="G1089">
        <v>0</v>
      </c>
      <c r="H1089">
        <v>2963.2559999999999</v>
      </c>
      <c r="I1089">
        <v>422677.56799999991</v>
      </c>
    </row>
    <row r="1090" spans="2:9" x14ac:dyDescent="0.25">
      <c r="B1090">
        <v>1001</v>
      </c>
      <c r="C1090">
        <v>5062</v>
      </c>
      <c r="D1090">
        <v>900323755</v>
      </c>
      <c r="E1090" t="s">
        <v>1126</v>
      </c>
      <c r="F1090">
        <v>13550501</v>
      </c>
      <c r="G1090">
        <v>0</v>
      </c>
      <c r="H1090">
        <v>3280</v>
      </c>
      <c r="I1090">
        <v>422677.56799999991</v>
      </c>
    </row>
    <row r="1091" spans="2:9" x14ac:dyDescent="0.25">
      <c r="B1091">
        <v>1001</v>
      </c>
      <c r="C1091">
        <v>5062</v>
      </c>
      <c r="D1091">
        <v>900323755</v>
      </c>
      <c r="E1091" t="s">
        <v>1126</v>
      </c>
      <c r="F1091">
        <v>13550501</v>
      </c>
      <c r="G1091">
        <v>0</v>
      </c>
      <c r="H1091">
        <v>4028</v>
      </c>
      <c r="I1091">
        <v>422677.56799999991</v>
      </c>
    </row>
    <row r="1092" spans="2:9" x14ac:dyDescent="0.25">
      <c r="B1092">
        <v>1001</v>
      </c>
      <c r="C1092">
        <v>5062</v>
      </c>
      <c r="D1092">
        <v>900323755</v>
      </c>
      <c r="E1092" t="s">
        <v>1126</v>
      </c>
      <c r="F1092">
        <v>13550501</v>
      </c>
      <c r="G1092">
        <v>0</v>
      </c>
      <c r="H1092">
        <v>1768</v>
      </c>
      <c r="I1092">
        <v>422677.56799999991</v>
      </c>
    </row>
    <row r="1093" spans="2:9" x14ac:dyDescent="0.25">
      <c r="B1093">
        <v>1001</v>
      </c>
      <c r="C1093">
        <v>5062</v>
      </c>
      <c r="D1093">
        <v>900323755</v>
      </c>
      <c r="E1093" t="s">
        <v>1126</v>
      </c>
      <c r="F1093">
        <v>13550501</v>
      </c>
      <c r="G1093">
        <v>0</v>
      </c>
      <c r="H1093">
        <v>314</v>
      </c>
      <c r="I1093">
        <v>422677.56799999991</v>
      </c>
    </row>
    <row r="1094" spans="2:9" x14ac:dyDescent="0.25">
      <c r="B1094">
        <v>1001</v>
      </c>
      <c r="C1094">
        <v>5062</v>
      </c>
      <c r="D1094">
        <v>900323755</v>
      </c>
      <c r="E1094" t="s">
        <v>1126</v>
      </c>
      <c r="F1094">
        <v>13550501</v>
      </c>
      <c r="G1094">
        <v>0</v>
      </c>
      <c r="H1094">
        <v>1021.8</v>
      </c>
      <c r="I1094">
        <v>422677.56799999991</v>
      </c>
    </row>
    <row r="1095" spans="2:9" x14ac:dyDescent="0.25">
      <c r="B1095">
        <v>1001</v>
      </c>
      <c r="C1095">
        <v>5062</v>
      </c>
      <c r="D1095">
        <v>900323755</v>
      </c>
      <c r="E1095" t="s">
        <v>1126</v>
      </c>
      <c r="F1095">
        <v>13550501</v>
      </c>
      <c r="G1095">
        <v>0</v>
      </c>
      <c r="H1095">
        <v>800</v>
      </c>
      <c r="I1095">
        <v>422677.56799999991</v>
      </c>
    </row>
    <row r="1096" spans="2:9" x14ac:dyDescent="0.25">
      <c r="B1096">
        <v>1001</v>
      </c>
      <c r="C1096">
        <v>5062</v>
      </c>
      <c r="D1096">
        <v>900323755</v>
      </c>
      <c r="E1096" t="s">
        <v>1126</v>
      </c>
      <c r="F1096">
        <v>13550501</v>
      </c>
      <c r="G1096">
        <v>0</v>
      </c>
      <c r="H1096">
        <v>1344</v>
      </c>
      <c r="I1096">
        <v>422677.56799999991</v>
      </c>
    </row>
    <row r="1097" spans="2:9" x14ac:dyDescent="0.25">
      <c r="B1097">
        <v>1001</v>
      </c>
      <c r="C1097">
        <v>5062</v>
      </c>
      <c r="D1097">
        <v>900323755</v>
      </c>
      <c r="E1097" t="s">
        <v>1126</v>
      </c>
      <c r="F1097">
        <v>13550501</v>
      </c>
      <c r="G1097">
        <v>0</v>
      </c>
      <c r="H1097">
        <v>9026.52</v>
      </c>
      <c r="I1097">
        <v>422677.56799999991</v>
      </c>
    </row>
    <row r="1098" spans="2:9" x14ac:dyDescent="0.25">
      <c r="B1098">
        <v>1001</v>
      </c>
      <c r="C1098">
        <v>5062</v>
      </c>
      <c r="D1098">
        <v>900323755</v>
      </c>
      <c r="E1098" t="s">
        <v>1126</v>
      </c>
      <c r="F1098">
        <v>23657501</v>
      </c>
      <c r="G1098" t="s">
        <v>647</v>
      </c>
      <c r="H1098">
        <v>0</v>
      </c>
      <c r="I1098">
        <v>0</v>
      </c>
    </row>
    <row r="1099" spans="2:9" x14ac:dyDescent="0.25">
      <c r="B1099">
        <v>1001</v>
      </c>
      <c r="C1099">
        <v>5062</v>
      </c>
      <c r="D1099">
        <v>900323755</v>
      </c>
      <c r="E1099" t="s">
        <v>1126</v>
      </c>
      <c r="F1099">
        <v>23657501</v>
      </c>
      <c r="G1099" t="s">
        <v>647</v>
      </c>
      <c r="H1099">
        <v>0</v>
      </c>
      <c r="I1099">
        <v>0</v>
      </c>
    </row>
    <row r="1100" spans="2:9" x14ac:dyDescent="0.25">
      <c r="B1100">
        <v>1001</v>
      </c>
      <c r="C1100">
        <v>5062</v>
      </c>
      <c r="D1100">
        <v>900323755</v>
      </c>
      <c r="E1100" t="s">
        <v>1126</v>
      </c>
      <c r="F1100">
        <v>23657501</v>
      </c>
      <c r="G1100" t="s">
        <v>647</v>
      </c>
      <c r="H1100">
        <v>0</v>
      </c>
      <c r="I1100">
        <v>0</v>
      </c>
    </row>
    <row r="1101" spans="2:9" x14ac:dyDescent="0.25">
      <c r="B1101">
        <v>1001</v>
      </c>
      <c r="C1101">
        <v>5062</v>
      </c>
      <c r="D1101">
        <v>900323755</v>
      </c>
      <c r="E1101" t="s">
        <v>1126</v>
      </c>
      <c r="F1101">
        <v>23657501</v>
      </c>
      <c r="G1101" t="s">
        <v>647</v>
      </c>
      <c r="H1101">
        <v>0</v>
      </c>
      <c r="I1101">
        <v>0</v>
      </c>
    </row>
    <row r="1102" spans="2:9" x14ac:dyDescent="0.25">
      <c r="B1102">
        <v>1001</v>
      </c>
      <c r="C1102">
        <v>5062</v>
      </c>
      <c r="D1102">
        <v>900323755</v>
      </c>
      <c r="E1102" t="s">
        <v>1126</v>
      </c>
      <c r="F1102">
        <v>23657501</v>
      </c>
      <c r="G1102" t="s">
        <v>647</v>
      </c>
      <c r="H1102">
        <v>0</v>
      </c>
      <c r="I1102">
        <v>0</v>
      </c>
    </row>
    <row r="1103" spans="2:9" x14ac:dyDescent="0.25">
      <c r="B1103">
        <v>1001</v>
      </c>
      <c r="C1103">
        <v>5062</v>
      </c>
      <c r="D1103">
        <v>900323755</v>
      </c>
      <c r="E1103" t="s">
        <v>1126</v>
      </c>
      <c r="F1103">
        <v>23657501</v>
      </c>
      <c r="G1103" t="s">
        <v>647</v>
      </c>
      <c r="H1103">
        <v>0</v>
      </c>
      <c r="I1103">
        <v>0</v>
      </c>
    </row>
    <row r="1104" spans="2:9" x14ac:dyDescent="0.25">
      <c r="B1104">
        <v>1001</v>
      </c>
      <c r="C1104">
        <v>5062</v>
      </c>
      <c r="D1104">
        <v>900323755</v>
      </c>
      <c r="E1104" t="s">
        <v>1126</v>
      </c>
      <c r="F1104">
        <v>23657501</v>
      </c>
      <c r="G1104" t="s">
        <v>647</v>
      </c>
      <c r="H1104">
        <v>0</v>
      </c>
      <c r="I1104">
        <v>0</v>
      </c>
    </row>
    <row r="1105" spans="2:9" x14ac:dyDescent="0.25">
      <c r="B1105">
        <v>1001</v>
      </c>
      <c r="C1105">
        <v>5062</v>
      </c>
      <c r="D1105">
        <v>900323755</v>
      </c>
      <c r="E1105" t="s">
        <v>1126</v>
      </c>
      <c r="F1105">
        <v>23657501</v>
      </c>
      <c r="G1105" t="s">
        <v>647</v>
      </c>
      <c r="H1105">
        <v>0</v>
      </c>
      <c r="I1105">
        <v>0</v>
      </c>
    </row>
    <row r="1106" spans="2:9" x14ac:dyDescent="0.25">
      <c r="B1106">
        <v>1001</v>
      </c>
      <c r="C1106">
        <v>5062</v>
      </c>
      <c r="D1106">
        <v>900323755</v>
      </c>
      <c r="E1106" t="s">
        <v>1126</v>
      </c>
      <c r="F1106">
        <v>23657501</v>
      </c>
      <c r="G1106" t="s">
        <v>647</v>
      </c>
      <c r="H1106">
        <v>0</v>
      </c>
      <c r="I1106">
        <v>0</v>
      </c>
    </row>
    <row r="1107" spans="2:9" x14ac:dyDescent="0.25">
      <c r="B1107">
        <v>1001</v>
      </c>
      <c r="C1107">
        <v>5062</v>
      </c>
      <c r="D1107">
        <v>900323755</v>
      </c>
      <c r="E1107" t="s">
        <v>1126</v>
      </c>
      <c r="F1107">
        <v>23657501</v>
      </c>
      <c r="G1107" t="s">
        <v>647</v>
      </c>
      <c r="H1107">
        <v>0</v>
      </c>
      <c r="I1107">
        <v>0</v>
      </c>
    </row>
    <row r="1108" spans="2:9" x14ac:dyDescent="0.25">
      <c r="B1108">
        <v>1001</v>
      </c>
      <c r="C1108">
        <v>5062</v>
      </c>
      <c r="D1108">
        <v>900323755</v>
      </c>
      <c r="E1108" t="s">
        <v>1126</v>
      </c>
      <c r="F1108">
        <v>23657501</v>
      </c>
      <c r="G1108" t="s">
        <v>647</v>
      </c>
      <c r="H1108">
        <v>0</v>
      </c>
      <c r="I1108">
        <v>0</v>
      </c>
    </row>
    <row r="1109" spans="2:9" x14ac:dyDescent="0.25">
      <c r="B1109">
        <v>1001</v>
      </c>
      <c r="C1109">
        <v>5062</v>
      </c>
      <c r="D1109">
        <v>900323755</v>
      </c>
      <c r="E1109" t="s">
        <v>1126</v>
      </c>
      <c r="F1109">
        <v>23657501</v>
      </c>
      <c r="G1109" t="s">
        <v>647</v>
      </c>
      <c r="H1109">
        <v>0</v>
      </c>
      <c r="I1109">
        <v>0</v>
      </c>
    </row>
    <row r="1110" spans="2:9" x14ac:dyDescent="0.25">
      <c r="B1110">
        <v>1001</v>
      </c>
      <c r="C1110">
        <v>5062</v>
      </c>
      <c r="D1110">
        <v>900323755</v>
      </c>
      <c r="E1110" t="s">
        <v>1126</v>
      </c>
      <c r="F1110">
        <v>23657501</v>
      </c>
      <c r="G1110" t="s">
        <v>647</v>
      </c>
      <c r="H1110">
        <v>0</v>
      </c>
      <c r="I1110">
        <v>0</v>
      </c>
    </row>
    <row r="1111" spans="2:9" x14ac:dyDescent="0.25">
      <c r="B1111">
        <v>1001</v>
      </c>
      <c r="C1111">
        <v>5062</v>
      </c>
      <c r="D1111">
        <v>900323755</v>
      </c>
      <c r="E1111" t="s">
        <v>1126</v>
      </c>
      <c r="F1111">
        <v>23657501</v>
      </c>
      <c r="G1111" t="s">
        <v>647</v>
      </c>
      <c r="H1111">
        <v>0</v>
      </c>
      <c r="I1111">
        <v>0</v>
      </c>
    </row>
    <row r="1112" spans="2:9" x14ac:dyDescent="0.25">
      <c r="B1112">
        <v>1001</v>
      </c>
      <c r="C1112">
        <v>5062</v>
      </c>
      <c r="D1112">
        <v>900323755</v>
      </c>
      <c r="E1112" t="s">
        <v>1126</v>
      </c>
      <c r="F1112">
        <v>23657501</v>
      </c>
      <c r="G1112" t="s">
        <v>647</v>
      </c>
      <c r="H1112">
        <v>0</v>
      </c>
      <c r="I1112">
        <v>0</v>
      </c>
    </row>
    <row r="1113" spans="2:9" x14ac:dyDescent="0.25">
      <c r="B1113">
        <v>1001</v>
      </c>
      <c r="C1113">
        <v>5062</v>
      </c>
      <c r="D1113">
        <v>900323755</v>
      </c>
      <c r="E1113" t="s">
        <v>1126</v>
      </c>
      <c r="F1113">
        <v>23657501</v>
      </c>
      <c r="G1113" t="s">
        <v>647</v>
      </c>
      <c r="H1113">
        <v>0</v>
      </c>
      <c r="I1113">
        <v>0</v>
      </c>
    </row>
    <row r="1114" spans="2:9" x14ac:dyDescent="0.25">
      <c r="B1114">
        <v>1001</v>
      </c>
      <c r="C1114">
        <v>5062</v>
      </c>
      <c r="D1114">
        <v>900323755</v>
      </c>
      <c r="E1114" t="s">
        <v>1126</v>
      </c>
      <c r="F1114">
        <v>23657501</v>
      </c>
      <c r="G1114" t="s">
        <v>647</v>
      </c>
      <c r="H1114">
        <v>0</v>
      </c>
      <c r="I1114">
        <v>0</v>
      </c>
    </row>
    <row r="1115" spans="2:9" x14ac:dyDescent="0.25">
      <c r="B1115">
        <v>1001</v>
      </c>
      <c r="C1115">
        <v>5062</v>
      </c>
      <c r="D1115">
        <v>900323755</v>
      </c>
      <c r="E1115" t="s">
        <v>1126</v>
      </c>
      <c r="F1115">
        <v>23657501</v>
      </c>
      <c r="G1115" t="s">
        <v>647</v>
      </c>
      <c r="H1115">
        <v>0</v>
      </c>
      <c r="I1115">
        <v>0</v>
      </c>
    </row>
    <row r="1116" spans="2:9" x14ac:dyDescent="0.25">
      <c r="B1116">
        <v>1001</v>
      </c>
      <c r="C1116">
        <v>5062</v>
      </c>
      <c r="D1116">
        <v>900323755</v>
      </c>
      <c r="E1116" t="s">
        <v>1126</v>
      </c>
      <c r="F1116">
        <v>23657501</v>
      </c>
      <c r="G1116" t="s">
        <v>647</v>
      </c>
      <c r="H1116">
        <v>0</v>
      </c>
      <c r="I1116">
        <v>0</v>
      </c>
    </row>
    <row r="1117" spans="2:9" x14ac:dyDescent="0.25">
      <c r="B1117">
        <v>1001</v>
      </c>
      <c r="C1117">
        <v>5062</v>
      </c>
      <c r="D1117">
        <v>900323755</v>
      </c>
      <c r="E1117" t="s">
        <v>1126</v>
      </c>
      <c r="F1117">
        <v>23657501</v>
      </c>
      <c r="G1117" t="s">
        <v>647</v>
      </c>
      <c r="H1117">
        <v>0</v>
      </c>
      <c r="I1117">
        <v>0</v>
      </c>
    </row>
    <row r="1118" spans="2:9" x14ac:dyDescent="0.25">
      <c r="B1118">
        <v>1001</v>
      </c>
      <c r="C1118">
        <v>5062</v>
      </c>
      <c r="D1118">
        <v>900323755</v>
      </c>
      <c r="E1118" t="s">
        <v>1126</v>
      </c>
      <c r="F1118">
        <v>23657501</v>
      </c>
      <c r="G1118" t="s">
        <v>647</v>
      </c>
      <c r="H1118">
        <v>0</v>
      </c>
      <c r="I1118">
        <v>0</v>
      </c>
    </row>
    <row r="1119" spans="2:9" x14ac:dyDescent="0.25">
      <c r="B1119">
        <v>1001</v>
      </c>
      <c r="C1119">
        <v>5062</v>
      </c>
      <c r="D1119">
        <v>900323755</v>
      </c>
      <c r="E1119" t="s">
        <v>1126</v>
      </c>
      <c r="F1119">
        <v>23657501</v>
      </c>
      <c r="G1119" t="s">
        <v>647</v>
      </c>
      <c r="H1119">
        <v>0</v>
      </c>
      <c r="I1119">
        <v>0</v>
      </c>
    </row>
    <row r="1120" spans="2:9" x14ac:dyDescent="0.25">
      <c r="B1120">
        <v>1001</v>
      </c>
      <c r="C1120">
        <v>5062</v>
      </c>
      <c r="D1120">
        <v>900323755</v>
      </c>
      <c r="E1120" t="s">
        <v>1126</v>
      </c>
      <c r="F1120">
        <v>23657501</v>
      </c>
      <c r="G1120" t="s">
        <v>647</v>
      </c>
      <c r="H1120">
        <v>0</v>
      </c>
      <c r="I1120">
        <v>0</v>
      </c>
    </row>
    <row r="1121" spans="2:9" x14ac:dyDescent="0.25">
      <c r="B1121">
        <v>1001</v>
      </c>
      <c r="C1121">
        <v>5062</v>
      </c>
      <c r="D1121">
        <v>900323755</v>
      </c>
      <c r="E1121" t="s">
        <v>1126</v>
      </c>
      <c r="F1121">
        <v>23657501</v>
      </c>
      <c r="G1121" t="s">
        <v>647</v>
      </c>
      <c r="H1121">
        <v>0</v>
      </c>
      <c r="I1121">
        <v>0</v>
      </c>
    </row>
    <row r="1122" spans="2:9" x14ac:dyDescent="0.25">
      <c r="B1122">
        <v>1001</v>
      </c>
      <c r="C1122">
        <v>5062</v>
      </c>
      <c r="D1122">
        <v>900323755</v>
      </c>
      <c r="E1122" t="s">
        <v>1126</v>
      </c>
      <c r="F1122">
        <v>23657501</v>
      </c>
      <c r="G1122" t="s">
        <v>647</v>
      </c>
      <c r="H1122">
        <v>0</v>
      </c>
      <c r="I1122">
        <v>0</v>
      </c>
    </row>
    <row r="1123" spans="2:9" x14ac:dyDescent="0.25">
      <c r="B1123">
        <v>1001</v>
      </c>
      <c r="C1123">
        <v>5062</v>
      </c>
      <c r="D1123">
        <v>900323755</v>
      </c>
      <c r="E1123" t="s">
        <v>1126</v>
      </c>
      <c r="F1123">
        <v>23657501</v>
      </c>
      <c r="G1123" t="s">
        <v>647</v>
      </c>
      <c r="H1123">
        <v>0</v>
      </c>
      <c r="I1123">
        <v>0</v>
      </c>
    </row>
    <row r="1124" spans="2:9" x14ac:dyDescent="0.25">
      <c r="B1124">
        <v>1001</v>
      </c>
      <c r="C1124">
        <v>5062</v>
      </c>
      <c r="D1124">
        <v>900323755</v>
      </c>
      <c r="E1124" t="s">
        <v>1126</v>
      </c>
      <c r="F1124">
        <v>23657501</v>
      </c>
      <c r="G1124" t="s">
        <v>647</v>
      </c>
      <c r="H1124">
        <v>0</v>
      </c>
      <c r="I1124">
        <v>0</v>
      </c>
    </row>
    <row r="1125" spans="2:9" x14ac:dyDescent="0.25">
      <c r="B1125">
        <v>1001</v>
      </c>
      <c r="C1125">
        <v>5062</v>
      </c>
      <c r="D1125">
        <v>900323755</v>
      </c>
      <c r="E1125" t="s">
        <v>1126</v>
      </c>
      <c r="F1125">
        <v>23657501</v>
      </c>
      <c r="G1125" t="s">
        <v>647</v>
      </c>
      <c r="H1125">
        <v>0</v>
      </c>
      <c r="I1125">
        <v>0</v>
      </c>
    </row>
    <row r="1126" spans="2:9" x14ac:dyDescent="0.25">
      <c r="B1126">
        <v>1001</v>
      </c>
      <c r="C1126">
        <v>5062</v>
      </c>
      <c r="D1126">
        <v>900323755</v>
      </c>
      <c r="E1126" t="s">
        <v>1126</v>
      </c>
      <c r="F1126">
        <v>23657501</v>
      </c>
      <c r="G1126" t="s">
        <v>647</v>
      </c>
      <c r="H1126">
        <v>0</v>
      </c>
      <c r="I1126">
        <v>0</v>
      </c>
    </row>
    <row r="1127" spans="2:9" x14ac:dyDescent="0.25">
      <c r="B1127">
        <v>1001</v>
      </c>
      <c r="C1127">
        <v>5062</v>
      </c>
      <c r="D1127">
        <v>900323755</v>
      </c>
      <c r="E1127" t="s">
        <v>1126</v>
      </c>
      <c r="F1127">
        <v>23657501</v>
      </c>
      <c r="G1127" t="s">
        <v>647</v>
      </c>
      <c r="H1127">
        <v>0</v>
      </c>
      <c r="I1127">
        <v>0</v>
      </c>
    </row>
    <row r="1128" spans="2:9" x14ac:dyDescent="0.25">
      <c r="B1128">
        <v>1001</v>
      </c>
      <c r="C1128">
        <v>5062</v>
      </c>
      <c r="D1128">
        <v>900323755</v>
      </c>
      <c r="E1128" t="s">
        <v>1126</v>
      </c>
      <c r="F1128">
        <v>23657501</v>
      </c>
      <c r="G1128" t="s">
        <v>647</v>
      </c>
      <c r="H1128">
        <v>0</v>
      </c>
      <c r="I1128">
        <v>0</v>
      </c>
    </row>
    <row r="1129" spans="2:9" x14ac:dyDescent="0.25">
      <c r="B1129">
        <v>1001</v>
      </c>
      <c r="C1129">
        <v>5062</v>
      </c>
      <c r="D1129">
        <v>900323755</v>
      </c>
      <c r="E1129" t="s">
        <v>1126</v>
      </c>
      <c r="F1129">
        <v>23657501</v>
      </c>
      <c r="G1129" t="s">
        <v>647</v>
      </c>
      <c r="H1129">
        <v>0</v>
      </c>
      <c r="I1129">
        <v>0</v>
      </c>
    </row>
    <row r="1130" spans="2:9" x14ac:dyDescent="0.25">
      <c r="B1130">
        <v>1001</v>
      </c>
      <c r="C1130">
        <v>5062</v>
      </c>
      <c r="D1130">
        <v>900323755</v>
      </c>
      <c r="E1130" t="s">
        <v>1126</v>
      </c>
      <c r="F1130">
        <v>23657501</v>
      </c>
      <c r="G1130" t="s">
        <v>647</v>
      </c>
      <c r="H1130">
        <v>0</v>
      </c>
      <c r="I1130">
        <v>0</v>
      </c>
    </row>
    <row r="1131" spans="2:9" x14ac:dyDescent="0.25">
      <c r="B1131">
        <v>1001</v>
      </c>
      <c r="C1131">
        <v>5062</v>
      </c>
      <c r="D1131">
        <v>900323755</v>
      </c>
      <c r="E1131" t="s">
        <v>1126</v>
      </c>
      <c r="F1131">
        <v>23657501</v>
      </c>
      <c r="G1131" t="s">
        <v>647</v>
      </c>
      <c r="H1131">
        <v>0</v>
      </c>
      <c r="I1131">
        <v>0</v>
      </c>
    </row>
    <row r="1132" spans="2:9" x14ac:dyDescent="0.25">
      <c r="B1132">
        <v>1001</v>
      </c>
      <c r="C1132">
        <v>5062</v>
      </c>
      <c r="D1132">
        <v>900323755</v>
      </c>
      <c r="E1132" t="s">
        <v>1126</v>
      </c>
      <c r="F1132">
        <v>23657501</v>
      </c>
      <c r="G1132" t="s">
        <v>647</v>
      </c>
      <c r="H1132">
        <v>0</v>
      </c>
      <c r="I1132">
        <v>0</v>
      </c>
    </row>
    <row r="1133" spans="2:9" x14ac:dyDescent="0.25">
      <c r="B1133">
        <v>1001</v>
      </c>
      <c r="C1133">
        <v>5062</v>
      </c>
      <c r="D1133">
        <v>900323755</v>
      </c>
      <c r="E1133" t="s">
        <v>1126</v>
      </c>
      <c r="F1133">
        <v>23657501</v>
      </c>
      <c r="G1133" t="s">
        <v>647</v>
      </c>
      <c r="H1133">
        <v>0</v>
      </c>
      <c r="I1133">
        <v>0</v>
      </c>
    </row>
    <row r="1134" spans="2:9" x14ac:dyDescent="0.25">
      <c r="B1134">
        <v>1001</v>
      </c>
      <c r="C1134">
        <v>5062</v>
      </c>
      <c r="D1134">
        <v>900323755</v>
      </c>
      <c r="E1134" t="s">
        <v>1126</v>
      </c>
      <c r="F1134">
        <v>23657501</v>
      </c>
      <c r="G1134" t="s">
        <v>647</v>
      </c>
      <c r="H1134">
        <v>0</v>
      </c>
      <c r="I1134">
        <v>0</v>
      </c>
    </row>
    <row r="1135" spans="2:9" x14ac:dyDescent="0.25">
      <c r="B1135">
        <v>1001</v>
      </c>
      <c r="C1135">
        <v>5062</v>
      </c>
      <c r="D1135">
        <v>900323755</v>
      </c>
      <c r="E1135" t="s">
        <v>1126</v>
      </c>
      <c r="F1135">
        <v>23657501</v>
      </c>
      <c r="G1135" t="s">
        <v>647</v>
      </c>
      <c r="H1135">
        <v>0</v>
      </c>
      <c r="I1135">
        <v>0</v>
      </c>
    </row>
    <row r="1136" spans="2:9" x14ac:dyDescent="0.25">
      <c r="B1136">
        <v>1001</v>
      </c>
      <c r="C1136">
        <v>5062</v>
      </c>
      <c r="D1136">
        <v>900323755</v>
      </c>
      <c r="E1136" t="s">
        <v>1126</v>
      </c>
      <c r="F1136">
        <v>23657501</v>
      </c>
      <c r="G1136" t="s">
        <v>647</v>
      </c>
      <c r="H1136">
        <v>0</v>
      </c>
      <c r="I1136">
        <v>0</v>
      </c>
    </row>
    <row r="1137" spans="2:9" x14ac:dyDescent="0.25">
      <c r="B1137">
        <v>1001</v>
      </c>
      <c r="C1137">
        <v>5062</v>
      </c>
      <c r="D1137">
        <v>900323755</v>
      </c>
      <c r="E1137" t="s">
        <v>1126</v>
      </c>
      <c r="F1137">
        <v>23657501</v>
      </c>
      <c r="G1137" t="s">
        <v>647</v>
      </c>
      <c r="H1137">
        <v>0</v>
      </c>
      <c r="I1137">
        <v>0</v>
      </c>
    </row>
    <row r="1138" spans="2:9" x14ac:dyDescent="0.25">
      <c r="B1138">
        <v>1001</v>
      </c>
      <c r="C1138">
        <v>5062</v>
      </c>
      <c r="D1138">
        <v>900323755</v>
      </c>
      <c r="E1138" t="s">
        <v>1126</v>
      </c>
      <c r="F1138">
        <v>23657501</v>
      </c>
      <c r="G1138" t="s">
        <v>647</v>
      </c>
      <c r="H1138">
        <v>0</v>
      </c>
      <c r="I1138">
        <v>0</v>
      </c>
    </row>
    <row r="1139" spans="2:9" x14ac:dyDescent="0.25">
      <c r="B1139">
        <v>1001</v>
      </c>
      <c r="C1139">
        <v>5062</v>
      </c>
      <c r="D1139">
        <v>900323755</v>
      </c>
      <c r="E1139" t="s">
        <v>1126</v>
      </c>
      <c r="F1139">
        <v>23657501</v>
      </c>
      <c r="G1139" t="s">
        <v>647</v>
      </c>
      <c r="H1139">
        <v>0</v>
      </c>
      <c r="I1139">
        <v>0</v>
      </c>
    </row>
    <row r="1140" spans="2:9" x14ac:dyDescent="0.25">
      <c r="B1140">
        <v>1001</v>
      </c>
      <c r="C1140">
        <v>5062</v>
      </c>
      <c r="D1140">
        <v>900323755</v>
      </c>
      <c r="E1140" t="s">
        <v>1126</v>
      </c>
      <c r="F1140">
        <v>23657501</v>
      </c>
      <c r="G1140" t="s">
        <v>647</v>
      </c>
      <c r="H1140">
        <v>0</v>
      </c>
      <c r="I1140">
        <v>0</v>
      </c>
    </row>
    <row r="1141" spans="2:9" x14ac:dyDescent="0.25">
      <c r="B1141">
        <v>1001</v>
      </c>
      <c r="C1141">
        <v>5062</v>
      </c>
      <c r="D1141">
        <v>900323755</v>
      </c>
      <c r="E1141" t="s">
        <v>1126</v>
      </c>
      <c r="F1141">
        <v>23657501</v>
      </c>
      <c r="G1141" t="s">
        <v>647</v>
      </c>
      <c r="H1141">
        <v>0</v>
      </c>
      <c r="I1141">
        <v>0</v>
      </c>
    </row>
    <row r="1142" spans="2:9" x14ac:dyDescent="0.25">
      <c r="B1142">
        <v>1001</v>
      </c>
      <c r="C1142">
        <v>5062</v>
      </c>
      <c r="D1142">
        <v>900323755</v>
      </c>
      <c r="E1142" t="s">
        <v>1126</v>
      </c>
      <c r="F1142">
        <v>23657501</v>
      </c>
      <c r="G1142" t="s">
        <v>647</v>
      </c>
      <c r="H1142">
        <v>0</v>
      </c>
      <c r="I1142">
        <v>0</v>
      </c>
    </row>
    <row r="1143" spans="2:9" x14ac:dyDescent="0.25">
      <c r="B1143">
        <v>1001</v>
      </c>
      <c r="C1143">
        <v>5062</v>
      </c>
      <c r="D1143">
        <v>900323755</v>
      </c>
      <c r="E1143" t="s">
        <v>1126</v>
      </c>
      <c r="F1143">
        <v>23657501</v>
      </c>
      <c r="G1143" t="s">
        <v>647</v>
      </c>
      <c r="H1143">
        <v>0</v>
      </c>
      <c r="I1143">
        <v>0</v>
      </c>
    </row>
    <row r="1144" spans="2:9" x14ac:dyDescent="0.25">
      <c r="B1144">
        <v>1001</v>
      </c>
      <c r="C1144">
        <v>5062</v>
      </c>
      <c r="D1144">
        <v>900323755</v>
      </c>
      <c r="E1144" t="s">
        <v>1126</v>
      </c>
      <c r="F1144">
        <v>23657501</v>
      </c>
      <c r="G1144" t="s">
        <v>647</v>
      </c>
      <c r="H1144">
        <v>0</v>
      </c>
      <c r="I1144">
        <v>0</v>
      </c>
    </row>
    <row r="1145" spans="2:9" x14ac:dyDescent="0.25">
      <c r="B1145">
        <v>1001</v>
      </c>
      <c r="C1145">
        <v>5062</v>
      </c>
      <c r="D1145">
        <v>900323755</v>
      </c>
      <c r="E1145" t="s">
        <v>1126</v>
      </c>
      <c r="F1145">
        <v>23657501</v>
      </c>
      <c r="G1145" t="s">
        <v>647</v>
      </c>
      <c r="H1145">
        <v>0</v>
      </c>
      <c r="I1145">
        <v>0</v>
      </c>
    </row>
    <row r="1146" spans="2:9" x14ac:dyDescent="0.25">
      <c r="B1146">
        <v>1001</v>
      </c>
      <c r="C1146">
        <v>5062</v>
      </c>
      <c r="D1146">
        <v>900323755</v>
      </c>
      <c r="E1146" t="s">
        <v>1126</v>
      </c>
      <c r="F1146">
        <v>23657501</v>
      </c>
      <c r="G1146" t="s">
        <v>647</v>
      </c>
      <c r="H1146">
        <v>0</v>
      </c>
      <c r="I1146">
        <v>0</v>
      </c>
    </row>
    <row r="1147" spans="2:9" x14ac:dyDescent="0.25">
      <c r="B1147">
        <v>1001</v>
      </c>
      <c r="C1147">
        <v>5062</v>
      </c>
      <c r="D1147">
        <v>900323755</v>
      </c>
      <c r="E1147" t="s">
        <v>1126</v>
      </c>
      <c r="F1147">
        <v>23657501</v>
      </c>
      <c r="G1147" t="s">
        <v>647</v>
      </c>
      <c r="H1147">
        <v>0</v>
      </c>
      <c r="I1147">
        <v>0</v>
      </c>
    </row>
    <row r="1148" spans="2:9" x14ac:dyDescent="0.25">
      <c r="B1148">
        <v>1001</v>
      </c>
      <c r="C1148">
        <v>5062</v>
      </c>
      <c r="D1148">
        <v>900323755</v>
      </c>
      <c r="E1148" t="s">
        <v>1126</v>
      </c>
      <c r="F1148">
        <v>23657501</v>
      </c>
      <c r="G1148" t="s">
        <v>647</v>
      </c>
      <c r="H1148">
        <v>0</v>
      </c>
      <c r="I1148">
        <v>0</v>
      </c>
    </row>
    <row r="1149" spans="2:9" x14ac:dyDescent="0.25">
      <c r="B1149">
        <v>1001</v>
      </c>
      <c r="C1149">
        <v>5062</v>
      </c>
      <c r="D1149">
        <v>900323755</v>
      </c>
      <c r="E1149" t="s">
        <v>1126</v>
      </c>
      <c r="F1149">
        <v>23657501</v>
      </c>
      <c r="G1149" t="s">
        <v>647</v>
      </c>
      <c r="H1149">
        <v>0</v>
      </c>
      <c r="I1149">
        <v>0</v>
      </c>
    </row>
    <row r="1150" spans="2:9" x14ac:dyDescent="0.25">
      <c r="B1150">
        <v>1001</v>
      </c>
      <c r="C1150">
        <v>5062</v>
      </c>
      <c r="D1150">
        <v>900323755</v>
      </c>
      <c r="E1150" t="s">
        <v>1126</v>
      </c>
      <c r="F1150">
        <v>23657501</v>
      </c>
      <c r="G1150" t="s">
        <v>647</v>
      </c>
      <c r="H1150">
        <v>0</v>
      </c>
      <c r="I1150">
        <v>0</v>
      </c>
    </row>
    <row r="1151" spans="2:9" x14ac:dyDescent="0.25">
      <c r="B1151">
        <v>1001</v>
      </c>
      <c r="C1151">
        <v>5062</v>
      </c>
      <c r="D1151">
        <v>900323755</v>
      </c>
      <c r="E1151" t="s">
        <v>1126</v>
      </c>
      <c r="F1151">
        <v>23657501</v>
      </c>
      <c r="G1151" t="s">
        <v>647</v>
      </c>
      <c r="H1151">
        <v>0</v>
      </c>
      <c r="I1151">
        <v>0</v>
      </c>
    </row>
    <row r="1152" spans="2:9" x14ac:dyDescent="0.25">
      <c r="B1152">
        <v>1001</v>
      </c>
      <c r="C1152">
        <v>5062</v>
      </c>
      <c r="D1152">
        <v>900323755</v>
      </c>
      <c r="E1152" t="s">
        <v>1126</v>
      </c>
      <c r="F1152">
        <v>23657501</v>
      </c>
      <c r="G1152" t="s">
        <v>647</v>
      </c>
      <c r="H1152">
        <v>0</v>
      </c>
      <c r="I1152">
        <v>0</v>
      </c>
    </row>
    <row r="1153" spans="2:9" x14ac:dyDescent="0.25">
      <c r="B1153">
        <v>1001</v>
      </c>
      <c r="C1153">
        <v>5062</v>
      </c>
      <c r="D1153">
        <v>900323755</v>
      </c>
      <c r="E1153" t="s">
        <v>1126</v>
      </c>
      <c r="F1153">
        <v>23657501</v>
      </c>
      <c r="G1153" t="s">
        <v>647</v>
      </c>
      <c r="H1153">
        <v>0</v>
      </c>
      <c r="I1153">
        <v>0</v>
      </c>
    </row>
    <row r="1154" spans="2:9" x14ac:dyDescent="0.25">
      <c r="B1154">
        <v>1001</v>
      </c>
      <c r="C1154">
        <v>5062</v>
      </c>
      <c r="D1154">
        <v>900323755</v>
      </c>
      <c r="E1154" t="s">
        <v>1126</v>
      </c>
      <c r="F1154">
        <v>23657501</v>
      </c>
      <c r="G1154" t="s">
        <v>647</v>
      </c>
      <c r="H1154">
        <v>0</v>
      </c>
      <c r="I1154">
        <v>0</v>
      </c>
    </row>
    <row r="1155" spans="2:9" x14ac:dyDescent="0.25">
      <c r="B1155">
        <v>1001</v>
      </c>
      <c r="C1155">
        <v>5062</v>
      </c>
      <c r="D1155">
        <v>900323755</v>
      </c>
      <c r="E1155" t="s">
        <v>1126</v>
      </c>
      <c r="F1155">
        <v>23657501</v>
      </c>
      <c r="G1155" t="s">
        <v>647</v>
      </c>
      <c r="H1155">
        <v>0</v>
      </c>
      <c r="I1155">
        <v>0</v>
      </c>
    </row>
    <row r="1156" spans="2:9" x14ac:dyDescent="0.25">
      <c r="B1156">
        <v>1001</v>
      </c>
      <c r="C1156">
        <v>5062</v>
      </c>
      <c r="D1156">
        <v>900323755</v>
      </c>
      <c r="E1156" t="s">
        <v>1126</v>
      </c>
      <c r="F1156">
        <v>23657501</v>
      </c>
      <c r="G1156" t="s">
        <v>647</v>
      </c>
      <c r="H1156">
        <v>0</v>
      </c>
      <c r="I1156">
        <v>0</v>
      </c>
    </row>
    <row r="1157" spans="2:9" x14ac:dyDescent="0.25">
      <c r="B1157">
        <v>1001</v>
      </c>
      <c r="C1157">
        <v>5062</v>
      </c>
      <c r="D1157">
        <v>900323755</v>
      </c>
      <c r="E1157" t="s">
        <v>1126</v>
      </c>
      <c r="F1157">
        <v>23657501</v>
      </c>
      <c r="G1157" t="s">
        <v>647</v>
      </c>
      <c r="H1157">
        <v>0</v>
      </c>
      <c r="I1157">
        <v>0</v>
      </c>
    </row>
    <row r="1158" spans="2:9" x14ac:dyDescent="0.25">
      <c r="B1158">
        <v>1001</v>
      </c>
      <c r="C1158">
        <v>5062</v>
      </c>
      <c r="D1158">
        <v>900323755</v>
      </c>
      <c r="E1158" t="s">
        <v>1126</v>
      </c>
      <c r="F1158">
        <v>23657501</v>
      </c>
      <c r="G1158" t="s">
        <v>647</v>
      </c>
      <c r="H1158">
        <v>0</v>
      </c>
      <c r="I1158">
        <v>0</v>
      </c>
    </row>
    <row r="1159" spans="2:9" x14ac:dyDescent="0.25">
      <c r="B1159">
        <v>1001</v>
      </c>
      <c r="C1159">
        <v>5062</v>
      </c>
      <c r="D1159">
        <v>900323755</v>
      </c>
      <c r="E1159" t="s">
        <v>1126</v>
      </c>
      <c r="F1159">
        <v>23657501</v>
      </c>
      <c r="G1159" t="s">
        <v>647</v>
      </c>
      <c r="H1159">
        <v>0</v>
      </c>
      <c r="I1159">
        <v>0</v>
      </c>
    </row>
    <row r="1160" spans="2:9" x14ac:dyDescent="0.25">
      <c r="B1160">
        <v>1001</v>
      </c>
      <c r="C1160">
        <v>5062</v>
      </c>
      <c r="D1160">
        <v>900323755</v>
      </c>
      <c r="E1160" t="s">
        <v>1126</v>
      </c>
      <c r="F1160">
        <v>23657501</v>
      </c>
      <c r="G1160" t="s">
        <v>647</v>
      </c>
      <c r="H1160">
        <v>0</v>
      </c>
      <c r="I1160">
        <v>0</v>
      </c>
    </row>
    <row r="1161" spans="2:9" x14ac:dyDescent="0.25">
      <c r="B1161">
        <v>1001</v>
      </c>
      <c r="C1161">
        <v>5062</v>
      </c>
      <c r="D1161">
        <v>900913772</v>
      </c>
      <c r="E1161" t="s">
        <v>1132</v>
      </c>
      <c r="F1161">
        <v>13550501</v>
      </c>
      <c r="G1161">
        <v>0</v>
      </c>
      <c r="H1161">
        <v>9960</v>
      </c>
      <c r="I1161">
        <v>51119.199999999997</v>
      </c>
    </row>
    <row r="1162" spans="2:9" x14ac:dyDescent="0.25">
      <c r="B1162">
        <v>1001</v>
      </c>
      <c r="C1162">
        <v>5062</v>
      </c>
      <c r="D1162">
        <v>900913772</v>
      </c>
      <c r="E1162" t="s">
        <v>1132</v>
      </c>
      <c r="F1162">
        <v>13550501</v>
      </c>
      <c r="G1162">
        <v>0</v>
      </c>
      <c r="H1162">
        <v>25610</v>
      </c>
      <c r="I1162">
        <v>51119.199999999997</v>
      </c>
    </row>
    <row r="1163" spans="2:9" x14ac:dyDescent="0.25">
      <c r="B1163">
        <v>1001</v>
      </c>
      <c r="C1163">
        <v>5062</v>
      </c>
      <c r="D1163">
        <v>900913772</v>
      </c>
      <c r="E1163" t="s">
        <v>1132</v>
      </c>
      <c r="F1163">
        <v>13550501</v>
      </c>
      <c r="G1163">
        <v>0</v>
      </c>
      <c r="H1163">
        <v>6883.2</v>
      </c>
      <c r="I1163">
        <v>51119.199999999997</v>
      </c>
    </row>
    <row r="1164" spans="2:9" x14ac:dyDescent="0.25">
      <c r="B1164">
        <v>1001</v>
      </c>
      <c r="C1164">
        <v>5062</v>
      </c>
      <c r="D1164">
        <v>900913772</v>
      </c>
      <c r="E1164" t="s">
        <v>1132</v>
      </c>
      <c r="F1164">
        <v>13550501</v>
      </c>
      <c r="G1164">
        <v>0</v>
      </c>
      <c r="H1164">
        <v>8666</v>
      </c>
      <c r="I1164">
        <v>51119.199999999997</v>
      </c>
    </row>
    <row r="1165" spans="2:9" x14ac:dyDescent="0.25">
      <c r="B1165">
        <v>1001</v>
      </c>
      <c r="C1165">
        <v>5062</v>
      </c>
      <c r="D1165">
        <v>900913772</v>
      </c>
      <c r="E1165" t="s">
        <v>1132</v>
      </c>
      <c r="F1165">
        <v>23657501</v>
      </c>
      <c r="G1165" t="s">
        <v>647</v>
      </c>
      <c r="H1165">
        <v>0</v>
      </c>
      <c r="I1165">
        <v>0</v>
      </c>
    </row>
    <row r="1166" spans="2:9" x14ac:dyDescent="0.25">
      <c r="B1166">
        <v>1001</v>
      </c>
      <c r="C1166">
        <v>5062</v>
      </c>
      <c r="D1166">
        <v>900913772</v>
      </c>
      <c r="E1166" t="s">
        <v>1132</v>
      </c>
      <c r="F1166">
        <v>23657501</v>
      </c>
      <c r="G1166" t="s">
        <v>647</v>
      </c>
      <c r="H1166">
        <v>0</v>
      </c>
      <c r="I1166">
        <v>0</v>
      </c>
    </row>
    <row r="1167" spans="2:9" x14ac:dyDescent="0.25">
      <c r="B1167">
        <v>1001</v>
      </c>
      <c r="C1167">
        <v>5062</v>
      </c>
      <c r="D1167">
        <v>900913772</v>
      </c>
      <c r="E1167" t="s">
        <v>1132</v>
      </c>
      <c r="F1167">
        <v>23657501</v>
      </c>
      <c r="G1167" t="s">
        <v>647</v>
      </c>
      <c r="H1167">
        <v>0</v>
      </c>
      <c r="I1167">
        <v>0</v>
      </c>
    </row>
    <row r="1168" spans="2:9" x14ac:dyDescent="0.25">
      <c r="B1168">
        <v>1001</v>
      </c>
      <c r="C1168">
        <v>5062</v>
      </c>
      <c r="D1168">
        <v>900913772</v>
      </c>
      <c r="E1168" t="s">
        <v>1132</v>
      </c>
      <c r="F1168">
        <v>23657501</v>
      </c>
      <c r="G1168" t="s">
        <v>647</v>
      </c>
      <c r="H1168">
        <v>0</v>
      </c>
      <c r="I1168">
        <v>0</v>
      </c>
    </row>
    <row r="1169" spans="2:9" x14ac:dyDescent="0.25">
      <c r="B1169">
        <v>1001</v>
      </c>
      <c r="C1169">
        <v>5062</v>
      </c>
      <c r="D1169">
        <v>900934504</v>
      </c>
      <c r="E1169" t="s">
        <v>1134</v>
      </c>
      <c r="F1169">
        <v>13550501</v>
      </c>
      <c r="G1169">
        <v>0</v>
      </c>
      <c r="H1169">
        <v>1708.2719999999999</v>
      </c>
      <c r="I1169">
        <v>15480.232</v>
      </c>
    </row>
    <row r="1170" spans="2:9" x14ac:dyDescent="0.25">
      <c r="B1170">
        <v>1001</v>
      </c>
      <c r="C1170">
        <v>5062</v>
      </c>
      <c r="D1170">
        <v>900934504</v>
      </c>
      <c r="E1170" t="s">
        <v>1134</v>
      </c>
      <c r="F1170">
        <v>13550501</v>
      </c>
      <c r="G1170">
        <v>0</v>
      </c>
      <c r="H1170">
        <v>1888.0319999999999</v>
      </c>
      <c r="I1170">
        <v>15480.232</v>
      </c>
    </row>
    <row r="1171" spans="2:9" x14ac:dyDescent="0.25">
      <c r="B1171">
        <v>1001</v>
      </c>
      <c r="C1171">
        <v>5062</v>
      </c>
      <c r="D1171">
        <v>900934504</v>
      </c>
      <c r="E1171" t="s">
        <v>1134</v>
      </c>
      <c r="F1171">
        <v>13550501</v>
      </c>
      <c r="G1171">
        <v>0</v>
      </c>
      <c r="H1171">
        <v>1553.36</v>
      </c>
      <c r="I1171">
        <v>15480.232</v>
      </c>
    </row>
    <row r="1172" spans="2:9" x14ac:dyDescent="0.25">
      <c r="B1172">
        <v>1001</v>
      </c>
      <c r="C1172">
        <v>5062</v>
      </c>
      <c r="D1172">
        <v>900934504</v>
      </c>
      <c r="E1172" t="s">
        <v>1134</v>
      </c>
      <c r="F1172">
        <v>13550501</v>
      </c>
      <c r="G1172">
        <v>0</v>
      </c>
      <c r="H1172">
        <v>1073.52</v>
      </c>
      <c r="I1172">
        <v>15480.232</v>
      </c>
    </row>
    <row r="1173" spans="2:9" x14ac:dyDescent="0.25">
      <c r="B1173">
        <v>1001</v>
      </c>
      <c r="C1173">
        <v>5062</v>
      </c>
      <c r="D1173">
        <v>900934504</v>
      </c>
      <c r="E1173" t="s">
        <v>1134</v>
      </c>
      <c r="F1173">
        <v>13550501</v>
      </c>
      <c r="G1173">
        <v>0</v>
      </c>
      <c r="H1173">
        <v>462.92</v>
      </c>
      <c r="I1173">
        <v>15480.232</v>
      </c>
    </row>
    <row r="1174" spans="2:9" x14ac:dyDescent="0.25">
      <c r="B1174">
        <v>1001</v>
      </c>
      <c r="C1174">
        <v>5062</v>
      </c>
      <c r="D1174">
        <v>900934504</v>
      </c>
      <c r="E1174" t="s">
        <v>1134</v>
      </c>
      <c r="F1174">
        <v>13550501</v>
      </c>
      <c r="G1174">
        <v>0</v>
      </c>
      <c r="H1174">
        <v>1859.6320000000001</v>
      </c>
      <c r="I1174">
        <v>15480.232</v>
      </c>
    </row>
    <row r="1175" spans="2:9" x14ac:dyDescent="0.25">
      <c r="B1175">
        <v>1001</v>
      </c>
      <c r="C1175">
        <v>5062</v>
      </c>
      <c r="D1175">
        <v>900934504</v>
      </c>
      <c r="E1175" t="s">
        <v>1134</v>
      </c>
      <c r="F1175">
        <v>13550501</v>
      </c>
      <c r="G1175">
        <v>0</v>
      </c>
      <c r="H1175">
        <v>677.37599999999998</v>
      </c>
      <c r="I1175">
        <v>15480.232</v>
      </c>
    </row>
    <row r="1176" spans="2:9" x14ac:dyDescent="0.25">
      <c r="B1176">
        <v>1001</v>
      </c>
      <c r="C1176">
        <v>5062</v>
      </c>
      <c r="D1176">
        <v>900934504</v>
      </c>
      <c r="E1176" t="s">
        <v>1134</v>
      </c>
      <c r="F1176">
        <v>13550501</v>
      </c>
      <c r="G1176">
        <v>0</v>
      </c>
      <c r="H1176">
        <v>615.52</v>
      </c>
      <c r="I1176">
        <v>15480.232</v>
      </c>
    </row>
    <row r="1177" spans="2:9" x14ac:dyDescent="0.25">
      <c r="B1177">
        <v>1001</v>
      </c>
      <c r="C1177">
        <v>5062</v>
      </c>
      <c r="D1177">
        <v>900934504</v>
      </c>
      <c r="E1177" t="s">
        <v>1134</v>
      </c>
      <c r="F1177">
        <v>13550501</v>
      </c>
      <c r="G1177">
        <v>0</v>
      </c>
      <c r="H1177">
        <v>700</v>
      </c>
      <c r="I1177">
        <v>15480.232</v>
      </c>
    </row>
    <row r="1178" spans="2:9" x14ac:dyDescent="0.25">
      <c r="B1178">
        <v>1001</v>
      </c>
      <c r="C1178">
        <v>5062</v>
      </c>
      <c r="D1178">
        <v>900934504</v>
      </c>
      <c r="E1178" t="s">
        <v>1134</v>
      </c>
      <c r="F1178">
        <v>13550501</v>
      </c>
      <c r="G1178">
        <v>0</v>
      </c>
      <c r="H1178">
        <v>1721.44</v>
      </c>
      <c r="I1178">
        <v>15480.232</v>
      </c>
    </row>
    <row r="1179" spans="2:9" x14ac:dyDescent="0.25">
      <c r="B1179">
        <v>1001</v>
      </c>
      <c r="C1179">
        <v>5062</v>
      </c>
      <c r="D1179">
        <v>900934504</v>
      </c>
      <c r="E1179" t="s">
        <v>1134</v>
      </c>
      <c r="F1179">
        <v>13550501</v>
      </c>
      <c r="G1179">
        <v>0</v>
      </c>
      <c r="H1179">
        <v>1600.8</v>
      </c>
      <c r="I1179">
        <v>15480.232</v>
      </c>
    </row>
    <row r="1180" spans="2:9" x14ac:dyDescent="0.25">
      <c r="B1180">
        <v>1001</v>
      </c>
      <c r="C1180">
        <v>5062</v>
      </c>
      <c r="D1180">
        <v>900934504</v>
      </c>
      <c r="E1180" t="s">
        <v>1134</v>
      </c>
      <c r="F1180">
        <v>13550501</v>
      </c>
      <c r="G1180">
        <v>0</v>
      </c>
      <c r="H1180">
        <v>1619.36</v>
      </c>
      <c r="I1180">
        <v>15480.232</v>
      </c>
    </row>
    <row r="1181" spans="2:9" x14ac:dyDescent="0.25">
      <c r="B1181">
        <v>1001</v>
      </c>
      <c r="C1181">
        <v>5062</v>
      </c>
      <c r="D1181">
        <v>900934504</v>
      </c>
      <c r="E1181" t="s">
        <v>1134</v>
      </c>
      <c r="F1181">
        <v>23657501</v>
      </c>
      <c r="G1181" t="s">
        <v>647</v>
      </c>
      <c r="H1181">
        <v>0</v>
      </c>
      <c r="I1181">
        <v>0</v>
      </c>
    </row>
    <row r="1182" spans="2:9" x14ac:dyDescent="0.25">
      <c r="B1182">
        <v>1001</v>
      </c>
      <c r="C1182">
        <v>5062</v>
      </c>
      <c r="D1182">
        <v>900934504</v>
      </c>
      <c r="E1182" t="s">
        <v>1134</v>
      </c>
      <c r="F1182">
        <v>23657501</v>
      </c>
      <c r="G1182" t="s">
        <v>647</v>
      </c>
      <c r="H1182">
        <v>0</v>
      </c>
      <c r="I1182">
        <v>0</v>
      </c>
    </row>
    <row r="1183" spans="2:9" x14ac:dyDescent="0.25">
      <c r="B1183">
        <v>1001</v>
      </c>
      <c r="C1183">
        <v>5062</v>
      </c>
      <c r="D1183">
        <v>900934504</v>
      </c>
      <c r="E1183" t="s">
        <v>1134</v>
      </c>
      <c r="F1183">
        <v>23657501</v>
      </c>
      <c r="G1183" t="s">
        <v>647</v>
      </c>
      <c r="H1183">
        <v>0</v>
      </c>
      <c r="I1183">
        <v>0</v>
      </c>
    </row>
    <row r="1184" spans="2:9" x14ac:dyDescent="0.25">
      <c r="B1184">
        <v>1001</v>
      </c>
      <c r="C1184">
        <v>5062</v>
      </c>
      <c r="D1184">
        <v>900934504</v>
      </c>
      <c r="E1184" t="s">
        <v>1134</v>
      </c>
      <c r="F1184">
        <v>23657501</v>
      </c>
      <c r="G1184" t="s">
        <v>647</v>
      </c>
      <c r="H1184">
        <v>0</v>
      </c>
      <c r="I1184">
        <v>0</v>
      </c>
    </row>
    <row r="1185" spans="2:9" x14ac:dyDescent="0.25">
      <c r="B1185">
        <v>1001</v>
      </c>
      <c r="C1185">
        <v>5062</v>
      </c>
      <c r="D1185">
        <v>900934504</v>
      </c>
      <c r="E1185" t="s">
        <v>1134</v>
      </c>
      <c r="F1185">
        <v>23657501</v>
      </c>
      <c r="G1185" t="s">
        <v>647</v>
      </c>
      <c r="H1185">
        <v>0</v>
      </c>
      <c r="I1185">
        <v>0</v>
      </c>
    </row>
    <row r="1186" spans="2:9" x14ac:dyDescent="0.25">
      <c r="B1186">
        <v>1001</v>
      </c>
      <c r="C1186">
        <v>5062</v>
      </c>
      <c r="D1186">
        <v>900934504</v>
      </c>
      <c r="E1186" t="s">
        <v>1134</v>
      </c>
      <c r="F1186">
        <v>23657501</v>
      </c>
      <c r="G1186" t="s">
        <v>647</v>
      </c>
      <c r="H1186">
        <v>0</v>
      </c>
      <c r="I1186">
        <v>0</v>
      </c>
    </row>
    <row r="1187" spans="2:9" x14ac:dyDescent="0.25">
      <c r="B1187">
        <v>1001</v>
      </c>
      <c r="C1187">
        <v>5062</v>
      </c>
      <c r="D1187">
        <v>900934504</v>
      </c>
      <c r="E1187" t="s">
        <v>1134</v>
      </c>
      <c r="F1187">
        <v>23657501</v>
      </c>
      <c r="G1187" t="s">
        <v>647</v>
      </c>
      <c r="H1187">
        <v>0</v>
      </c>
      <c r="I1187">
        <v>0</v>
      </c>
    </row>
    <row r="1188" spans="2:9" x14ac:dyDescent="0.25">
      <c r="B1188">
        <v>1001</v>
      </c>
      <c r="C1188">
        <v>5062</v>
      </c>
      <c r="D1188">
        <v>900934504</v>
      </c>
      <c r="E1188" t="s">
        <v>1134</v>
      </c>
      <c r="F1188">
        <v>23657501</v>
      </c>
      <c r="G1188" t="s">
        <v>647</v>
      </c>
      <c r="H1188">
        <v>0</v>
      </c>
      <c r="I1188">
        <v>0</v>
      </c>
    </row>
    <row r="1189" spans="2:9" x14ac:dyDescent="0.25">
      <c r="B1189">
        <v>1001</v>
      </c>
      <c r="C1189">
        <v>5062</v>
      </c>
      <c r="D1189">
        <v>900934504</v>
      </c>
      <c r="E1189" t="s">
        <v>1134</v>
      </c>
      <c r="F1189">
        <v>23657501</v>
      </c>
      <c r="G1189" t="s">
        <v>647</v>
      </c>
      <c r="H1189">
        <v>0</v>
      </c>
      <c r="I1189">
        <v>0</v>
      </c>
    </row>
    <row r="1190" spans="2:9" x14ac:dyDescent="0.25">
      <c r="B1190">
        <v>1001</v>
      </c>
      <c r="C1190">
        <v>5062</v>
      </c>
      <c r="D1190">
        <v>900934504</v>
      </c>
      <c r="E1190" t="s">
        <v>1134</v>
      </c>
      <c r="F1190">
        <v>23657501</v>
      </c>
      <c r="G1190" t="s">
        <v>647</v>
      </c>
      <c r="H1190">
        <v>0</v>
      </c>
      <c r="I1190">
        <v>0</v>
      </c>
    </row>
    <row r="1191" spans="2:9" x14ac:dyDescent="0.25">
      <c r="B1191">
        <v>1001</v>
      </c>
      <c r="C1191">
        <v>5062</v>
      </c>
      <c r="D1191">
        <v>900934504</v>
      </c>
      <c r="E1191" t="s">
        <v>1134</v>
      </c>
      <c r="F1191">
        <v>23657501</v>
      </c>
      <c r="G1191" t="s">
        <v>647</v>
      </c>
      <c r="H1191">
        <v>0</v>
      </c>
      <c r="I1191">
        <v>0</v>
      </c>
    </row>
    <row r="1192" spans="2:9" x14ac:dyDescent="0.25">
      <c r="B1192">
        <v>1001</v>
      </c>
      <c r="C1192">
        <v>5062</v>
      </c>
      <c r="D1192">
        <v>900934504</v>
      </c>
      <c r="E1192" t="s">
        <v>1134</v>
      </c>
      <c r="F1192">
        <v>23657501</v>
      </c>
      <c r="G1192" t="s">
        <v>647</v>
      </c>
      <c r="H1192">
        <v>0</v>
      </c>
      <c r="I1192">
        <v>0</v>
      </c>
    </row>
    <row r="1193" spans="2:9" x14ac:dyDescent="0.25">
      <c r="B1193">
        <v>1001</v>
      </c>
      <c r="C1193">
        <v>5062</v>
      </c>
      <c r="D1193">
        <v>901075966</v>
      </c>
      <c r="E1193" t="s">
        <v>1138</v>
      </c>
      <c r="F1193">
        <v>13550501</v>
      </c>
      <c r="G1193">
        <v>0</v>
      </c>
      <c r="H1193">
        <v>1344</v>
      </c>
      <c r="I1193">
        <v>16744</v>
      </c>
    </row>
    <row r="1194" spans="2:9" x14ac:dyDescent="0.25">
      <c r="B1194">
        <v>1001</v>
      </c>
      <c r="C1194">
        <v>5062</v>
      </c>
      <c r="D1194">
        <v>901075966</v>
      </c>
      <c r="E1194" t="s">
        <v>1138</v>
      </c>
      <c r="F1194">
        <v>13550501</v>
      </c>
      <c r="G1194">
        <v>0</v>
      </c>
      <c r="H1194">
        <v>7700</v>
      </c>
      <c r="I1194">
        <v>16744</v>
      </c>
    </row>
    <row r="1195" spans="2:9" x14ac:dyDescent="0.25">
      <c r="B1195">
        <v>1001</v>
      </c>
      <c r="C1195">
        <v>5062</v>
      </c>
      <c r="D1195">
        <v>901075966</v>
      </c>
      <c r="E1195" t="s">
        <v>1138</v>
      </c>
      <c r="F1195">
        <v>13550501</v>
      </c>
      <c r="G1195">
        <v>0</v>
      </c>
      <c r="H1195">
        <v>7700</v>
      </c>
      <c r="I1195">
        <v>16744</v>
      </c>
    </row>
    <row r="1196" spans="2:9" x14ac:dyDescent="0.25">
      <c r="B1196">
        <v>1001</v>
      </c>
      <c r="C1196">
        <v>5062</v>
      </c>
      <c r="D1196">
        <v>901075966</v>
      </c>
      <c r="E1196" t="s">
        <v>1138</v>
      </c>
      <c r="F1196">
        <v>23657501</v>
      </c>
      <c r="G1196" t="s">
        <v>647</v>
      </c>
      <c r="H1196">
        <v>0</v>
      </c>
      <c r="I1196">
        <v>0</v>
      </c>
    </row>
    <row r="1197" spans="2:9" x14ac:dyDescent="0.25">
      <c r="B1197">
        <v>1001</v>
      </c>
      <c r="C1197">
        <v>5062</v>
      </c>
      <c r="D1197">
        <v>901075966</v>
      </c>
      <c r="E1197" t="s">
        <v>1138</v>
      </c>
      <c r="F1197">
        <v>23657501</v>
      </c>
      <c r="G1197" t="s">
        <v>647</v>
      </c>
      <c r="H1197">
        <v>0</v>
      </c>
      <c r="I1197">
        <v>0</v>
      </c>
    </row>
    <row r="1198" spans="2:9" x14ac:dyDescent="0.25">
      <c r="B1198">
        <v>1001</v>
      </c>
      <c r="C1198">
        <v>5062</v>
      </c>
      <c r="D1198">
        <v>901075966</v>
      </c>
      <c r="E1198" t="s">
        <v>1138</v>
      </c>
      <c r="F1198">
        <v>23657501</v>
      </c>
      <c r="G1198" t="s">
        <v>647</v>
      </c>
      <c r="H1198">
        <v>0</v>
      </c>
      <c r="I1198">
        <v>0</v>
      </c>
    </row>
  </sheetData>
  <dataConsolidate/>
  <dataValidations count="2">
    <dataValidation type="list" allowBlank="1" showInputMessage="1" showErrorMessage="1" sqref="C2">
      <formula1>"xl_filter_by,xl_group_by"</formula1>
    </dataValidation>
    <dataValidation type="list" allowBlank="1" showInputMessage="1" showErrorMessage="1" sqref="D2">
      <formula1>"0"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>
      <selection activeCell="F8" sqref="F8"/>
    </sheetView>
  </sheetViews>
  <sheetFormatPr baseColWidth="10"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s="14" t="s">
        <v>0</v>
      </c>
      <c r="B1" s="10"/>
    </row>
    <row r="2" spans="1:2" x14ac:dyDescent="0.25">
      <c r="A2" s="14" t="s">
        <v>1</v>
      </c>
      <c r="B2" s="10" t="s">
        <v>1844</v>
      </c>
    </row>
    <row r="3" spans="1:2" x14ac:dyDescent="0.25">
      <c r="A3" s="14" t="s">
        <v>1840</v>
      </c>
      <c r="B3" t="s">
        <v>1843</v>
      </c>
    </row>
    <row r="4" spans="1:2" x14ac:dyDescent="0.25">
      <c r="A4" s="14" t="s">
        <v>1841</v>
      </c>
      <c r="B4" s="10" t="s">
        <v>1839</v>
      </c>
    </row>
    <row r="5" spans="1:2" x14ac:dyDescent="0.25">
      <c r="A5" s="14" t="s">
        <v>2</v>
      </c>
      <c r="B5" s="10" t="s">
        <v>1839</v>
      </c>
    </row>
    <row r="6" spans="1:2" x14ac:dyDescent="0.25">
      <c r="A6" s="14" t="s">
        <v>1842</v>
      </c>
      <c r="B6" s="10" t="s">
        <v>1498</v>
      </c>
    </row>
    <row r="7" spans="1:2" x14ac:dyDescent="0.25">
      <c r="A7" s="14" t="s">
        <v>3</v>
      </c>
      <c r="B7" s="10" t="s">
        <v>1498</v>
      </c>
    </row>
    <row r="8" spans="1:2" x14ac:dyDescent="0.25">
      <c r="A8" s="10"/>
      <c r="B8" s="10"/>
    </row>
    <row r="9" spans="1:2" x14ac:dyDescent="0.25">
      <c r="A9" s="10"/>
      <c r="B9" s="10" t="s">
        <v>8</v>
      </c>
    </row>
    <row r="11" spans="1:2" x14ac:dyDescent="0.25">
      <c r="A11" s="1" t="s">
        <v>4</v>
      </c>
    </row>
    <row r="12" spans="1:2" x14ac:dyDescent="0.25">
      <c r="A12" t="s">
        <v>6</v>
      </c>
    </row>
    <row r="13" spans="1:2" x14ac:dyDescent="0.25">
      <c r="A13" t="s">
        <v>7</v>
      </c>
    </row>
    <row r="14" spans="1:2" x14ac:dyDescent="0.25">
      <c r="A14" t="s">
        <v>5</v>
      </c>
    </row>
    <row r="16" spans="1:2" x14ac:dyDescent="0.25">
      <c r="A16" s="2" t="s">
        <v>9</v>
      </c>
    </row>
    <row r="17" spans="1:1" x14ac:dyDescent="0.25">
      <c r="A17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Sheet1</vt:lpstr>
      <vt:lpstr>Hoja1</vt:lpstr>
      <vt:lpstr>map_by</vt:lpstr>
      <vt:lpstr>group_by</vt:lpstr>
      <vt:lpstr>select_by</vt:lpstr>
      <vt:lpstr>fit_table</vt:lpstr>
      <vt:lpstr>filter_by</vt:lpstr>
      <vt:lpstr>combinations and permutations</vt:lpstr>
      <vt:lpstr>debug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2020-08-07T22:56:48Z</dcterms:modified>
</cp:coreProperties>
</file>